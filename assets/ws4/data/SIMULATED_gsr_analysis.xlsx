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H1" sheetId="4" state="visible" r:id="rId4"/>
    <sheet xmlns:r="http://schemas.openxmlformats.org/officeDocument/2006/relationships" name="H2" sheetId="5" state="visible" r:id="rId5"/>
    <sheet xmlns:r="http://schemas.openxmlformats.org/officeDocument/2006/relationships" name="H3" sheetId="6" state="visible" r:id="rId6"/>
    <sheet xmlns:r="http://schemas.openxmlformats.org/officeDocument/2006/relationships" name="Check" sheetId="7" state="visible" r:id="rId7"/>
  </sheets>
  <definedNames>
    <definedName name="_xlnm._FilterDatabase" localSheetId="1" hidden="1">'Data'!$A$1:$AA$181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  <color rgb="001F3864"/>
      <sz val="12"/>
    </font>
    <font>
      <i val="1"/>
      <color rgb="00555555"/>
    </font>
    <font>
      <b val="1"/>
    </font>
    <font>
      <name val="Consolas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8C8C8C"/>
      </patternFill>
    </fill>
    <fill>
      <patternFill patternType="solid">
        <fgColor rgb="00A656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5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2" fillId="2" borderId="0" pivotButton="0" quotePrefix="0" xfId="0"/>
    <xf numFmtId="0" fontId="5" fillId="5" borderId="0" pivotButton="0" quotePrefix="0" xfId="0"/>
    <xf numFmtId="0" fontId="6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peaks per minute by stimulus (SIMULATED)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'Summary'!B24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'Summary'!$A$25:$A$30</f>
            </numRef>
          </cat>
          <val>
            <numRef>
              <f>'Summary'!$B$25:$B$30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GSR peaks per minute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peaks per minute with 95% CI (SIMULATED)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'H1'!P159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H1!$Q$160:$Q$163</f>
              </numRef>
            </minus>
            <plus>
              <numRef>
                <f>H1!$Q$160:$Q$163</f>
              </numRef>
            </plus>
          </errBars>
          <cat>
            <numRef>
              <f>'H1'!$O$160:$O$163</f>
            </numRef>
          </cat>
          <val>
            <numRef>
              <f>'H1'!$P$160:$P$163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GSR peaks per minute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18</col>
      <colOff>0</colOff>
      <row>157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SIMULATED GSR and heart rate workbook (teaching material)</t>
        </is>
      </c>
    </row>
    <row r="2">
      <c r="A2" t="inlineStr"/>
    </row>
    <row r="3">
      <c r="A3" t="inlineStr">
        <is>
          <t>Every number in this workbook is SIMULATED. It was generated by make_simulated_data.py (seed 20278504) to</t>
        </is>
      </c>
    </row>
    <row r="4">
      <c r="A4" t="inlineStr">
        <is>
          <t>resemble a two commercial arousal test in the style of the lab's own library studies Nike Campaign Ad Evaluation and</t>
        </is>
      </c>
    </row>
    <row r="5">
      <c r="A5" t="inlineStr">
        <is>
          <t>e.l.f. Campaign Ad Evaluation: a 60 s Baseline, the commercial (Nike 60 s, e.l.f. 30 s), a 15 s Recovery, and a short</t>
        </is>
      </c>
    </row>
    <row r="6">
      <c r="A6" t="inlineStr">
        <is>
          <t>questionnaire, recorded with two Shimmer3 GSR+ units (GSR plus PPG heart rate). No real person was recorded.</t>
        </is>
      </c>
    </row>
    <row r="7">
      <c r="A7" t="inlineStr"/>
    </row>
    <row r="8">
      <c r="A8" t="inlineStr">
        <is>
          <t>Sheets:</t>
        </is>
      </c>
    </row>
    <row r="9">
      <c r="A9" t="inlineStr">
        <is>
          <t xml:space="preserve">  Data       GSR Peak Metrics export as exported (columns A to O, rows 2 to 181). Columns P to T hold the Device,</t>
        </is>
      </c>
    </row>
    <row r="10">
      <c r="A10" t="inlineStr">
        <is>
          <t xml:space="preserve">             Signal-to-Noise ratio, Signal missing, mean PPG heart rate, and self reported arousal matched to each row (pasted values).</t>
        </is>
      </c>
    </row>
    <row r="11">
      <c r="A11" t="inlineStr">
        <is>
          <t xml:space="preserve">             Helper columns U to AA are live formulas: Phase, Brand, Position (first or second sequence), Keep (exclusion rule),</t>
        </is>
      </c>
    </row>
    <row r="12">
      <c r="A12" t="inlineStr">
        <is>
          <t xml:space="preserve">             Nonresponder (Has Peaks = 0 in at least 4 of 6 stimuli), PPM_recalc, PPM_if_Duration.</t>
        </is>
      </c>
    </row>
    <row r="13">
      <c r="A13" t="inlineStr">
        <is>
          <t xml:space="preserve">  Summary    Mean, SD, n by stimulus (COUNTIFS, AVERAGEIFS, STDEV.S(IF(...))), the Signal Duration check, the device check.</t>
        </is>
      </c>
    </row>
    <row r="14">
      <c r="A14" t="inlineStr">
        <is>
          <t xml:space="preserve">  H1         Arousal response. Paired t tests of each commercial against its own baseline (Peaks Per Minute), the sensitivity analysis</t>
        </is>
      </c>
    </row>
    <row r="15">
      <c r="A15" t="inlineStr">
        <is>
          <t xml:space="preserve">             without nonresponders, and the exploratory correlation of self reported arousal with Peaks Per Minute.</t>
        </is>
      </c>
    </row>
    <row r="16">
      <c r="A16" t="inlineStr">
        <is>
          <t xml:space="preserve">  H2         Nike versus e.l.f. Peaks Per Minute in the commercials, the simple order (carryover) estimate, sensitivity analysis.</t>
        </is>
      </c>
    </row>
    <row r="17">
      <c r="A17" t="inlineStr">
        <is>
          <t xml:space="preserve">  H3         Heart rate change from baseline (commercial minus baseline) for each commercial and the difference between them.</t>
        </is>
      </c>
    </row>
    <row r="18">
      <c r="A18" t="inlineStr">
        <is>
          <t xml:space="preserve">  Check      Live Excel results next to the values analysis.R produced, with an OK or CHECK status.</t>
        </is>
      </c>
    </row>
    <row r="19">
      <c r="A19" t="inlineStr"/>
    </row>
    <row r="20">
      <c r="A20" t="inlineStr">
        <is>
          <t>Design: WITHIN subjects, 30 respondents, two sequences each, 2 minute rest between them. The Group column is the ORDER</t>
        </is>
      </c>
    </row>
    <row r="21">
      <c r="A21" t="inlineStr">
        <is>
          <t>(A = Nike first, B = e.l.f. first), not a treatment. Respondents were run two at a time at Seat 1 (Shimmer3-8956) and Seat 2</t>
        </is>
      </c>
    </row>
    <row r="22">
      <c r="A22" t="inlineStr">
        <is>
          <t>(Shimmer3-B, a placeholder name to verify); the analysis pools both devices.</t>
        </is>
      </c>
    </row>
    <row r="23">
      <c r="A23" t="inlineStr">
        <is>
          <t>H1 and H3 differences are commercial MINUS baseline. H2 is Nike MINUS e.l.f.</t>
        </is>
      </c>
    </row>
    <row r="24">
      <c r="A24" t="inlineStr">
        <is>
          <t>Exclusion rule, written before collection (the lab's rule, built from the GSR Signal Quality article): SNR below 0 dB or Signal missing above 20 percent in any commercial (respondents P11, P24).</t>
        </is>
      </c>
    </row>
    <row r="25">
      <c r="A25" t="inlineStr">
        <is>
          <t>Nonresponders (kept in the main analysis, removed in the sensitivity analysis): P03, P16, P21.</t>
        </is>
      </c>
    </row>
    <row r="26">
      <c r="A26" t="inlineStr">
        <is>
          <t>Peaks Per Minute = Peak Count / (Signal Duration / 60000): gaps longer than 4 s are left out of Signal Duration.</t>
        </is>
      </c>
    </row>
    <row r="27">
      <c r="A27" t="inlineStr">
        <is>
          <t>MODELED, verify on the lab machine: the heart rate column name (the manuals name none), the Signal Quality file layout, Type, Parent Stimulus, and Device Shimmer3-B.</t>
        </is>
      </c>
    </row>
    <row r="28">
      <c r="A28" t="inlineStr"/>
    </row>
    <row r="29">
      <c r="A29" t="inlineStr">
        <is>
          <t>Companion files: analysis_excel_walkthrough.md (step by step), analysis.R (same analysis in R),</t>
        </is>
      </c>
    </row>
    <row r="30">
      <c r="A30" t="inlineStr">
        <is>
          <t>analysis_output.txt (its console output), results_text.md (model paragraphs).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8" customWidth="1" min="3" max="3"/>
    <col width="8" customWidth="1" min="4" max="4"/>
    <col width="8" customWidth="1" min="5" max="5"/>
    <col width="10" customWidth="1" min="6" max="6"/>
    <col width="17" customWidth="1" min="7" max="7"/>
    <col width="12" customWidth="1" min="8" max="8"/>
    <col width="15" customWidth="1" min="9" max="9"/>
    <col width="22" customWidth="1" min="10" max="10"/>
    <col width="17" customWidth="1" min="11" max="11"/>
    <col width="11" customWidth="1" min="12" max="12"/>
    <col width="12" customWidth="1" min="13" max="13"/>
    <col width="18" customWidth="1" min="14" max="14"/>
    <col width="22" customWidth="1" min="15" max="15"/>
    <col width="15" customWidth="1" min="16" max="16"/>
    <col width="22" customWidth="1" min="17" max="17"/>
    <col width="20" customWidth="1" min="18" max="18"/>
    <col width="22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7" customWidth="1" min="27" max="27"/>
  </cols>
  <sheetData>
    <row r="1">
      <c r="A1" s="2" t="inlineStr">
        <is>
          <t>Study Name</t>
        </is>
      </c>
      <c r="B1" s="2" t="inlineStr">
        <is>
          <t>Respondent Name</t>
        </is>
      </c>
      <c r="C1" s="2" t="inlineStr">
        <is>
          <t>Gender</t>
        </is>
      </c>
      <c r="D1" s="2" t="inlineStr">
        <is>
          <t>Age</t>
        </is>
      </c>
      <c r="E1" s="2" t="inlineStr">
        <is>
          <t>Group</t>
        </is>
      </c>
      <c r="F1" s="2" t="inlineStr">
        <is>
          <t>Type</t>
        </is>
      </c>
      <c r="G1" s="2" t="inlineStr">
        <is>
          <t>Label</t>
        </is>
      </c>
      <c r="H1" s="2" t="inlineStr">
        <is>
          <t>Start (ms)</t>
        </is>
      </c>
      <c r="I1" s="2" t="inlineStr">
        <is>
          <t>Duration (ms)</t>
        </is>
      </c>
      <c r="J1" s="2" t="inlineStr">
        <is>
          <t>Signal Duration (ms)</t>
        </is>
      </c>
      <c r="K1" s="2" t="inlineStr">
        <is>
          <t>Parent Stimulus</t>
        </is>
      </c>
      <c r="L1" s="2" t="inlineStr">
        <is>
          <t>Has Peaks</t>
        </is>
      </c>
      <c r="M1" s="2" t="inlineStr">
        <is>
          <t>Peak Count</t>
        </is>
      </c>
      <c r="N1" s="2" t="inlineStr">
        <is>
          <t>Peaks Per Minute</t>
        </is>
      </c>
      <c r="O1" s="2" t="inlineStr">
        <is>
          <t>Average Peak Amplitude (microSiemens)</t>
        </is>
      </c>
      <c r="P1" s="3" t="inlineStr">
        <is>
          <t>Device</t>
        </is>
      </c>
      <c r="Q1" s="3" t="inlineStr">
        <is>
          <t>Signal-to-Noise ratio (dB)</t>
        </is>
      </c>
      <c r="R1" s="3" t="inlineStr">
        <is>
          <t>Signal missing (%)</t>
        </is>
      </c>
      <c r="S1" s="3" t="inlineStr">
        <is>
          <t>Mean PPG Heart Rate (BPM)</t>
        </is>
      </c>
      <c r="T1" s="3" t="inlineStr">
        <is>
          <t>Arousal_1to9 (survey)</t>
        </is>
      </c>
      <c r="U1" s="4" t="inlineStr">
        <is>
          <t>Phase</t>
        </is>
      </c>
      <c r="V1" s="4" t="inlineStr">
        <is>
          <t>Brand</t>
        </is>
      </c>
      <c r="W1" s="4" t="inlineStr">
        <is>
          <t>Position</t>
        </is>
      </c>
      <c r="X1" s="4" t="inlineStr">
        <is>
          <t>Keep</t>
        </is>
      </c>
      <c r="Y1" s="4" t="inlineStr">
        <is>
          <t>Nonresponder</t>
        </is>
      </c>
      <c r="Z1" s="4" t="inlineStr">
        <is>
          <t>PPM_recalc</t>
        </is>
      </c>
      <c r="AA1" s="4" t="inlineStr">
        <is>
          <t>PPM_if_Duration</t>
        </is>
      </c>
    </row>
    <row r="2">
      <c r="A2" t="inlineStr">
        <is>
          <t>SIMULATED_Arousal_Nike_vs_elf</t>
        </is>
      </c>
      <c r="B2" t="inlineStr">
        <is>
          <t>P01</t>
        </is>
      </c>
      <c r="C2" t="inlineStr">
        <is>
          <t>M</t>
        </is>
      </c>
      <c r="D2" t="n">
        <v>35</v>
      </c>
      <c r="E2" t="inlineStr">
        <is>
          <t>B</t>
        </is>
      </c>
      <c r="F2" t="inlineStr">
        <is>
          <t>Stimulus</t>
        </is>
      </c>
      <c r="G2" t="inlineStr">
        <is>
          <t>Baseline_Nike</t>
        </is>
      </c>
      <c r="H2" t="n">
        <v>303859</v>
      </c>
      <c r="I2" t="n">
        <v>60000</v>
      </c>
      <c r="J2" t="n">
        <v>60000</v>
      </c>
      <c r="K2" t="inlineStr">
        <is>
          <t>Baseline_Nike</t>
        </is>
      </c>
      <c r="L2" t="n">
        <v>1</v>
      </c>
      <c r="M2" t="n">
        <v>3</v>
      </c>
      <c r="N2" t="n">
        <v>3</v>
      </c>
      <c r="O2" t="n">
        <v>0.2683</v>
      </c>
      <c r="P2" t="inlineStr">
        <is>
          <t>Shimmer3-8956</t>
        </is>
      </c>
      <c r="Q2" t="n">
        <v>23.3</v>
      </c>
      <c r="R2" t="n">
        <v>0</v>
      </c>
      <c r="S2" t="n">
        <v>81.59999999999999</v>
      </c>
      <c r="T2" t="inlineStr">
        <is>
          <t>NA</t>
        </is>
      </c>
      <c r="U2">
        <f>IF(LEFT(G2,8)="Baseline","Baseline",IF(LEFT(G2,8)="Recovery","Recovery","Commercial"))</f>
        <v/>
      </c>
      <c r="V2">
        <f>IF(ISNUMBER(SEARCH("Nike",G2)),"Nike","elf")</f>
        <v/>
      </c>
      <c r="W2">
        <f>IF(OR(AND(E2="A",V2="Nike"),AND(E2="B",V2="elf")),"first","second")</f>
        <v/>
      </c>
      <c r="X2">
        <f>IF(COUNTIFS(Data!$B$2:$B$181,B2,Data!$U$2:$U$181,"Commercial",Data!$Q$2:$Q$181,"&lt;0")+COUNTIFS(Data!$B$2:$B$181,B2,Data!$U$2:$U$181,"Commercial",Data!$R$2:$R$181,"&gt;20")&gt;0,"No","Yes")</f>
        <v/>
      </c>
      <c r="Y2">
        <f>IF(COUNTIFS(Data!$B$2:$B$181,B2,Data!$L$2:$L$181,0)&gt;=4,1,0)</f>
        <v/>
      </c>
      <c r="Z2" s="5">
        <f>M2/(J2/60000)</f>
        <v/>
      </c>
      <c r="AA2" s="5">
        <f>M2/(I2/60000)</f>
        <v/>
      </c>
    </row>
    <row r="3">
      <c r="A3" t="inlineStr">
        <is>
          <t>SIMULATED_Arousal_Nike_vs_elf</t>
        </is>
      </c>
      <c r="B3" t="inlineStr">
        <is>
          <t>P01</t>
        </is>
      </c>
      <c r="C3" t="inlineStr">
        <is>
          <t>M</t>
        </is>
      </c>
      <c r="D3" t="n">
        <v>35</v>
      </c>
      <c r="E3" t="inlineStr">
        <is>
          <t>B</t>
        </is>
      </c>
      <c r="F3" t="inlineStr">
        <is>
          <t>Stimulus</t>
        </is>
      </c>
      <c r="G3" t="inlineStr">
        <is>
          <t>Nike_Commercial</t>
        </is>
      </c>
      <c r="H3" t="n">
        <v>363859</v>
      </c>
      <c r="I3" t="n">
        <v>60000</v>
      </c>
      <c r="J3" t="n">
        <v>60000</v>
      </c>
      <c r="K3" t="inlineStr">
        <is>
          <t>Nike_Commercial</t>
        </is>
      </c>
      <c r="L3" t="n">
        <v>1</v>
      </c>
      <c r="M3" t="n">
        <v>7</v>
      </c>
      <c r="N3" t="n">
        <v>7</v>
      </c>
      <c r="O3" t="n">
        <v>0.5089</v>
      </c>
      <c r="P3" t="inlineStr">
        <is>
          <t>Shimmer3-8956</t>
        </is>
      </c>
      <c r="Q3" t="n">
        <v>20.8</v>
      </c>
      <c r="R3" t="n">
        <v>0</v>
      </c>
      <c r="S3" t="n">
        <v>82.09999999999999</v>
      </c>
      <c r="T3" t="n">
        <v>5</v>
      </c>
      <c r="U3">
        <f>IF(LEFT(G3,8)="Baseline","Baseline",IF(LEFT(G3,8)="Recovery","Recovery","Commercial"))</f>
        <v/>
      </c>
      <c r="V3">
        <f>IF(ISNUMBER(SEARCH("Nike",G3)),"Nike","elf")</f>
        <v/>
      </c>
      <c r="W3">
        <f>IF(OR(AND(E3="A",V3="Nike"),AND(E3="B",V3="elf")),"first","second")</f>
        <v/>
      </c>
      <c r="X3">
        <f>IF(COUNTIFS(Data!$B$2:$B$181,B3,Data!$U$2:$U$181,"Commercial",Data!$Q$2:$Q$181,"&lt;0")+COUNTIFS(Data!$B$2:$B$181,B3,Data!$U$2:$U$181,"Commercial",Data!$R$2:$R$181,"&gt;20")&gt;0,"No","Yes")</f>
        <v/>
      </c>
      <c r="Y3">
        <f>IF(COUNTIFS(Data!$B$2:$B$181,B3,Data!$L$2:$L$181,0)&gt;=4,1,0)</f>
        <v/>
      </c>
      <c r="Z3" s="5">
        <f>M3/(J3/60000)</f>
        <v/>
      </c>
      <c r="AA3" s="5">
        <f>M3/(I3/60000)</f>
        <v/>
      </c>
    </row>
    <row r="4">
      <c r="A4" t="inlineStr">
        <is>
          <t>SIMULATED_Arousal_Nike_vs_elf</t>
        </is>
      </c>
      <c r="B4" t="inlineStr">
        <is>
          <t>P01</t>
        </is>
      </c>
      <c r="C4" t="inlineStr">
        <is>
          <t>M</t>
        </is>
      </c>
      <c r="D4" t="n">
        <v>35</v>
      </c>
      <c r="E4" t="inlineStr">
        <is>
          <t>B</t>
        </is>
      </c>
      <c r="F4" t="inlineStr">
        <is>
          <t>Stimulus</t>
        </is>
      </c>
      <c r="G4" t="inlineStr">
        <is>
          <t>Recovery_Nike</t>
        </is>
      </c>
      <c r="H4" t="n">
        <v>423859</v>
      </c>
      <c r="I4" t="n">
        <v>15000</v>
      </c>
      <c r="J4" t="n">
        <v>15000</v>
      </c>
      <c r="K4" t="inlineStr">
        <is>
          <t>Recovery_Nike</t>
        </is>
      </c>
      <c r="L4" t="n">
        <v>0</v>
      </c>
      <c r="M4" t="n">
        <v>0</v>
      </c>
      <c r="N4" t="n">
        <v>0</v>
      </c>
      <c r="O4" t="inlineStr">
        <is>
          <t>NA</t>
        </is>
      </c>
      <c r="P4" t="inlineStr">
        <is>
          <t>Shimmer3-8956</t>
        </is>
      </c>
      <c r="Q4" t="n">
        <v>22.2</v>
      </c>
      <c r="R4" t="n">
        <v>0</v>
      </c>
      <c r="S4" t="n">
        <v>84.3</v>
      </c>
      <c r="T4" t="inlineStr">
        <is>
          <t>NA</t>
        </is>
      </c>
      <c r="U4">
        <f>IF(LEFT(G4,8)="Baseline","Baseline",IF(LEFT(G4,8)="Recovery","Recovery","Commercial"))</f>
        <v/>
      </c>
      <c r="V4">
        <f>IF(ISNUMBER(SEARCH("Nike",G4)),"Nike","elf")</f>
        <v/>
      </c>
      <c r="W4">
        <f>IF(OR(AND(E4="A",V4="Nike"),AND(E4="B",V4="elf")),"first","second")</f>
        <v/>
      </c>
      <c r="X4">
        <f>IF(COUNTIFS(Data!$B$2:$B$181,B4,Data!$U$2:$U$181,"Commercial",Data!$Q$2:$Q$181,"&lt;0")+COUNTIFS(Data!$B$2:$B$181,B4,Data!$U$2:$U$181,"Commercial",Data!$R$2:$R$181,"&gt;20")&gt;0,"No","Yes")</f>
        <v/>
      </c>
      <c r="Y4">
        <f>IF(COUNTIFS(Data!$B$2:$B$181,B4,Data!$L$2:$L$181,0)&gt;=4,1,0)</f>
        <v/>
      </c>
      <c r="Z4" s="5">
        <f>M4/(J4/60000)</f>
        <v/>
      </c>
      <c r="AA4" s="5">
        <f>M4/(I4/60000)</f>
        <v/>
      </c>
    </row>
    <row r="5">
      <c r="A5" t="inlineStr">
        <is>
          <t>SIMULATED_Arousal_Nike_vs_elf</t>
        </is>
      </c>
      <c r="B5" t="inlineStr">
        <is>
          <t>P01</t>
        </is>
      </c>
      <c r="C5" t="inlineStr">
        <is>
          <t>M</t>
        </is>
      </c>
      <c r="D5" t="n">
        <v>35</v>
      </c>
      <c r="E5" t="inlineStr">
        <is>
          <t>B</t>
        </is>
      </c>
      <c r="F5" t="inlineStr">
        <is>
          <t>Stimulus</t>
        </is>
      </c>
      <c r="G5" t="inlineStr">
        <is>
          <t>Baseline_elf</t>
        </is>
      </c>
      <c r="H5" t="n">
        <v>36744</v>
      </c>
      <c r="I5" t="n">
        <v>60000</v>
      </c>
      <c r="J5" t="n">
        <v>60000</v>
      </c>
      <c r="K5" t="inlineStr">
        <is>
          <t>Baseline_elf</t>
        </is>
      </c>
      <c r="L5" t="n">
        <v>0</v>
      </c>
      <c r="M5" t="n">
        <v>0</v>
      </c>
      <c r="N5" t="n">
        <v>0</v>
      </c>
      <c r="O5" t="inlineStr">
        <is>
          <t>NA</t>
        </is>
      </c>
      <c r="P5" t="inlineStr">
        <is>
          <t>Shimmer3-8956</t>
        </is>
      </c>
      <c r="Q5" t="n">
        <v>23</v>
      </c>
      <c r="R5" t="n">
        <v>2.6</v>
      </c>
      <c r="S5" t="n">
        <v>82.7</v>
      </c>
      <c r="T5" t="inlineStr">
        <is>
          <t>NA</t>
        </is>
      </c>
      <c r="U5">
        <f>IF(LEFT(G5,8)="Baseline","Baseline",IF(LEFT(G5,8)="Recovery","Recovery","Commercial"))</f>
        <v/>
      </c>
      <c r="V5">
        <f>IF(ISNUMBER(SEARCH("Nike",G5)),"Nike","elf")</f>
        <v/>
      </c>
      <c r="W5">
        <f>IF(OR(AND(E5="A",V5="Nike"),AND(E5="B",V5="elf")),"first","second")</f>
        <v/>
      </c>
      <c r="X5">
        <f>IF(COUNTIFS(Data!$B$2:$B$181,B5,Data!$U$2:$U$181,"Commercial",Data!$Q$2:$Q$181,"&lt;0")+COUNTIFS(Data!$B$2:$B$181,B5,Data!$U$2:$U$181,"Commercial",Data!$R$2:$R$181,"&gt;20")&gt;0,"No","Yes")</f>
        <v/>
      </c>
      <c r="Y5">
        <f>IF(COUNTIFS(Data!$B$2:$B$181,B5,Data!$L$2:$L$181,0)&gt;=4,1,0)</f>
        <v/>
      </c>
      <c r="Z5" s="5">
        <f>M5/(J5/60000)</f>
        <v/>
      </c>
      <c r="AA5" s="5">
        <f>M5/(I5/60000)</f>
        <v/>
      </c>
    </row>
    <row r="6">
      <c r="A6" t="inlineStr">
        <is>
          <t>SIMULATED_Arousal_Nike_vs_elf</t>
        </is>
      </c>
      <c r="B6" t="inlineStr">
        <is>
          <t>P01</t>
        </is>
      </c>
      <c r="C6" t="inlineStr">
        <is>
          <t>M</t>
        </is>
      </c>
      <c r="D6" t="n">
        <v>35</v>
      </c>
      <c r="E6" t="inlineStr">
        <is>
          <t>B</t>
        </is>
      </c>
      <c r="F6" t="inlineStr">
        <is>
          <t>Stimulus</t>
        </is>
      </c>
      <c r="G6" t="inlineStr">
        <is>
          <t>elf_Commercial</t>
        </is>
      </c>
      <c r="H6" t="n">
        <v>96744</v>
      </c>
      <c r="I6" t="n">
        <v>30000</v>
      </c>
      <c r="J6" t="n">
        <v>30000</v>
      </c>
      <c r="K6" t="inlineStr">
        <is>
          <t>elf_Commercial</t>
        </is>
      </c>
      <c r="L6" t="n">
        <v>1</v>
      </c>
      <c r="M6" t="n">
        <v>1</v>
      </c>
      <c r="N6" t="n">
        <v>2</v>
      </c>
      <c r="O6" t="n">
        <v>0.4461</v>
      </c>
      <c r="P6" t="inlineStr">
        <is>
          <t>Shimmer3-8956</t>
        </is>
      </c>
      <c r="Q6" t="n">
        <v>19.5</v>
      </c>
      <c r="R6" t="n">
        <v>0</v>
      </c>
      <c r="S6" t="n">
        <v>79.7</v>
      </c>
      <c r="T6" t="n">
        <v>3</v>
      </c>
      <c r="U6">
        <f>IF(LEFT(G6,8)="Baseline","Baseline",IF(LEFT(G6,8)="Recovery","Recovery","Commercial"))</f>
        <v/>
      </c>
      <c r="V6">
        <f>IF(ISNUMBER(SEARCH("Nike",G6)),"Nike","elf")</f>
        <v/>
      </c>
      <c r="W6">
        <f>IF(OR(AND(E6="A",V6="Nike"),AND(E6="B",V6="elf")),"first","second")</f>
        <v/>
      </c>
      <c r="X6">
        <f>IF(COUNTIFS(Data!$B$2:$B$181,B6,Data!$U$2:$U$181,"Commercial",Data!$Q$2:$Q$181,"&lt;0")+COUNTIFS(Data!$B$2:$B$181,B6,Data!$U$2:$U$181,"Commercial",Data!$R$2:$R$181,"&gt;20")&gt;0,"No","Yes")</f>
        <v/>
      </c>
      <c r="Y6">
        <f>IF(COUNTIFS(Data!$B$2:$B$181,B6,Data!$L$2:$L$181,0)&gt;=4,1,0)</f>
        <v/>
      </c>
      <c r="Z6" s="5">
        <f>M6/(J6/60000)</f>
        <v/>
      </c>
      <c r="AA6" s="5">
        <f>M6/(I6/60000)</f>
        <v/>
      </c>
    </row>
    <row r="7">
      <c r="A7" t="inlineStr">
        <is>
          <t>SIMULATED_Arousal_Nike_vs_elf</t>
        </is>
      </c>
      <c r="B7" t="inlineStr">
        <is>
          <t>P01</t>
        </is>
      </c>
      <c r="C7" t="inlineStr">
        <is>
          <t>M</t>
        </is>
      </c>
      <c r="D7" t="n">
        <v>35</v>
      </c>
      <c r="E7" t="inlineStr">
        <is>
          <t>B</t>
        </is>
      </c>
      <c r="F7" t="inlineStr">
        <is>
          <t>Stimulus</t>
        </is>
      </c>
      <c r="G7" t="inlineStr">
        <is>
          <t>Recovery_elf</t>
        </is>
      </c>
      <c r="H7" t="n">
        <v>126744</v>
      </c>
      <c r="I7" t="n">
        <v>15000</v>
      </c>
      <c r="J7" t="n">
        <v>15000</v>
      </c>
      <c r="K7" t="inlineStr">
        <is>
          <t>Recovery_elf</t>
        </is>
      </c>
      <c r="L7" t="n">
        <v>0</v>
      </c>
      <c r="M7" t="n">
        <v>0</v>
      </c>
      <c r="N7" t="n">
        <v>0</v>
      </c>
      <c r="O7" t="inlineStr">
        <is>
          <t>NA</t>
        </is>
      </c>
      <c r="P7" t="inlineStr">
        <is>
          <t>Shimmer3-8956</t>
        </is>
      </c>
      <c r="Q7" t="n">
        <v>20.7</v>
      </c>
      <c r="R7" t="n">
        <v>3.7</v>
      </c>
      <c r="S7" t="n">
        <v>81.2</v>
      </c>
      <c r="T7" t="inlineStr">
        <is>
          <t>NA</t>
        </is>
      </c>
      <c r="U7">
        <f>IF(LEFT(G7,8)="Baseline","Baseline",IF(LEFT(G7,8)="Recovery","Recovery","Commercial"))</f>
        <v/>
      </c>
      <c r="V7">
        <f>IF(ISNUMBER(SEARCH("Nike",G7)),"Nike","elf")</f>
        <v/>
      </c>
      <c r="W7">
        <f>IF(OR(AND(E7="A",V7="Nike"),AND(E7="B",V7="elf")),"first","second")</f>
        <v/>
      </c>
      <c r="X7">
        <f>IF(COUNTIFS(Data!$B$2:$B$181,B7,Data!$U$2:$U$181,"Commercial",Data!$Q$2:$Q$181,"&lt;0")+COUNTIFS(Data!$B$2:$B$181,B7,Data!$U$2:$U$181,"Commercial",Data!$R$2:$R$181,"&gt;20")&gt;0,"No","Yes")</f>
        <v/>
      </c>
      <c r="Y7">
        <f>IF(COUNTIFS(Data!$B$2:$B$181,B7,Data!$L$2:$L$181,0)&gt;=4,1,0)</f>
        <v/>
      </c>
      <c r="Z7" s="5">
        <f>M7/(J7/60000)</f>
        <v/>
      </c>
      <c r="AA7" s="5">
        <f>M7/(I7/60000)</f>
        <v/>
      </c>
    </row>
    <row r="8">
      <c r="A8" t="inlineStr">
        <is>
          <t>SIMULATED_Arousal_Nike_vs_elf</t>
        </is>
      </c>
      <c r="B8" t="inlineStr">
        <is>
          <t>P02</t>
        </is>
      </c>
      <c r="C8" t="inlineStr">
        <is>
          <t>F</t>
        </is>
      </c>
      <c r="D8" t="n">
        <v>22</v>
      </c>
      <c r="E8" t="inlineStr">
        <is>
          <t>A</t>
        </is>
      </c>
      <c r="F8" t="inlineStr">
        <is>
          <t>Stimulus</t>
        </is>
      </c>
      <c r="G8" t="inlineStr">
        <is>
          <t>Baseline_Nike</t>
        </is>
      </c>
      <c r="H8" t="n">
        <v>37605</v>
      </c>
      <c r="I8" t="n">
        <v>60000</v>
      </c>
      <c r="J8" t="n">
        <v>54900</v>
      </c>
      <c r="K8" t="inlineStr">
        <is>
          <t>Baseline_Nike</t>
        </is>
      </c>
      <c r="L8" t="n">
        <v>1</v>
      </c>
      <c r="M8" t="n">
        <v>3</v>
      </c>
      <c r="N8" t="n">
        <v>3.279</v>
      </c>
      <c r="O8" t="n">
        <v>0.1754</v>
      </c>
      <c r="P8" t="inlineStr">
        <is>
          <t>Shimmer3-B</t>
        </is>
      </c>
      <c r="Q8" t="n">
        <v>21.7</v>
      </c>
      <c r="R8" t="n">
        <v>8.5</v>
      </c>
      <c r="S8" t="n">
        <v>74.59999999999999</v>
      </c>
      <c r="T8" t="inlineStr">
        <is>
          <t>NA</t>
        </is>
      </c>
      <c r="U8">
        <f>IF(LEFT(G8,8)="Baseline","Baseline",IF(LEFT(G8,8)="Recovery","Recovery","Commercial"))</f>
        <v/>
      </c>
      <c r="V8">
        <f>IF(ISNUMBER(SEARCH("Nike",G8)),"Nike","elf")</f>
        <v/>
      </c>
      <c r="W8">
        <f>IF(OR(AND(E8="A",V8="Nike"),AND(E8="B",V8="elf")),"first","second")</f>
        <v/>
      </c>
      <c r="X8">
        <f>IF(COUNTIFS(Data!$B$2:$B$181,B8,Data!$U$2:$U$181,"Commercial",Data!$Q$2:$Q$181,"&lt;0")+COUNTIFS(Data!$B$2:$B$181,B8,Data!$U$2:$U$181,"Commercial",Data!$R$2:$R$181,"&gt;20")&gt;0,"No","Yes")</f>
        <v/>
      </c>
      <c r="Y8">
        <f>IF(COUNTIFS(Data!$B$2:$B$181,B8,Data!$L$2:$L$181,0)&gt;=4,1,0)</f>
        <v/>
      </c>
      <c r="Z8" s="5">
        <f>M8/(J8/60000)</f>
        <v/>
      </c>
      <c r="AA8" s="5">
        <f>M8/(I8/60000)</f>
        <v/>
      </c>
    </row>
    <row r="9">
      <c r="A9" t="inlineStr">
        <is>
          <t>SIMULATED_Arousal_Nike_vs_elf</t>
        </is>
      </c>
      <c r="B9" t="inlineStr">
        <is>
          <t>P02</t>
        </is>
      </c>
      <c r="C9" t="inlineStr">
        <is>
          <t>F</t>
        </is>
      </c>
      <c r="D9" t="n">
        <v>22</v>
      </c>
      <c r="E9" t="inlineStr">
        <is>
          <t>A</t>
        </is>
      </c>
      <c r="F9" t="inlineStr">
        <is>
          <t>Stimulus</t>
        </is>
      </c>
      <c r="G9" t="inlineStr">
        <is>
          <t>Nike_Commercial</t>
        </is>
      </c>
      <c r="H9" t="n">
        <v>97605</v>
      </c>
      <c r="I9" t="n">
        <v>60000</v>
      </c>
      <c r="J9" t="n">
        <v>60000</v>
      </c>
      <c r="K9" t="inlineStr">
        <is>
          <t>Nike_Commercial</t>
        </is>
      </c>
      <c r="L9" t="n">
        <v>1</v>
      </c>
      <c r="M9" t="n">
        <v>3</v>
      </c>
      <c r="N9" t="n">
        <v>3</v>
      </c>
      <c r="O9" t="n">
        <v>0.2869</v>
      </c>
      <c r="P9" t="inlineStr">
        <is>
          <t>Shimmer3-B</t>
        </is>
      </c>
      <c r="Q9" t="n">
        <v>21.3</v>
      </c>
      <c r="R9" t="n">
        <v>0</v>
      </c>
      <c r="S9" t="n">
        <v>73.5</v>
      </c>
      <c r="T9" t="n">
        <v>5</v>
      </c>
      <c r="U9">
        <f>IF(LEFT(G9,8)="Baseline","Baseline",IF(LEFT(G9,8)="Recovery","Recovery","Commercial"))</f>
        <v/>
      </c>
      <c r="V9">
        <f>IF(ISNUMBER(SEARCH("Nike",G9)),"Nike","elf")</f>
        <v/>
      </c>
      <c r="W9">
        <f>IF(OR(AND(E9="A",V9="Nike"),AND(E9="B",V9="elf")),"first","second")</f>
        <v/>
      </c>
      <c r="X9">
        <f>IF(COUNTIFS(Data!$B$2:$B$181,B9,Data!$U$2:$U$181,"Commercial",Data!$Q$2:$Q$181,"&lt;0")+COUNTIFS(Data!$B$2:$B$181,B9,Data!$U$2:$U$181,"Commercial",Data!$R$2:$R$181,"&gt;20")&gt;0,"No","Yes")</f>
        <v/>
      </c>
      <c r="Y9">
        <f>IF(COUNTIFS(Data!$B$2:$B$181,B9,Data!$L$2:$L$181,0)&gt;=4,1,0)</f>
        <v/>
      </c>
      <c r="Z9" s="5">
        <f>M9/(J9/60000)</f>
        <v/>
      </c>
      <c r="AA9" s="5">
        <f>M9/(I9/60000)</f>
        <v/>
      </c>
    </row>
    <row r="10">
      <c r="A10" t="inlineStr">
        <is>
          <t>SIMULATED_Arousal_Nike_vs_elf</t>
        </is>
      </c>
      <c r="B10" t="inlineStr">
        <is>
          <t>P02</t>
        </is>
      </c>
      <c r="C10" t="inlineStr">
        <is>
          <t>F</t>
        </is>
      </c>
      <c r="D10" t="n">
        <v>22</v>
      </c>
      <c r="E10" t="inlineStr">
        <is>
          <t>A</t>
        </is>
      </c>
      <c r="F10" t="inlineStr">
        <is>
          <t>Stimulus</t>
        </is>
      </c>
      <c r="G10" t="inlineStr">
        <is>
          <t>Recovery_Nike</t>
        </is>
      </c>
      <c r="H10" t="n">
        <v>157605</v>
      </c>
      <c r="I10" t="n">
        <v>15000</v>
      </c>
      <c r="J10" t="n">
        <v>15000</v>
      </c>
      <c r="K10" t="inlineStr">
        <is>
          <t>Recovery_Nike</t>
        </is>
      </c>
      <c r="L10" t="n">
        <v>1</v>
      </c>
      <c r="M10" t="n">
        <v>1</v>
      </c>
      <c r="N10" t="n">
        <v>4</v>
      </c>
      <c r="O10" t="n">
        <v>0.1389</v>
      </c>
      <c r="P10" t="inlineStr">
        <is>
          <t>Shimmer3-B</t>
        </is>
      </c>
      <c r="Q10" t="n">
        <v>26.1</v>
      </c>
      <c r="R10" t="n">
        <v>0</v>
      </c>
      <c r="S10" t="n">
        <v>74.40000000000001</v>
      </c>
      <c r="T10" t="inlineStr">
        <is>
          <t>NA</t>
        </is>
      </c>
      <c r="U10">
        <f>IF(LEFT(G10,8)="Baseline","Baseline",IF(LEFT(G10,8)="Recovery","Recovery","Commercial"))</f>
        <v/>
      </c>
      <c r="V10">
        <f>IF(ISNUMBER(SEARCH("Nike",G10)),"Nike","elf")</f>
        <v/>
      </c>
      <c r="W10">
        <f>IF(OR(AND(E10="A",V10="Nike"),AND(E10="B",V10="elf")),"first","second")</f>
        <v/>
      </c>
      <c r="X10">
        <f>IF(COUNTIFS(Data!$B$2:$B$181,B10,Data!$U$2:$U$181,"Commercial",Data!$Q$2:$Q$181,"&lt;0")+COUNTIFS(Data!$B$2:$B$181,B10,Data!$U$2:$U$181,"Commercial",Data!$R$2:$R$181,"&gt;20")&gt;0,"No","Yes")</f>
        <v/>
      </c>
      <c r="Y10">
        <f>IF(COUNTIFS(Data!$B$2:$B$181,B10,Data!$L$2:$L$181,0)&gt;=4,1,0)</f>
        <v/>
      </c>
      <c r="Z10" s="5">
        <f>M10/(J10/60000)</f>
        <v/>
      </c>
      <c r="AA10" s="5">
        <f>M10/(I10/60000)</f>
        <v/>
      </c>
    </row>
    <row r="11">
      <c r="A11" t="inlineStr">
        <is>
          <t>SIMULATED_Arousal_Nike_vs_elf</t>
        </is>
      </c>
      <c r="B11" t="inlineStr">
        <is>
          <t>P02</t>
        </is>
      </c>
      <c r="C11" t="inlineStr">
        <is>
          <t>F</t>
        </is>
      </c>
      <c r="D11" t="n">
        <v>22</v>
      </c>
      <c r="E11" t="inlineStr">
        <is>
          <t>A</t>
        </is>
      </c>
      <c r="F11" t="inlineStr">
        <is>
          <t>Stimulus</t>
        </is>
      </c>
      <c r="G11" t="inlineStr">
        <is>
          <t>Baseline_elf</t>
        </is>
      </c>
      <c r="H11" t="n">
        <v>345129</v>
      </c>
      <c r="I11" t="n">
        <v>60000</v>
      </c>
      <c r="J11" t="n">
        <v>60000</v>
      </c>
      <c r="K11" t="inlineStr">
        <is>
          <t>Baseline_elf</t>
        </is>
      </c>
      <c r="L11" t="n">
        <v>1</v>
      </c>
      <c r="M11" t="n">
        <v>2</v>
      </c>
      <c r="N11" t="n">
        <v>2</v>
      </c>
      <c r="O11" t="n">
        <v>0.1886</v>
      </c>
      <c r="P11" t="inlineStr">
        <is>
          <t>Shimmer3-B</t>
        </is>
      </c>
      <c r="Q11" t="n">
        <v>20.9</v>
      </c>
      <c r="R11" t="n">
        <v>0</v>
      </c>
      <c r="S11" t="n">
        <v>73.5</v>
      </c>
      <c r="T11" t="inlineStr">
        <is>
          <t>NA</t>
        </is>
      </c>
      <c r="U11">
        <f>IF(LEFT(G11,8)="Baseline","Baseline",IF(LEFT(G11,8)="Recovery","Recovery","Commercial"))</f>
        <v/>
      </c>
      <c r="V11">
        <f>IF(ISNUMBER(SEARCH("Nike",G11)),"Nike","elf")</f>
        <v/>
      </c>
      <c r="W11">
        <f>IF(OR(AND(E11="A",V11="Nike"),AND(E11="B",V11="elf")),"first","second")</f>
        <v/>
      </c>
      <c r="X11">
        <f>IF(COUNTIFS(Data!$B$2:$B$181,B11,Data!$U$2:$U$181,"Commercial",Data!$Q$2:$Q$181,"&lt;0")+COUNTIFS(Data!$B$2:$B$181,B11,Data!$U$2:$U$181,"Commercial",Data!$R$2:$R$181,"&gt;20")&gt;0,"No","Yes")</f>
        <v/>
      </c>
      <c r="Y11">
        <f>IF(COUNTIFS(Data!$B$2:$B$181,B11,Data!$L$2:$L$181,0)&gt;=4,1,0)</f>
        <v/>
      </c>
      <c r="Z11" s="5">
        <f>M11/(J11/60000)</f>
        <v/>
      </c>
      <c r="AA11" s="5">
        <f>M11/(I11/60000)</f>
        <v/>
      </c>
    </row>
    <row r="12">
      <c r="A12" t="inlineStr">
        <is>
          <t>SIMULATED_Arousal_Nike_vs_elf</t>
        </is>
      </c>
      <c r="B12" t="inlineStr">
        <is>
          <t>P02</t>
        </is>
      </c>
      <c r="C12" t="inlineStr">
        <is>
          <t>F</t>
        </is>
      </c>
      <c r="D12" t="n">
        <v>22</v>
      </c>
      <c r="E12" t="inlineStr">
        <is>
          <t>A</t>
        </is>
      </c>
      <c r="F12" t="inlineStr">
        <is>
          <t>Stimulus</t>
        </is>
      </c>
      <c r="G12" t="inlineStr">
        <is>
          <t>elf_Commercial</t>
        </is>
      </c>
      <c r="H12" t="n">
        <v>405129</v>
      </c>
      <c r="I12" t="n">
        <v>30000</v>
      </c>
      <c r="J12" t="n">
        <v>30000</v>
      </c>
      <c r="K12" t="inlineStr">
        <is>
          <t>elf_Commercial</t>
        </is>
      </c>
      <c r="L12" t="n">
        <v>1</v>
      </c>
      <c r="M12" t="n">
        <v>2</v>
      </c>
      <c r="N12" t="n">
        <v>4</v>
      </c>
      <c r="O12" t="n">
        <v>0.2249</v>
      </c>
      <c r="P12" t="inlineStr">
        <is>
          <t>Shimmer3-B</t>
        </is>
      </c>
      <c r="Q12" t="n">
        <v>22.2</v>
      </c>
      <c r="R12" t="n">
        <v>0</v>
      </c>
      <c r="S12" t="n">
        <v>70.40000000000001</v>
      </c>
      <c r="T12" t="n">
        <v>4</v>
      </c>
      <c r="U12">
        <f>IF(LEFT(G12,8)="Baseline","Baseline",IF(LEFT(G12,8)="Recovery","Recovery","Commercial"))</f>
        <v/>
      </c>
      <c r="V12">
        <f>IF(ISNUMBER(SEARCH("Nike",G12)),"Nike","elf")</f>
        <v/>
      </c>
      <c r="W12">
        <f>IF(OR(AND(E12="A",V12="Nike"),AND(E12="B",V12="elf")),"first","second")</f>
        <v/>
      </c>
      <c r="X12">
        <f>IF(COUNTIFS(Data!$B$2:$B$181,B12,Data!$U$2:$U$181,"Commercial",Data!$Q$2:$Q$181,"&lt;0")+COUNTIFS(Data!$B$2:$B$181,B12,Data!$U$2:$U$181,"Commercial",Data!$R$2:$R$181,"&gt;20")&gt;0,"No","Yes")</f>
        <v/>
      </c>
      <c r="Y12">
        <f>IF(COUNTIFS(Data!$B$2:$B$181,B12,Data!$L$2:$L$181,0)&gt;=4,1,0)</f>
        <v/>
      </c>
      <c r="Z12" s="5">
        <f>M12/(J12/60000)</f>
        <v/>
      </c>
      <c r="AA12" s="5">
        <f>M12/(I12/60000)</f>
        <v/>
      </c>
    </row>
    <row r="13">
      <c r="A13" t="inlineStr">
        <is>
          <t>SIMULATED_Arousal_Nike_vs_elf</t>
        </is>
      </c>
      <c r="B13" t="inlineStr">
        <is>
          <t>P02</t>
        </is>
      </c>
      <c r="C13" t="inlineStr">
        <is>
          <t>F</t>
        </is>
      </c>
      <c r="D13" t="n">
        <v>22</v>
      </c>
      <c r="E13" t="inlineStr">
        <is>
          <t>A</t>
        </is>
      </c>
      <c r="F13" t="inlineStr">
        <is>
          <t>Stimulus</t>
        </is>
      </c>
      <c r="G13" t="inlineStr">
        <is>
          <t>Recovery_elf</t>
        </is>
      </c>
      <c r="H13" t="n">
        <v>435129</v>
      </c>
      <c r="I13" t="n">
        <v>15000</v>
      </c>
      <c r="J13" t="n">
        <v>15000</v>
      </c>
      <c r="K13" t="inlineStr">
        <is>
          <t>Recovery_elf</t>
        </is>
      </c>
      <c r="L13" t="n">
        <v>1</v>
      </c>
      <c r="M13" t="n">
        <v>1</v>
      </c>
      <c r="N13" t="n">
        <v>4</v>
      </c>
      <c r="O13" t="n">
        <v>0.237</v>
      </c>
      <c r="P13" t="inlineStr">
        <is>
          <t>Shimmer3-B</t>
        </is>
      </c>
      <c r="Q13" t="n">
        <v>19.2</v>
      </c>
      <c r="R13" t="n">
        <v>0</v>
      </c>
      <c r="S13" t="n">
        <v>74.59999999999999</v>
      </c>
      <c r="T13" t="inlineStr">
        <is>
          <t>NA</t>
        </is>
      </c>
      <c r="U13">
        <f>IF(LEFT(G13,8)="Baseline","Baseline",IF(LEFT(G13,8)="Recovery","Recovery","Commercial"))</f>
        <v/>
      </c>
      <c r="V13">
        <f>IF(ISNUMBER(SEARCH("Nike",G13)),"Nike","elf")</f>
        <v/>
      </c>
      <c r="W13">
        <f>IF(OR(AND(E13="A",V13="Nike"),AND(E13="B",V13="elf")),"first","second")</f>
        <v/>
      </c>
      <c r="X13">
        <f>IF(COUNTIFS(Data!$B$2:$B$181,B13,Data!$U$2:$U$181,"Commercial",Data!$Q$2:$Q$181,"&lt;0")+COUNTIFS(Data!$B$2:$B$181,B13,Data!$U$2:$U$181,"Commercial",Data!$R$2:$R$181,"&gt;20")&gt;0,"No","Yes")</f>
        <v/>
      </c>
      <c r="Y13">
        <f>IF(COUNTIFS(Data!$B$2:$B$181,B13,Data!$L$2:$L$181,0)&gt;=4,1,0)</f>
        <v/>
      </c>
      <c r="Z13" s="5">
        <f>M13/(J13/60000)</f>
        <v/>
      </c>
      <c r="AA13" s="5">
        <f>M13/(I13/60000)</f>
        <v/>
      </c>
    </row>
    <row r="14">
      <c r="A14" t="inlineStr">
        <is>
          <t>SIMULATED_Arousal_Nike_vs_elf</t>
        </is>
      </c>
      <c r="B14" t="inlineStr">
        <is>
          <t>P03</t>
        </is>
      </c>
      <c r="C14" t="inlineStr">
        <is>
          <t>F</t>
        </is>
      </c>
      <c r="D14" t="n">
        <v>31</v>
      </c>
      <c r="E14" t="inlineStr">
        <is>
          <t>B</t>
        </is>
      </c>
      <c r="F14" t="inlineStr">
        <is>
          <t>Stimulus</t>
        </is>
      </c>
      <c r="G14" t="inlineStr">
        <is>
          <t>Baseline_Nike</t>
        </is>
      </c>
      <c r="H14" t="n">
        <v>319025</v>
      </c>
      <c r="I14" t="n">
        <v>60000</v>
      </c>
      <c r="J14" t="n">
        <v>60000</v>
      </c>
      <c r="K14" t="inlineStr">
        <is>
          <t>Baseline_Nike</t>
        </is>
      </c>
      <c r="L14" t="n">
        <v>1</v>
      </c>
      <c r="M14" t="n">
        <v>1</v>
      </c>
      <c r="N14" t="n">
        <v>1</v>
      </c>
      <c r="O14" t="n">
        <v>0.0668</v>
      </c>
      <c r="P14" t="inlineStr">
        <is>
          <t>Shimmer3-B</t>
        </is>
      </c>
      <c r="Q14" t="n">
        <v>16</v>
      </c>
      <c r="R14" t="n">
        <v>0.6</v>
      </c>
      <c r="S14" t="n">
        <v>74</v>
      </c>
      <c r="T14" t="inlineStr">
        <is>
          <t>NA</t>
        </is>
      </c>
      <c r="U14">
        <f>IF(LEFT(G14,8)="Baseline","Baseline",IF(LEFT(G14,8)="Recovery","Recovery","Commercial"))</f>
        <v/>
      </c>
      <c r="V14">
        <f>IF(ISNUMBER(SEARCH("Nike",G14)),"Nike","elf")</f>
        <v/>
      </c>
      <c r="W14">
        <f>IF(OR(AND(E14="A",V14="Nike"),AND(E14="B",V14="elf")),"first","second")</f>
        <v/>
      </c>
      <c r="X14">
        <f>IF(COUNTIFS(Data!$B$2:$B$181,B14,Data!$U$2:$U$181,"Commercial",Data!$Q$2:$Q$181,"&lt;0")+COUNTIFS(Data!$B$2:$B$181,B14,Data!$U$2:$U$181,"Commercial",Data!$R$2:$R$181,"&gt;20")&gt;0,"No","Yes")</f>
        <v/>
      </c>
      <c r="Y14">
        <f>IF(COUNTIFS(Data!$B$2:$B$181,B14,Data!$L$2:$L$181,0)&gt;=4,1,0)</f>
        <v/>
      </c>
      <c r="Z14" s="5">
        <f>M14/(J14/60000)</f>
        <v/>
      </c>
      <c r="AA14" s="5">
        <f>M14/(I14/60000)</f>
        <v/>
      </c>
    </row>
    <row r="15">
      <c r="A15" t="inlineStr">
        <is>
          <t>SIMULATED_Arousal_Nike_vs_elf</t>
        </is>
      </c>
      <c r="B15" t="inlineStr">
        <is>
          <t>P03</t>
        </is>
      </c>
      <c r="C15" t="inlineStr">
        <is>
          <t>F</t>
        </is>
      </c>
      <c r="D15" t="n">
        <v>31</v>
      </c>
      <c r="E15" t="inlineStr">
        <is>
          <t>B</t>
        </is>
      </c>
      <c r="F15" t="inlineStr">
        <is>
          <t>Stimulus</t>
        </is>
      </c>
      <c r="G15" t="inlineStr">
        <is>
          <t>Nike_Commercial</t>
        </is>
      </c>
      <c r="H15" t="n">
        <v>379025</v>
      </c>
      <c r="I15" t="n">
        <v>60000</v>
      </c>
      <c r="J15" t="n">
        <v>60000</v>
      </c>
      <c r="K15" t="inlineStr">
        <is>
          <t>Nike_Commercial</t>
        </is>
      </c>
      <c r="L15" t="n">
        <v>0</v>
      </c>
      <c r="M15" t="n">
        <v>0</v>
      </c>
      <c r="N15" t="n">
        <v>0</v>
      </c>
      <c r="O15" t="inlineStr">
        <is>
          <t>NA</t>
        </is>
      </c>
      <c r="P15" t="inlineStr">
        <is>
          <t>Shimmer3-B</t>
        </is>
      </c>
      <c r="Q15" t="n">
        <v>17.8</v>
      </c>
      <c r="R15" t="n">
        <v>0.5</v>
      </c>
      <c r="S15" t="n">
        <v>74</v>
      </c>
      <c r="T15" t="n">
        <v>5</v>
      </c>
      <c r="U15">
        <f>IF(LEFT(G15,8)="Baseline","Baseline",IF(LEFT(G15,8)="Recovery","Recovery","Commercial"))</f>
        <v/>
      </c>
      <c r="V15">
        <f>IF(ISNUMBER(SEARCH("Nike",G15)),"Nike","elf")</f>
        <v/>
      </c>
      <c r="W15">
        <f>IF(OR(AND(E15="A",V15="Nike"),AND(E15="B",V15="elf")),"first","second")</f>
        <v/>
      </c>
      <c r="X15">
        <f>IF(COUNTIFS(Data!$B$2:$B$181,B15,Data!$U$2:$U$181,"Commercial",Data!$Q$2:$Q$181,"&lt;0")+COUNTIFS(Data!$B$2:$B$181,B15,Data!$U$2:$U$181,"Commercial",Data!$R$2:$R$181,"&gt;20")&gt;0,"No","Yes")</f>
        <v/>
      </c>
      <c r="Y15">
        <f>IF(COUNTIFS(Data!$B$2:$B$181,B15,Data!$L$2:$L$181,0)&gt;=4,1,0)</f>
        <v/>
      </c>
      <c r="Z15" s="5">
        <f>M15/(J15/60000)</f>
        <v/>
      </c>
      <c r="AA15" s="5">
        <f>M15/(I15/60000)</f>
        <v/>
      </c>
    </row>
    <row r="16">
      <c r="A16" t="inlineStr">
        <is>
          <t>SIMULATED_Arousal_Nike_vs_elf</t>
        </is>
      </c>
      <c r="B16" t="inlineStr">
        <is>
          <t>P03</t>
        </is>
      </c>
      <c r="C16" t="inlineStr">
        <is>
          <t>F</t>
        </is>
      </c>
      <c r="D16" t="n">
        <v>31</v>
      </c>
      <c r="E16" t="inlineStr">
        <is>
          <t>B</t>
        </is>
      </c>
      <c r="F16" t="inlineStr">
        <is>
          <t>Stimulus</t>
        </is>
      </c>
      <c r="G16" t="inlineStr">
        <is>
          <t>Recovery_Nike</t>
        </is>
      </c>
      <c r="H16" t="n">
        <v>439025</v>
      </c>
      <c r="I16" t="n">
        <v>15000</v>
      </c>
      <c r="J16" t="n">
        <v>15000</v>
      </c>
      <c r="K16" t="inlineStr">
        <is>
          <t>Recovery_Nike</t>
        </is>
      </c>
      <c r="L16" t="n">
        <v>0</v>
      </c>
      <c r="M16" t="n">
        <v>0</v>
      </c>
      <c r="N16" t="n">
        <v>0</v>
      </c>
      <c r="O16" t="inlineStr">
        <is>
          <t>NA</t>
        </is>
      </c>
      <c r="P16" t="inlineStr">
        <is>
          <t>Shimmer3-B</t>
        </is>
      </c>
      <c r="Q16" t="n">
        <v>15.9</v>
      </c>
      <c r="R16" t="n">
        <v>0</v>
      </c>
      <c r="S16" t="n">
        <v>71.59999999999999</v>
      </c>
      <c r="T16" t="inlineStr">
        <is>
          <t>NA</t>
        </is>
      </c>
      <c r="U16">
        <f>IF(LEFT(G16,8)="Baseline","Baseline",IF(LEFT(G16,8)="Recovery","Recovery","Commercial"))</f>
        <v/>
      </c>
      <c r="V16">
        <f>IF(ISNUMBER(SEARCH("Nike",G16)),"Nike","elf")</f>
        <v/>
      </c>
      <c r="W16">
        <f>IF(OR(AND(E16="A",V16="Nike"),AND(E16="B",V16="elf")),"first","second")</f>
        <v/>
      </c>
      <c r="X16">
        <f>IF(COUNTIFS(Data!$B$2:$B$181,B16,Data!$U$2:$U$181,"Commercial",Data!$Q$2:$Q$181,"&lt;0")+COUNTIFS(Data!$B$2:$B$181,B16,Data!$U$2:$U$181,"Commercial",Data!$R$2:$R$181,"&gt;20")&gt;0,"No","Yes")</f>
        <v/>
      </c>
      <c r="Y16">
        <f>IF(COUNTIFS(Data!$B$2:$B$181,B16,Data!$L$2:$L$181,0)&gt;=4,1,0)</f>
        <v/>
      </c>
      <c r="Z16" s="5">
        <f>M16/(J16/60000)</f>
        <v/>
      </c>
      <c r="AA16" s="5">
        <f>M16/(I16/60000)</f>
        <v/>
      </c>
    </row>
    <row r="17">
      <c r="A17" t="inlineStr">
        <is>
          <t>SIMULATED_Arousal_Nike_vs_elf</t>
        </is>
      </c>
      <c r="B17" t="inlineStr">
        <is>
          <t>P03</t>
        </is>
      </c>
      <c r="C17" t="inlineStr">
        <is>
          <t>F</t>
        </is>
      </c>
      <c r="D17" t="n">
        <v>31</v>
      </c>
      <c r="E17" t="inlineStr">
        <is>
          <t>B</t>
        </is>
      </c>
      <c r="F17" t="inlineStr">
        <is>
          <t>Stimulus</t>
        </is>
      </c>
      <c r="G17" t="inlineStr">
        <is>
          <t>Baseline_elf</t>
        </is>
      </c>
      <c r="H17" t="n">
        <v>39501</v>
      </c>
      <c r="I17" t="n">
        <v>60000</v>
      </c>
      <c r="J17" t="n">
        <v>60000</v>
      </c>
      <c r="K17" t="inlineStr">
        <is>
          <t>Baseline_elf</t>
        </is>
      </c>
      <c r="L17" t="n">
        <v>0</v>
      </c>
      <c r="M17" t="n">
        <v>0</v>
      </c>
      <c r="N17" t="n">
        <v>0</v>
      </c>
      <c r="O17" t="inlineStr">
        <is>
          <t>NA</t>
        </is>
      </c>
      <c r="P17" t="inlineStr">
        <is>
          <t>Shimmer3-B</t>
        </is>
      </c>
      <c r="Q17" t="n">
        <v>15.5</v>
      </c>
      <c r="R17" t="n">
        <v>0</v>
      </c>
      <c r="S17" t="n">
        <v>73.90000000000001</v>
      </c>
      <c r="T17" t="inlineStr">
        <is>
          <t>NA</t>
        </is>
      </c>
      <c r="U17">
        <f>IF(LEFT(G17,8)="Baseline","Baseline",IF(LEFT(G17,8)="Recovery","Recovery","Commercial"))</f>
        <v/>
      </c>
      <c r="V17">
        <f>IF(ISNUMBER(SEARCH("Nike",G17)),"Nike","elf")</f>
        <v/>
      </c>
      <c r="W17">
        <f>IF(OR(AND(E17="A",V17="Nike"),AND(E17="B",V17="elf")),"first","second")</f>
        <v/>
      </c>
      <c r="X17">
        <f>IF(COUNTIFS(Data!$B$2:$B$181,B17,Data!$U$2:$U$181,"Commercial",Data!$Q$2:$Q$181,"&lt;0")+COUNTIFS(Data!$B$2:$B$181,B17,Data!$U$2:$U$181,"Commercial",Data!$R$2:$R$181,"&gt;20")&gt;0,"No","Yes")</f>
        <v/>
      </c>
      <c r="Y17">
        <f>IF(COUNTIFS(Data!$B$2:$B$181,B17,Data!$L$2:$L$181,0)&gt;=4,1,0)</f>
        <v/>
      </c>
      <c r="Z17" s="5">
        <f>M17/(J17/60000)</f>
        <v/>
      </c>
      <c r="AA17" s="5">
        <f>M17/(I17/60000)</f>
        <v/>
      </c>
    </row>
    <row r="18">
      <c r="A18" t="inlineStr">
        <is>
          <t>SIMULATED_Arousal_Nike_vs_elf</t>
        </is>
      </c>
      <c r="B18" t="inlineStr">
        <is>
          <t>P03</t>
        </is>
      </c>
      <c r="C18" t="inlineStr">
        <is>
          <t>F</t>
        </is>
      </c>
      <c r="D18" t="n">
        <v>31</v>
      </c>
      <c r="E18" t="inlineStr">
        <is>
          <t>B</t>
        </is>
      </c>
      <c r="F18" t="inlineStr">
        <is>
          <t>Stimulus</t>
        </is>
      </c>
      <c r="G18" t="inlineStr">
        <is>
          <t>elf_Commercial</t>
        </is>
      </c>
      <c r="H18" t="n">
        <v>99501</v>
      </c>
      <c r="I18" t="n">
        <v>30000</v>
      </c>
      <c r="J18" t="n">
        <v>30000</v>
      </c>
      <c r="K18" t="inlineStr">
        <is>
          <t>elf_Commercial</t>
        </is>
      </c>
      <c r="L18" t="n">
        <v>0</v>
      </c>
      <c r="M18" t="n">
        <v>0</v>
      </c>
      <c r="N18" t="n">
        <v>0</v>
      </c>
      <c r="O18" t="inlineStr">
        <is>
          <t>NA</t>
        </is>
      </c>
      <c r="P18" t="inlineStr">
        <is>
          <t>Shimmer3-B</t>
        </is>
      </c>
      <c r="Q18" t="n">
        <v>14.5</v>
      </c>
      <c r="R18" t="n">
        <v>0</v>
      </c>
      <c r="S18" t="n">
        <v>74.40000000000001</v>
      </c>
      <c r="T18" t="n">
        <v>4</v>
      </c>
      <c r="U18">
        <f>IF(LEFT(G18,8)="Baseline","Baseline",IF(LEFT(G18,8)="Recovery","Recovery","Commercial"))</f>
        <v/>
      </c>
      <c r="V18">
        <f>IF(ISNUMBER(SEARCH("Nike",G18)),"Nike","elf")</f>
        <v/>
      </c>
      <c r="W18">
        <f>IF(OR(AND(E18="A",V18="Nike"),AND(E18="B",V18="elf")),"first","second")</f>
        <v/>
      </c>
      <c r="X18">
        <f>IF(COUNTIFS(Data!$B$2:$B$181,B18,Data!$U$2:$U$181,"Commercial",Data!$Q$2:$Q$181,"&lt;0")+COUNTIFS(Data!$B$2:$B$181,B18,Data!$U$2:$U$181,"Commercial",Data!$R$2:$R$181,"&gt;20")&gt;0,"No","Yes")</f>
        <v/>
      </c>
      <c r="Y18">
        <f>IF(COUNTIFS(Data!$B$2:$B$181,B18,Data!$L$2:$L$181,0)&gt;=4,1,0)</f>
        <v/>
      </c>
      <c r="Z18" s="5">
        <f>M18/(J18/60000)</f>
        <v/>
      </c>
      <c r="AA18" s="5">
        <f>M18/(I18/60000)</f>
        <v/>
      </c>
    </row>
    <row r="19">
      <c r="A19" t="inlineStr">
        <is>
          <t>SIMULATED_Arousal_Nike_vs_elf</t>
        </is>
      </c>
      <c r="B19" t="inlineStr">
        <is>
          <t>P03</t>
        </is>
      </c>
      <c r="C19" t="inlineStr">
        <is>
          <t>F</t>
        </is>
      </c>
      <c r="D19" t="n">
        <v>31</v>
      </c>
      <c r="E19" t="inlineStr">
        <is>
          <t>B</t>
        </is>
      </c>
      <c r="F19" t="inlineStr">
        <is>
          <t>Stimulus</t>
        </is>
      </c>
      <c r="G19" t="inlineStr">
        <is>
          <t>Recovery_elf</t>
        </is>
      </c>
      <c r="H19" t="n">
        <v>129501</v>
      </c>
      <c r="I19" t="n">
        <v>15000</v>
      </c>
      <c r="J19" t="n">
        <v>15000</v>
      </c>
      <c r="K19" t="inlineStr">
        <is>
          <t>Recovery_elf</t>
        </is>
      </c>
      <c r="L19" t="n">
        <v>0</v>
      </c>
      <c r="M19" t="n">
        <v>0</v>
      </c>
      <c r="N19" t="n">
        <v>0</v>
      </c>
      <c r="O19" t="inlineStr">
        <is>
          <t>NA</t>
        </is>
      </c>
      <c r="P19" t="inlineStr">
        <is>
          <t>Shimmer3-B</t>
        </is>
      </c>
      <c r="Q19" t="n">
        <v>16.6</v>
      </c>
      <c r="R19" t="n">
        <v>0</v>
      </c>
      <c r="S19" t="n">
        <v>73.59999999999999</v>
      </c>
      <c r="T19" t="inlineStr">
        <is>
          <t>NA</t>
        </is>
      </c>
      <c r="U19">
        <f>IF(LEFT(G19,8)="Baseline","Baseline",IF(LEFT(G19,8)="Recovery","Recovery","Commercial"))</f>
        <v/>
      </c>
      <c r="V19">
        <f>IF(ISNUMBER(SEARCH("Nike",G19)),"Nike","elf")</f>
        <v/>
      </c>
      <c r="W19">
        <f>IF(OR(AND(E19="A",V19="Nike"),AND(E19="B",V19="elf")),"first","second")</f>
        <v/>
      </c>
      <c r="X19">
        <f>IF(COUNTIFS(Data!$B$2:$B$181,B19,Data!$U$2:$U$181,"Commercial",Data!$Q$2:$Q$181,"&lt;0")+COUNTIFS(Data!$B$2:$B$181,B19,Data!$U$2:$U$181,"Commercial",Data!$R$2:$R$181,"&gt;20")&gt;0,"No","Yes")</f>
        <v/>
      </c>
      <c r="Y19">
        <f>IF(COUNTIFS(Data!$B$2:$B$181,B19,Data!$L$2:$L$181,0)&gt;=4,1,0)</f>
        <v/>
      </c>
      <c r="Z19" s="5">
        <f>M19/(J19/60000)</f>
        <v/>
      </c>
      <c r="AA19" s="5">
        <f>M19/(I19/60000)</f>
        <v/>
      </c>
    </row>
    <row r="20">
      <c r="A20" t="inlineStr">
        <is>
          <t>SIMULATED_Arousal_Nike_vs_elf</t>
        </is>
      </c>
      <c r="B20" t="inlineStr">
        <is>
          <t>P04</t>
        </is>
      </c>
      <c r="C20" t="inlineStr">
        <is>
          <t>M</t>
        </is>
      </c>
      <c r="D20" t="n">
        <v>33</v>
      </c>
      <c r="E20" t="inlineStr">
        <is>
          <t>A</t>
        </is>
      </c>
      <c r="F20" t="inlineStr">
        <is>
          <t>Stimulus</t>
        </is>
      </c>
      <c r="G20" t="inlineStr">
        <is>
          <t>Baseline_Nike</t>
        </is>
      </c>
      <c r="H20" t="n">
        <v>27608</v>
      </c>
      <c r="I20" t="n">
        <v>60000</v>
      </c>
      <c r="J20" t="n">
        <v>60000</v>
      </c>
      <c r="K20" t="inlineStr">
        <is>
          <t>Baseline_Nike</t>
        </is>
      </c>
      <c r="L20" t="n">
        <v>1</v>
      </c>
      <c r="M20" t="n">
        <v>2</v>
      </c>
      <c r="N20" t="n">
        <v>2</v>
      </c>
      <c r="O20" t="n">
        <v>0.1484</v>
      </c>
      <c r="P20" t="inlineStr">
        <is>
          <t>Shimmer3-8956</t>
        </is>
      </c>
      <c r="Q20" t="n">
        <v>20.8</v>
      </c>
      <c r="R20" t="n">
        <v>0</v>
      </c>
      <c r="S20" t="n">
        <v>80.09999999999999</v>
      </c>
      <c r="T20" t="inlineStr">
        <is>
          <t>NA</t>
        </is>
      </c>
      <c r="U20">
        <f>IF(LEFT(G20,8)="Baseline","Baseline",IF(LEFT(G20,8)="Recovery","Recovery","Commercial"))</f>
        <v/>
      </c>
      <c r="V20">
        <f>IF(ISNUMBER(SEARCH("Nike",G20)),"Nike","elf")</f>
        <v/>
      </c>
      <c r="W20">
        <f>IF(OR(AND(E20="A",V20="Nike"),AND(E20="B",V20="elf")),"first","second")</f>
        <v/>
      </c>
      <c r="X20">
        <f>IF(COUNTIFS(Data!$B$2:$B$181,B20,Data!$U$2:$U$181,"Commercial",Data!$Q$2:$Q$181,"&lt;0")+COUNTIFS(Data!$B$2:$B$181,B20,Data!$U$2:$U$181,"Commercial",Data!$R$2:$R$181,"&gt;20")&gt;0,"No","Yes")</f>
        <v/>
      </c>
      <c r="Y20">
        <f>IF(COUNTIFS(Data!$B$2:$B$181,B20,Data!$L$2:$L$181,0)&gt;=4,1,0)</f>
        <v/>
      </c>
      <c r="Z20" s="5">
        <f>M20/(J20/60000)</f>
        <v/>
      </c>
      <c r="AA20" s="5">
        <f>M20/(I20/60000)</f>
        <v/>
      </c>
    </row>
    <row r="21">
      <c r="A21" t="inlineStr">
        <is>
          <t>SIMULATED_Arousal_Nike_vs_elf</t>
        </is>
      </c>
      <c r="B21" t="inlineStr">
        <is>
          <t>P04</t>
        </is>
      </c>
      <c r="C21" t="inlineStr">
        <is>
          <t>M</t>
        </is>
      </c>
      <c r="D21" t="n">
        <v>33</v>
      </c>
      <c r="E21" t="inlineStr">
        <is>
          <t>A</t>
        </is>
      </c>
      <c r="F21" t="inlineStr">
        <is>
          <t>Stimulus</t>
        </is>
      </c>
      <c r="G21" t="inlineStr">
        <is>
          <t>Nike_Commercial</t>
        </is>
      </c>
      <c r="H21" t="n">
        <v>87608</v>
      </c>
      <c r="I21" t="n">
        <v>60000</v>
      </c>
      <c r="J21" t="n">
        <v>60000</v>
      </c>
      <c r="K21" t="inlineStr">
        <is>
          <t>Nike_Commercial</t>
        </is>
      </c>
      <c r="L21" t="n">
        <v>1</v>
      </c>
      <c r="M21" t="n">
        <v>5</v>
      </c>
      <c r="N21" t="n">
        <v>5</v>
      </c>
      <c r="O21" t="n">
        <v>0.2084</v>
      </c>
      <c r="P21" t="inlineStr">
        <is>
          <t>Shimmer3-8956</t>
        </is>
      </c>
      <c r="Q21" t="n">
        <v>25</v>
      </c>
      <c r="R21" t="n">
        <v>0.9</v>
      </c>
      <c r="S21" t="n">
        <v>76.5</v>
      </c>
      <c r="T21" t="n">
        <v>5</v>
      </c>
      <c r="U21">
        <f>IF(LEFT(G21,8)="Baseline","Baseline",IF(LEFT(G21,8)="Recovery","Recovery","Commercial"))</f>
        <v/>
      </c>
      <c r="V21">
        <f>IF(ISNUMBER(SEARCH("Nike",G21)),"Nike","elf")</f>
        <v/>
      </c>
      <c r="W21">
        <f>IF(OR(AND(E21="A",V21="Nike"),AND(E21="B",V21="elf")),"first","second")</f>
        <v/>
      </c>
      <c r="X21">
        <f>IF(COUNTIFS(Data!$B$2:$B$181,B21,Data!$U$2:$U$181,"Commercial",Data!$Q$2:$Q$181,"&lt;0")+COUNTIFS(Data!$B$2:$B$181,B21,Data!$U$2:$U$181,"Commercial",Data!$R$2:$R$181,"&gt;20")&gt;0,"No","Yes")</f>
        <v/>
      </c>
      <c r="Y21">
        <f>IF(COUNTIFS(Data!$B$2:$B$181,B21,Data!$L$2:$L$181,0)&gt;=4,1,0)</f>
        <v/>
      </c>
      <c r="Z21" s="5">
        <f>M21/(J21/60000)</f>
        <v/>
      </c>
      <c r="AA21" s="5">
        <f>M21/(I21/60000)</f>
        <v/>
      </c>
    </row>
    <row r="22">
      <c r="A22" t="inlineStr">
        <is>
          <t>SIMULATED_Arousal_Nike_vs_elf</t>
        </is>
      </c>
      <c r="B22" t="inlineStr">
        <is>
          <t>P04</t>
        </is>
      </c>
      <c r="C22" t="inlineStr">
        <is>
          <t>M</t>
        </is>
      </c>
      <c r="D22" t="n">
        <v>33</v>
      </c>
      <c r="E22" t="inlineStr">
        <is>
          <t>A</t>
        </is>
      </c>
      <c r="F22" t="inlineStr">
        <is>
          <t>Stimulus</t>
        </is>
      </c>
      <c r="G22" t="inlineStr">
        <is>
          <t>Recovery_Nike</t>
        </is>
      </c>
      <c r="H22" t="n">
        <v>147608</v>
      </c>
      <c r="I22" t="n">
        <v>15000</v>
      </c>
      <c r="J22" t="n">
        <v>15000</v>
      </c>
      <c r="K22" t="inlineStr">
        <is>
          <t>Recovery_Nike</t>
        </is>
      </c>
      <c r="L22" t="n">
        <v>1</v>
      </c>
      <c r="M22" t="n">
        <v>1</v>
      </c>
      <c r="N22" t="n">
        <v>4</v>
      </c>
      <c r="O22" t="n">
        <v>0.158</v>
      </c>
      <c r="P22" t="inlineStr">
        <is>
          <t>Shimmer3-8956</t>
        </is>
      </c>
      <c r="Q22" t="n">
        <v>20</v>
      </c>
      <c r="R22" t="n">
        <v>0</v>
      </c>
      <c r="S22" t="n">
        <v>77.09999999999999</v>
      </c>
      <c r="T22" t="inlineStr">
        <is>
          <t>NA</t>
        </is>
      </c>
      <c r="U22">
        <f>IF(LEFT(G22,8)="Baseline","Baseline",IF(LEFT(G22,8)="Recovery","Recovery","Commercial"))</f>
        <v/>
      </c>
      <c r="V22">
        <f>IF(ISNUMBER(SEARCH("Nike",G22)),"Nike","elf")</f>
        <v/>
      </c>
      <c r="W22">
        <f>IF(OR(AND(E22="A",V22="Nike"),AND(E22="B",V22="elf")),"first","second")</f>
        <v/>
      </c>
      <c r="X22">
        <f>IF(COUNTIFS(Data!$B$2:$B$181,B22,Data!$U$2:$U$181,"Commercial",Data!$Q$2:$Q$181,"&lt;0")+COUNTIFS(Data!$B$2:$B$181,B22,Data!$U$2:$U$181,"Commercial",Data!$R$2:$R$181,"&gt;20")&gt;0,"No","Yes")</f>
        <v/>
      </c>
      <c r="Y22">
        <f>IF(COUNTIFS(Data!$B$2:$B$181,B22,Data!$L$2:$L$181,0)&gt;=4,1,0)</f>
        <v/>
      </c>
      <c r="Z22" s="5">
        <f>M22/(J22/60000)</f>
        <v/>
      </c>
      <c r="AA22" s="5">
        <f>M22/(I22/60000)</f>
        <v/>
      </c>
    </row>
    <row r="23">
      <c r="A23" t="inlineStr">
        <is>
          <t>SIMULATED_Arousal_Nike_vs_elf</t>
        </is>
      </c>
      <c r="B23" t="inlineStr">
        <is>
          <t>P04</t>
        </is>
      </c>
      <c r="C23" t="inlineStr">
        <is>
          <t>M</t>
        </is>
      </c>
      <c r="D23" t="n">
        <v>33</v>
      </c>
      <c r="E23" t="inlineStr">
        <is>
          <t>A</t>
        </is>
      </c>
      <c r="F23" t="inlineStr">
        <is>
          <t>Stimulus</t>
        </is>
      </c>
      <c r="G23" t="inlineStr">
        <is>
          <t>Baseline_elf</t>
        </is>
      </c>
      <c r="H23" t="n">
        <v>330113</v>
      </c>
      <c r="I23" t="n">
        <v>60000</v>
      </c>
      <c r="J23" t="n">
        <v>60000</v>
      </c>
      <c r="K23" t="inlineStr">
        <is>
          <t>Baseline_elf</t>
        </is>
      </c>
      <c r="L23" t="n">
        <v>1</v>
      </c>
      <c r="M23" t="n">
        <v>2</v>
      </c>
      <c r="N23" t="n">
        <v>2</v>
      </c>
      <c r="O23" t="n">
        <v>0.153</v>
      </c>
      <c r="P23" t="inlineStr">
        <is>
          <t>Shimmer3-8956</t>
        </is>
      </c>
      <c r="Q23" t="n">
        <v>19.3</v>
      </c>
      <c r="R23" t="n">
        <v>0.1</v>
      </c>
      <c r="S23" t="n">
        <v>74.09999999999999</v>
      </c>
      <c r="T23" t="inlineStr">
        <is>
          <t>NA</t>
        </is>
      </c>
      <c r="U23">
        <f>IF(LEFT(G23,8)="Baseline","Baseline",IF(LEFT(G23,8)="Recovery","Recovery","Commercial"))</f>
        <v/>
      </c>
      <c r="V23">
        <f>IF(ISNUMBER(SEARCH("Nike",G23)),"Nike","elf")</f>
        <v/>
      </c>
      <c r="W23">
        <f>IF(OR(AND(E23="A",V23="Nike"),AND(E23="B",V23="elf")),"first","second")</f>
        <v/>
      </c>
      <c r="X23">
        <f>IF(COUNTIFS(Data!$B$2:$B$181,B23,Data!$U$2:$U$181,"Commercial",Data!$Q$2:$Q$181,"&lt;0")+COUNTIFS(Data!$B$2:$B$181,B23,Data!$U$2:$U$181,"Commercial",Data!$R$2:$R$181,"&gt;20")&gt;0,"No","Yes")</f>
        <v/>
      </c>
      <c r="Y23">
        <f>IF(COUNTIFS(Data!$B$2:$B$181,B23,Data!$L$2:$L$181,0)&gt;=4,1,0)</f>
        <v/>
      </c>
      <c r="Z23" s="5">
        <f>M23/(J23/60000)</f>
        <v/>
      </c>
      <c r="AA23" s="5">
        <f>M23/(I23/60000)</f>
        <v/>
      </c>
    </row>
    <row r="24">
      <c r="A24" t="inlineStr">
        <is>
          <t>SIMULATED_Arousal_Nike_vs_elf</t>
        </is>
      </c>
      <c r="B24" t="inlineStr">
        <is>
          <t>P04</t>
        </is>
      </c>
      <c r="C24" t="inlineStr">
        <is>
          <t>M</t>
        </is>
      </c>
      <c r="D24" t="n">
        <v>33</v>
      </c>
      <c r="E24" t="inlineStr">
        <is>
          <t>A</t>
        </is>
      </c>
      <c r="F24" t="inlineStr">
        <is>
          <t>Stimulus</t>
        </is>
      </c>
      <c r="G24" t="inlineStr">
        <is>
          <t>elf_Commercial</t>
        </is>
      </c>
      <c r="H24" t="n">
        <v>390113</v>
      </c>
      <c r="I24" t="n">
        <v>30000</v>
      </c>
      <c r="J24" t="n">
        <v>30000</v>
      </c>
      <c r="K24" t="inlineStr">
        <is>
          <t>elf_Commercial</t>
        </is>
      </c>
      <c r="L24" t="n">
        <v>1</v>
      </c>
      <c r="M24" t="n">
        <v>2</v>
      </c>
      <c r="N24" t="n">
        <v>4</v>
      </c>
      <c r="O24" t="n">
        <v>0.2476</v>
      </c>
      <c r="P24" t="inlineStr">
        <is>
          <t>Shimmer3-8956</t>
        </is>
      </c>
      <c r="Q24" t="n">
        <v>21.7</v>
      </c>
      <c r="R24" t="n">
        <v>0</v>
      </c>
      <c r="S24" t="n">
        <v>72.09999999999999</v>
      </c>
      <c r="T24" t="n">
        <v>2</v>
      </c>
      <c r="U24">
        <f>IF(LEFT(G24,8)="Baseline","Baseline",IF(LEFT(G24,8)="Recovery","Recovery","Commercial"))</f>
        <v/>
      </c>
      <c r="V24">
        <f>IF(ISNUMBER(SEARCH("Nike",G24)),"Nike","elf")</f>
        <v/>
      </c>
      <c r="W24">
        <f>IF(OR(AND(E24="A",V24="Nike"),AND(E24="B",V24="elf")),"first","second")</f>
        <v/>
      </c>
      <c r="X24">
        <f>IF(COUNTIFS(Data!$B$2:$B$181,B24,Data!$U$2:$U$181,"Commercial",Data!$Q$2:$Q$181,"&lt;0")+COUNTIFS(Data!$B$2:$B$181,B24,Data!$U$2:$U$181,"Commercial",Data!$R$2:$R$181,"&gt;20")&gt;0,"No","Yes")</f>
        <v/>
      </c>
      <c r="Y24">
        <f>IF(COUNTIFS(Data!$B$2:$B$181,B24,Data!$L$2:$L$181,0)&gt;=4,1,0)</f>
        <v/>
      </c>
      <c r="Z24" s="5">
        <f>M24/(J24/60000)</f>
        <v/>
      </c>
      <c r="AA24" s="5">
        <f>M24/(I24/60000)</f>
        <v/>
      </c>
    </row>
    <row r="25">
      <c r="A25" t="inlineStr">
        <is>
          <t>SIMULATED_Arousal_Nike_vs_elf</t>
        </is>
      </c>
      <c r="B25" t="inlineStr">
        <is>
          <t>P04</t>
        </is>
      </c>
      <c r="C25" t="inlineStr">
        <is>
          <t>M</t>
        </is>
      </c>
      <c r="D25" t="n">
        <v>33</v>
      </c>
      <c r="E25" t="inlineStr">
        <is>
          <t>A</t>
        </is>
      </c>
      <c r="F25" t="inlineStr">
        <is>
          <t>Stimulus</t>
        </is>
      </c>
      <c r="G25" t="inlineStr">
        <is>
          <t>Recovery_elf</t>
        </is>
      </c>
      <c r="H25" t="n">
        <v>420113</v>
      </c>
      <c r="I25" t="n">
        <v>15000</v>
      </c>
      <c r="J25" t="n">
        <v>15000</v>
      </c>
      <c r="K25" t="inlineStr">
        <is>
          <t>Recovery_elf</t>
        </is>
      </c>
      <c r="L25" t="n">
        <v>1</v>
      </c>
      <c r="M25" t="n">
        <v>1</v>
      </c>
      <c r="N25" t="n">
        <v>4</v>
      </c>
      <c r="O25" t="n">
        <v>0.1323</v>
      </c>
      <c r="P25" t="inlineStr">
        <is>
          <t>Shimmer3-8956</t>
        </is>
      </c>
      <c r="Q25" t="n">
        <v>18.5</v>
      </c>
      <c r="R25" t="n">
        <v>1.1</v>
      </c>
      <c r="S25" t="n">
        <v>73.5</v>
      </c>
      <c r="T25" t="inlineStr">
        <is>
          <t>NA</t>
        </is>
      </c>
      <c r="U25">
        <f>IF(LEFT(G25,8)="Baseline","Baseline",IF(LEFT(G25,8)="Recovery","Recovery","Commercial"))</f>
        <v/>
      </c>
      <c r="V25">
        <f>IF(ISNUMBER(SEARCH("Nike",G25)),"Nike","elf")</f>
        <v/>
      </c>
      <c r="W25">
        <f>IF(OR(AND(E25="A",V25="Nike"),AND(E25="B",V25="elf")),"first","second")</f>
        <v/>
      </c>
      <c r="X25">
        <f>IF(COUNTIFS(Data!$B$2:$B$181,B25,Data!$U$2:$U$181,"Commercial",Data!$Q$2:$Q$181,"&lt;0")+COUNTIFS(Data!$B$2:$B$181,B25,Data!$U$2:$U$181,"Commercial",Data!$R$2:$R$181,"&gt;20")&gt;0,"No","Yes")</f>
        <v/>
      </c>
      <c r="Y25">
        <f>IF(COUNTIFS(Data!$B$2:$B$181,B25,Data!$L$2:$L$181,0)&gt;=4,1,0)</f>
        <v/>
      </c>
      <c r="Z25" s="5">
        <f>M25/(J25/60000)</f>
        <v/>
      </c>
      <c r="AA25" s="5">
        <f>M25/(I25/60000)</f>
        <v/>
      </c>
    </row>
    <row r="26">
      <c r="A26" t="inlineStr">
        <is>
          <t>SIMULATED_Arousal_Nike_vs_elf</t>
        </is>
      </c>
      <c r="B26" t="inlineStr">
        <is>
          <t>P05</t>
        </is>
      </c>
      <c r="C26" t="inlineStr">
        <is>
          <t>F</t>
        </is>
      </c>
      <c r="D26" t="n">
        <v>19</v>
      </c>
      <c r="E26" t="inlineStr">
        <is>
          <t>B</t>
        </is>
      </c>
      <c r="F26" t="inlineStr">
        <is>
          <t>Stimulus</t>
        </is>
      </c>
      <c r="G26" t="inlineStr">
        <is>
          <t>Baseline_Nike</t>
        </is>
      </c>
      <c r="H26" t="n">
        <v>296987</v>
      </c>
      <c r="I26" t="n">
        <v>60000</v>
      </c>
      <c r="J26" t="n">
        <v>60000</v>
      </c>
      <c r="K26" t="inlineStr">
        <is>
          <t>Baseline_Nike</t>
        </is>
      </c>
      <c r="L26" t="n">
        <v>1</v>
      </c>
      <c r="M26" t="n">
        <v>3</v>
      </c>
      <c r="N26" t="n">
        <v>3</v>
      </c>
      <c r="O26" t="n">
        <v>0.274</v>
      </c>
      <c r="P26" t="inlineStr">
        <is>
          <t>Shimmer3-B</t>
        </is>
      </c>
      <c r="Q26" t="n">
        <v>27.9</v>
      </c>
      <c r="R26" t="n">
        <v>0</v>
      </c>
      <c r="S26" t="n">
        <v>85.59999999999999</v>
      </c>
      <c r="T26" t="inlineStr">
        <is>
          <t>NA</t>
        </is>
      </c>
      <c r="U26">
        <f>IF(LEFT(G26,8)="Baseline","Baseline",IF(LEFT(G26,8)="Recovery","Recovery","Commercial"))</f>
        <v/>
      </c>
      <c r="V26">
        <f>IF(ISNUMBER(SEARCH("Nike",G26)),"Nike","elf")</f>
        <v/>
      </c>
      <c r="W26">
        <f>IF(OR(AND(E26="A",V26="Nike"),AND(E26="B",V26="elf")),"first","second")</f>
        <v/>
      </c>
      <c r="X26">
        <f>IF(COUNTIFS(Data!$B$2:$B$181,B26,Data!$U$2:$U$181,"Commercial",Data!$Q$2:$Q$181,"&lt;0")+COUNTIFS(Data!$B$2:$B$181,B26,Data!$U$2:$U$181,"Commercial",Data!$R$2:$R$181,"&gt;20")&gt;0,"No","Yes")</f>
        <v/>
      </c>
      <c r="Y26">
        <f>IF(COUNTIFS(Data!$B$2:$B$181,B26,Data!$L$2:$L$181,0)&gt;=4,1,0)</f>
        <v/>
      </c>
      <c r="Z26" s="5">
        <f>M26/(J26/60000)</f>
        <v/>
      </c>
      <c r="AA26" s="5">
        <f>M26/(I26/60000)</f>
        <v/>
      </c>
    </row>
    <row r="27">
      <c r="A27" t="inlineStr">
        <is>
          <t>SIMULATED_Arousal_Nike_vs_elf</t>
        </is>
      </c>
      <c r="B27" t="inlineStr">
        <is>
          <t>P05</t>
        </is>
      </c>
      <c r="C27" t="inlineStr">
        <is>
          <t>F</t>
        </is>
      </c>
      <c r="D27" t="n">
        <v>19</v>
      </c>
      <c r="E27" t="inlineStr">
        <is>
          <t>B</t>
        </is>
      </c>
      <c r="F27" t="inlineStr">
        <is>
          <t>Stimulus</t>
        </is>
      </c>
      <c r="G27" t="inlineStr">
        <is>
          <t>Nike_Commercial</t>
        </is>
      </c>
      <c r="H27" t="n">
        <v>356987</v>
      </c>
      <c r="I27" t="n">
        <v>60000</v>
      </c>
      <c r="J27" t="n">
        <v>60000</v>
      </c>
      <c r="K27" t="inlineStr">
        <is>
          <t>Nike_Commercial</t>
        </is>
      </c>
      <c r="L27" t="n">
        <v>1</v>
      </c>
      <c r="M27" t="n">
        <v>6</v>
      </c>
      <c r="N27" t="n">
        <v>6</v>
      </c>
      <c r="O27" t="n">
        <v>0.3949</v>
      </c>
      <c r="P27" t="inlineStr">
        <is>
          <t>Shimmer3-B</t>
        </is>
      </c>
      <c r="Q27" t="n">
        <v>28.3</v>
      </c>
      <c r="R27" t="n">
        <v>0</v>
      </c>
      <c r="S27" t="n">
        <v>84.3</v>
      </c>
      <c r="T27" t="n">
        <v>6</v>
      </c>
      <c r="U27">
        <f>IF(LEFT(G27,8)="Baseline","Baseline",IF(LEFT(G27,8)="Recovery","Recovery","Commercial"))</f>
        <v/>
      </c>
      <c r="V27">
        <f>IF(ISNUMBER(SEARCH("Nike",G27)),"Nike","elf")</f>
        <v/>
      </c>
      <c r="W27">
        <f>IF(OR(AND(E27="A",V27="Nike"),AND(E27="B",V27="elf")),"first","second")</f>
        <v/>
      </c>
      <c r="X27">
        <f>IF(COUNTIFS(Data!$B$2:$B$181,B27,Data!$U$2:$U$181,"Commercial",Data!$Q$2:$Q$181,"&lt;0")+COUNTIFS(Data!$B$2:$B$181,B27,Data!$U$2:$U$181,"Commercial",Data!$R$2:$R$181,"&gt;20")&gt;0,"No","Yes")</f>
        <v/>
      </c>
      <c r="Y27">
        <f>IF(COUNTIFS(Data!$B$2:$B$181,B27,Data!$L$2:$L$181,0)&gt;=4,1,0)</f>
        <v/>
      </c>
      <c r="Z27" s="5">
        <f>M27/(J27/60000)</f>
        <v/>
      </c>
      <c r="AA27" s="5">
        <f>M27/(I27/60000)</f>
        <v/>
      </c>
    </row>
    <row r="28">
      <c r="A28" t="inlineStr">
        <is>
          <t>SIMULATED_Arousal_Nike_vs_elf</t>
        </is>
      </c>
      <c r="B28" t="inlineStr">
        <is>
          <t>P05</t>
        </is>
      </c>
      <c r="C28" t="inlineStr">
        <is>
          <t>F</t>
        </is>
      </c>
      <c r="D28" t="n">
        <v>19</v>
      </c>
      <c r="E28" t="inlineStr">
        <is>
          <t>B</t>
        </is>
      </c>
      <c r="F28" t="inlineStr">
        <is>
          <t>Stimulus</t>
        </is>
      </c>
      <c r="G28" t="inlineStr">
        <is>
          <t>Recovery_Nike</t>
        </is>
      </c>
      <c r="H28" t="n">
        <v>416987</v>
      </c>
      <c r="I28" t="n">
        <v>15000</v>
      </c>
      <c r="J28" t="n">
        <v>15000</v>
      </c>
      <c r="K28" t="inlineStr">
        <is>
          <t>Recovery_Nike</t>
        </is>
      </c>
      <c r="L28" t="n">
        <v>1</v>
      </c>
      <c r="M28" t="n">
        <v>2</v>
      </c>
      <c r="N28" t="n">
        <v>8</v>
      </c>
      <c r="O28" t="n">
        <v>0.2062</v>
      </c>
      <c r="P28" t="inlineStr">
        <is>
          <t>Shimmer3-B</t>
        </is>
      </c>
      <c r="Q28" t="n">
        <v>26.4</v>
      </c>
      <c r="R28" t="n">
        <v>0</v>
      </c>
      <c r="S28" t="n">
        <v>87.7</v>
      </c>
      <c r="T28" t="inlineStr">
        <is>
          <t>NA</t>
        </is>
      </c>
      <c r="U28">
        <f>IF(LEFT(G28,8)="Baseline","Baseline",IF(LEFT(G28,8)="Recovery","Recovery","Commercial"))</f>
        <v/>
      </c>
      <c r="V28">
        <f>IF(ISNUMBER(SEARCH("Nike",G28)),"Nike","elf")</f>
        <v/>
      </c>
      <c r="W28">
        <f>IF(OR(AND(E28="A",V28="Nike"),AND(E28="B",V28="elf")),"first","second")</f>
        <v/>
      </c>
      <c r="X28">
        <f>IF(COUNTIFS(Data!$B$2:$B$181,B28,Data!$U$2:$U$181,"Commercial",Data!$Q$2:$Q$181,"&lt;0")+COUNTIFS(Data!$B$2:$B$181,B28,Data!$U$2:$U$181,"Commercial",Data!$R$2:$R$181,"&gt;20")&gt;0,"No","Yes")</f>
        <v/>
      </c>
      <c r="Y28">
        <f>IF(COUNTIFS(Data!$B$2:$B$181,B28,Data!$L$2:$L$181,0)&gt;=4,1,0)</f>
        <v/>
      </c>
      <c r="Z28" s="5">
        <f>M28/(J28/60000)</f>
        <v/>
      </c>
      <c r="AA28" s="5">
        <f>M28/(I28/60000)</f>
        <v/>
      </c>
    </row>
    <row r="29">
      <c r="A29" t="inlineStr">
        <is>
          <t>SIMULATED_Arousal_Nike_vs_elf</t>
        </is>
      </c>
      <c r="B29" t="inlineStr">
        <is>
          <t>P05</t>
        </is>
      </c>
      <c r="C29" t="inlineStr">
        <is>
          <t>F</t>
        </is>
      </c>
      <c r="D29" t="n">
        <v>19</v>
      </c>
      <c r="E29" t="inlineStr">
        <is>
          <t>B</t>
        </is>
      </c>
      <c r="F29" t="inlineStr">
        <is>
          <t>Stimulus</t>
        </is>
      </c>
      <c r="G29" t="inlineStr">
        <is>
          <t>Baseline_elf</t>
        </is>
      </c>
      <c r="H29" t="n">
        <v>35702</v>
      </c>
      <c r="I29" t="n">
        <v>60000</v>
      </c>
      <c r="J29" t="n">
        <v>60000</v>
      </c>
      <c r="K29" t="inlineStr">
        <is>
          <t>Baseline_elf</t>
        </is>
      </c>
      <c r="L29" t="n">
        <v>1</v>
      </c>
      <c r="M29" t="n">
        <v>1</v>
      </c>
      <c r="N29" t="n">
        <v>1</v>
      </c>
      <c r="O29" t="n">
        <v>0.3101</v>
      </c>
      <c r="P29" t="inlineStr">
        <is>
          <t>Shimmer3-B</t>
        </is>
      </c>
      <c r="Q29" t="n">
        <v>29.3</v>
      </c>
      <c r="R29" t="n">
        <v>1.1</v>
      </c>
      <c r="S29" t="n">
        <v>86.8</v>
      </c>
      <c r="T29" t="inlineStr">
        <is>
          <t>NA</t>
        </is>
      </c>
      <c r="U29">
        <f>IF(LEFT(G29,8)="Baseline","Baseline",IF(LEFT(G29,8)="Recovery","Recovery","Commercial"))</f>
        <v/>
      </c>
      <c r="V29">
        <f>IF(ISNUMBER(SEARCH("Nike",G29)),"Nike","elf")</f>
        <v/>
      </c>
      <c r="W29">
        <f>IF(OR(AND(E29="A",V29="Nike"),AND(E29="B",V29="elf")),"first","second")</f>
        <v/>
      </c>
      <c r="X29">
        <f>IF(COUNTIFS(Data!$B$2:$B$181,B29,Data!$U$2:$U$181,"Commercial",Data!$Q$2:$Q$181,"&lt;0")+COUNTIFS(Data!$B$2:$B$181,B29,Data!$U$2:$U$181,"Commercial",Data!$R$2:$R$181,"&gt;20")&gt;0,"No","Yes")</f>
        <v/>
      </c>
      <c r="Y29">
        <f>IF(COUNTIFS(Data!$B$2:$B$181,B29,Data!$L$2:$L$181,0)&gt;=4,1,0)</f>
        <v/>
      </c>
      <c r="Z29" s="5">
        <f>M29/(J29/60000)</f>
        <v/>
      </c>
      <c r="AA29" s="5">
        <f>M29/(I29/60000)</f>
        <v/>
      </c>
    </row>
    <row r="30">
      <c r="A30" t="inlineStr">
        <is>
          <t>SIMULATED_Arousal_Nike_vs_elf</t>
        </is>
      </c>
      <c r="B30" t="inlineStr">
        <is>
          <t>P05</t>
        </is>
      </c>
      <c r="C30" t="inlineStr">
        <is>
          <t>F</t>
        </is>
      </c>
      <c r="D30" t="n">
        <v>19</v>
      </c>
      <c r="E30" t="inlineStr">
        <is>
          <t>B</t>
        </is>
      </c>
      <c r="F30" t="inlineStr">
        <is>
          <t>Stimulus</t>
        </is>
      </c>
      <c r="G30" t="inlineStr">
        <is>
          <t>elf_Commercial</t>
        </is>
      </c>
      <c r="H30" t="n">
        <v>95702</v>
      </c>
      <c r="I30" t="n">
        <v>30000</v>
      </c>
      <c r="J30" t="n">
        <v>30000</v>
      </c>
      <c r="K30" t="inlineStr">
        <is>
          <t>elf_Commercial</t>
        </is>
      </c>
      <c r="L30" t="n">
        <v>1</v>
      </c>
      <c r="M30" t="n">
        <v>3</v>
      </c>
      <c r="N30" t="n">
        <v>6</v>
      </c>
      <c r="O30" t="n">
        <v>0.4185</v>
      </c>
      <c r="P30" t="inlineStr">
        <is>
          <t>Shimmer3-B</t>
        </is>
      </c>
      <c r="Q30" t="n">
        <v>28.1</v>
      </c>
      <c r="R30" t="n">
        <v>0</v>
      </c>
      <c r="S30" t="n">
        <v>82.8</v>
      </c>
      <c r="T30" t="n">
        <v>5</v>
      </c>
      <c r="U30">
        <f>IF(LEFT(G30,8)="Baseline","Baseline",IF(LEFT(G30,8)="Recovery","Recovery","Commercial"))</f>
        <v/>
      </c>
      <c r="V30">
        <f>IF(ISNUMBER(SEARCH("Nike",G30)),"Nike","elf")</f>
        <v/>
      </c>
      <c r="W30">
        <f>IF(OR(AND(E30="A",V30="Nike"),AND(E30="B",V30="elf")),"first","second")</f>
        <v/>
      </c>
      <c r="X30">
        <f>IF(COUNTIFS(Data!$B$2:$B$181,B30,Data!$U$2:$U$181,"Commercial",Data!$Q$2:$Q$181,"&lt;0")+COUNTIFS(Data!$B$2:$B$181,B30,Data!$U$2:$U$181,"Commercial",Data!$R$2:$R$181,"&gt;20")&gt;0,"No","Yes")</f>
        <v/>
      </c>
      <c r="Y30">
        <f>IF(COUNTIFS(Data!$B$2:$B$181,B30,Data!$L$2:$L$181,0)&gt;=4,1,0)</f>
        <v/>
      </c>
      <c r="Z30" s="5">
        <f>M30/(J30/60000)</f>
        <v/>
      </c>
      <c r="AA30" s="5">
        <f>M30/(I30/60000)</f>
        <v/>
      </c>
    </row>
    <row r="31">
      <c r="A31" t="inlineStr">
        <is>
          <t>SIMULATED_Arousal_Nike_vs_elf</t>
        </is>
      </c>
      <c r="B31" t="inlineStr">
        <is>
          <t>P05</t>
        </is>
      </c>
      <c r="C31" t="inlineStr">
        <is>
          <t>F</t>
        </is>
      </c>
      <c r="D31" t="n">
        <v>19</v>
      </c>
      <c r="E31" t="inlineStr">
        <is>
          <t>B</t>
        </is>
      </c>
      <c r="F31" t="inlineStr">
        <is>
          <t>Stimulus</t>
        </is>
      </c>
      <c r="G31" t="inlineStr">
        <is>
          <t>Recovery_elf</t>
        </is>
      </c>
      <c r="H31" t="n">
        <v>125702</v>
      </c>
      <c r="I31" t="n">
        <v>15000</v>
      </c>
      <c r="J31" t="n">
        <v>15000</v>
      </c>
      <c r="K31" t="inlineStr">
        <is>
          <t>Recovery_elf</t>
        </is>
      </c>
      <c r="L31" t="n">
        <v>0</v>
      </c>
      <c r="M31" t="n">
        <v>0</v>
      </c>
      <c r="N31" t="n">
        <v>0</v>
      </c>
      <c r="O31" t="inlineStr">
        <is>
          <t>NA</t>
        </is>
      </c>
      <c r="P31" t="inlineStr">
        <is>
          <t>Shimmer3-B</t>
        </is>
      </c>
      <c r="Q31" t="n">
        <v>28.3</v>
      </c>
      <c r="R31" t="n">
        <v>1.3</v>
      </c>
      <c r="S31" t="n">
        <v>88.40000000000001</v>
      </c>
      <c r="T31" t="inlineStr">
        <is>
          <t>NA</t>
        </is>
      </c>
      <c r="U31">
        <f>IF(LEFT(G31,8)="Baseline","Baseline",IF(LEFT(G31,8)="Recovery","Recovery","Commercial"))</f>
        <v/>
      </c>
      <c r="V31">
        <f>IF(ISNUMBER(SEARCH("Nike",G31)),"Nike","elf")</f>
        <v/>
      </c>
      <c r="W31">
        <f>IF(OR(AND(E31="A",V31="Nike"),AND(E31="B",V31="elf")),"first","second")</f>
        <v/>
      </c>
      <c r="X31">
        <f>IF(COUNTIFS(Data!$B$2:$B$181,B31,Data!$U$2:$U$181,"Commercial",Data!$Q$2:$Q$181,"&lt;0")+COUNTIFS(Data!$B$2:$B$181,B31,Data!$U$2:$U$181,"Commercial",Data!$R$2:$R$181,"&gt;20")&gt;0,"No","Yes")</f>
        <v/>
      </c>
      <c r="Y31">
        <f>IF(COUNTIFS(Data!$B$2:$B$181,B31,Data!$L$2:$L$181,0)&gt;=4,1,0)</f>
        <v/>
      </c>
      <c r="Z31" s="5">
        <f>M31/(J31/60000)</f>
        <v/>
      </c>
      <c r="AA31" s="5">
        <f>M31/(I31/60000)</f>
        <v/>
      </c>
    </row>
    <row r="32">
      <c r="A32" t="inlineStr">
        <is>
          <t>SIMULATED_Arousal_Nike_vs_elf</t>
        </is>
      </c>
      <c r="B32" t="inlineStr">
        <is>
          <t>P06</t>
        </is>
      </c>
      <c r="C32" t="inlineStr">
        <is>
          <t>M</t>
        </is>
      </c>
      <c r="D32" t="n">
        <v>45</v>
      </c>
      <c r="E32" t="inlineStr">
        <is>
          <t>A</t>
        </is>
      </c>
      <c r="F32" t="inlineStr">
        <is>
          <t>Stimulus</t>
        </is>
      </c>
      <c r="G32" t="inlineStr">
        <is>
          <t>Baseline_Nike</t>
        </is>
      </c>
      <c r="H32" t="n">
        <v>38406</v>
      </c>
      <c r="I32" t="n">
        <v>60000</v>
      </c>
      <c r="J32" t="n">
        <v>60000</v>
      </c>
      <c r="K32" t="inlineStr">
        <is>
          <t>Baseline_Nike</t>
        </is>
      </c>
      <c r="L32" t="n">
        <v>1</v>
      </c>
      <c r="M32" t="n">
        <v>1</v>
      </c>
      <c r="N32" t="n">
        <v>1</v>
      </c>
      <c r="O32" t="n">
        <v>0.1736</v>
      </c>
      <c r="P32" t="inlineStr">
        <is>
          <t>Shimmer3-8956</t>
        </is>
      </c>
      <c r="Q32" t="n">
        <v>19.7</v>
      </c>
      <c r="R32" t="n">
        <v>0.8</v>
      </c>
      <c r="S32" t="n">
        <v>69.59999999999999</v>
      </c>
      <c r="T32" t="inlineStr">
        <is>
          <t>NA</t>
        </is>
      </c>
      <c r="U32">
        <f>IF(LEFT(G32,8)="Baseline","Baseline",IF(LEFT(G32,8)="Recovery","Recovery","Commercial"))</f>
        <v/>
      </c>
      <c r="V32">
        <f>IF(ISNUMBER(SEARCH("Nike",G32)),"Nike","elf")</f>
        <v/>
      </c>
      <c r="W32">
        <f>IF(OR(AND(E32="A",V32="Nike"),AND(E32="B",V32="elf")),"first","second")</f>
        <v/>
      </c>
      <c r="X32">
        <f>IF(COUNTIFS(Data!$B$2:$B$181,B32,Data!$U$2:$U$181,"Commercial",Data!$Q$2:$Q$181,"&lt;0")+COUNTIFS(Data!$B$2:$B$181,B32,Data!$U$2:$U$181,"Commercial",Data!$R$2:$R$181,"&gt;20")&gt;0,"No","Yes")</f>
        <v/>
      </c>
      <c r="Y32">
        <f>IF(COUNTIFS(Data!$B$2:$B$181,B32,Data!$L$2:$L$181,0)&gt;=4,1,0)</f>
        <v/>
      </c>
      <c r="Z32" s="5">
        <f>M32/(J32/60000)</f>
        <v/>
      </c>
      <c r="AA32" s="5">
        <f>M32/(I32/60000)</f>
        <v/>
      </c>
    </row>
    <row r="33">
      <c r="A33" t="inlineStr">
        <is>
          <t>SIMULATED_Arousal_Nike_vs_elf</t>
        </is>
      </c>
      <c r="B33" t="inlineStr">
        <is>
          <t>P06</t>
        </is>
      </c>
      <c r="C33" t="inlineStr">
        <is>
          <t>M</t>
        </is>
      </c>
      <c r="D33" t="n">
        <v>45</v>
      </c>
      <c r="E33" t="inlineStr">
        <is>
          <t>A</t>
        </is>
      </c>
      <c r="F33" t="inlineStr">
        <is>
          <t>Stimulus</t>
        </is>
      </c>
      <c r="G33" t="inlineStr">
        <is>
          <t>Nike_Commercial</t>
        </is>
      </c>
      <c r="H33" t="n">
        <v>98406</v>
      </c>
      <c r="I33" t="n">
        <v>60000</v>
      </c>
      <c r="J33" t="n">
        <v>60000</v>
      </c>
      <c r="K33" t="inlineStr">
        <is>
          <t>Nike_Commercial</t>
        </is>
      </c>
      <c r="L33" t="n">
        <v>1</v>
      </c>
      <c r="M33" t="n">
        <v>1</v>
      </c>
      <c r="N33" t="n">
        <v>1</v>
      </c>
      <c r="O33" t="n">
        <v>0.2445</v>
      </c>
      <c r="P33" t="inlineStr">
        <is>
          <t>Shimmer3-8956</t>
        </is>
      </c>
      <c r="Q33" t="n">
        <v>23.2</v>
      </c>
      <c r="R33" t="n">
        <v>3.2</v>
      </c>
      <c r="S33" t="n">
        <v>69.90000000000001</v>
      </c>
      <c r="T33" t="n">
        <v>3</v>
      </c>
      <c r="U33">
        <f>IF(LEFT(G33,8)="Baseline","Baseline",IF(LEFT(G33,8)="Recovery","Recovery","Commercial"))</f>
        <v/>
      </c>
      <c r="V33">
        <f>IF(ISNUMBER(SEARCH("Nike",G33)),"Nike","elf")</f>
        <v/>
      </c>
      <c r="W33">
        <f>IF(OR(AND(E33="A",V33="Nike"),AND(E33="B",V33="elf")),"first","second")</f>
        <v/>
      </c>
      <c r="X33">
        <f>IF(COUNTIFS(Data!$B$2:$B$181,B33,Data!$U$2:$U$181,"Commercial",Data!$Q$2:$Q$181,"&lt;0")+COUNTIFS(Data!$B$2:$B$181,B33,Data!$U$2:$U$181,"Commercial",Data!$R$2:$R$181,"&gt;20")&gt;0,"No","Yes")</f>
        <v/>
      </c>
      <c r="Y33">
        <f>IF(COUNTIFS(Data!$B$2:$B$181,B33,Data!$L$2:$L$181,0)&gt;=4,1,0)</f>
        <v/>
      </c>
      <c r="Z33" s="5">
        <f>M33/(J33/60000)</f>
        <v/>
      </c>
      <c r="AA33" s="5">
        <f>M33/(I33/60000)</f>
        <v/>
      </c>
    </row>
    <row r="34">
      <c r="A34" t="inlineStr">
        <is>
          <t>SIMULATED_Arousal_Nike_vs_elf</t>
        </is>
      </c>
      <c r="B34" t="inlineStr">
        <is>
          <t>P06</t>
        </is>
      </c>
      <c r="C34" t="inlineStr">
        <is>
          <t>M</t>
        </is>
      </c>
      <c r="D34" t="n">
        <v>45</v>
      </c>
      <c r="E34" t="inlineStr">
        <is>
          <t>A</t>
        </is>
      </c>
      <c r="F34" t="inlineStr">
        <is>
          <t>Stimulus</t>
        </is>
      </c>
      <c r="G34" t="inlineStr">
        <is>
          <t>Recovery_Nike</t>
        </is>
      </c>
      <c r="H34" t="n">
        <v>158406</v>
      </c>
      <c r="I34" t="n">
        <v>15000</v>
      </c>
      <c r="J34" t="n">
        <v>15000</v>
      </c>
      <c r="K34" t="inlineStr">
        <is>
          <t>Recovery_Nike</t>
        </is>
      </c>
      <c r="L34" t="n">
        <v>1</v>
      </c>
      <c r="M34" t="n">
        <v>2</v>
      </c>
      <c r="N34" t="n">
        <v>8</v>
      </c>
      <c r="O34" t="n">
        <v>0.2235</v>
      </c>
      <c r="P34" t="inlineStr">
        <is>
          <t>Shimmer3-8956</t>
        </is>
      </c>
      <c r="Q34" t="n">
        <v>23.6</v>
      </c>
      <c r="R34" t="n">
        <v>0</v>
      </c>
      <c r="S34" t="n">
        <v>71</v>
      </c>
      <c r="T34" t="inlineStr">
        <is>
          <t>NA</t>
        </is>
      </c>
      <c r="U34">
        <f>IF(LEFT(G34,8)="Baseline","Baseline",IF(LEFT(G34,8)="Recovery","Recovery","Commercial"))</f>
        <v/>
      </c>
      <c r="V34">
        <f>IF(ISNUMBER(SEARCH("Nike",G34)),"Nike","elf")</f>
        <v/>
      </c>
      <c r="W34">
        <f>IF(OR(AND(E34="A",V34="Nike"),AND(E34="B",V34="elf")),"first","second")</f>
        <v/>
      </c>
      <c r="X34">
        <f>IF(COUNTIFS(Data!$B$2:$B$181,B34,Data!$U$2:$U$181,"Commercial",Data!$Q$2:$Q$181,"&lt;0")+COUNTIFS(Data!$B$2:$B$181,B34,Data!$U$2:$U$181,"Commercial",Data!$R$2:$R$181,"&gt;20")&gt;0,"No","Yes")</f>
        <v/>
      </c>
      <c r="Y34">
        <f>IF(COUNTIFS(Data!$B$2:$B$181,B34,Data!$L$2:$L$181,0)&gt;=4,1,0)</f>
        <v/>
      </c>
      <c r="Z34" s="5">
        <f>M34/(J34/60000)</f>
        <v/>
      </c>
      <c r="AA34" s="5">
        <f>M34/(I34/60000)</f>
        <v/>
      </c>
    </row>
    <row r="35">
      <c r="A35" t="inlineStr">
        <is>
          <t>SIMULATED_Arousal_Nike_vs_elf</t>
        </is>
      </c>
      <c r="B35" t="inlineStr">
        <is>
          <t>P06</t>
        </is>
      </c>
      <c r="C35" t="inlineStr">
        <is>
          <t>M</t>
        </is>
      </c>
      <c r="D35" t="n">
        <v>45</v>
      </c>
      <c r="E35" t="inlineStr">
        <is>
          <t>A</t>
        </is>
      </c>
      <c r="F35" t="inlineStr">
        <is>
          <t>Stimulus</t>
        </is>
      </c>
      <c r="G35" t="inlineStr">
        <is>
          <t>Baseline_elf</t>
        </is>
      </c>
      <c r="H35" t="n">
        <v>351264</v>
      </c>
      <c r="I35" t="n">
        <v>60000</v>
      </c>
      <c r="J35" t="n">
        <v>60000</v>
      </c>
      <c r="K35" t="inlineStr">
        <is>
          <t>Baseline_elf</t>
        </is>
      </c>
      <c r="L35" t="n">
        <v>1</v>
      </c>
      <c r="M35" t="n">
        <v>3</v>
      </c>
      <c r="N35" t="n">
        <v>3</v>
      </c>
      <c r="O35" t="n">
        <v>0.1489</v>
      </c>
      <c r="P35" t="inlineStr">
        <is>
          <t>Shimmer3-8956</t>
        </is>
      </c>
      <c r="Q35" t="n">
        <v>20.9</v>
      </c>
      <c r="R35" t="n">
        <v>0.9</v>
      </c>
      <c r="S35" t="n">
        <v>70.2</v>
      </c>
      <c r="T35" t="inlineStr">
        <is>
          <t>NA</t>
        </is>
      </c>
      <c r="U35">
        <f>IF(LEFT(G35,8)="Baseline","Baseline",IF(LEFT(G35,8)="Recovery","Recovery","Commercial"))</f>
        <v/>
      </c>
      <c r="V35">
        <f>IF(ISNUMBER(SEARCH("Nike",G35)),"Nike","elf")</f>
        <v/>
      </c>
      <c r="W35">
        <f>IF(OR(AND(E35="A",V35="Nike"),AND(E35="B",V35="elf")),"first","second")</f>
        <v/>
      </c>
      <c r="X35">
        <f>IF(COUNTIFS(Data!$B$2:$B$181,B35,Data!$U$2:$U$181,"Commercial",Data!$Q$2:$Q$181,"&lt;0")+COUNTIFS(Data!$B$2:$B$181,B35,Data!$U$2:$U$181,"Commercial",Data!$R$2:$R$181,"&gt;20")&gt;0,"No","Yes")</f>
        <v/>
      </c>
      <c r="Y35">
        <f>IF(COUNTIFS(Data!$B$2:$B$181,B35,Data!$L$2:$L$181,0)&gt;=4,1,0)</f>
        <v/>
      </c>
      <c r="Z35" s="5">
        <f>M35/(J35/60000)</f>
        <v/>
      </c>
      <c r="AA35" s="5">
        <f>M35/(I35/60000)</f>
        <v/>
      </c>
    </row>
    <row r="36">
      <c r="A36" t="inlineStr">
        <is>
          <t>SIMULATED_Arousal_Nike_vs_elf</t>
        </is>
      </c>
      <c r="B36" t="inlineStr">
        <is>
          <t>P06</t>
        </is>
      </c>
      <c r="C36" t="inlineStr">
        <is>
          <t>M</t>
        </is>
      </c>
      <c r="D36" t="n">
        <v>45</v>
      </c>
      <c r="E36" t="inlineStr">
        <is>
          <t>A</t>
        </is>
      </c>
      <c r="F36" t="inlineStr">
        <is>
          <t>Stimulus</t>
        </is>
      </c>
      <c r="G36" t="inlineStr">
        <is>
          <t>elf_Commercial</t>
        </is>
      </c>
      <c r="H36" t="n">
        <v>411264</v>
      </c>
      <c r="I36" t="n">
        <v>30000</v>
      </c>
      <c r="J36" t="n">
        <v>30000</v>
      </c>
      <c r="K36" t="inlineStr">
        <is>
          <t>elf_Commercial</t>
        </is>
      </c>
      <c r="L36" t="n">
        <v>1</v>
      </c>
      <c r="M36" t="n">
        <v>1</v>
      </c>
      <c r="N36" t="n">
        <v>2</v>
      </c>
      <c r="O36" t="n">
        <v>0.4101</v>
      </c>
      <c r="P36" t="inlineStr">
        <is>
          <t>Shimmer3-8956</t>
        </is>
      </c>
      <c r="Q36" t="n">
        <v>18.5</v>
      </c>
      <c r="R36" t="n">
        <v>0</v>
      </c>
      <c r="S36" t="n">
        <v>73</v>
      </c>
      <c r="T36" t="n">
        <v>2</v>
      </c>
      <c r="U36">
        <f>IF(LEFT(G36,8)="Baseline","Baseline",IF(LEFT(G36,8)="Recovery","Recovery","Commercial"))</f>
        <v/>
      </c>
      <c r="V36">
        <f>IF(ISNUMBER(SEARCH("Nike",G36)),"Nike","elf")</f>
        <v/>
      </c>
      <c r="W36">
        <f>IF(OR(AND(E36="A",V36="Nike"),AND(E36="B",V36="elf")),"first","second")</f>
        <v/>
      </c>
      <c r="X36">
        <f>IF(COUNTIFS(Data!$B$2:$B$181,B36,Data!$U$2:$U$181,"Commercial",Data!$Q$2:$Q$181,"&lt;0")+COUNTIFS(Data!$B$2:$B$181,B36,Data!$U$2:$U$181,"Commercial",Data!$R$2:$R$181,"&gt;20")&gt;0,"No","Yes")</f>
        <v/>
      </c>
      <c r="Y36">
        <f>IF(COUNTIFS(Data!$B$2:$B$181,B36,Data!$L$2:$L$181,0)&gt;=4,1,0)</f>
        <v/>
      </c>
      <c r="Z36" s="5">
        <f>M36/(J36/60000)</f>
        <v/>
      </c>
      <c r="AA36" s="5">
        <f>M36/(I36/60000)</f>
        <v/>
      </c>
    </row>
    <row r="37">
      <c r="A37" t="inlineStr">
        <is>
          <t>SIMULATED_Arousal_Nike_vs_elf</t>
        </is>
      </c>
      <c r="B37" t="inlineStr">
        <is>
          <t>P06</t>
        </is>
      </c>
      <c r="C37" t="inlineStr">
        <is>
          <t>M</t>
        </is>
      </c>
      <c r="D37" t="n">
        <v>45</v>
      </c>
      <c r="E37" t="inlineStr">
        <is>
          <t>A</t>
        </is>
      </c>
      <c r="F37" t="inlineStr">
        <is>
          <t>Stimulus</t>
        </is>
      </c>
      <c r="G37" t="inlineStr">
        <is>
          <t>Recovery_elf</t>
        </is>
      </c>
      <c r="H37" t="n">
        <v>441264</v>
      </c>
      <c r="I37" t="n">
        <v>15000</v>
      </c>
      <c r="J37" t="n">
        <v>15000</v>
      </c>
      <c r="K37" t="inlineStr">
        <is>
          <t>Recovery_elf</t>
        </is>
      </c>
      <c r="L37" t="n">
        <v>1</v>
      </c>
      <c r="M37" t="n">
        <v>1</v>
      </c>
      <c r="N37" t="n">
        <v>4</v>
      </c>
      <c r="O37" t="n">
        <v>0.2115</v>
      </c>
      <c r="P37" t="inlineStr">
        <is>
          <t>Shimmer3-8956</t>
        </is>
      </c>
      <c r="Q37" t="n">
        <v>21.9</v>
      </c>
      <c r="R37" t="n">
        <v>0</v>
      </c>
      <c r="S37" t="n">
        <v>72.40000000000001</v>
      </c>
      <c r="T37" t="inlineStr">
        <is>
          <t>NA</t>
        </is>
      </c>
      <c r="U37">
        <f>IF(LEFT(G37,8)="Baseline","Baseline",IF(LEFT(G37,8)="Recovery","Recovery","Commercial"))</f>
        <v/>
      </c>
      <c r="V37">
        <f>IF(ISNUMBER(SEARCH("Nike",G37)),"Nike","elf")</f>
        <v/>
      </c>
      <c r="W37">
        <f>IF(OR(AND(E37="A",V37="Nike"),AND(E37="B",V37="elf")),"first","second")</f>
        <v/>
      </c>
      <c r="X37">
        <f>IF(COUNTIFS(Data!$B$2:$B$181,B37,Data!$U$2:$U$181,"Commercial",Data!$Q$2:$Q$181,"&lt;0")+COUNTIFS(Data!$B$2:$B$181,B37,Data!$U$2:$U$181,"Commercial",Data!$R$2:$R$181,"&gt;20")&gt;0,"No","Yes")</f>
        <v/>
      </c>
      <c r="Y37">
        <f>IF(COUNTIFS(Data!$B$2:$B$181,B37,Data!$L$2:$L$181,0)&gt;=4,1,0)</f>
        <v/>
      </c>
      <c r="Z37" s="5">
        <f>M37/(J37/60000)</f>
        <v/>
      </c>
      <c r="AA37" s="5">
        <f>M37/(I37/60000)</f>
        <v/>
      </c>
    </row>
    <row r="38">
      <c r="A38" t="inlineStr">
        <is>
          <t>SIMULATED_Arousal_Nike_vs_elf</t>
        </is>
      </c>
      <c r="B38" t="inlineStr">
        <is>
          <t>P07</t>
        </is>
      </c>
      <c r="C38" t="inlineStr">
        <is>
          <t>M</t>
        </is>
      </c>
      <c r="D38" t="n">
        <v>23</v>
      </c>
      <c r="E38" t="inlineStr">
        <is>
          <t>A</t>
        </is>
      </c>
      <c r="F38" t="inlineStr">
        <is>
          <t>Stimulus</t>
        </is>
      </c>
      <c r="G38" t="inlineStr">
        <is>
          <t>Baseline_Nike</t>
        </is>
      </c>
      <c r="H38" t="n">
        <v>24276</v>
      </c>
      <c r="I38" t="n">
        <v>60000</v>
      </c>
      <c r="J38" t="n">
        <v>60000</v>
      </c>
      <c r="K38" t="inlineStr">
        <is>
          <t>Baseline_Nike</t>
        </is>
      </c>
      <c r="L38" t="n">
        <v>1</v>
      </c>
      <c r="M38" t="n">
        <v>3</v>
      </c>
      <c r="N38" t="n">
        <v>3</v>
      </c>
      <c r="O38" t="n">
        <v>0.1573</v>
      </c>
      <c r="P38" t="inlineStr">
        <is>
          <t>Shimmer3-8956</t>
        </is>
      </c>
      <c r="Q38" t="n">
        <v>22.9</v>
      </c>
      <c r="R38" t="n">
        <v>0</v>
      </c>
      <c r="S38" t="n">
        <v>68.59999999999999</v>
      </c>
      <c r="T38" t="inlineStr">
        <is>
          <t>NA</t>
        </is>
      </c>
      <c r="U38">
        <f>IF(LEFT(G38,8)="Baseline","Baseline",IF(LEFT(G38,8)="Recovery","Recovery","Commercial"))</f>
        <v/>
      </c>
      <c r="V38">
        <f>IF(ISNUMBER(SEARCH("Nike",G38)),"Nike","elf")</f>
        <v/>
      </c>
      <c r="W38">
        <f>IF(OR(AND(E38="A",V38="Nike"),AND(E38="B",V38="elf")),"first","second")</f>
        <v/>
      </c>
      <c r="X38">
        <f>IF(COUNTIFS(Data!$B$2:$B$181,B38,Data!$U$2:$U$181,"Commercial",Data!$Q$2:$Q$181,"&lt;0")+COUNTIFS(Data!$B$2:$B$181,B38,Data!$U$2:$U$181,"Commercial",Data!$R$2:$R$181,"&gt;20")&gt;0,"No","Yes")</f>
        <v/>
      </c>
      <c r="Y38">
        <f>IF(COUNTIFS(Data!$B$2:$B$181,B38,Data!$L$2:$L$181,0)&gt;=4,1,0)</f>
        <v/>
      </c>
      <c r="Z38" s="5">
        <f>M38/(J38/60000)</f>
        <v/>
      </c>
      <c r="AA38" s="5">
        <f>M38/(I38/60000)</f>
        <v/>
      </c>
    </row>
    <row r="39">
      <c r="A39" t="inlineStr">
        <is>
          <t>SIMULATED_Arousal_Nike_vs_elf</t>
        </is>
      </c>
      <c r="B39" t="inlineStr">
        <is>
          <t>P07</t>
        </is>
      </c>
      <c r="C39" t="inlineStr">
        <is>
          <t>M</t>
        </is>
      </c>
      <c r="D39" t="n">
        <v>23</v>
      </c>
      <c r="E39" t="inlineStr">
        <is>
          <t>A</t>
        </is>
      </c>
      <c r="F39" t="inlineStr">
        <is>
          <t>Stimulus</t>
        </is>
      </c>
      <c r="G39" t="inlineStr">
        <is>
          <t>Nike_Commercial</t>
        </is>
      </c>
      <c r="H39" t="n">
        <v>84276</v>
      </c>
      <c r="I39" t="n">
        <v>60000</v>
      </c>
      <c r="J39" t="n">
        <v>60000</v>
      </c>
      <c r="K39" t="inlineStr">
        <is>
          <t>Nike_Commercial</t>
        </is>
      </c>
      <c r="L39" t="n">
        <v>1</v>
      </c>
      <c r="M39" t="n">
        <v>6</v>
      </c>
      <c r="N39" t="n">
        <v>6</v>
      </c>
      <c r="O39" t="n">
        <v>0.1439</v>
      </c>
      <c r="P39" t="inlineStr">
        <is>
          <t>Shimmer3-8956</t>
        </is>
      </c>
      <c r="Q39" t="n">
        <v>23.2</v>
      </c>
      <c r="R39" t="n">
        <v>1.4</v>
      </c>
      <c r="S39" t="n">
        <v>67.59999999999999</v>
      </c>
      <c r="T39" t="n">
        <v>4</v>
      </c>
      <c r="U39">
        <f>IF(LEFT(G39,8)="Baseline","Baseline",IF(LEFT(G39,8)="Recovery","Recovery","Commercial"))</f>
        <v/>
      </c>
      <c r="V39">
        <f>IF(ISNUMBER(SEARCH("Nike",G39)),"Nike","elf")</f>
        <v/>
      </c>
      <c r="W39">
        <f>IF(OR(AND(E39="A",V39="Nike"),AND(E39="B",V39="elf")),"first","second")</f>
        <v/>
      </c>
      <c r="X39">
        <f>IF(COUNTIFS(Data!$B$2:$B$181,B39,Data!$U$2:$U$181,"Commercial",Data!$Q$2:$Q$181,"&lt;0")+COUNTIFS(Data!$B$2:$B$181,B39,Data!$U$2:$U$181,"Commercial",Data!$R$2:$R$181,"&gt;20")&gt;0,"No","Yes")</f>
        <v/>
      </c>
      <c r="Y39">
        <f>IF(COUNTIFS(Data!$B$2:$B$181,B39,Data!$L$2:$L$181,0)&gt;=4,1,0)</f>
        <v/>
      </c>
      <c r="Z39" s="5">
        <f>M39/(J39/60000)</f>
        <v/>
      </c>
      <c r="AA39" s="5">
        <f>M39/(I39/60000)</f>
        <v/>
      </c>
    </row>
    <row r="40">
      <c r="A40" t="inlineStr">
        <is>
          <t>SIMULATED_Arousal_Nike_vs_elf</t>
        </is>
      </c>
      <c r="B40" t="inlineStr">
        <is>
          <t>P07</t>
        </is>
      </c>
      <c r="C40" t="inlineStr">
        <is>
          <t>M</t>
        </is>
      </c>
      <c r="D40" t="n">
        <v>23</v>
      </c>
      <c r="E40" t="inlineStr">
        <is>
          <t>A</t>
        </is>
      </c>
      <c r="F40" t="inlineStr">
        <is>
          <t>Stimulus</t>
        </is>
      </c>
      <c r="G40" t="inlineStr">
        <is>
          <t>Recovery_Nike</t>
        </is>
      </c>
      <c r="H40" t="n">
        <v>144276</v>
      </c>
      <c r="I40" t="n">
        <v>15000</v>
      </c>
      <c r="J40" t="n">
        <v>15000</v>
      </c>
      <c r="K40" t="inlineStr">
        <is>
          <t>Recovery_Nike</t>
        </is>
      </c>
      <c r="L40" t="n">
        <v>1</v>
      </c>
      <c r="M40" t="n">
        <v>1</v>
      </c>
      <c r="N40" t="n">
        <v>4</v>
      </c>
      <c r="O40" t="n">
        <v>0.1043</v>
      </c>
      <c r="P40" t="inlineStr">
        <is>
          <t>Shimmer3-8956</t>
        </is>
      </c>
      <c r="Q40" t="n">
        <v>20.7</v>
      </c>
      <c r="R40" t="n">
        <v>1.1</v>
      </c>
      <c r="S40" t="n">
        <v>68.40000000000001</v>
      </c>
      <c r="T40" t="inlineStr">
        <is>
          <t>NA</t>
        </is>
      </c>
      <c r="U40">
        <f>IF(LEFT(G40,8)="Baseline","Baseline",IF(LEFT(G40,8)="Recovery","Recovery","Commercial"))</f>
        <v/>
      </c>
      <c r="V40">
        <f>IF(ISNUMBER(SEARCH("Nike",G40)),"Nike","elf")</f>
        <v/>
      </c>
      <c r="W40">
        <f>IF(OR(AND(E40="A",V40="Nike"),AND(E40="B",V40="elf")),"first","second")</f>
        <v/>
      </c>
      <c r="X40">
        <f>IF(COUNTIFS(Data!$B$2:$B$181,B40,Data!$U$2:$U$181,"Commercial",Data!$Q$2:$Q$181,"&lt;0")+COUNTIFS(Data!$B$2:$B$181,B40,Data!$U$2:$U$181,"Commercial",Data!$R$2:$R$181,"&gt;20")&gt;0,"No","Yes")</f>
        <v/>
      </c>
      <c r="Y40">
        <f>IF(COUNTIFS(Data!$B$2:$B$181,B40,Data!$L$2:$L$181,0)&gt;=4,1,0)</f>
        <v/>
      </c>
      <c r="Z40" s="5">
        <f>M40/(J40/60000)</f>
        <v/>
      </c>
      <c r="AA40" s="5">
        <f>M40/(I40/60000)</f>
        <v/>
      </c>
    </row>
    <row r="41">
      <c r="A41" t="inlineStr">
        <is>
          <t>SIMULATED_Arousal_Nike_vs_elf</t>
        </is>
      </c>
      <c r="B41" t="inlineStr">
        <is>
          <t>P07</t>
        </is>
      </c>
      <c r="C41" t="inlineStr">
        <is>
          <t>M</t>
        </is>
      </c>
      <c r="D41" t="n">
        <v>23</v>
      </c>
      <c r="E41" t="inlineStr">
        <is>
          <t>A</t>
        </is>
      </c>
      <c r="F41" t="inlineStr">
        <is>
          <t>Stimulus</t>
        </is>
      </c>
      <c r="G41" t="inlineStr">
        <is>
          <t>Baseline_elf</t>
        </is>
      </c>
      <c r="H41" t="n">
        <v>349178</v>
      </c>
      <c r="I41" t="n">
        <v>60000</v>
      </c>
      <c r="J41" t="n">
        <v>60000</v>
      </c>
      <c r="K41" t="inlineStr">
        <is>
          <t>Baseline_elf</t>
        </is>
      </c>
      <c r="L41" t="n">
        <v>1</v>
      </c>
      <c r="M41" t="n">
        <v>4</v>
      </c>
      <c r="N41" t="n">
        <v>4</v>
      </c>
      <c r="O41" t="n">
        <v>0.1288</v>
      </c>
      <c r="P41" t="inlineStr">
        <is>
          <t>Shimmer3-8956</t>
        </is>
      </c>
      <c r="Q41" t="n">
        <v>18.3</v>
      </c>
      <c r="R41" t="n">
        <v>0</v>
      </c>
      <c r="S41" t="n">
        <v>72.2</v>
      </c>
      <c r="T41" t="inlineStr">
        <is>
          <t>NA</t>
        </is>
      </c>
      <c r="U41">
        <f>IF(LEFT(G41,8)="Baseline","Baseline",IF(LEFT(G41,8)="Recovery","Recovery","Commercial"))</f>
        <v/>
      </c>
      <c r="V41">
        <f>IF(ISNUMBER(SEARCH("Nike",G41)),"Nike","elf")</f>
        <v/>
      </c>
      <c r="W41">
        <f>IF(OR(AND(E41="A",V41="Nike"),AND(E41="B",V41="elf")),"first","second")</f>
        <v/>
      </c>
      <c r="X41">
        <f>IF(COUNTIFS(Data!$B$2:$B$181,B41,Data!$U$2:$U$181,"Commercial",Data!$Q$2:$Q$181,"&lt;0")+COUNTIFS(Data!$B$2:$B$181,B41,Data!$U$2:$U$181,"Commercial",Data!$R$2:$R$181,"&gt;20")&gt;0,"No","Yes")</f>
        <v/>
      </c>
      <c r="Y41">
        <f>IF(COUNTIFS(Data!$B$2:$B$181,B41,Data!$L$2:$L$181,0)&gt;=4,1,0)</f>
        <v/>
      </c>
      <c r="Z41" s="5">
        <f>M41/(J41/60000)</f>
        <v/>
      </c>
      <c r="AA41" s="5">
        <f>M41/(I41/60000)</f>
        <v/>
      </c>
    </row>
    <row r="42">
      <c r="A42" t="inlineStr">
        <is>
          <t>SIMULATED_Arousal_Nike_vs_elf</t>
        </is>
      </c>
      <c r="B42" t="inlineStr">
        <is>
          <t>P07</t>
        </is>
      </c>
      <c r="C42" t="inlineStr">
        <is>
          <t>M</t>
        </is>
      </c>
      <c r="D42" t="n">
        <v>23</v>
      </c>
      <c r="E42" t="inlineStr">
        <is>
          <t>A</t>
        </is>
      </c>
      <c r="F42" t="inlineStr">
        <is>
          <t>Stimulus</t>
        </is>
      </c>
      <c r="G42" t="inlineStr">
        <is>
          <t>elf_Commercial</t>
        </is>
      </c>
      <c r="H42" t="n">
        <v>409178</v>
      </c>
      <c r="I42" t="n">
        <v>30000</v>
      </c>
      <c r="J42" t="n">
        <v>30000</v>
      </c>
      <c r="K42" t="inlineStr">
        <is>
          <t>elf_Commercial</t>
        </is>
      </c>
      <c r="L42" t="n">
        <v>1</v>
      </c>
      <c r="M42" t="n">
        <v>2</v>
      </c>
      <c r="N42" t="n">
        <v>4</v>
      </c>
      <c r="O42" t="n">
        <v>0.192</v>
      </c>
      <c r="P42" t="inlineStr">
        <is>
          <t>Shimmer3-8956</t>
        </is>
      </c>
      <c r="Q42" t="n">
        <v>20.9</v>
      </c>
      <c r="R42" t="n">
        <v>1.3</v>
      </c>
      <c r="S42" t="n">
        <v>73.09999999999999</v>
      </c>
      <c r="T42" t="n">
        <v>3</v>
      </c>
      <c r="U42">
        <f>IF(LEFT(G42,8)="Baseline","Baseline",IF(LEFT(G42,8)="Recovery","Recovery","Commercial"))</f>
        <v/>
      </c>
      <c r="V42">
        <f>IF(ISNUMBER(SEARCH("Nike",G42)),"Nike","elf")</f>
        <v/>
      </c>
      <c r="W42">
        <f>IF(OR(AND(E42="A",V42="Nike"),AND(E42="B",V42="elf")),"first","second")</f>
        <v/>
      </c>
      <c r="X42">
        <f>IF(COUNTIFS(Data!$B$2:$B$181,B42,Data!$U$2:$U$181,"Commercial",Data!$Q$2:$Q$181,"&lt;0")+COUNTIFS(Data!$B$2:$B$181,B42,Data!$U$2:$U$181,"Commercial",Data!$R$2:$R$181,"&gt;20")&gt;0,"No","Yes")</f>
        <v/>
      </c>
      <c r="Y42">
        <f>IF(COUNTIFS(Data!$B$2:$B$181,B42,Data!$L$2:$L$181,0)&gt;=4,1,0)</f>
        <v/>
      </c>
      <c r="Z42" s="5">
        <f>M42/(J42/60000)</f>
        <v/>
      </c>
      <c r="AA42" s="5">
        <f>M42/(I42/60000)</f>
        <v/>
      </c>
    </row>
    <row r="43">
      <c r="A43" t="inlineStr">
        <is>
          <t>SIMULATED_Arousal_Nike_vs_elf</t>
        </is>
      </c>
      <c r="B43" t="inlineStr">
        <is>
          <t>P07</t>
        </is>
      </c>
      <c r="C43" t="inlineStr">
        <is>
          <t>M</t>
        </is>
      </c>
      <c r="D43" t="n">
        <v>23</v>
      </c>
      <c r="E43" t="inlineStr">
        <is>
          <t>A</t>
        </is>
      </c>
      <c r="F43" t="inlineStr">
        <is>
          <t>Stimulus</t>
        </is>
      </c>
      <c r="G43" t="inlineStr">
        <is>
          <t>Recovery_elf</t>
        </is>
      </c>
      <c r="H43" t="n">
        <v>439178</v>
      </c>
      <c r="I43" t="n">
        <v>15000</v>
      </c>
      <c r="J43" t="n">
        <v>15000</v>
      </c>
      <c r="K43" t="inlineStr">
        <is>
          <t>Recovery_elf</t>
        </is>
      </c>
      <c r="L43" t="n">
        <v>1</v>
      </c>
      <c r="M43" t="n">
        <v>1</v>
      </c>
      <c r="N43" t="n">
        <v>4</v>
      </c>
      <c r="O43" t="n">
        <v>0.1417</v>
      </c>
      <c r="P43" t="inlineStr">
        <is>
          <t>Shimmer3-8956</t>
        </is>
      </c>
      <c r="Q43" t="n">
        <v>22.6</v>
      </c>
      <c r="R43" t="n">
        <v>0</v>
      </c>
      <c r="S43" t="n">
        <v>72.59999999999999</v>
      </c>
      <c r="T43" t="inlineStr">
        <is>
          <t>NA</t>
        </is>
      </c>
      <c r="U43">
        <f>IF(LEFT(G43,8)="Baseline","Baseline",IF(LEFT(G43,8)="Recovery","Recovery","Commercial"))</f>
        <v/>
      </c>
      <c r="V43">
        <f>IF(ISNUMBER(SEARCH("Nike",G43)),"Nike","elf")</f>
        <v/>
      </c>
      <c r="W43">
        <f>IF(OR(AND(E43="A",V43="Nike"),AND(E43="B",V43="elf")),"first","second")</f>
        <v/>
      </c>
      <c r="X43">
        <f>IF(COUNTIFS(Data!$B$2:$B$181,B43,Data!$U$2:$U$181,"Commercial",Data!$Q$2:$Q$181,"&lt;0")+COUNTIFS(Data!$B$2:$B$181,B43,Data!$U$2:$U$181,"Commercial",Data!$R$2:$R$181,"&gt;20")&gt;0,"No","Yes")</f>
        <v/>
      </c>
      <c r="Y43">
        <f>IF(COUNTIFS(Data!$B$2:$B$181,B43,Data!$L$2:$L$181,0)&gt;=4,1,0)</f>
        <v/>
      </c>
      <c r="Z43" s="5">
        <f>M43/(J43/60000)</f>
        <v/>
      </c>
      <c r="AA43" s="5">
        <f>M43/(I43/60000)</f>
        <v/>
      </c>
    </row>
    <row r="44">
      <c r="A44" t="inlineStr">
        <is>
          <t>SIMULATED_Arousal_Nike_vs_elf</t>
        </is>
      </c>
      <c r="B44" t="inlineStr">
        <is>
          <t>P08</t>
        </is>
      </c>
      <c r="C44" t="inlineStr">
        <is>
          <t>F</t>
        </is>
      </c>
      <c r="D44" t="n">
        <v>26</v>
      </c>
      <c r="E44" t="inlineStr">
        <is>
          <t>B</t>
        </is>
      </c>
      <c r="F44" t="inlineStr">
        <is>
          <t>Stimulus</t>
        </is>
      </c>
      <c r="G44" t="inlineStr">
        <is>
          <t>Baseline_Nike</t>
        </is>
      </c>
      <c r="H44" t="n">
        <v>299672</v>
      </c>
      <c r="I44" t="n">
        <v>60000</v>
      </c>
      <c r="J44" t="n">
        <v>60000</v>
      </c>
      <c r="K44" t="inlineStr">
        <is>
          <t>Baseline_Nike</t>
        </is>
      </c>
      <c r="L44" t="n">
        <v>1</v>
      </c>
      <c r="M44" t="n">
        <v>4</v>
      </c>
      <c r="N44" t="n">
        <v>4</v>
      </c>
      <c r="O44" t="n">
        <v>0.2444</v>
      </c>
      <c r="P44" t="inlineStr">
        <is>
          <t>Shimmer3-B</t>
        </is>
      </c>
      <c r="Q44" t="n">
        <v>22.2</v>
      </c>
      <c r="R44" t="n">
        <v>0</v>
      </c>
      <c r="S44" t="n">
        <v>62.6</v>
      </c>
      <c r="T44" t="inlineStr">
        <is>
          <t>NA</t>
        </is>
      </c>
      <c r="U44">
        <f>IF(LEFT(G44,8)="Baseline","Baseline",IF(LEFT(G44,8)="Recovery","Recovery","Commercial"))</f>
        <v/>
      </c>
      <c r="V44">
        <f>IF(ISNUMBER(SEARCH("Nike",G44)),"Nike","elf")</f>
        <v/>
      </c>
      <c r="W44">
        <f>IF(OR(AND(E44="A",V44="Nike"),AND(E44="B",V44="elf")),"first","second")</f>
        <v/>
      </c>
      <c r="X44">
        <f>IF(COUNTIFS(Data!$B$2:$B$181,B44,Data!$U$2:$U$181,"Commercial",Data!$Q$2:$Q$181,"&lt;0")+COUNTIFS(Data!$B$2:$B$181,B44,Data!$U$2:$U$181,"Commercial",Data!$R$2:$R$181,"&gt;20")&gt;0,"No","Yes")</f>
        <v/>
      </c>
      <c r="Y44">
        <f>IF(COUNTIFS(Data!$B$2:$B$181,B44,Data!$L$2:$L$181,0)&gt;=4,1,0)</f>
        <v/>
      </c>
      <c r="Z44" s="5">
        <f>M44/(J44/60000)</f>
        <v/>
      </c>
      <c r="AA44" s="5">
        <f>M44/(I44/60000)</f>
        <v/>
      </c>
    </row>
    <row r="45">
      <c r="A45" t="inlineStr">
        <is>
          <t>SIMULATED_Arousal_Nike_vs_elf</t>
        </is>
      </c>
      <c r="B45" t="inlineStr">
        <is>
          <t>P08</t>
        </is>
      </c>
      <c r="C45" t="inlineStr">
        <is>
          <t>F</t>
        </is>
      </c>
      <c r="D45" t="n">
        <v>26</v>
      </c>
      <c r="E45" t="inlineStr">
        <is>
          <t>B</t>
        </is>
      </c>
      <c r="F45" t="inlineStr">
        <is>
          <t>Stimulus</t>
        </is>
      </c>
      <c r="G45" t="inlineStr">
        <is>
          <t>Nike_Commercial</t>
        </is>
      </c>
      <c r="H45" t="n">
        <v>359672</v>
      </c>
      <c r="I45" t="n">
        <v>60000</v>
      </c>
      <c r="J45" t="n">
        <v>60000</v>
      </c>
      <c r="K45" t="inlineStr">
        <is>
          <t>Nike_Commercial</t>
        </is>
      </c>
      <c r="L45" t="n">
        <v>1</v>
      </c>
      <c r="M45" t="n">
        <v>6</v>
      </c>
      <c r="N45" t="n">
        <v>6</v>
      </c>
      <c r="O45" t="n">
        <v>0.2938</v>
      </c>
      <c r="P45" t="inlineStr">
        <is>
          <t>Shimmer3-B</t>
        </is>
      </c>
      <c r="Q45" t="n">
        <v>24.2</v>
      </c>
      <c r="R45" t="n">
        <v>0</v>
      </c>
      <c r="S45" t="n">
        <v>62.4</v>
      </c>
      <c r="T45" t="n">
        <v>8</v>
      </c>
      <c r="U45">
        <f>IF(LEFT(G45,8)="Baseline","Baseline",IF(LEFT(G45,8)="Recovery","Recovery","Commercial"))</f>
        <v/>
      </c>
      <c r="V45">
        <f>IF(ISNUMBER(SEARCH("Nike",G45)),"Nike","elf")</f>
        <v/>
      </c>
      <c r="W45">
        <f>IF(OR(AND(E45="A",V45="Nike"),AND(E45="B",V45="elf")),"first","second")</f>
        <v/>
      </c>
      <c r="X45">
        <f>IF(COUNTIFS(Data!$B$2:$B$181,B45,Data!$U$2:$U$181,"Commercial",Data!$Q$2:$Q$181,"&lt;0")+COUNTIFS(Data!$B$2:$B$181,B45,Data!$U$2:$U$181,"Commercial",Data!$R$2:$R$181,"&gt;20")&gt;0,"No","Yes")</f>
        <v/>
      </c>
      <c r="Y45">
        <f>IF(COUNTIFS(Data!$B$2:$B$181,B45,Data!$L$2:$L$181,0)&gt;=4,1,0)</f>
        <v/>
      </c>
      <c r="Z45" s="5">
        <f>M45/(J45/60000)</f>
        <v/>
      </c>
      <c r="AA45" s="5">
        <f>M45/(I45/60000)</f>
        <v/>
      </c>
    </row>
    <row r="46">
      <c r="A46" t="inlineStr">
        <is>
          <t>SIMULATED_Arousal_Nike_vs_elf</t>
        </is>
      </c>
      <c r="B46" t="inlineStr">
        <is>
          <t>P08</t>
        </is>
      </c>
      <c r="C46" t="inlineStr">
        <is>
          <t>F</t>
        </is>
      </c>
      <c r="D46" t="n">
        <v>26</v>
      </c>
      <c r="E46" t="inlineStr">
        <is>
          <t>B</t>
        </is>
      </c>
      <c r="F46" t="inlineStr">
        <is>
          <t>Stimulus</t>
        </is>
      </c>
      <c r="G46" t="inlineStr">
        <is>
          <t>Recovery_Nike</t>
        </is>
      </c>
      <c r="H46" t="n">
        <v>419672</v>
      </c>
      <c r="I46" t="n">
        <v>15000</v>
      </c>
      <c r="J46" t="n">
        <v>15000</v>
      </c>
      <c r="K46" t="inlineStr">
        <is>
          <t>Recovery_Nike</t>
        </is>
      </c>
      <c r="L46" t="n">
        <v>1</v>
      </c>
      <c r="M46" t="n">
        <v>1</v>
      </c>
      <c r="N46" t="n">
        <v>4</v>
      </c>
      <c r="O46" t="n">
        <v>0.1367</v>
      </c>
      <c r="P46" t="inlineStr">
        <is>
          <t>Shimmer3-B</t>
        </is>
      </c>
      <c r="Q46" t="n">
        <v>21.1</v>
      </c>
      <c r="R46" t="n">
        <v>0</v>
      </c>
      <c r="S46" t="n">
        <v>63.8</v>
      </c>
      <c r="T46" t="inlineStr">
        <is>
          <t>NA</t>
        </is>
      </c>
      <c r="U46">
        <f>IF(LEFT(G46,8)="Baseline","Baseline",IF(LEFT(G46,8)="Recovery","Recovery","Commercial"))</f>
        <v/>
      </c>
      <c r="V46">
        <f>IF(ISNUMBER(SEARCH("Nike",G46)),"Nike","elf")</f>
        <v/>
      </c>
      <c r="W46">
        <f>IF(OR(AND(E46="A",V46="Nike"),AND(E46="B",V46="elf")),"first","second")</f>
        <v/>
      </c>
      <c r="X46">
        <f>IF(COUNTIFS(Data!$B$2:$B$181,B46,Data!$U$2:$U$181,"Commercial",Data!$Q$2:$Q$181,"&lt;0")+COUNTIFS(Data!$B$2:$B$181,B46,Data!$U$2:$U$181,"Commercial",Data!$R$2:$R$181,"&gt;20")&gt;0,"No","Yes")</f>
        <v/>
      </c>
      <c r="Y46">
        <f>IF(COUNTIFS(Data!$B$2:$B$181,B46,Data!$L$2:$L$181,0)&gt;=4,1,0)</f>
        <v/>
      </c>
      <c r="Z46" s="5">
        <f>M46/(J46/60000)</f>
        <v/>
      </c>
      <c r="AA46" s="5">
        <f>M46/(I46/60000)</f>
        <v/>
      </c>
    </row>
    <row r="47">
      <c r="A47" t="inlineStr">
        <is>
          <t>SIMULATED_Arousal_Nike_vs_elf</t>
        </is>
      </c>
      <c r="B47" t="inlineStr">
        <is>
          <t>P08</t>
        </is>
      </c>
      <c r="C47" t="inlineStr">
        <is>
          <t>F</t>
        </is>
      </c>
      <c r="D47" t="n">
        <v>26</v>
      </c>
      <c r="E47" t="inlineStr">
        <is>
          <t>B</t>
        </is>
      </c>
      <c r="F47" t="inlineStr">
        <is>
          <t>Stimulus</t>
        </is>
      </c>
      <c r="G47" t="inlineStr">
        <is>
          <t>Baseline_elf</t>
        </is>
      </c>
      <c r="H47" t="n">
        <v>33613</v>
      </c>
      <c r="I47" t="n">
        <v>60000</v>
      </c>
      <c r="J47" t="n">
        <v>60000</v>
      </c>
      <c r="K47" t="inlineStr">
        <is>
          <t>Baseline_elf</t>
        </is>
      </c>
      <c r="L47" t="n">
        <v>1</v>
      </c>
      <c r="M47" t="n">
        <v>4</v>
      </c>
      <c r="N47" t="n">
        <v>4</v>
      </c>
      <c r="O47" t="n">
        <v>0.2557</v>
      </c>
      <c r="P47" t="inlineStr">
        <is>
          <t>Shimmer3-B</t>
        </is>
      </c>
      <c r="Q47" t="n">
        <v>21.9</v>
      </c>
      <c r="R47" t="n">
        <v>0.8</v>
      </c>
      <c r="S47" t="n">
        <v>62.7</v>
      </c>
      <c r="T47" t="inlineStr">
        <is>
          <t>NA</t>
        </is>
      </c>
      <c r="U47">
        <f>IF(LEFT(G47,8)="Baseline","Baseline",IF(LEFT(G47,8)="Recovery","Recovery","Commercial"))</f>
        <v/>
      </c>
      <c r="V47">
        <f>IF(ISNUMBER(SEARCH("Nike",G47)),"Nike","elf")</f>
        <v/>
      </c>
      <c r="W47">
        <f>IF(OR(AND(E47="A",V47="Nike"),AND(E47="B",V47="elf")),"first","second")</f>
        <v/>
      </c>
      <c r="X47">
        <f>IF(COUNTIFS(Data!$B$2:$B$181,B47,Data!$U$2:$U$181,"Commercial",Data!$Q$2:$Q$181,"&lt;0")+COUNTIFS(Data!$B$2:$B$181,B47,Data!$U$2:$U$181,"Commercial",Data!$R$2:$R$181,"&gt;20")&gt;0,"No","Yes")</f>
        <v/>
      </c>
      <c r="Y47">
        <f>IF(COUNTIFS(Data!$B$2:$B$181,B47,Data!$L$2:$L$181,0)&gt;=4,1,0)</f>
        <v/>
      </c>
      <c r="Z47" s="5">
        <f>M47/(J47/60000)</f>
        <v/>
      </c>
      <c r="AA47" s="5">
        <f>M47/(I47/60000)</f>
        <v/>
      </c>
    </row>
    <row r="48">
      <c r="A48" t="inlineStr">
        <is>
          <t>SIMULATED_Arousal_Nike_vs_elf</t>
        </is>
      </c>
      <c r="B48" t="inlineStr">
        <is>
          <t>P08</t>
        </is>
      </c>
      <c r="C48" t="inlineStr">
        <is>
          <t>F</t>
        </is>
      </c>
      <c r="D48" t="n">
        <v>26</v>
      </c>
      <c r="E48" t="inlineStr">
        <is>
          <t>B</t>
        </is>
      </c>
      <c r="F48" t="inlineStr">
        <is>
          <t>Stimulus</t>
        </is>
      </c>
      <c r="G48" t="inlineStr">
        <is>
          <t>elf_Commercial</t>
        </is>
      </c>
      <c r="H48" t="n">
        <v>93613</v>
      </c>
      <c r="I48" t="n">
        <v>30000</v>
      </c>
      <c r="J48" t="n">
        <v>30000</v>
      </c>
      <c r="K48" t="inlineStr">
        <is>
          <t>elf_Commercial</t>
        </is>
      </c>
      <c r="L48" t="n">
        <v>1</v>
      </c>
      <c r="M48" t="n">
        <v>3</v>
      </c>
      <c r="N48" t="n">
        <v>6</v>
      </c>
      <c r="O48" t="n">
        <v>0.274</v>
      </c>
      <c r="P48" t="inlineStr">
        <is>
          <t>Shimmer3-B</t>
        </is>
      </c>
      <c r="Q48" t="n">
        <v>23.8</v>
      </c>
      <c r="R48" t="n">
        <v>0</v>
      </c>
      <c r="S48" t="n">
        <v>63</v>
      </c>
      <c r="T48" t="n">
        <v>7</v>
      </c>
      <c r="U48">
        <f>IF(LEFT(G48,8)="Baseline","Baseline",IF(LEFT(G48,8)="Recovery","Recovery","Commercial"))</f>
        <v/>
      </c>
      <c r="V48">
        <f>IF(ISNUMBER(SEARCH("Nike",G48)),"Nike","elf")</f>
        <v/>
      </c>
      <c r="W48">
        <f>IF(OR(AND(E48="A",V48="Nike"),AND(E48="B",V48="elf")),"first","second")</f>
        <v/>
      </c>
      <c r="X48">
        <f>IF(COUNTIFS(Data!$B$2:$B$181,B48,Data!$U$2:$U$181,"Commercial",Data!$Q$2:$Q$181,"&lt;0")+COUNTIFS(Data!$B$2:$B$181,B48,Data!$U$2:$U$181,"Commercial",Data!$R$2:$R$181,"&gt;20")&gt;0,"No","Yes")</f>
        <v/>
      </c>
      <c r="Y48">
        <f>IF(COUNTIFS(Data!$B$2:$B$181,B48,Data!$L$2:$L$181,0)&gt;=4,1,0)</f>
        <v/>
      </c>
      <c r="Z48" s="5">
        <f>M48/(J48/60000)</f>
        <v/>
      </c>
      <c r="AA48" s="5">
        <f>M48/(I48/60000)</f>
        <v/>
      </c>
    </row>
    <row r="49">
      <c r="A49" t="inlineStr">
        <is>
          <t>SIMULATED_Arousal_Nike_vs_elf</t>
        </is>
      </c>
      <c r="B49" t="inlineStr">
        <is>
          <t>P08</t>
        </is>
      </c>
      <c r="C49" t="inlineStr">
        <is>
          <t>F</t>
        </is>
      </c>
      <c r="D49" t="n">
        <v>26</v>
      </c>
      <c r="E49" t="inlineStr">
        <is>
          <t>B</t>
        </is>
      </c>
      <c r="F49" t="inlineStr">
        <is>
          <t>Stimulus</t>
        </is>
      </c>
      <c r="G49" t="inlineStr">
        <is>
          <t>Recovery_elf</t>
        </is>
      </c>
      <c r="H49" t="n">
        <v>123613</v>
      </c>
      <c r="I49" t="n">
        <v>15000</v>
      </c>
      <c r="J49" t="n">
        <v>15000</v>
      </c>
      <c r="K49" t="inlineStr">
        <is>
          <t>Recovery_elf</t>
        </is>
      </c>
      <c r="L49" t="n">
        <v>1</v>
      </c>
      <c r="M49" t="n">
        <v>1</v>
      </c>
      <c r="N49" t="n">
        <v>4</v>
      </c>
      <c r="O49" t="n">
        <v>0.2786</v>
      </c>
      <c r="P49" t="inlineStr">
        <is>
          <t>Shimmer3-B</t>
        </is>
      </c>
      <c r="Q49" t="n">
        <v>21.1</v>
      </c>
      <c r="R49" t="n">
        <v>0</v>
      </c>
      <c r="S49" t="n">
        <v>62</v>
      </c>
      <c r="T49" t="inlineStr">
        <is>
          <t>NA</t>
        </is>
      </c>
      <c r="U49">
        <f>IF(LEFT(G49,8)="Baseline","Baseline",IF(LEFT(G49,8)="Recovery","Recovery","Commercial"))</f>
        <v/>
      </c>
      <c r="V49">
        <f>IF(ISNUMBER(SEARCH("Nike",G49)),"Nike","elf")</f>
        <v/>
      </c>
      <c r="W49">
        <f>IF(OR(AND(E49="A",V49="Nike"),AND(E49="B",V49="elf")),"first","second")</f>
        <v/>
      </c>
      <c r="X49">
        <f>IF(COUNTIFS(Data!$B$2:$B$181,B49,Data!$U$2:$U$181,"Commercial",Data!$Q$2:$Q$181,"&lt;0")+COUNTIFS(Data!$B$2:$B$181,B49,Data!$U$2:$U$181,"Commercial",Data!$R$2:$R$181,"&gt;20")&gt;0,"No","Yes")</f>
        <v/>
      </c>
      <c r="Y49">
        <f>IF(COUNTIFS(Data!$B$2:$B$181,B49,Data!$L$2:$L$181,0)&gt;=4,1,0)</f>
        <v/>
      </c>
      <c r="Z49" s="5">
        <f>M49/(J49/60000)</f>
        <v/>
      </c>
      <c r="AA49" s="5">
        <f>M49/(I49/60000)</f>
        <v/>
      </c>
    </row>
    <row r="50">
      <c r="A50" t="inlineStr">
        <is>
          <t>SIMULATED_Arousal_Nike_vs_elf</t>
        </is>
      </c>
      <c r="B50" t="inlineStr">
        <is>
          <t>P09</t>
        </is>
      </c>
      <c r="C50" t="inlineStr">
        <is>
          <t>F</t>
        </is>
      </c>
      <c r="D50" t="n">
        <v>33</v>
      </c>
      <c r="E50" t="inlineStr">
        <is>
          <t>A</t>
        </is>
      </c>
      <c r="F50" t="inlineStr">
        <is>
          <t>Stimulus</t>
        </is>
      </c>
      <c r="G50" t="inlineStr">
        <is>
          <t>Baseline_Nike</t>
        </is>
      </c>
      <c r="H50" t="n">
        <v>35796</v>
      </c>
      <c r="I50" t="n">
        <v>60000</v>
      </c>
      <c r="J50" t="n">
        <v>60000</v>
      </c>
      <c r="K50" t="inlineStr">
        <is>
          <t>Baseline_Nike</t>
        </is>
      </c>
      <c r="L50" t="n">
        <v>1</v>
      </c>
      <c r="M50" t="n">
        <v>3</v>
      </c>
      <c r="N50" t="n">
        <v>3</v>
      </c>
      <c r="O50" t="n">
        <v>0.1325</v>
      </c>
      <c r="P50" t="inlineStr">
        <is>
          <t>Shimmer3-8956</t>
        </is>
      </c>
      <c r="Q50" t="n">
        <v>20.8</v>
      </c>
      <c r="R50" t="n">
        <v>0</v>
      </c>
      <c r="S50" t="n">
        <v>80.2</v>
      </c>
      <c r="T50" t="inlineStr">
        <is>
          <t>NA</t>
        </is>
      </c>
      <c r="U50">
        <f>IF(LEFT(G50,8)="Baseline","Baseline",IF(LEFT(G50,8)="Recovery","Recovery","Commercial"))</f>
        <v/>
      </c>
      <c r="V50">
        <f>IF(ISNUMBER(SEARCH("Nike",G50)),"Nike","elf")</f>
        <v/>
      </c>
      <c r="W50">
        <f>IF(OR(AND(E50="A",V50="Nike"),AND(E50="B",V50="elf")),"first","second")</f>
        <v/>
      </c>
      <c r="X50">
        <f>IF(COUNTIFS(Data!$B$2:$B$181,B50,Data!$U$2:$U$181,"Commercial",Data!$Q$2:$Q$181,"&lt;0")+COUNTIFS(Data!$B$2:$B$181,B50,Data!$U$2:$U$181,"Commercial",Data!$R$2:$R$181,"&gt;20")&gt;0,"No","Yes")</f>
        <v/>
      </c>
      <c r="Y50">
        <f>IF(COUNTIFS(Data!$B$2:$B$181,B50,Data!$L$2:$L$181,0)&gt;=4,1,0)</f>
        <v/>
      </c>
      <c r="Z50" s="5">
        <f>M50/(J50/60000)</f>
        <v/>
      </c>
      <c r="AA50" s="5">
        <f>M50/(I50/60000)</f>
        <v/>
      </c>
    </row>
    <row r="51">
      <c r="A51" t="inlineStr">
        <is>
          <t>SIMULATED_Arousal_Nike_vs_elf</t>
        </is>
      </c>
      <c r="B51" t="inlineStr">
        <is>
          <t>P09</t>
        </is>
      </c>
      <c r="C51" t="inlineStr">
        <is>
          <t>F</t>
        </is>
      </c>
      <c r="D51" t="n">
        <v>33</v>
      </c>
      <c r="E51" t="inlineStr">
        <is>
          <t>A</t>
        </is>
      </c>
      <c r="F51" t="inlineStr">
        <is>
          <t>Stimulus</t>
        </is>
      </c>
      <c r="G51" t="inlineStr">
        <is>
          <t>Nike_Commercial</t>
        </is>
      </c>
      <c r="H51" t="n">
        <v>95796</v>
      </c>
      <c r="I51" t="n">
        <v>60000</v>
      </c>
      <c r="J51" t="n">
        <v>60000</v>
      </c>
      <c r="K51" t="inlineStr">
        <is>
          <t>Nike_Commercial</t>
        </is>
      </c>
      <c r="L51" t="n">
        <v>1</v>
      </c>
      <c r="M51" t="n">
        <v>7</v>
      </c>
      <c r="N51" t="n">
        <v>7</v>
      </c>
      <c r="O51" t="n">
        <v>0.1964</v>
      </c>
      <c r="P51" t="inlineStr">
        <is>
          <t>Shimmer3-8956</t>
        </is>
      </c>
      <c r="Q51" t="n">
        <v>21.6</v>
      </c>
      <c r="R51" t="n">
        <v>0</v>
      </c>
      <c r="S51" t="n">
        <v>78.3</v>
      </c>
      <c r="T51" t="n">
        <v>6</v>
      </c>
      <c r="U51">
        <f>IF(LEFT(G51,8)="Baseline","Baseline",IF(LEFT(G51,8)="Recovery","Recovery","Commercial"))</f>
        <v/>
      </c>
      <c r="V51">
        <f>IF(ISNUMBER(SEARCH("Nike",G51)),"Nike","elf")</f>
        <v/>
      </c>
      <c r="W51">
        <f>IF(OR(AND(E51="A",V51="Nike"),AND(E51="B",V51="elf")),"first","second")</f>
        <v/>
      </c>
      <c r="X51">
        <f>IF(COUNTIFS(Data!$B$2:$B$181,B51,Data!$U$2:$U$181,"Commercial",Data!$Q$2:$Q$181,"&lt;0")+COUNTIFS(Data!$B$2:$B$181,B51,Data!$U$2:$U$181,"Commercial",Data!$R$2:$R$181,"&gt;20")&gt;0,"No","Yes")</f>
        <v/>
      </c>
      <c r="Y51">
        <f>IF(COUNTIFS(Data!$B$2:$B$181,B51,Data!$L$2:$L$181,0)&gt;=4,1,0)</f>
        <v/>
      </c>
      <c r="Z51" s="5">
        <f>M51/(J51/60000)</f>
        <v/>
      </c>
      <c r="AA51" s="5">
        <f>M51/(I51/60000)</f>
        <v/>
      </c>
    </row>
    <row r="52">
      <c r="A52" t="inlineStr">
        <is>
          <t>SIMULATED_Arousal_Nike_vs_elf</t>
        </is>
      </c>
      <c r="B52" t="inlineStr">
        <is>
          <t>P09</t>
        </is>
      </c>
      <c r="C52" t="inlineStr">
        <is>
          <t>F</t>
        </is>
      </c>
      <c r="D52" t="n">
        <v>33</v>
      </c>
      <c r="E52" t="inlineStr">
        <is>
          <t>A</t>
        </is>
      </c>
      <c r="F52" t="inlineStr">
        <is>
          <t>Stimulus</t>
        </is>
      </c>
      <c r="G52" t="inlineStr">
        <is>
          <t>Recovery_Nike</t>
        </is>
      </c>
      <c r="H52" t="n">
        <v>155796</v>
      </c>
      <c r="I52" t="n">
        <v>15000</v>
      </c>
      <c r="J52" t="n">
        <v>15000</v>
      </c>
      <c r="K52" t="inlineStr">
        <is>
          <t>Recovery_Nike</t>
        </is>
      </c>
      <c r="L52" t="n">
        <v>1</v>
      </c>
      <c r="M52" t="n">
        <v>1</v>
      </c>
      <c r="N52" t="n">
        <v>4</v>
      </c>
      <c r="O52" t="n">
        <v>0.2187</v>
      </c>
      <c r="P52" t="inlineStr">
        <is>
          <t>Shimmer3-8956</t>
        </is>
      </c>
      <c r="Q52" t="n">
        <v>20.4</v>
      </c>
      <c r="R52" t="n">
        <v>0</v>
      </c>
      <c r="S52" t="n">
        <v>84.3</v>
      </c>
      <c r="T52" t="inlineStr">
        <is>
          <t>NA</t>
        </is>
      </c>
      <c r="U52">
        <f>IF(LEFT(G52,8)="Baseline","Baseline",IF(LEFT(G52,8)="Recovery","Recovery","Commercial"))</f>
        <v/>
      </c>
      <c r="V52">
        <f>IF(ISNUMBER(SEARCH("Nike",G52)),"Nike","elf")</f>
        <v/>
      </c>
      <c r="W52">
        <f>IF(OR(AND(E52="A",V52="Nike"),AND(E52="B",V52="elf")),"first","second")</f>
        <v/>
      </c>
      <c r="X52">
        <f>IF(COUNTIFS(Data!$B$2:$B$181,B52,Data!$U$2:$U$181,"Commercial",Data!$Q$2:$Q$181,"&lt;0")+COUNTIFS(Data!$B$2:$B$181,B52,Data!$U$2:$U$181,"Commercial",Data!$R$2:$R$181,"&gt;20")&gt;0,"No","Yes")</f>
        <v/>
      </c>
      <c r="Y52">
        <f>IF(COUNTIFS(Data!$B$2:$B$181,B52,Data!$L$2:$L$181,0)&gt;=4,1,0)</f>
        <v/>
      </c>
      <c r="Z52" s="5">
        <f>M52/(J52/60000)</f>
        <v/>
      </c>
      <c r="AA52" s="5">
        <f>M52/(I52/60000)</f>
        <v/>
      </c>
    </row>
    <row r="53">
      <c r="A53" t="inlineStr">
        <is>
          <t>SIMULATED_Arousal_Nike_vs_elf</t>
        </is>
      </c>
      <c r="B53" t="inlineStr">
        <is>
          <t>P09</t>
        </is>
      </c>
      <c r="C53" t="inlineStr">
        <is>
          <t>F</t>
        </is>
      </c>
      <c r="D53" t="n">
        <v>33</v>
      </c>
      <c r="E53" t="inlineStr">
        <is>
          <t>A</t>
        </is>
      </c>
      <c r="F53" t="inlineStr">
        <is>
          <t>Stimulus</t>
        </is>
      </c>
      <c r="G53" t="inlineStr">
        <is>
          <t>Baseline_elf</t>
        </is>
      </c>
      <c r="H53" t="n">
        <v>342999</v>
      </c>
      <c r="I53" t="n">
        <v>60000</v>
      </c>
      <c r="J53" t="n">
        <v>60000</v>
      </c>
      <c r="K53" t="inlineStr">
        <is>
          <t>Baseline_elf</t>
        </is>
      </c>
      <c r="L53" t="n">
        <v>1</v>
      </c>
      <c r="M53" t="n">
        <v>3</v>
      </c>
      <c r="N53" t="n">
        <v>3</v>
      </c>
      <c r="O53" t="n">
        <v>0.1158</v>
      </c>
      <c r="P53" t="inlineStr">
        <is>
          <t>Shimmer3-8956</t>
        </is>
      </c>
      <c r="Q53" t="n">
        <v>21.6</v>
      </c>
      <c r="R53" t="n">
        <v>0.6</v>
      </c>
      <c r="S53" t="n">
        <v>83.2</v>
      </c>
      <c r="T53" t="inlineStr">
        <is>
          <t>NA</t>
        </is>
      </c>
      <c r="U53">
        <f>IF(LEFT(G53,8)="Baseline","Baseline",IF(LEFT(G53,8)="Recovery","Recovery","Commercial"))</f>
        <v/>
      </c>
      <c r="V53">
        <f>IF(ISNUMBER(SEARCH("Nike",G53)),"Nike","elf")</f>
        <v/>
      </c>
      <c r="W53">
        <f>IF(OR(AND(E53="A",V53="Nike"),AND(E53="B",V53="elf")),"first","second")</f>
        <v/>
      </c>
      <c r="X53">
        <f>IF(COUNTIFS(Data!$B$2:$B$181,B53,Data!$U$2:$U$181,"Commercial",Data!$Q$2:$Q$181,"&lt;0")+COUNTIFS(Data!$B$2:$B$181,B53,Data!$U$2:$U$181,"Commercial",Data!$R$2:$R$181,"&gt;20")&gt;0,"No","Yes")</f>
        <v/>
      </c>
      <c r="Y53">
        <f>IF(COUNTIFS(Data!$B$2:$B$181,B53,Data!$L$2:$L$181,0)&gt;=4,1,0)</f>
        <v/>
      </c>
      <c r="Z53" s="5">
        <f>M53/(J53/60000)</f>
        <v/>
      </c>
      <c r="AA53" s="5">
        <f>M53/(I53/60000)</f>
        <v/>
      </c>
    </row>
    <row r="54">
      <c r="A54" t="inlineStr">
        <is>
          <t>SIMULATED_Arousal_Nike_vs_elf</t>
        </is>
      </c>
      <c r="B54" t="inlineStr">
        <is>
          <t>P09</t>
        </is>
      </c>
      <c r="C54" t="inlineStr">
        <is>
          <t>F</t>
        </is>
      </c>
      <c r="D54" t="n">
        <v>33</v>
      </c>
      <c r="E54" t="inlineStr">
        <is>
          <t>A</t>
        </is>
      </c>
      <c r="F54" t="inlineStr">
        <is>
          <t>Stimulus</t>
        </is>
      </c>
      <c r="G54" t="inlineStr">
        <is>
          <t>elf_Commercial</t>
        </is>
      </c>
      <c r="H54" t="n">
        <v>402999</v>
      </c>
      <c r="I54" t="n">
        <v>30000</v>
      </c>
      <c r="J54" t="n">
        <v>30000</v>
      </c>
      <c r="K54" t="inlineStr">
        <is>
          <t>elf_Commercial</t>
        </is>
      </c>
      <c r="L54" t="n">
        <v>1</v>
      </c>
      <c r="M54" t="n">
        <v>1</v>
      </c>
      <c r="N54" t="n">
        <v>2</v>
      </c>
      <c r="O54" t="n">
        <v>0.231</v>
      </c>
      <c r="P54" t="inlineStr">
        <is>
          <t>Shimmer3-8956</t>
        </is>
      </c>
      <c r="Q54" t="n">
        <v>20.4</v>
      </c>
      <c r="R54" t="n">
        <v>0</v>
      </c>
      <c r="S54" t="n">
        <v>80.2</v>
      </c>
      <c r="T54" t="n">
        <v>6</v>
      </c>
      <c r="U54">
        <f>IF(LEFT(G54,8)="Baseline","Baseline",IF(LEFT(G54,8)="Recovery","Recovery","Commercial"))</f>
        <v/>
      </c>
      <c r="V54">
        <f>IF(ISNUMBER(SEARCH("Nike",G54)),"Nike","elf")</f>
        <v/>
      </c>
      <c r="W54">
        <f>IF(OR(AND(E54="A",V54="Nike"),AND(E54="B",V54="elf")),"first","second")</f>
        <v/>
      </c>
      <c r="X54">
        <f>IF(COUNTIFS(Data!$B$2:$B$181,B54,Data!$U$2:$U$181,"Commercial",Data!$Q$2:$Q$181,"&lt;0")+COUNTIFS(Data!$B$2:$B$181,B54,Data!$U$2:$U$181,"Commercial",Data!$R$2:$R$181,"&gt;20")&gt;0,"No","Yes")</f>
        <v/>
      </c>
      <c r="Y54">
        <f>IF(COUNTIFS(Data!$B$2:$B$181,B54,Data!$L$2:$L$181,0)&gt;=4,1,0)</f>
        <v/>
      </c>
      <c r="Z54" s="5">
        <f>M54/(J54/60000)</f>
        <v/>
      </c>
      <c r="AA54" s="5">
        <f>M54/(I54/60000)</f>
        <v/>
      </c>
    </row>
    <row r="55">
      <c r="A55" t="inlineStr">
        <is>
          <t>SIMULATED_Arousal_Nike_vs_elf</t>
        </is>
      </c>
      <c r="B55" t="inlineStr">
        <is>
          <t>P09</t>
        </is>
      </c>
      <c r="C55" t="inlineStr">
        <is>
          <t>F</t>
        </is>
      </c>
      <c r="D55" t="n">
        <v>33</v>
      </c>
      <c r="E55" t="inlineStr">
        <is>
          <t>A</t>
        </is>
      </c>
      <c r="F55" t="inlineStr">
        <is>
          <t>Stimulus</t>
        </is>
      </c>
      <c r="G55" t="inlineStr">
        <is>
          <t>Recovery_elf</t>
        </is>
      </c>
      <c r="H55" t="n">
        <v>432999</v>
      </c>
      <c r="I55" t="n">
        <v>15000</v>
      </c>
      <c r="J55" t="n">
        <v>15000</v>
      </c>
      <c r="K55" t="inlineStr">
        <is>
          <t>Recovery_elf</t>
        </is>
      </c>
      <c r="L55" t="n">
        <v>1</v>
      </c>
      <c r="M55" t="n">
        <v>1</v>
      </c>
      <c r="N55" t="n">
        <v>4</v>
      </c>
      <c r="O55" t="n">
        <v>0.1443</v>
      </c>
      <c r="P55" t="inlineStr">
        <is>
          <t>Shimmer3-8956</t>
        </is>
      </c>
      <c r="Q55" t="n">
        <v>19</v>
      </c>
      <c r="R55" t="n">
        <v>2.2</v>
      </c>
      <c r="S55" t="n">
        <v>80.40000000000001</v>
      </c>
      <c r="T55" t="inlineStr">
        <is>
          <t>NA</t>
        </is>
      </c>
      <c r="U55">
        <f>IF(LEFT(G55,8)="Baseline","Baseline",IF(LEFT(G55,8)="Recovery","Recovery","Commercial"))</f>
        <v/>
      </c>
      <c r="V55">
        <f>IF(ISNUMBER(SEARCH("Nike",G55)),"Nike","elf")</f>
        <v/>
      </c>
      <c r="W55">
        <f>IF(OR(AND(E55="A",V55="Nike"),AND(E55="B",V55="elf")),"first","second")</f>
        <v/>
      </c>
      <c r="X55">
        <f>IF(COUNTIFS(Data!$B$2:$B$181,B55,Data!$U$2:$U$181,"Commercial",Data!$Q$2:$Q$181,"&lt;0")+COUNTIFS(Data!$B$2:$B$181,B55,Data!$U$2:$U$181,"Commercial",Data!$R$2:$R$181,"&gt;20")&gt;0,"No","Yes")</f>
        <v/>
      </c>
      <c r="Y55">
        <f>IF(COUNTIFS(Data!$B$2:$B$181,B55,Data!$L$2:$L$181,0)&gt;=4,1,0)</f>
        <v/>
      </c>
      <c r="Z55" s="5">
        <f>M55/(J55/60000)</f>
        <v/>
      </c>
      <c r="AA55" s="5">
        <f>M55/(I55/60000)</f>
        <v/>
      </c>
    </row>
    <row r="56">
      <c r="A56" t="inlineStr">
        <is>
          <t>SIMULATED_Arousal_Nike_vs_elf</t>
        </is>
      </c>
      <c r="B56" t="inlineStr">
        <is>
          <t>P10</t>
        </is>
      </c>
      <c r="C56" t="inlineStr">
        <is>
          <t>M</t>
        </is>
      </c>
      <c r="D56" t="n">
        <v>22</v>
      </c>
      <c r="E56" t="inlineStr">
        <is>
          <t>B</t>
        </is>
      </c>
      <c r="F56" t="inlineStr">
        <is>
          <t>Stimulus</t>
        </is>
      </c>
      <c r="G56" t="inlineStr">
        <is>
          <t>Baseline_Nike</t>
        </is>
      </c>
      <c r="H56" t="n">
        <v>286312</v>
      </c>
      <c r="I56" t="n">
        <v>60000</v>
      </c>
      <c r="J56" t="n">
        <v>60000</v>
      </c>
      <c r="K56" t="inlineStr">
        <is>
          <t>Baseline_Nike</t>
        </is>
      </c>
      <c r="L56" t="n">
        <v>1</v>
      </c>
      <c r="M56" t="n">
        <v>2</v>
      </c>
      <c r="N56" t="n">
        <v>2</v>
      </c>
      <c r="O56" t="n">
        <v>0.1945</v>
      </c>
      <c r="P56" t="inlineStr">
        <is>
          <t>Shimmer3-B</t>
        </is>
      </c>
      <c r="Q56" t="n">
        <v>24</v>
      </c>
      <c r="R56" t="n">
        <v>0.3</v>
      </c>
      <c r="S56" t="n">
        <v>80.7</v>
      </c>
      <c r="T56" t="inlineStr">
        <is>
          <t>NA</t>
        </is>
      </c>
      <c r="U56">
        <f>IF(LEFT(G56,8)="Baseline","Baseline",IF(LEFT(G56,8)="Recovery","Recovery","Commercial"))</f>
        <v/>
      </c>
      <c r="V56">
        <f>IF(ISNUMBER(SEARCH("Nike",G56)),"Nike","elf")</f>
        <v/>
      </c>
      <c r="W56">
        <f>IF(OR(AND(E56="A",V56="Nike"),AND(E56="B",V56="elf")),"first","second")</f>
        <v/>
      </c>
      <c r="X56">
        <f>IF(COUNTIFS(Data!$B$2:$B$181,B56,Data!$U$2:$U$181,"Commercial",Data!$Q$2:$Q$181,"&lt;0")+COUNTIFS(Data!$B$2:$B$181,B56,Data!$U$2:$U$181,"Commercial",Data!$R$2:$R$181,"&gt;20")&gt;0,"No","Yes")</f>
        <v/>
      </c>
      <c r="Y56">
        <f>IF(COUNTIFS(Data!$B$2:$B$181,B56,Data!$L$2:$L$181,0)&gt;=4,1,0)</f>
        <v/>
      </c>
      <c r="Z56" s="5">
        <f>M56/(J56/60000)</f>
        <v/>
      </c>
      <c r="AA56" s="5">
        <f>M56/(I56/60000)</f>
        <v/>
      </c>
    </row>
    <row r="57">
      <c r="A57" t="inlineStr">
        <is>
          <t>SIMULATED_Arousal_Nike_vs_elf</t>
        </is>
      </c>
      <c r="B57" t="inlineStr">
        <is>
          <t>P10</t>
        </is>
      </c>
      <c r="C57" t="inlineStr">
        <is>
          <t>M</t>
        </is>
      </c>
      <c r="D57" t="n">
        <v>22</v>
      </c>
      <c r="E57" t="inlineStr">
        <is>
          <t>B</t>
        </is>
      </c>
      <c r="F57" t="inlineStr">
        <is>
          <t>Stimulus</t>
        </is>
      </c>
      <c r="G57" t="inlineStr">
        <is>
          <t>Nike_Commercial</t>
        </is>
      </c>
      <c r="H57" t="n">
        <v>346312</v>
      </c>
      <c r="I57" t="n">
        <v>60000</v>
      </c>
      <c r="J57" t="n">
        <v>60000</v>
      </c>
      <c r="K57" t="inlineStr">
        <is>
          <t>Nike_Commercial</t>
        </is>
      </c>
      <c r="L57" t="n">
        <v>1</v>
      </c>
      <c r="M57" t="n">
        <v>5</v>
      </c>
      <c r="N57" t="n">
        <v>5</v>
      </c>
      <c r="O57" t="n">
        <v>0.1935</v>
      </c>
      <c r="P57" t="inlineStr">
        <is>
          <t>Shimmer3-B</t>
        </is>
      </c>
      <c r="Q57" t="n">
        <v>23.4</v>
      </c>
      <c r="R57" t="n">
        <v>0</v>
      </c>
      <c r="S57" t="n">
        <v>80</v>
      </c>
      <c r="T57" t="n">
        <v>9</v>
      </c>
      <c r="U57">
        <f>IF(LEFT(G57,8)="Baseline","Baseline",IF(LEFT(G57,8)="Recovery","Recovery","Commercial"))</f>
        <v/>
      </c>
      <c r="V57">
        <f>IF(ISNUMBER(SEARCH("Nike",G57)),"Nike","elf")</f>
        <v/>
      </c>
      <c r="W57">
        <f>IF(OR(AND(E57="A",V57="Nike"),AND(E57="B",V57="elf")),"first","second")</f>
        <v/>
      </c>
      <c r="X57">
        <f>IF(COUNTIFS(Data!$B$2:$B$181,B57,Data!$U$2:$U$181,"Commercial",Data!$Q$2:$Q$181,"&lt;0")+COUNTIFS(Data!$B$2:$B$181,B57,Data!$U$2:$U$181,"Commercial",Data!$R$2:$R$181,"&gt;20")&gt;0,"No","Yes")</f>
        <v/>
      </c>
      <c r="Y57">
        <f>IF(COUNTIFS(Data!$B$2:$B$181,B57,Data!$L$2:$L$181,0)&gt;=4,1,0)</f>
        <v/>
      </c>
      <c r="Z57" s="5">
        <f>M57/(J57/60000)</f>
        <v/>
      </c>
      <c r="AA57" s="5">
        <f>M57/(I57/60000)</f>
        <v/>
      </c>
    </row>
    <row r="58">
      <c r="A58" t="inlineStr">
        <is>
          <t>SIMULATED_Arousal_Nike_vs_elf</t>
        </is>
      </c>
      <c r="B58" t="inlineStr">
        <is>
          <t>P10</t>
        </is>
      </c>
      <c r="C58" t="inlineStr">
        <is>
          <t>M</t>
        </is>
      </c>
      <c r="D58" t="n">
        <v>22</v>
      </c>
      <c r="E58" t="inlineStr">
        <is>
          <t>B</t>
        </is>
      </c>
      <c r="F58" t="inlineStr">
        <is>
          <t>Stimulus</t>
        </is>
      </c>
      <c r="G58" t="inlineStr">
        <is>
          <t>Recovery_Nike</t>
        </is>
      </c>
      <c r="H58" t="n">
        <v>406312</v>
      </c>
      <c r="I58" t="n">
        <v>15000</v>
      </c>
      <c r="J58" t="n">
        <v>15000</v>
      </c>
      <c r="K58" t="inlineStr">
        <is>
          <t>Recovery_Nike</t>
        </is>
      </c>
      <c r="L58" t="n">
        <v>1</v>
      </c>
      <c r="M58" t="n">
        <v>1</v>
      </c>
      <c r="N58" t="n">
        <v>4</v>
      </c>
      <c r="O58" t="n">
        <v>0.196</v>
      </c>
      <c r="P58" t="inlineStr">
        <is>
          <t>Shimmer3-B</t>
        </is>
      </c>
      <c r="Q58" t="n">
        <v>23.4</v>
      </c>
      <c r="R58" t="n">
        <v>0.8</v>
      </c>
      <c r="S58" t="n">
        <v>78.3</v>
      </c>
      <c r="T58" t="inlineStr">
        <is>
          <t>NA</t>
        </is>
      </c>
      <c r="U58">
        <f>IF(LEFT(G58,8)="Baseline","Baseline",IF(LEFT(G58,8)="Recovery","Recovery","Commercial"))</f>
        <v/>
      </c>
      <c r="V58">
        <f>IF(ISNUMBER(SEARCH("Nike",G58)),"Nike","elf")</f>
        <v/>
      </c>
      <c r="W58">
        <f>IF(OR(AND(E58="A",V58="Nike"),AND(E58="B",V58="elf")),"first","second")</f>
        <v/>
      </c>
      <c r="X58">
        <f>IF(COUNTIFS(Data!$B$2:$B$181,B58,Data!$U$2:$U$181,"Commercial",Data!$Q$2:$Q$181,"&lt;0")+COUNTIFS(Data!$B$2:$B$181,B58,Data!$U$2:$U$181,"Commercial",Data!$R$2:$R$181,"&gt;20")&gt;0,"No","Yes")</f>
        <v/>
      </c>
      <c r="Y58">
        <f>IF(COUNTIFS(Data!$B$2:$B$181,B58,Data!$L$2:$L$181,0)&gt;=4,1,0)</f>
        <v/>
      </c>
      <c r="Z58" s="5">
        <f>M58/(J58/60000)</f>
        <v/>
      </c>
      <c r="AA58" s="5">
        <f>M58/(I58/60000)</f>
        <v/>
      </c>
    </row>
    <row r="59">
      <c r="A59" t="inlineStr">
        <is>
          <t>SIMULATED_Arousal_Nike_vs_elf</t>
        </is>
      </c>
      <c r="B59" t="inlineStr">
        <is>
          <t>P10</t>
        </is>
      </c>
      <c r="C59" t="inlineStr">
        <is>
          <t>M</t>
        </is>
      </c>
      <c r="D59" t="n">
        <v>22</v>
      </c>
      <c r="E59" t="inlineStr">
        <is>
          <t>B</t>
        </is>
      </c>
      <c r="F59" t="inlineStr">
        <is>
          <t>Stimulus</t>
        </is>
      </c>
      <c r="G59" t="inlineStr">
        <is>
          <t>Baseline_elf</t>
        </is>
      </c>
      <c r="H59" t="n">
        <v>22945</v>
      </c>
      <c r="I59" t="n">
        <v>60000</v>
      </c>
      <c r="J59" t="n">
        <v>60000</v>
      </c>
      <c r="K59" t="inlineStr">
        <is>
          <t>Baseline_elf</t>
        </is>
      </c>
      <c r="L59" t="n">
        <v>1</v>
      </c>
      <c r="M59" t="n">
        <v>3</v>
      </c>
      <c r="N59" t="n">
        <v>3</v>
      </c>
      <c r="O59" t="n">
        <v>0.1585</v>
      </c>
      <c r="P59" t="inlineStr">
        <is>
          <t>Shimmer3-B</t>
        </is>
      </c>
      <c r="Q59" t="n">
        <v>22.5</v>
      </c>
      <c r="R59" t="n">
        <v>0</v>
      </c>
      <c r="S59" t="n">
        <v>80.7</v>
      </c>
      <c r="T59" t="inlineStr">
        <is>
          <t>NA</t>
        </is>
      </c>
      <c r="U59">
        <f>IF(LEFT(G59,8)="Baseline","Baseline",IF(LEFT(G59,8)="Recovery","Recovery","Commercial"))</f>
        <v/>
      </c>
      <c r="V59">
        <f>IF(ISNUMBER(SEARCH("Nike",G59)),"Nike","elf")</f>
        <v/>
      </c>
      <c r="W59">
        <f>IF(OR(AND(E59="A",V59="Nike"),AND(E59="B",V59="elf")),"first","second")</f>
        <v/>
      </c>
      <c r="X59">
        <f>IF(COUNTIFS(Data!$B$2:$B$181,B59,Data!$U$2:$U$181,"Commercial",Data!$Q$2:$Q$181,"&lt;0")+COUNTIFS(Data!$B$2:$B$181,B59,Data!$U$2:$U$181,"Commercial",Data!$R$2:$R$181,"&gt;20")&gt;0,"No","Yes")</f>
        <v/>
      </c>
      <c r="Y59">
        <f>IF(COUNTIFS(Data!$B$2:$B$181,B59,Data!$L$2:$L$181,0)&gt;=4,1,0)</f>
        <v/>
      </c>
      <c r="Z59" s="5">
        <f>M59/(J59/60000)</f>
        <v/>
      </c>
      <c r="AA59" s="5">
        <f>M59/(I59/60000)</f>
        <v/>
      </c>
    </row>
    <row r="60">
      <c r="A60" t="inlineStr">
        <is>
          <t>SIMULATED_Arousal_Nike_vs_elf</t>
        </is>
      </c>
      <c r="B60" t="inlineStr">
        <is>
          <t>P10</t>
        </is>
      </c>
      <c r="C60" t="inlineStr">
        <is>
          <t>M</t>
        </is>
      </c>
      <c r="D60" t="n">
        <v>22</v>
      </c>
      <c r="E60" t="inlineStr">
        <is>
          <t>B</t>
        </is>
      </c>
      <c r="F60" t="inlineStr">
        <is>
          <t>Stimulus</t>
        </is>
      </c>
      <c r="G60" t="inlineStr">
        <is>
          <t>elf_Commercial</t>
        </is>
      </c>
      <c r="H60" t="n">
        <v>82945</v>
      </c>
      <c r="I60" t="n">
        <v>30000</v>
      </c>
      <c r="J60" t="n">
        <v>30000</v>
      </c>
      <c r="K60" t="inlineStr">
        <is>
          <t>elf_Commercial</t>
        </is>
      </c>
      <c r="L60" t="n">
        <v>1</v>
      </c>
      <c r="M60" t="n">
        <v>1</v>
      </c>
      <c r="N60" t="n">
        <v>2</v>
      </c>
      <c r="O60" t="n">
        <v>0.1595</v>
      </c>
      <c r="P60" t="inlineStr">
        <is>
          <t>Shimmer3-B</t>
        </is>
      </c>
      <c r="Q60" t="n">
        <v>23.4</v>
      </c>
      <c r="R60" t="n">
        <v>0</v>
      </c>
      <c r="S60" t="n">
        <v>81.90000000000001</v>
      </c>
      <c r="T60" t="n">
        <v>5</v>
      </c>
      <c r="U60">
        <f>IF(LEFT(G60,8)="Baseline","Baseline",IF(LEFT(G60,8)="Recovery","Recovery","Commercial"))</f>
        <v/>
      </c>
      <c r="V60">
        <f>IF(ISNUMBER(SEARCH("Nike",G60)),"Nike","elf")</f>
        <v/>
      </c>
      <c r="W60">
        <f>IF(OR(AND(E60="A",V60="Nike"),AND(E60="B",V60="elf")),"first","second")</f>
        <v/>
      </c>
      <c r="X60">
        <f>IF(COUNTIFS(Data!$B$2:$B$181,B60,Data!$U$2:$U$181,"Commercial",Data!$Q$2:$Q$181,"&lt;0")+COUNTIFS(Data!$B$2:$B$181,B60,Data!$U$2:$U$181,"Commercial",Data!$R$2:$R$181,"&gt;20")&gt;0,"No","Yes")</f>
        <v/>
      </c>
      <c r="Y60">
        <f>IF(COUNTIFS(Data!$B$2:$B$181,B60,Data!$L$2:$L$181,0)&gt;=4,1,0)</f>
        <v/>
      </c>
      <c r="Z60" s="5">
        <f>M60/(J60/60000)</f>
        <v/>
      </c>
      <c r="AA60" s="5">
        <f>M60/(I60/60000)</f>
        <v/>
      </c>
    </row>
    <row r="61">
      <c r="A61" t="inlineStr">
        <is>
          <t>SIMULATED_Arousal_Nike_vs_elf</t>
        </is>
      </c>
      <c r="B61" t="inlineStr">
        <is>
          <t>P10</t>
        </is>
      </c>
      <c r="C61" t="inlineStr">
        <is>
          <t>M</t>
        </is>
      </c>
      <c r="D61" t="n">
        <v>22</v>
      </c>
      <c r="E61" t="inlineStr">
        <is>
          <t>B</t>
        </is>
      </c>
      <c r="F61" t="inlineStr">
        <is>
          <t>Stimulus</t>
        </is>
      </c>
      <c r="G61" t="inlineStr">
        <is>
          <t>Recovery_elf</t>
        </is>
      </c>
      <c r="H61" t="n">
        <v>112945</v>
      </c>
      <c r="I61" t="n">
        <v>15000</v>
      </c>
      <c r="J61" t="n">
        <v>15000</v>
      </c>
      <c r="K61" t="inlineStr">
        <is>
          <t>Recovery_elf</t>
        </is>
      </c>
      <c r="L61" t="n">
        <v>1</v>
      </c>
      <c r="M61" t="n">
        <v>1</v>
      </c>
      <c r="N61" t="n">
        <v>4</v>
      </c>
      <c r="O61" t="n">
        <v>0.1379</v>
      </c>
      <c r="P61" t="inlineStr">
        <is>
          <t>Shimmer3-B</t>
        </is>
      </c>
      <c r="Q61" t="n">
        <v>23.2</v>
      </c>
      <c r="R61" t="n">
        <v>0</v>
      </c>
      <c r="S61" t="n">
        <v>83.3</v>
      </c>
      <c r="T61" t="inlineStr">
        <is>
          <t>NA</t>
        </is>
      </c>
      <c r="U61">
        <f>IF(LEFT(G61,8)="Baseline","Baseline",IF(LEFT(G61,8)="Recovery","Recovery","Commercial"))</f>
        <v/>
      </c>
      <c r="V61">
        <f>IF(ISNUMBER(SEARCH("Nike",G61)),"Nike","elf")</f>
        <v/>
      </c>
      <c r="W61">
        <f>IF(OR(AND(E61="A",V61="Nike"),AND(E61="B",V61="elf")),"first","second")</f>
        <v/>
      </c>
      <c r="X61">
        <f>IF(COUNTIFS(Data!$B$2:$B$181,B61,Data!$U$2:$U$181,"Commercial",Data!$Q$2:$Q$181,"&lt;0")+COUNTIFS(Data!$B$2:$B$181,B61,Data!$U$2:$U$181,"Commercial",Data!$R$2:$R$181,"&gt;20")&gt;0,"No","Yes")</f>
        <v/>
      </c>
      <c r="Y61">
        <f>IF(COUNTIFS(Data!$B$2:$B$181,B61,Data!$L$2:$L$181,0)&gt;=4,1,0)</f>
        <v/>
      </c>
      <c r="Z61" s="5">
        <f>M61/(J61/60000)</f>
        <v/>
      </c>
      <c r="AA61" s="5">
        <f>M61/(I61/60000)</f>
        <v/>
      </c>
    </row>
    <row r="62">
      <c r="A62" t="inlineStr">
        <is>
          <t>SIMULATED_Arousal_Nike_vs_elf</t>
        </is>
      </c>
      <c r="B62" t="inlineStr">
        <is>
          <t>P11</t>
        </is>
      </c>
      <c r="C62" t="inlineStr">
        <is>
          <t>F</t>
        </is>
      </c>
      <c r="D62" t="n">
        <v>26</v>
      </c>
      <c r="E62" t="inlineStr">
        <is>
          <t>B</t>
        </is>
      </c>
      <c r="F62" t="inlineStr">
        <is>
          <t>Stimulus</t>
        </is>
      </c>
      <c r="G62" t="inlineStr">
        <is>
          <t>Baseline_Nike</t>
        </is>
      </c>
      <c r="H62" t="n">
        <v>320082</v>
      </c>
      <c r="I62" t="n">
        <v>60000</v>
      </c>
      <c r="J62" t="n">
        <v>60000</v>
      </c>
      <c r="K62" t="inlineStr">
        <is>
          <t>Baseline_Nike</t>
        </is>
      </c>
      <c r="L62" t="n">
        <v>1</v>
      </c>
      <c r="M62" t="n">
        <v>3</v>
      </c>
      <c r="N62" t="n">
        <v>3</v>
      </c>
      <c r="O62" t="n">
        <v>0.2937</v>
      </c>
      <c r="P62" t="inlineStr">
        <is>
          <t>Shimmer3-8956</t>
        </is>
      </c>
      <c r="Q62" t="n">
        <v>23.4</v>
      </c>
      <c r="R62" t="n">
        <v>0</v>
      </c>
      <c r="S62" t="n">
        <v>72.59999999999999</v>
      </c>
      <c r="T62" t="inlineStr">
        <is>
          <t>NA</t>
        </is>
      </c>
      <c r="U62">
        <f>IF(LEFT(G62,8)="Baseline","Baseline",IF(LEFT(G62,8)="Recovery","Recovery","Commercial"))</f>
        <v/>
      </c>
      <c r="V62">
        <f>IF(ISNUMBER(SEARCH("Nike",G62)),"Nike","elf")</f>
        <v/>
      </c>
      <c r="W62">
        <f>IF(OR(AND(E62="A",V62="Nike"),AND(E62="B",V62="elf")),"first","second")</f>
        <v/>
      </c>
      <c r="X62">
        <f>IF(COUNTIFS(Data!$B$2:$B$181,B62,Data!$U$2:$U$181,"Commercial",Data!$Q$2:$Q$181,"&lt;0")+COUNTIFS(Data!$B$2:$B$181,B62,Data!$U$2:$U$181,"Commercial",Data!$R$2:$R$181,"&gt;20")&gt;0,"No","Yes")</f>
        <v/>
      </c>
      <c r="Y62">
        <f>IF(COUNTIFS(Data!$B$2:$B$181,B62,Data!$L$2:$L$181,0)&gt;=4,1,0)</f>
        <v/>
      </c>
      <c r="Z62" s="5">
        <f>M62/(J62/60000)</f>
        <v/>
      </c>
      <c r="AA62" s="5">
        <f>M62/(I62/60000)</f>
        <v/>
      </c>
    </row>
    <row r="63">
      <c r="A63" t="inlineStr">
        <is>
          <t>SIMULATED_Arousal_Nike_vs_elf</t>
        </is>
      </c>
      <c r="B63" t="inlineStr">
        <is>
          <t>P11</t>
        </is>
      </c>
      <c r="C63" t="inlineStr">
        <is>
          <t>F</t>
        </is>
      </c>
      <c r="D63" t="n">
        <v>26</v>
      </c>
      <c r="E63" t="inlineStr">
        <is>
          <t>B</t>
        </is>
      </c>
      <c r="F63" t="inlineStr">
        <is>
          <t>Stimulus</t>
        </is>
      </c>
      <c r="G63" t="inlineStr">
        <is>
          <t>Nike_Commercial</t>
        </is>
      </c>
      <c r="H63" t="n">
        <v>380082</v>
      </c>
      <c r="I63" t="n">
        <v>60000</v>
      </c>
      <c r="J63" t="n">
        <v>60000</v>
      </c>
      <c r="K63" t="inlineStr">
        <is>
          <t>Nike_Commercial</t>
        </is>
      </c>
      <c r="L63" t="n">
        <v>1</v>
      </c>
      <c r="M63" t="n">
        <v>9</v>
      </c>
      <c r="N63" t="n">
        <v>9</v>
      </c>
      <c r="O63" t="n">
        <v>0.06909999999999999</v>
      </c>
      <c r="P63" t="inlineStr">
        <is>
          <t>Shimmer3-8956</t>
        </is>
      </c>
      <c r="Q63" t="n">
        <v>-3.4</v>
      </c>
      <c r="R63" t="n">
        <v>0</v>
      </c>
      <c r="S63" t="n">
        <v>71.40000000000001</v>
      </c>
      <c r="T63" t="n">
        <v>5</v>
      </c>
      <c r="U63">
        <f>IF(LEFT(G63,8)="Baseline","Baseline",IF(LEFT(G63,8)="Recovery","Recovery","Commercial"))</f>
        <v/>
      </c>
      <c r="V63">
        <f>IF(ISNUMBER(SEARCH("Nike",G63)),"Nike","elf")</f>
        <v/>
      </c>
      <c r="W63">
        <f>IF(OR(AND(E63="A",V63="Nike"),AND(E63="B",V63="elf")),"first","second")</f>
        <v/>
      </c>
      <c r="X63">
        <f>IF(COUNTIFS(Data!$B$2:$B$181,B63,Data!$U$2:$U$181,"Commercial",Data!$Q$2:$Q$181,"&lt;0")+COUNTIFS(Data!$B$2:$B$181,B63,Data!$U$2:$U$181,"Commercial",Data!$R$2:$R$181,"&gt;20")&gt;0,"No","Yes")</f>
        <v/>
      </c>
      <c r="Y63">
        <f>IF(COUNTIFS(Data!$B$2:$B$181,B63,Data!$L$2:$L$181,0)&gt;=4,1,0)</f>
        <v/>
      </c>
      <c r="Z63" s="5">
        <f>M63/(J63/60000)</f>
        <v/>
      </c>
      <c r="AA63" s="5">
        <f>M63/(I63/60000)</f>
        <v/>
      </c>
    </row>
    <row r="64">
      <c r="A64" t="inlineStr">
        <is>
          <t>SIMULATED_Arousal_Nike_vs_elf</t>
        </is>
      </c>
      <c r="B64" t="inlineStr">
        <is>
          <t>P11</t>
        </is>
      </c>
      <c r="C64" t="inlineStr">
        <is>
          <t>F</t>
        </is>
      </c>
      <c r="D64" t="n">
        <v>26</v>
      </c>
      <c r="E64" t="inlineStr">
        <is>
          <t>B</t>
        </is>
      </c>
      <c r="F64" t="inlineStr">
        <is>
          <t>Stimulus</t>
        </is>
      </c>
      <c r="G64" t="inlineStr">
        <is>
          <t>Recovery_Nike</t>
        </is>
      </c>
      <c r="H64" t="n">
        <v>440082</v>
      </c>
      <c r="I64" t="n">
        <v>15000</v>
      </c>
      <c r="J64" t="n">
        <v>15000</v>
      </c>
      <c r="K64" t="inlineStr">
        <is>
          <t>Recovery_Nike</t>
        </is>
      </c>
      <c r="L64" t="n">
        <v>1</v>
      </c>
      <c r="M64" t="n">
        <v>2</v>
      </c>
      <c r="N64" t="n">
        <v>8</v>
      </c>
      <c r="O64" t="n">
        <v>0.0568</v>
      </c>
      <c r="P64" t="inlineStr">
        <is>
          <t>Shimmer3-8956</t>
        </is>
      </c>
      <c r="Q64" t="n">
        <v>2.6</v>
      </c>
      <c r="R64" t="n">
        <v>0</v>
      </c>
      <c r="S64" t="n">
        <v>70.09999999999999</v>
      </c>
      <c r="T64" t="inlineStr">
        <is>
          <t>NA</t>
        </is>
      </c>
      <c r="U64">
        <f>IF(LEFT(G64,8)="Baseline","Baseline",IF(LEFT(G64,8)="Recovery","Recovery","Commercial"))</f>
        <v/>
      </c>
      <c r="V64">
        <f>IF(ISNUMBER(SEARCH("Nike",G64)),"Nike","elf")</f>
        <v/>
      </c>
      <c r="W64">
        <f>IF(OR(AND(E64="A",V64="Nike"),AND(E64="B",V64="elf")),"first","second")</f>
        <v/>
      </c>
      <c r="X64">
        <f>IF(COUNTIFS(Data!$B$2:$B$181,B64,Data!$U$2:$U$181,"Commercial",Data!$Q$2:$Q$181,"&lt;0")+COUNTIFS(Data!$B$2:$B$181,B64,Data!$U$2:$U$181,"Commercial",Data!$R$2:$R$181,"&gt;20")&gt;0,"No","Yes")</f>
        <v/>
      </c>
      <c r="Y64">
        <f>IF(COUNTIFS(Data!$B$2:$B$181,B64,Data!$L$2:$L$181,0)&gt;=4,1,0)</f>
        <v/>
      </c>
      <c r="Z64" s="5">
        <f>M64/(J64/60000)</f>
        <v/>
      </c>
      <c r="AA64" s="5">
        <f>M64/(I64/60000)</f>
        <v/>
      </c>
    </row>
    <row r="65">
      <c r="A65" t="inlineStr">
        <is>
          <t>SIMULATED_Arousal_Nike_vs_elf</t>
        </is>
      </c>
      <c r="B65" t="inlineStr">
        <is>
          <t>P11</t>
        </is>
      </c>
      <c r="C65" t="inlineStr">
        <is>
          <t>F</t>
        </is>
      </c>
      <c r="D65" t="n">
        <v>26</v>
      </c>
      <c r="E65" t="inlineStr">
        <is>
          <t>B</t>
        </is>
      </c>
      <c r="F65" t="inlineStr">
        <is>
          <t>Stimulus</t>
        </is>
      </c>
      <c r="G65" t="inlineStr">
        <is>
          <t>Baseline_elf</t>
        </is>
      </c>
      <c r="H65" t="n">
        <v>25846</v>
      </c>
      <c r="I65" t="n">
        <v>60000</v>
      </c>
      <c r="J65" t="n">
        <v>60000</v>
      </c>
      <c r="K65" t="inlineStr">
        <is>
          <t>Baseline_elf</t>
        </is>
      </c>
      <c r="L65" t="n">
        <v>1</v>
      </c>
      <c r="M65" t="n">
        <v>4</v>
      </c>
      <c r="N65" t="n">
        <v>4</v>
      </c>
      <c r="O65" t="n">
        <v>0.1875</v>
      </c>
      <c r="P65" t="inlineStr">
        <is>
          <t>Shimmer3-8956</t>
        </is>
      </c>
      <c r="Q65" t="n">
        <v>23.6</v>
      </c>
      <c r="R65" t="n">
        <v>0</v>
      </c>
      <c r="S65" t="n">
        <v>70.2</v>
      </c>
      <c r="T65" t="inlineStr">
        <is>
          <t>NA</t>
        </is>
      </c>
      <c r="U65">
        <f>IF(LEFT(G65,8)="Baseline","Baseline",IF(LEFT(G65,8)="Recovery","Recovery","Commercial"))</f>
        <v/>
      </c>
      <c r="V65">
        <f>IF(ISNUMBER(SEARCH("Nike",G65)),"Nike","elf")</f>
        <v/>
      </c>
      <c r="W65">
        <f>IF(OR(AND(E65="A",V65="Nike"),AND(E65="B",V65="elf")),"first","second")</f>
        <v/>
      </c>
      <c r="X65">
        <f>IF(COUNTIFS(Data!$B$2:$B$181,B65,Data!$U$2:$U$181,"Commercial",Data!$Q$2:$Q$181,"&lt;0")+COUNTIFS(Data!$B$2:$B$181,B65,Data!$U$2:$U$181,"Commercial",Data!$R$2:$R$181,"&gt;20")&gt;0,"No","Yes")</f>
        <v/>
      </c>
      <c r="Y65">
        <f>IF(COUNTIFS(Data!$B$2:$B$181,B65,Data!$L$2:$L$181,0)&gt;=4,1,0)</f>
        <v/>
      </c>
      <c r="Z65" s="5">
        <f>M65/(J65/60000)</f>
        <v/>
      </c>
      <c r="AA65" s="5">
        <f>M65/(I65/60000)</f>
        <v/>
      </c>
    </row>
    <row r="66">
      <c r="A66" t="inlineStr">
        <is>
          <t>SIMULATED_Arousal_Nike_vs_elf</t>
        </is>
      </c>
      <c r="B66" t="inlineStr">
        <is>
          <t>P11</t>
        </is>
      </c>
      <c r="C66" t="inlineStr">
        <is>
          <t>F</t>
        </is>
      </c>
      <c r="D66" t="n">
        <v>26</v>
      </c>
      <c r="E66" t="inlineStr">
        <is>
          <t>B</t>
        </is>
      </c>
      <c r="F66" t="inlineStr">
        <is>
          <t>Stimulus</t>
        </is>
      </c>
      <c r="G66" t="inlineStr">
        <is>
          <t>elf_Commercial</t>
        </is>
      </c>
      <c r="H66" t="n">
        <v>85846</v>
      </c>
      <c r="I66" t="n">
        <v>30000</v>
      </c>
      <c r="J66" t="n">
        <v>30000</v>
      </c>
      <c r="K66" t="inlineStr">
        <is>
          <t>elf_Commercial</t>
        </is>
      </c>
      <c r="L66" t="n">
        <v>1</v>
      </c>
      <c r="M66" t="n">
        <v>3</v>
      </c>
      <c r="N66" t="n">
        <v>6</v>
      </c>
      <c r="O66" t="n">
        <v>0.2571</v>
      </c>
      <c r="P66" t="inlineStr">
        <is>
          <t>Shimmer3-8956</t>
        </is>
      </c>
      <c r="Q66" t="n">
        <v>24.5</v>
      </c>
      <c r="R66" t="n">
        <v>0.5</v>
      </c>
      <c r="S66" t="n">
        <v>65.7</v>
      </c>
      <c r="T66" t="n">
        <v>4</v>
      </c>
      <c r="U66">
        <f>IF(LEFT(G66,8)="Baseline","Baseline",IF(LEFT(G66,8)="Recovery","Recovery","Commercial"))</f>
        <v/>
      </c>
      <c r="V66">
        <f>IF(ISNUMBER(SEARCH("Nike",G66)),"Nike","elf")</f>
        <v/>
      </c>
      <c r="W66">
        <f>IF(OR(AND(E66="A",V66="Nike"),AND(E66="B",V66="elf")),"first","second")</f>
        <v/>
      </c>
      <c r="X66">
        <f>IF(COUNTIFS(Data!$B$2:$B$181,B66,Data!$U$2:$U$181,"Commercial",Data!$Q$2:$Q$181,"&lt;0")+COUNTIFS(Data!$B$2:$B$181,B66,Data!$U$2:$U$181,"Commercial",Data!$R$2:$R$181,"&gt;20")&gt;0,"No","Yes")</f>
        <v/>
      </c>
      <c r="Y66">
        <f>IF(COUNTIFS(Data!$B$2:$B$181,B66,Data!$L$2:$L$181,0)&gt;=4,1,0)</f>
        <v/>
      </c>
      <c r="Z66" s="5">
        <f>M66/(J66/60000)</f>
        <v/>
      </c>
      <c r="AA66" s="5">
        <f>M66/(I66/60000)</f>
        <v/>
      </c>
    </row>
    <row r="67">
      <c r="A67" t="inlineStr">
        <is>
          <t>SIMULATED_Arousal_Nike_vs_elf</t>
        </is>
      </c>
      <c r="B67" t="inlineStr">
        <is>
          <t>P11</t>
        </is>
      </c>
      <c r="C67" t="inlineStr">
        <is>
          <t>F</t>
        </is>
      </c>
      <c r="D67" t="n">
        <v>26</v>
      </c>
      <c r="E67" t="inlineStr">
        <is>
          <t>B</t>
        </is>
      </c>
      <c r="F67" t="inlineStr">
        <is>
          <t>Stimulus</t>
        </is>
      </c>
      <c r="G67" t="inlineStr">
        <is>
          <t>Recovery_elf</t>
        </is>
      </c>
      <c r="H67" t="n">
        <v>115846</v>
      </c>
      <c r="I67" t="n">
        <v>15000</v>
      </c>
      <c r="J67" t="n">
        <v>15000</v>
      </c>
      <c r="K67" t="inlineStr">
        <is>
          <t>Recovery_elf</t>
        </is>
      </c>
      <c r="L67" t="n">
        <v>1</v>
      </c>
      <c r="M67" t="n">
        <v>2</v>
      </c>
      <c r="N67" t="n">
        <v>8</v>
      </c>
      <c r="O67" t="n">
        <v>0.2847</v>
      </c>
      <c r="P67" t="inlineStr">
        <is>
          <t>Shimmer3-8956</t>
        </is>
      </c>
      <c r="Q67" t="n">
        <v>22.6</v>
      </c>
      <c r="R67" t="n">
        <v>1.3</v>
      </c>
      <c r="S67" t="n">
        <v>72.09999999999999</v>
      </c>
      <c r="T67" t="inlineStr">
        <is>
          <t>NA</t>
        </is>
      </c>
      <c r="U67">
        <f>IF(LEFT(G67,8)="Baseline","Baseline",IF(LEFT(G67,8)="Recovery","Recovery","Commercial"))</f>
        <v/>
      </c>
      <c r="V67">
        <f>IF(ISNUMBER(SEARCH("Nike",G67)),"Nike","elf")</f>
        <v/>
      </c>
      <c r="W67">
        <f>IF(OR(AND(E67="A",V67="Nike"),AND(E67="B",V67="elf")),"first","second")</f>
        <v/>
      </c>
      <c r="X67">
        <f>IF(COUNTIFS(Data!$B$2:$B$181,B67,Data!$U$2:$U$181,"Commercial",Data!$Q$2:$Q$181,"&lt;0")+COUNTIFS(Data!$B$2:$B$181,B67,Data!$U$2:$U$181,"Commercial",Data!$R$2:$R$181,"&gt;20")&gt;0,"No","Yes")</f>
        <v/>
      </c>
      <c r="Y67">
        <f>IF(COUNTIFS(Data!$B$2:$B$181,B67,Data!$L$2:$L$181,0)&gt;=4,1,0)</f>
        <v/>
      </c>
      <c r="Z67" s="5">
        <f>M67/(J67/60000)</f>
        <v/>
      </c>
      <c r="AA67" s="5">
        <f>M67/(I67/60000)</f>
        <v/>
      </c>
    </row>
    <row r="68">
      <c r="A68" t="inlineStr">
        <is>
          <t>SIMULATED_Arousal_Nike_vs_elf</t>
        </is>
      </c>
      <c r="B68" t="inlineStr">
        <is>
          <t>P12</t>
        </is>
      </c>
      <c r="C68" t="inlineStr">
        <is>
          <t>F</t>
        </is>
      </c>
      <c r="D68" t="n">
        <v>25</v>
      </c>
      <c r="E68" t="inlineStr">
        <is>
          <t>A</t>
        </is>
      </c>
      <c r="F68" t="inlineStr">
        <is>
          <t>Stimulus</t>
        </is>
      </c>
      <c r="G68" t="inlineStr">
        <is>
          <t>Baseline_Nike</t>
        </is>
      </c>
      <c r="H68" t="n">
        <v>28354</v>
      </c>
      <c r="I68" t="n">
        <v>60000</v>
      </c>
      <c r="J68" t="n">
        <v>60000</v>
      </c>
      <c r="K68" t="inlineStr">
        <is>
          <t>Baseline_Nike</t>
        </is>
      </c>
      <c r="L68" t="n">
        <v>1</v>
      </c>
      <c r="M68" t="n">
        <v>2</v>
      </c>
      <c r="N68" t="n">
        <v>2</v>
      </c>
      <c r="O68" t="n">
        <v>0.2703</v>
      </c>
      <c r="P68" t="inlineStr">
        <is>
          <t>Shimmer3-B</t>
        </is>
      </c>
      <c r="Q68" t="n">
        <v>24.6</v>
      </c>
      <c r="R68" t="n">
        <v>0</v>
      </c>
      <c r="S68" t="n">
        <v>68</v>
      </c>
      <c r="T68" t="inlineStr">
        <is>
          <t>NA</t>
        </is>
      </c>
      <c r="U68">
        <f>IF(LEFT(G68,8)="Baseline","Baseline",IF(LEFT(G68,8)="Recovery","Recovery","Commercial"))</f>
        <v/>
      </c>
      <c r="V68">
        <f>IF(ISNUMBER(SEARCH("Nike",G68)),"Nike","elf")</f>
        <v/>
      </c>
      <c r="W68">
        <f>IF(OR(AND(E68="A",V68="Nike"),AND(E68="B",V68="elf")),"first","second")</f>
        <v/>
      </c>
      <c r="X68">
        <f>IF(COUNTIFS(Data!$B$2:$B$181,B68,Data!$U$2:$U$181,"Commercial",Data!$Q$2:$Q$181,"&lt;0")+COUNTIFS(Data!$B$2:$B$181,B68,Data!$U$2:$U$181,"Commercial",Data!$R$2:$R$181,"&gt;20")&gt;0,"No","Yes")</f>
        <v/>
      </c>
      <c r="Y68">
        <f>IF(COUNTIFS(Data!$B$2:$B$181,B68,Data!$L$2:$L$181,0)&gt;=4,1,0)</f>
        <v/>
      </c>
      <c r="Z68" s="5">
        <f>M68/(J68/60000)</f>
        <v/>
      </c>
      <c r="AA68" s="5">
        <f>M68/(I68/60000)</f>
        <v/>
      </c>
    </row>
    <row r="69">
      <c r="A69" t="inlineStr">
        <is>
          <t>SIMULATED_Arousal_Nike_vs_elf</t>
        </is>
      </c>
      <c r="B69" t="inlineStr">
        <is>
          <t>P12</t>
        </is>
      </c>
      <c r="C69" t="inlineStr">
        <is>
          <t>F</t>
        </is>
      </c>
      <c r="D69" t="n">
        <v>25</v>
      </c>
      <c r="E69" t="inlineStr">
        <is>
          <t>A</t>
        </is>
      </c>
      <c r="F69" t="inlineStr">
        <is>
          <t>Stimulus</t>
        </is>
      </c>
      <c r="G69" t="inlineStr">
        <is>
          <t>Nike_Commercial</t>
        </is>
      </c>
      <c r="H69" t="n">
        <v>88354</v>
      </c>
      <c r="I69" t="n">
        <v>60000</v>
      </c>
      <c r="J69" t="n">
        <v>60000</v>
      </c>
      <c r="K69" t="inlineStr">
        <is>
          <t>Nike_Commercial</t>
        </is>
      </c>
      <c r="L69" t="n">
        <v>1</v>
      </c>
      <c r="M69" t="n">
        <v>7</v>
      </c>
      <c r="N69" t="n">
        <v>7</v>
      </c>
      <c r="O69" t="n">
        <v>0.275</v>
      </c>
      <c r="P69" t="inlineStr">
        <is>
          <t>Shimmer3-B</t>
        </is>
      </c>
      <c r="Q69" t="n">
        <v>26.3</v>
      </c>
      <c r="R69" t="n">
        <v>0</v>
      </c>
      <c r="S69" t="n">
        <v>62.5</v>
      </c>
      <c r="T69" t="n">
        <v>7</v>
      </c>
      <c r="U69">
        <f>IF(LEFT(G69,8)="Baseline","Baseline",IF(LEFT(G69,8)="Recovery","Recovery","Commercial"))</f>
        <v/>
      </c>
      <c r="V69">
        <f>IF(ISNUMBER(SEARCH("Nike",G69)),"Nike","elf")</f>
        <v/>
      </c>
      <c r="W69">
        <f>IF(OR(AND(E69="A",V69="Nike"),AND(E69="B",V69="elf")),"first","second")</f>
        <v/>
      </c>
      <c r="X69">
        <f>IF(COUNTIFS(Data!$B$2:$B$181,B69,Data!$U$2:$U$181,"Commercial",Data!$Q$2:$Q$181,"&lt;0")+COUNTIFS(Data!$B$2:$B$181,B69,Data!$U$2:$U$181,"Commercial",Data!$R$2:$R$181,"&gt;20")&gt;0,"No","Yes")</f>
        <v/>
      </c>
      <c r="Y69">
        <f>IF(COUNTIFS(Data!$B$2:$B$181,B69,Data!$L$2:$L$181,0)&gt;=4,1,0)</f>
        <v/>
      </c>
      <c r="Z69" s="5">
        <f>M69/(J69/60000)</f>
        <v/>
      </c>
      <c r="AA69" s="5">
        <f>M69/(I69/60000)</f>
        <v/>
      </c>
    </row>
    <row r="70">
      <c r="A70" t="inlineStr">
        <is>
          <t>SIMULATED_Arousal_Nike_vs_elf</t>
        </is>
      </c>
      <c r="B70" t="inlineStr">
        <is>
          <t>P12</t>
        </is>
      </c>
      <c r="C70" t="inlineStr">
        <is>
          <t>F</t>
        </is>
      </c>
      <c r="D70" t="n">
        <v>25</v>
      </c>
      <c r="E70" t="inlineStr">
        <is>
          <t>A</t>
        </is>
      </c>
      <c r="F70" t="inlineStr">
        <is>
          <t>Stimulus</t>
        </is>
      </c>
      <c r="G70" t="inlineStr">
        <is>
          <t>Recovery_Nike</t>
        </is>
      </c>
      <c r="H70" t="n">
        <v>148354</v>
      </c>
      <c r="I70" t="n">
        <v>15000</v>
      </c>
      <c r="J70" t="n">
        <v>15000</v>
      </c>
      <c r="K70" t="inlineStr">
        <is>
          <t>Recovery_Nike</t>
        </is>
      </c>
      <c r="L70" t="n">
        <v>1</v>
      </c>
      <c r="M70" t="n">
        <v>1</v>
      </c>
      <c r="N70" t="n">
        <v>4</v>
      </c>
      <c r="O70" t="n">
        <v>0.1813</v>
      </c>
      <c r="P70" t="inlineStr">
        <is>
          <t>Shimmer3-B</t>
        </is>
      </c>
      <c r="Q70" t="n">
        <v>24.7</v>
      </c>
      <c r="R70" t="n">
        <v>1.2</v>
      </c>
      <c r="S70" t="n">
        <v>64.2</v>
      </c>
      <c r="T70" t="inlineStr">
        <is>
          <t>NA</t>
        </is>
      </c>
      <c r="U70">
        <f>IF(LEFT(G70,8)="Baseline","Baseline",IF(LEFT(G70,8)="Recovery","Recovery","Commercial"))</f>
        <v/>
      </c>
      <c r="V70">
        <f>IF(ISNUMBER(SEARCH("Nike",G70)),"Nike","elf")</f>
        <v/>
      </c>
      <c r="W70">
        <f>IF(OR(AND(E70="A",V70="Nike"),AND(E70="B",V70="elf")),"first","second")</f>
        <v/>
      </c>
      <c r="X70">
        <f>IF(COUNTIFS(Data!$B$2:$B$181,B70,Data!$U$2:$U$181,"Commercial",Data!$Q$2:$Q$181,"&lt;0")+COUNTIFS(Data!$B$2:$B$181,B70,Data!$U$2:$U$181,"Commercial",Data!$R$2:$R$181,"&gt;20")&gt;0,"No","Yes")</f>
        <v/>
      </c>
      <c r="Y70">
        <f>IF(COUNTIFS(Data!$B$2:$B$181,B70,Data!$L$2:$L$181,0)&gt;=4,1,0)</f>
        <v/>
      </c>
      <c r="Z70" s="5">
        <f>M70/(J70/60000)</f>
        <v/>
      </c>
      <c r="AA70" s="5">
        <f>M70/(I70/60000)</f>
        <v/>
      </c>
    </row>
    <row r="71">
      <c r="A71" t="inlineStr">
        <is>
          <t>SIMULATED_Arousal_Nike_vs_elf</t>
        </is>
      </c>
      <c r="B71" t="inlineStr">
        <is>
          <t>P12</t>
        </is>
      </c>
      <c r="C71" t="inlineStr">
        <is>
          <t>F</t>
        </is>
      </c>
      <c r="D71" t="n">
        <v>25</v>
      </c>
      <c r="E71" t="inlineStr">
        <is>
          <t>A</t>
        </is>
      </c>
      <c r="F71" t="inlineStr">
        <is>
          <t>Stimulus</t>
        </is>
      </c>
      <c r="G71" t="inlineStr">
        <is>
          <t>Baseline_elf</t>
        </is>
      </c>
      <c r="H71" t="n">
        <v>352993</v>
      </c>
      <c r="I71" t="n">
        <v>60000</v>
      </c>
      <c r="J71" t="n">
        <v>60000</v>
      </c>
      <c r="K71" t="inlineStr">
        <is>
          <t>Baseline_elf</t>
        </is>
      </c>
      <c r="L71" t="n">
        <v>1</v>
      </c>
      <c r="M71" t="n">
        <v>3</v>
      </c>
      <c r="N71" t="n">
        <v>3</v>
      </c>
      <c r="O71" t="n">
        <v>0.2223</v>
      </c>
      <c r="P71" t="inlineStr">
        <is>
          <t>Shimmer3-B</t>
        </is>
      </c>
      <c r="Q71" t="n">
        <v>24.4</v>
      </c>
      <c r="R71" t="n">
        <v>0</v>
      </c>
      <c r="S71" t="n">
        <v>67.2</v>
      </c>
      <c r="T71" t="inlineStr">
        <is>
          <t>NA</t>
        </is>
      </c>
      <c r="U71">
        <f>IF(LEFT(G71,8)="Baseline","Baseline",IF(LEFT(G71,8)="Recovery","Recovery","Commercial"))</f>
        <v/>
      </c>
      <c r="V71">
        <f>IF(ISNUMBER(SEARCH("Nike",G71)),"Nike","elf")</f>
        <v/>
      </c>
      <c r="W71">
        <f>IF(OR(AND(E71="A",V71="Nike"),AND(E71="B",V71="elf")),"first","second")</f>
        <v/>
      </c>
      <c r="X71">
        <f>IF(COUNTIFS(Data!$B$2:$B$181,B71,Data!$U$2:$U$181,"Commercial",Data!$Q$2:$Q$181,"&lt;0")+COUNTIFS(Data!$B$2:$B$181,B71,Data!$U$2:$U$181,"Commercial",Data!$R$2:$R$181,"&gt;20")&gt;0,"No","Yes")</f>
        <v/>
      </c>
      <c r="Y71">
        <f>IF(COUNTIFS(Data!$B$2:$B$181,B71,Data!$L$2:$L$181,0)&gt;=4,1,0)</f>
        <v/>
      </c>
      <c r="Z71" s="5">
        <f>M71/(J71/60000)</f>
        <v/>
      </c>
      <c r="AA71" s="5">
        <f>M71/(I71/60000)</f>
        <v/>
      </c>
    </row>
    <row r="72">
      <c r="A72" t="inlineStr">
        <is>
          <t>SIMULATED_Arousal_Nike_vs_elf</t>
        </is>
      </c>
      <c r="B72" t="inlineStr">
        <is>
          <t>P12</t>
        </is>
      </c>
      <c r="C72" t="inlineStr">
        <is>
          <t>F</t>
        </is>
      </c>
      <c r="D72" t="n">
        <v>25</v>
      </c>
      <c r="E72" t="inlineStr">
        <is>
          <t>A</t>
        </is>
      </c>
      <c r="F72" t="inlineStr">
        <is>
          <t>Stimulus</t>
        </is>
      </c>
      <c r="G72" t="inlineStr">
        <is>
          <t>elf_Commercial</t>
        </is>
      </c>
      <c r="H72" t="n">
        <v>412993</v>
      </c>
      <c r="I72" t="n">
        <v>30000</v>
      </c>
      <c r="J72" t="n">
        <v>30000</v>
      </c>
      <c r="K72" t="inlineStr">
        <is>
          <t>elf_Commercial</t>
        </is>
      </c>
      <c r="L72" t="n">
        <v>1</v>
      </c>
      <c r="M72" t="n">
        <v>2</v>
      </c>
      <c r="N72" t="n">
        <v>4</v>
      </c>
      <c r="O72" t="n">
        <v>0.2271</v>
      </c>
      <c r="P72" t="inlineStr">
        <is>
          <t>Shimmer3-B</t>
        </is>
      </c>
      <c r="Q72" t="n">
        <v>27.4</v>
      </c>
      <c r="R72" t="n">
        <v>0.3</v>
      </c>
      <c r="S72" t="n">
        <v>65.59999999999999</v>
      </c>
      <c r="T72" t="n">
        <v>7</v>
      </c>
      <c r="U72">
        <f>IF(LEFT(G72,8)="Baseline","Baseline",IF(LEFT(G72,8)="Recovery","Recovery","Commercial"))</f>
        <v/>
      </c>
      <c r="V72">
        <f>IF(ISNUMBER(SEARCH("Nike",G72)),"Nike","elf")</f>
        <v/>
      </c>
      <c r="W72">
        <f>IF(OR(AND(E72="A",V72="Nike"),AND(E72="B",V72="elf")),"first","second")</f>
        <v/>
      </c>
      <c r="X72">
        <f>IF(COUNTIFS(Data!$B$2:$B$181,B72,Data!$U$2:$U$181,"Commercial",Data!$Q$2:$Q$181,"&lt;0")+COUNTIFS(Data!$B$2:$B$181,B72,Data!$U$2:$U$181,"Commercial",Data!$R$2:$R$181,"&gt;20")&gt;0,"No","Yes")</f>
        <v/>
      </c>
      <c r="Y72">
        <f>IF(COUNTIFS(Data!$B$2:$B$181,B72,Data!$L$2:$L$181,0)&gt;=4,1,0)</f>
        <v/>
      </c>
      <c r="Z72" s="5">
        <f>M72/(J72/60000)</f>
        <v/>
      </c>
      <c r="AA72" s="5">
        <f>M72/(I72/60000)</f>
        <v/>
      </c>
    </row>
    <row r="73">
      <c r="A73" t="inlineStr">
        <is>
          <t>SIMULATED_Arousal_Nike_vs_elf</t>
        </is>
      </c>
      <c r="B73" t="inlineStr">
        <is>
          <t>P12</t>
        </is>
      </c>
      <c r="C73" t="inlineStr">
        <is>
          <t>F</t>
        </is>
      </c>
      <c r="D73" t="n">
        <v>25</v>
      </c>
      <c r="E73" t="inlineStr">
        <is>
          <t>A</t>
        </is>
      </c>
      <c r="F73" t="inlineStr">
        <is>
          <t>Stimulus</t>
        </is>
      </c>
      <c r="G73" t="inlineStr">
        <is>
          <t>Recovery_elf</t>
        </is>
      </c>
      <c r="H73" t="n">
        <v>442993</v>
      </c>
      <c r="I73" t="n">
        <v>15000</v>
      </c>
      <c r="J73" t="n">
        <v>15000</v>
      </c>
      <c r="K73" t="inlineStr">
        <is>
          <t>Recovery_elf</t>
        </is>
      </c>
      <c r="L73" t="n">
        <v>0</v>
      </c>
      <c r="M73" t="n">
        <v>0</v>
      </c>
      <c r="N73" t="n">
        <v>0</v>
      </c>
      <c r="O73" t="inlineStr">
        <is>
          <t>NA</t>
        </is>
      </c>
      <c r="P73" t="inlineStr">
        <is>
          <t>Shimmer3-B</t>
        </is>
      </c>
      <c r="Q73" t="n">
        <v>27.4</v>
      </c>
      <c r="R73" t="n">
        <v>0.2</v>
      </c>
      <c r="S73" t="n">
        <v>69.8</v>
      </c>
      <c r="T73" t="inlineStr">
        <is>
          <t>NA</t>
        </is>
      </c>
      <c r="U73">
        <f>IF(LEFT(G73,8)="Baseline","Baseline",IF(LEFT(G73,8)="Recovery","Recovery","Commercial"))</f>
        <v/>
      </c>
      <c r="V73">
        <f>IF(ISNUMBER(SEARCH("Nike",G73)),"Nike","elf")</f>
        <v/>
      </c>
      <c r="W73">
        <f>IF(OR(AND(E73="A",V73="Nike"),AND(E73="B",V73="elf")),"first","second")</f>
        <v/>
      </c>
      <c r="X73">
        <f>IF(COUNTIFS(Data!$B$2:$B$181,B73,Data!$U$2:$U$181,"Commercial",Data!$Q$2:$Q$181,"&lt;0")+COUNTIFS(Data!$B$2:$B$181,B73,Data!$U$2:$U$181,"Commercial",Data!$R$2:$R$181,"&gt;20")&gt;0,"No","Yes")</f>
        <v/>
      </c>
      <c r="Y73">
        <f>IF(COUNTIFS(Data!$B$2:$B$181,B73,Data!$L$2:$L$181,0)&gt;=4,1,0)</f>
        <v/>
      </c>
      <c r="Z73" s="5">
        <f>M73/(J73/60000)</f>
        <v/>
      </c>
      <c r="AA73" s="5">
        <f>M73/(I73/60000)</f>
        <v/>
      </c>
    </row>
    <row r="74">
      <c r="A74" t="inlineStr">
        <is>
          <t>SIMULATED_Arousal_Nike_vs_elf</t>
        </is>
      </c>
      <c r="B74" t="inlineStr">
        <is>
          <t>P13</t>
        </is>
      </c>
      <c r="C74" t="inlineStr">
        <is>
          <t>F</t>
        </is>
      </c>
      <c r="D74" t="n">
        <v>22</v>
      </c>
      <c r="E74" t="inlineStr">
        <is>
          <t>A</t>
        </is>
      </c>
      <c r="F74" t="inlineStr">
        <is>
          <t>Stimulus</t>
        </is>
      </c>
      <c r="G74" t="inlineStr">
        <is>
          <t>Baseline_Nike</t>
        </is>
      </c>
      <c r="H74" t="n">
        <v>36208</v>
      </c>
      <c r="I74" t="n">
        <v>60000</v>
      </c>
      <c r="J74" t="n">
        <v>60000</v>
      </c>
      <c r="K74" t="inlineStr">
        <is>
          <t>Baseline_Nike</t>
        </is>
      </c>
      <c r="L74" t="n">
        <v>1</v>
      </c>
      <c r="M74" t="n">
        <v>1</v>
      </c>
      <c r="N74" t="n">
        <v>1</v>
      </c>
      <c r="O74" t="n">
        <v>0.1037</v>
      </c>
      <c r="P74" t="inlineStr">
        <is>
          <t>Shimmer3-8956</t>
        </is>
      </c>
      <c r="Q74" t="n">
        <v>23.2</v>
      </c>
      <c r="R74" t="n">
        <v>1</v>
      </c>
      <c r="S74" t="n">
        <v>86.09999999999999</v>
      </c>
      <c r="T74" t="inlineStr">
        <is>
          <t>NA</t>
        </is>
      </c>
      <c r="U74">
        <f>IF(LEFT(G74,8)="Baseline","Baseline",IF(LEFT(G74,8)="Recovery","Recovery","Commercial"))</f>
        <v/>
      </c>
      <c r="V74">
        <f>IF(ISNUMBER(SEARCH("Nike",G74)),"Nike","elf")</f>
        <v/>
      </c>
      <c r="W74">
        <f>IF(OR(AND(E74="A",V74="Nike"),AND(E74="B",V74="elf")),"first","second")</f>
        <v/>
      </c>
      <c r="X74">
        <f>IF(COUNTIFS(Data!$B$2:$B$181,B74,Data!$U$2:$U$181,"Commercial",Data!$Q$2:$Q$181,"&lt;0")+COUNTIFS(Data!$B$2:$B$181,B74,Data!$U$2:$U$181,"Commercial",Data!$R$2:$R$181,"&gt;20")&gt;0,"No","Yes")</f>
        <v/>
      </c>
      <c r="Y74">
        <f>IF(COUNTIFS(Data!$B$2:$B$181,B74,Data!$L$2:$L$181,0)&gt;=4,1,0)</f>
        <v/>
      </c>
      <c r="Z74" s="5">
        <f>M74/(J74/60000)</f>
        <v/>
      </c>
      <c r="AA74" s="5">
        <f>M74/(I74/60000)</f>
        <v/>
      </c>
    </row>
    <row r="75">
      <c r="A75" t="inlineStr">
        <is>
          <t>SIMULATED_Arousal_Nike_vs_elf</t>
        </is>
      </c>
      <c r="B75" t="inlineStr">
        <is>
          <t>P13</t>
        </is>
      </c>
      <c r="C75" t="inlineStr">
        <is>
          <t>F</t>
        </is>
      </c>
      <c r="D75" t="n">
        <v>22</v>
      </c>
      <c r="E75" t="inlineStr">
        <is>
          <t>A</t>
        </is>
      </c>
      <c r="F75" t="inlineStr">
        <is>
          <t>Stimulus</t>
        </is>
      </c>
      <c r="G75" t="inlineStr">
        <is>
          <t>Nike_Commercial</t>
        </is>
      </c>
      <c r="H75" t="n">
        <v>96208</v>
      </c>
      <c r="I75" t="n">
        <v>60000</v>
      </c>
      <c r="J75" t="n">
        <v>60000</v>
      </c>
      <c r="K75" t="inlineStr">
        <is>
          <t>Nike_Commercial</t>
        </is>
      </c>
      <c r="L75" t="n">
        <v>1</v>
      </c>
      <c r="M75" t="n">
        <v>5</v>
      </c>
      <c r="N75" t="n">
        <v>5</v>
      </c>
      <c r="O75" t="n">
        <v>0.229</v>
      </c>
      <c r="P75" t="inlineStr">
        <is>
          <t>Shimmer3-8956</t>
        </is>
      </c>
      <c r="Q75" t="n">
        <v>20</v>
      </c>
      <c r="R75" t="n">
        <v>0.3</v>
      </c>
      <c r="S75" t="n">
        <v>85.5</v>
      </c>
      <c r="T75" t="n">
        <v>6</v>
      </c>
      <c r="U75">
        <f>IF(LEFT(G75,8)="Baseline","Baseline",IF(LEFT(G75,8)="Recovery","Recovery","Commercial"))</f>
        <v/>
      </c>
      <c r="V75">
        <f>IF(ISNUMBER(SEARCH("Nike",G75)),"Nike","elf")</f>
        <v/>
      </c>
      <c r="W75">
        <f>IF(OR(AND(E75="A",V75="Nike"),AND(E75="B",V75="elf")),"first","second")</f>
        <v/>
      </c>
      <c r="X75">
        <f>IF(COUNTIFS(Data!$B$2:$B$181,B75,Data!$U$2:$U$181,"Commercial",Data!$Q$2:$Q$181,"&lt;0")+COUNTIFS(Data!$B$2:$B$181,B75,Data!$U$2:$U$181,"Commercial",Data!$R$2:$R$181,"&gt;20")&gt;0,"No","Yes")</f>
        <v/>
      </c>
      <c r="Y75">
        <f>IF(COUNTIFS(Data!$B$2:$B$181,B75,Data!$L$2:$L$181,0)&gt;=4,1,0)</f>
        <v/>
      </c>
      <c r="Z75" s="5">
        <f>M75/(J75/60000)</f>
        <v/>
      </c>
      <c r="AA75" s="5">
        <f>M75/(I75/60000)</f>
        <v/>
      </c>
    </row>
    <row r="76">
      <c r="A76" t="inlineStr">
        <is>
          <t>SIMULATED_Arousal_Nike_vs_elf</t>
        </is>
      </c>
      <c r="B76" t="inlineStr">
        <is>
          <t>P13</t>
        </is>
      </c>
      <c r="C76" t="inlineStr">
        <is>
          <t>F</t>
        </is>
      </c>
      <c r="D76" t="n">
        <v>22</v>
      </c>
      <c r="E76" t="inlineStr">
        <is>
          <t>A</t>
        </is>
      </c>
      <c r="F76" t="inlineStr">
        <is>
          <t>Stimulus</t>
        </is>
      </c>
      <c r="G76" t="inlineStr">
        <is>
          <t>Recovery_Nike</t>
        </is>
      </c>
      <c r="H76" t="n">
        <v>156208</v>
      </c>
      <c r="I76" t="n">
        <v>15000</v>
      </c>
      <c r="J76" t="n">
        <v>15000</v>
      </c>
      <c r="K76" t="inlineStr">
        <is>
          <t>Recovery_Nike</t>
        </is>
      </c>
      <c r="L76" t="n">
        <v>0</v>
      </c>
      <c r="M76" t="n">
        <v>0</v>
      </c>
      <c r="N76" t="n">
        <v>0</v>
      </c>
      <c r="O76" t="inlineStr">
        <is>
          <t>NA</t>
        </is>
      </c>
      <c r="P76" t="inlineStr">
        <is>
          <t>Shimmer3-8956</t>
        </is>
      </c>
      <c r="Q76" t="n">
        <v>27.3</v>
      </c>
      <c r="R76" t="n">
        <v>0</v>
      </c>
      <c r="S76" t="n">
        <v>88.3</v>
      </c>
      <c r="T76" t="inlineStr">
        <is>
          <t>NA</t>
        </is>
      </c>
      <c r="U76">
        <f>IF(LEFT(G76,8)="Baseline","Baseline",IF(LEFT(G76,8)="Recovery","Recovery","Commercial"))</f>
        <v/>
      </c>
      <c r="V76">
        <f>IF(ISNUMBER(SEARCH("Nike",G76)),"Nike","elf")</f>
        <v/>
      </c>
      <c r="W76">
        <f>IF(OR(AND(E76="A",V76="Nike"),AND(E76="B",V76="elf")),"first","second")</f>
        <v/>
      </c>
      <c r="X76">
        <f>IF(COUNTIFS(Data!$B$2:$B$181,B76,Data!$U$2:$U$181,"Commercial",Data!$Q$2:$Q$181,"&lt;0")+COUNTIFS(Data!$B$2:$B$181,B76,Data!$U$2:$U$181,"Commercial",Data!$R$2:$R$181,"&gt;20")&gt;0,"No","Yes")</f>
        <v/>
      </c>
      <c r="Y76">
        <f>IF(COUNTIFS(Data!$B$2:$B$181,B76,Data!$L$2:$L$181,0)&gt;=4,1,0)</f>
        <v/>
      </c>
      <c r="Z76" s="5">
        <f>M76/(J76/60000)</f>
        <v/>
      </c>
      <c r="AA76" s="5">
        <f>M76/(I76/60000)</f>
        <v/>
      </c>
    </row>
    <row r="77">
      <c r="A77" t="inlineStr">
        <is>
          <t>SIMULATED_Arousal_Nike_vs_elf</t>
        </is>
      </c>
      <c r="B77" t="inlineStr">
        <is>
          <t>P13</t>
        </is>
      </c>
      <c r="C77" t="inlineStr">
        <is>
          <t>F</t>
        </is>
      </c>
      <c r="D77" t="n">
        <v>22</v>
      </c>
      <c r="E77" t="inlineStr">
        <is>
          <t>A</t>
        </is>
      </c>
      <c r="F77" t="inlineStr">
        <is>
          <t>Stimulus</t>
        </is>
      </c>
      <c r="G77" t="inlineStr">
        <is>
          <t>Baseline_elf</t>
        </is>
      </c>
      <c r="H77" t="n">
        <v>348091</v>
      </c>
      <c r="I77" t="n">
        <v>60000</v>
      </c>
      <c r="J77" t="n">
        <v>60000</v>
      </c>
      <c r="K77" t="inlineStr">
        <is>
          <t>Baseline_elf</t>
        </is>
      </c>
      <c r="L77" t="n">
        <v>1</v>
      </c>
      <c r="M77" t="n">
        <v>2</v>
      </c>
      <c r="N77" t="n">
        <v>2</v>
      </c>
      <c r="O77" t="n">
        <v>0.1981</v>
      </c>
      <c r="P77" t="inlineStr">
        <is>
          <t>Shimmer3-8956</t>
        </is>
      </c>
      <c r="Q77" t="n">
        <v>26.8</v>
      </c>
      <c r="R77" t="n">
        <v>0</v>
      </c>
      <c r="S77" t="n">
        <v>87.40000000000001</v>
      </c>
      <c r="T77" t="inlineStr">
        <is>
          <t>NA</t>
        </is>
      </c>
      <c r="U77">
        <f>IF(LEFT(G77,8)="Baseline","Baseline",IF(LEFT(G77,8)="Recovery","Recovery","Commercial"))</f>
        <v/>
      </c>
      <c r="V77">
        <f>IF(ISNUMBER(SEARCH("Nike",G77)),"Nike","elf")</f>
        <v/>
      </c>
      <c r="W77">
        <f>IF(OR(AND(E77="A",V77="Nike"),AND(E77="B",V77="elf")),"first","second")</f>
        <v/>
      </c>
      <c r="X77">
        <f>IF(COUNTIFS(Data!$B$2:$B$181,B77,Data!$U$2:$U$181,"Commercial",Data!$Q$2:$Q$181,"&lt;0")+COUNTIFS(Data!$B$2:$B$181,B77,Data!$U$2:$U$181,"Commercial",Data!$R$2:$R$181,"&gt;20")&gt;0,"No","Yes")</f>
        <v/>
      </c>
      <c r="Y77">
        <f>IF(COUNTIFS(Data!$B$2:$B$181,B77,Data!$L$2:$L$181,0)&gt;=4,1,0)</f>
        <v/>
      </c>
      <c r="Z77" s="5">
        <f>M77/(J77/60000)</f>
        <v/>
      </c>
      <c r="AA77" s="5">
        <f>M77/(I77/60000)</f>
        <v/>
      </c>
    </row>
    <row r="78">
      <c r="A78" t="inlineStr">
        <is>
          <t>SIMULATED_Arousal_Nike_vs_elf</t>
        </is>
      </c>
      <c r="B78" t="inlineStr">
        <is>
          <t>P13</t>
        </is>
      </c>
      <c r="C78" t="inlineStr">
        <is>
          <t>F</t>
        </is>
      </c>
      <c r="D78" t="n">
        <v>22</v>
      </c>
      <c r="E78" t="inlineStr">
        <is>
          <t>A</t>
        </is>
      </c>
      <c r="F78" t="inlineStr">
        <is>
          <t>Stimulus</t>
        </is>
      </c>
      <c r="G78" t="inlineStr">
        <is>
          <t>elf_Commercial</t>
        </is>
      </c>
      <c r="H78" t="n">
        <v>408091</v>
      </c>
      <c r="I78" t="n">
        <v>30000</v>
      </c>
      <c r="J78" t="n">
        <v>30000</v>
      </c>
      <c r="K78" t="inlineStr">
        <is>
          <t>elf_Commercial</t>
        </is>
      </c>
      <c r="L78" t="n">
        <v>1</v>
      </c>
      <c r="M78" t="n">
        <v>1</v>
      </c>
      <c r="N78" t="n">
        <v>2</v>
      </c>
      <c r="O78" t="n">
        <v>0.1341</v>
      </c>
      <c r="P78" t="inlineStr">
        <is>
          <t>Shimmer3-8956</t>
        </is>
      </c>
      <c r="Q78" t="n">
        <v>25.1</v>
      </c>
      <c r="R78" t="n">
        <v>0</v>
      </c>
      <c r="S78" t="n">
        <v>85.8</v>
      </c>
      <c r="T78" t="n">
        <v>6</v>
      </c>
      <c r="U78">
        <f>IF(LEFT(G78,8)="Baseline","Baseline",IF(LEFT(G78,8)="Recovery","Recovery","Commercial"))</f>
        <v/>
      </c>
      <c r="V78">
        <f>IF(ISNUMBER(SEARCH("Nike",G78)),"Nike","elf")</f>
        <v/>
      </c>
      <c r="W78">
        <f>IF(OR(AND(E78="A",V78="Nike"),AND(E78="B",V78="elf")),"first","second")</f>
        <v/>
      </c>
      <c r="X78">
        <f>IF(COUNTIFS(Data!$B$2:$B$181,B78,Data!$U$2:$U$181,"Commercial",Data!$Q$2:$Q$181,"&lt;0")+COUNTIFS(Data!$B$2:$B$181,B78,Data!$U$2:$U$181,"Commercial",Data!$R$2:$R$181,"&gt;20")&gt;0,"No","Yes")</f>
        <v/>
      </c>
      <c r="Y78">
        <f>IF(COUNTIFS(Data!$B$2:$B$181,B78,Data!$L$2:$L$181,0)&gt;=4,1,0)</f>
        <v/>
      </c>
      <c r="Z78" s="5">
        <f>M78/(J78/60000)</f>
        <v/>
      </c>
      <c r="AA78" s="5">
        <f>M78/(I78/60000)</f>
        <v/>
      </c>
    </row>
    <row r="79">
      <c r="A79" t="inlineStr">
        <is>
          <t>SIMULATED_Arousal_Nike_vs_elf</t>
        </is>
      </c>
      <c r="B79" t="inlineStr">
        <is>
          <t>P13</t>
        </is>
      </c>
      <c r="C79" t="inlineStr">
        <is>
          <t>F</t>
        </is>
      </c>
      <c r="D79" t="n">
        <v>22</v>
      </c>
      <c r="E79" t="inlineStr">
        <is>
          <t>A</t>
        </is>
      </c>
      <c r="F79" t="inlineStr">
        <is>
          <t>Stimulus</t>
        </is>
      </c>
      <c r="G79" t="inlineStr">
        <is>
          <t>Recovery_elf</t>
        </is>
      </c>
      <c r="H79" t="n">
        <v>438091</v>
      </c>
      <c r="I79" t="n">
        <v>15000</v>
      </c>
      <c r="J79" t="n">
        <v>15000</v>
      </c>
      <c r="K79" t="inlineStr">
        <is>
          <t>Recovery_elf</t>
        </is>
      </c>
      <c r="L79" t="n">
        <v>1</v>
      </c>
      <c r="M79" t="n">
        <v>1</v>
      </c>
      <c r="N79" t="n">
        <v>4</v>
      </c>
      <c r="O79" t="n">
        <v>0.3368</v>
      </c>
      <c r="P79" t="inlineStr">
        <is>
          <t>Shimmer3-8956</t>
        </is>
      </c>
      <c r="Q79" t="n">
        <v>22.9</v>
      </c>
      <c r="R79" t="n">
        <v>3.1</v>
      </c>
      <c r="S79" t="n">
        <v>88.40000000000001</v>
      </c>
      <c r="T79" t="inlineStr">
        <is>
          <t>NA</t>
        </is>
      </c>
      <c r="U79">
        <f>IF(LEFT(G79,8)="Baseline","Baseline",IF(LEFT(G79,8)="Recovery","Recovery","Commercial"))</f>
        <v/>
      </c>
      <c r="V79">
        <f>IF(ISNUMBER(SEARCH("Nike",G79)),"Nike","elf")</f>
        <v/>
      </c>
      <c r="W79">
        <f>IF(OR(AND(E79="A",V79="Nike"),AND(E79="B",V79="elf")),"first","second")</f>
        <v/>
      </c>
      <c r="X79">
        <f>IF(COUNTIFS(Data!$B$2:$B$181,B79,Data!$U$2:$U$181,"Commercial",Data!$Q$2:$Q$181,"&lt;0")+COUNTIFS(Data!$B$2:$B$181,B79,Data!$U$2:$U$181,"Commercial",Data!$R$2:$R$181,"&gt;20")&gt;0,"No","Yes")</f>
        <v/>
      </c>
      <c r="Y79">
        <f>IF(COUNTIFS(Data!$B$2:$B$181,B79,Data!$L$2:$L$181,0)&gt;=4,1,0)</f>
        <v/>
      </c>
      <c r="Z79" s="5">
        <f>M79/(J79/60000)</f>
        <v/>
      </c>
      <c r="AA79" s="5">
        <f>M79/(I79/60000)</f>
        <v/>
      </c>
    </row>
    <row r="80">
      <c r="A80" t="inlineStr">
        <is>
          <t>SIMULATED_Arousal_Nike_vs_elf</t>
        </is>
      </c>
      <c r="B80" t="inlineStr">
        <is>
          <t>P14</t>
        </is>
      </c>
      <c r="C80" t="inlineStr">
        <is>
          <t>F</t>
        </is>
      </c>
      <c r="D80" t="n">
        <v>30</v>
      </c>
      <c r="E80" t="inlineStr">
        <is>
          <t>B</t>
        </is>
      </c>
      <c r="F80" t="inlineStr">
        <is>
          <t>Stimulus</t>
        </is>
      </c>
      <c r="G80" t="inlineStr">
        <is>
          <t>Baseline_Nike</t>
        </is>
      </c>
      <c r="H80" t="n">
        <v>325470</v>
      </c>
      <c r="I80" t="n">
        <v>60000</v>
      </c>
      <c r="J80" t="n">
        <v>60000</v>
      </c>
      <c r="K80" t="inlineStr">
        <is>
          <t>Baseline_Nike</t>
        </is>
      </c>
      <c r="L80" t="n">
        <v>1</v>
      </c>
      <c r="M80" t="n">
        <v>2</v>
      </c>
      <c r="N80" t="n">
        <v>2</v>
      </c>
      <c r="O80" t="n">
        <v>0.1548</v>
      </c>
      <c r="P80" t="inlineStr">
        <is>
          <t>Shimmer3-B</t>
        </is>
      </c>
      <c r="Q80" t="n">
        <v>22.3</v>
      </c>
      <c r="R80" t="n">
        <v>0.3</v>
      </c>
      <c r="S80" t="n">
        <v>72.7</v>
      </c>
      <c r="T80" t="inlineStr">
        <is>
          <t>NA</t>
        </is>
      </c>
      <c r="U80">
        <f>IF(LEFT(G80,8)="Baseline","Baseline",IF(LEFT(G80,8)="Recovery","Recovery","Commercial"))</f>
        <v/>
      </c>
      <c r="V80">
        <f>IF(ISNUMBER(SEARCH("Nike",G80)),"Nike","elf")</f>
        <v/>
      </c>
      <c r="W80">
        <f>IF(OR(AND(E80="A",V80="Nike"),AND(E80="B",V80="elf")),"first","second")</f>
        <v/>
      </c>
      <c r="X80">
        <f>IF(COUNTIFS(Data!$B$2:$B$181,B80,Data!$U$2:$U$181,"Commercial",Data!$Q$2:$Q$181,"&lt;0")+COUNTIFS(Data!$B$2:$B$181,B80,Data!$U$2:$U$181,"Commercial",Data!$R$2:$R$181,"&gt;20")&gt;0,"No","Yes")</f>
        <v/>
      </c>
      <c r="Y80">
        <f>IF(COUNTIFS(Data!$B$2:$B$181,B80,Data!$L$2:$L$181,0)&gt;=4,1,0)</f>
        <v/>
      </c>
      <c r="Z80" s="5">
        <f>M80/(J80/60000)</f>
        <v/>
      </c>
      <c r="AA80" s="5">
        <f>M80/(I80/60000)</f>
        <v/>
      </c>
    </row>
    <row r="81">
      <c r="A81" t="inlineStr">
        <is>
          <t>SIMULATED_Arousal_Nike_vs_elf</t>
        </is>
      </c>
      <c r="B81" t="inlineStr">
        <is>
          <t>P14</t>
        </is>
      </c>
      <c r="C81" t="inlineStr">
        <is>
          <t>F</t>
        </is>
      </c>
      <c r="D81" t="n">
        <v>30</v>
      </c>
      <c r="E81" t="inlineStr">
        <is>
          <t>B</t>
        </is>
      </c>
      <c r="F81" t="inlineStr">
        <is>
          <t>Stimulus</t>
        </is>
      </c>
      <c r="G81" t="inlineStr">
        <is>
          <t>Nike_Commercial</t>
        </is>
      </c>
      <c r="H81" t="n">
        <v>385470</v>
      </c>
      <c r="I81" t="n">
        <v>60000</v>
      </c>
      <c r="J81" t="n">
        <v>60000</v>
      </c>
      <c r="K81" t="inlineStr">
        <is>
          <t>Nike_Commercial</t>
        </is>
      </c>
      <c r="L81" t="n">
        <v>1</v>
      </c>
      <c r="M81" t="n">
        <v>6</v>
      </c>
      <c r="N81" t="n">
        <v>6</v>
      </c>
      <c r="O81" t="n">
        <v>0.2671</v>
      </c>
      <c r="P81" t="inlineStr">
        <is>
          <t>Shimmer3-B</t>
        </is>
      </c>
      <c r="Q81" t="n">
        <v>19.2</v>
      </c>
      <c r="R81" t="n">
        <v>0.2</v>
      </c>
      <c r="S81" t="n">
        <v>70.2</v>
      </c>
      <c r="T81" t="n">
        <v>6</v>
      </c>
      <c r="U81">
        <f>IF(LEFT(G81,8)="Baseline","Baseline",IF(LEFT(G81,8)="Recovery","Recovery","Commercial"))</f>
        <v/>
      </c>
      <c r="V81">
        <f>IF(ISNUMBER(SEARCH("Nike",G81)),"Nike","elf")</f>
        <v/>
      </c>
      <c r="W81">
        <f>IF(OR(AND(E81="A",V81="Nike"),AND(E81="B",V81="elf")),"first","second")</f>
        <v/>
      </c>
      <c r="X81">
        <f>IF(COUNTIFS(Data!$B$2:$B$181,B81,Data!$U$2:$U$181,"Commercial",Data!$Q$2:$Q$181,"&lt;0")+COUNTIFS(Data!$B$2:$B$181,B81,Data!$U$2:$U$181,"Commercial",Data!$R$2:$R$181,"&gt;20")&gt;0,"No","Yes")</f>
        <v/>
      </c>
      <c r="Y81">
        <f>IF(COUNTIFS(Data!$B$2:$B$181,B81,Data!$L$2:$L$181,0)&gt;=4,1,0)</f>
        <v/>
      </c>
      <c r="Z81" s="5">
        <f>M81/(J81/60000)</f>
        <v/>
      </c>
      <c r="AA81" s="5">
        <f>M81/(I81/60000)</f>
        <v/>
      </c>
    </row>
    <row r="82">
      <c r="A82" t="inlineStr">
        <is>
          <t>SIMULATED_Arousal_Nike_vs_elf</t>
        </is>
      </c>
      <c r="B82" t="inlineStr">
        <is>
          <t>P14</t>
        </is>
      </c>
      <c r="C82" t="inlineStr">
        <is>
          <t>F</t>
        </is>
      </c>
      <c r="D82" t="n">
        <v>30</v>
      </c>
      <c r="E82" t="inlineStr">
        <is>
          <t>B</t>
        </is>
      </c>
      <c r="F82" t="inlineStr">
        <is>
          <t>Stimulus</t>
        </is>
      </c>
      <c r="G82" t="inlineStr">
        <is>
          <t>Recovery_Nike</t>
        </is>
      </c>
      <c r="H82" t="n">
        <v>445470</v>
      </c>
      <c r="I82" t="n">
        <v>15000</v>
      </c>
      <c r="J82" t="n">
        <v>15000</v>
      </c>
      <c r="K82" t="inlineStr">
        <is>
          <t>Recovery_Nike</t>
        </is>
      </c>
      <c r="L82" t="n">
        <v>1</v>
      </c>
      <c r="M82" t="n">
        <v>1</v>
      </c>
      <c r="N82" t="n">
        <v>4</v>
      </c>
      <c r="O82" t="n">
        <v>0.1832</v>
      </c>
      <c r="P82" t="inlineStr">
        <is>
          <t>Shimmer3-B</t>
        </is>
      </c>
      <c r="Q82" t="n">
        <v>16.1</v>
      </c>
      <c r="R82" t="n">
        <v>0</v>
      </c>
      <c r="S82" t="n">
        <v>70.3</v>
      </c>
      <c r="T82" t="inlineStr">
        <is>
          <t>NA</t>
        </is>
      </c>
      <c r="U82">
        <f>IF(LEFT(G82,8)="Baseline","Baseline",IF(LEFT(G82,8)="Recovery","Recovery","Commercial"))</f>
        <v/>
      </c>
      <c r="V82">
        <f>IF(ISNUMBER(SEARCH("Nike",G82)),"Nike","elf")</f>
        <v/>
      </c>
      <c r="W82">
        <f>IF(OR(AND(E82="A",V82="Nike"),AND(E82="B",V82="elf")),"first","second")</f>
        <v/>
      </c>
      <c r="X82">
        <f>IF(COUNTIFS(Data!$B$2:$B$181,B82,Data!$U$2:$U$181,"Commercial",Data!$Q$2:$Q$181,"&lt;0")+COUNTIFS(Data!$B$2:$B$181,B82,Data!$U$2:$U$181,"Commercial",Data!$R$2:$R$181,"&gt;20")&gt;0,"No","Yes")</f>
        <v/>
      </c>
      <c r="Y82">
        <f>IF(COUNTIFS(Data!$B$2:$B$181,B82,Data!$L$2:$L$181,0)&gt;=4,1,0)</f>
        <v/>
      </c>
      <c r="Z82" s="5">
        <f>M82/(J82/60000)</f>
        <v/>
      </c>
      <c r="AA82" s="5">
        <f>M82/(I82/60000)</f>
        <v/>
      </c>
    </row>
    <row r="83">
      <c r="A83" t="inlineStr">
        <is>
          <t>SIMULATED_Arousal_Nike_vs_elf</t>
        </is>
      </c>
      <c r="B83" t="inlineStr">
        <is>
          <t>P14</t>
        </is>
      </c>
      <c r="C83" t="inlineStr">
        <is>
          <t>F</t>
        </is>
      </c>
      <c r="D83" t="n">
        <v>30</v>
      </c>
      <c r="E83" t="inlineStr">
        <is>
          <t>B</t>
        </is>
      </c>
      <c r="F83" t="inlineStr">
        <is>
          <t>Stimulus</t>
        </is>
      </c>
      <c r="G83" t="inlineStr">
        <is>
          <t>Baseline_elf</t>
        </is>
      </c>
      <c r="H83" t="n">
        <v>36158</v>
      </c>
      <c r="I83" t="n">
        <v>60000</v>
      </c>
      <c r="J83" t="n">
        <v>60000</v>
      </c>
      <c r="K83" t="inlineStr">
        <is>
          <t>Baseline_elf</t>
        </is>
      </c>
      <c r="L83" t="n">
        <v>1</v>
      </c>
      <c r="M83" t="n">
        <v>4</v>
      </c>
      <c r="N83" t="n">
        <v>4</v>
      </c>
      <c r="O83" t="n">
        <v>0.2132</v>
      </c>
      <c r="P83" t="inlineStr">
        <is>
          <t>Shimmer3-B</t>
        </is>
      </c>
      <c r="Q83" t="n">
        <v>20.3</v>
      </c>
      <c r="R83" t="n">
        <v>0</v>
      </c>
      <c r="S83" t="n">
        <v>71.5</v>
      </c>
      <c r="T83" t="inlineStr">
        <is>
          <t>NA</t>
        </is>
      </c>
      <c r="U83">
        <f>IF(LEFT(G83,8)="Baseline","Baseline",IF(LEFT(G83,8)="Recovery","Recovery","Commercial"))</f>
        <v/>
      </c>
      <c r="V83">
        <f>IF(ISNUMBER(SEARCH("Nike",G83)),"Nike","elf")</f>
        <v/>
      </c>
      <c r="W83">
        <f>IF(OR(AND(E83="A",V83="Nike"),AND(E83="B",V83="elf")),"first","second")</f>
        <v/>
      </c>
      <c r="X83">
        <f>IF(COUNTIFS(Data!$B$2:$B$181,B83,Data!$U$2:$U$181,"Commercial",Data!$Q$2:$Q$181,"&lt;0")+COUNTIFS(Data!$B$2:$B$181,B83,Data!$U$2:$U$181,"Commercial",Data!$R$2:$R$181,"&gt;20")&gt;0,"No","Yes")</f>
        <v/>
      </c>
      <c r="Y83">
        <f>IF(COUNTIFS(Data!$B$2:$B$181,B83,Data!$L$2:$L$181,0)&gt;=4,1,0)</f>
        <v/>
      </c>
      <c r="Z83" s="5">
        <f>M83/(J83/60000)</f>
        <v/>
      </c>
      <c r="AA83" s="5">
        <f>M83/(I83/60000)</f>
        <v/>
      </c>
    </row>
    <row r="84">
      <c r="A84" t="inlineStr">
        <is>
          <t>SIMULATED_Arousal_Nike_vs_elf</t>
        </is>
      </c>
      <c r="B84" t="inlineStr">
        <is>
          <t>P14</t>
        </is>
      </c>
      <c r="C84" t="inlineStr">
        <is>
          <t>F</t>
        </is>
      </c>
      <c r="D84" t="n">
        <v>30</v>
      </c>
      <c r="E84" t="inlineStr">
        <is>
          <t>B</t>
        </is>
      </c>
      <c r="F84" t="inlineStr">
        <is>
          <t>Stimulus</t>
        </is>
      </c>
      <c r="G84" t="inlineStr">
        <is>
          <t>elf_Commercial</t>
        </is>
      </c>
      <c r="H84" t="n">
        <v>96158</v>
      </c>
      <c r="I84" t="n">
        <v>30000</v>
      </c>
      <c r="J84" t="n">
        <v>30000</v>
      </c>
      <c r="K84" t="inlineStr">
        <is>
          <t>elf_Commercial</t>
        </is>
      </c>
      <c r="L84" t="n">
        <v>1</v>
      </c>
      <c r="M84" t="n">
        <v>3</v>
      </c>
      <c r="N84" t="n">
        <v>6</v>
      </c>
      <c r="O84" t="n">
        <v>0.3152</v>
      </c>
      <c r="P84" t="inlineStr">
        <is>
          <t>Shimmer3-B</t>
        </is>
      </c>
      <c r="Q84" t="n">
        <v>18.6</v>
      </c>
      <c r="R84" t="n">
        <v>0</v>
      </c>
      <c r="S84" t="n">
        <v>70.3</v>
      </c>
      <c r="T84" t="n">
        <v>5</v>
      </c>
      <c r="U84">
        <f>IF(LEFT(G84,8)="Baseline","Baseline",IF(LEFT(G84,8)="Recovery","Recovery","Commercial"))</f>
        <v/>
      </c>
      <c r="V84">
        <f>IF(ISNUMBER(SEARCH("Nike",G84)),"Nike","elf")</f>
        <v/>
      </c>
      <c r="W84">
        <f>IF(OR(AND(E84="A",V84="Nike"),AND(E84="B",V84="elf")),"first","second")</f>
        <v/>
      </c>
      <c r="X84">
        <f>IF(COUNTIFS(Data!$B$2:$B$181,B84,Data!$U$2:$U$181,"Commercial",Data!$Q$2:$Q$181,"&lt;0")+COUNTIFS(Data!$B$2:$B$181,B84,Data!$U$2:$U$181,"Commercial",Data!$R$2:$R$181,"&gt;20")&gt;0,"No","Yes")</f>
        <v/>
      </c>
      <c r="Y84">
        <f>IF(COUNTIFS(Data!$B$2:$B$181,B84,Data!$L$2:$L$181,0)&gt;=4,1,0)</f>
        <v/>
      </c>
      <c r="Z84" s="5">
        <f>M84/(J84/60000)</f>
        <v/>
      </c>
      <c r="AA84" s="5">
        <f>M84/(I84/60000)</f>
        <v/>
      </c>
    </row>
    <row r="85">
      <c r="A85" t="inlineStr">
        <is>
          <t>SIMULATED_Arousal_Nike_vs_elf</t>
        </is>
      </c>
      <c r="B85" t="inlineStr">
        <is>
          <t>P14</t>
        </is>
      </c>
      <c r="C85" t="inlineStr">
        <is>
          <t>F</t>
        </is>
      </c>
      <c r="D85" t="n">
        <v>30</v>
      </c>
      <c r="E85" t="inlineStr">
        <is>
          <t>B</t>
        </is>
      </c>
      <c r="F85" t="inlineStr">
        <is>
          <t>Stimulus</t>
        </is>
      </c>
      <c r="G85" t="inlineStr">
        <is>
          <t>Recovery_elf</t>
        </is>
      </c>
      <c r="H85" t="n">
        <v>126158</v>
      </c>
      <c r="I85" t="n">
        <v>15000</v>
      </c>
      <c r="J85" t="n">
        <v>15000</v>
      </c>
      <c r="K85" t="inlineStr">
        <is>
          <t>Recovery_elf</t>
        </is>
      </c>
      <c r="L85" t="n">
        <v>1</v>
      </c>
      <c r="M85" t="n">
        <v>1</v>
      </c>
      <c r="N85" t="n">
        <v>4</v>
      </c>
      <c r="O85" t="n">
        <v>0.1124</v>
      </c>
      <c r="P85" t="inlineStr">
        <is>
          <t>Shimmer3-B</t>
        </is>
      </c>
      <c r="Q85" t="n">
        <v>23.2</v>
      </c>
      <c r="R85" t="n">
        <v>0</v>
      </c>
      <c r="S85" t="n">
        <v>72.7</v>
      </c>
      <c r="T85" t="inlineStr">
        <is>
          <t>NA</t>
        </is>
      </c>
      <c r="U85">
        <f>IF(LEFT(G85,8)="Baseline","Baseline",IF(LEFT(G85,8)="Recovery","Recovery","Commercial"))</f>
        <v/>
      </c>
      <c r="V85">
        <f>IF(ISNUMBER(SEARCH("Nike",G85)),"Nike","elf")</f>
        <v/>
      </c>
      <c r="W85">
        <f>IF(OR(AND(E85="A",V85="Nike"),AND(E85="B",V85="elf")),"first","second")</f>
        <v/>
      </c>
      <c r="X85">
        <f>IF(COUNTIFS(Data!$B$2:$B$181,B85,Data!$U$2:$U$181,"Commercial",Data!$Q$2:$Q$181,"&lt;0")+COUNTIFS(Data!$B$2:$B$181,B85,Data!$U$2:$U$181,"Commercial",Data!$R$2:$R$181,"&gt;20")&gt;0,"No","Yes")</f>
        <v/>
      </c>
      <c r="Y85">
        <f>IF(COUNTIFS(Data!$B$2:$B$181,B85,Data!$L$2:$L$181,0)&gt;=4,1,0)</f>
        <v/>
      </c>
      <c r="Z85" s="5">
        <f>M85/(J85/60000)</f>
        <v/>
      </c>
      <c r="AA85" s="5">
        <f>M85/(I85/60000)</f>
        <v/>
      </c>
    </row>
    <row r="86">
      <c r="A86" t="inlineStr">
        <is>
          <t>SIMULATED_Arousal_Nike_vs_elf</t>
        </is>
      </c>
      <c r="B86" t="inlineStr">
        <is>
          <t>P15</t>
        </is>
      </c>
      <c r="C86" t="inlineStr">
        <is>
          <t>M</t>
        </is>
      </c>
      <c r="D86" t="n">
        <v>33</v>
      </c>
      <c r="E86" t="inlineStr">
        <is>
          <t>B</t>
        </is>
      </c>
      <c r="F86" t="inlineStr">
        <is>
          <t>Stimulus</t>
        </is>
      </c>
      <c r="G86" t="inlineStr">
        <is>
          <t>Baseline_Nike</t>
        </is>
      </c>
      <c r="H86" t="n">
        <v>291186</v>
      </c>
      <c r="I86" t="n">
        <v>60000</v>
      </c>
      <c r="J86" t="n">
        <v>60000</v>
      </c>
      <c r="K86" t="inlineStr">
        <is>
          <t>Baseline_Nike</t>
        </is>
      </c>
      <c r="L86" t="n">
        <v>1</v>
      </c>
      <c r="M86" t="n">
        <v>2</v>
      </c>
      <c r="N86" t="n">
        <v>2</v>
      </c>
      <c r="O86" t="n">
        <v>0.1779</v>
      </c>
      <c r="P86" t="inlineStr">
        <is>
          <t>Shimmer3-8956</t>
        </is>
      </c>
      <c r="Q86" t="n">
        <v>18.4</v>
      </c>
      <c r="R86" t="n">
        <v>0</v>
      </c>
      <c r="S86" t="n">
        <v>79</v>
      </c>
      <c r="T86" t="inlineStr">
        <is>
          <t>NA</t>
        </is>
      </c>
      <c r="U86">
        <f>IF(LEFT(G86,8)="Baseline","Baseline",IF(LEFT(G86,8)="Recovery","Recovery","Commercial"))</f>
        <v/>
      </c>
      <c r="V86">
        <f>IF(ISNUMBER(SEARCH("Nike",G86)),"Nike","elf")</f>
        <v/>
      </c>
      <c r="W86">
        <f>IF(OR(AND(E86="A",V86="Nike"),AND(E86="B",V86="elf")),"first","second")</f>
        <v/>
      </c>
      <c r="X86">
        <f>IF(COUNTIFS(Data!$B$2:$B$181,B86,Data!$U$2:$U$181,"Commercial",Data!$Q$2:$Q$181,"&lt;0")+COUNTIFS(Data!$B$2:$B$181,B86,Data!$U$2:$U$181,"Commercial",Data!$R$2:$R$181,"&gt;20")&gt;0,"No","Yes")</f>
        <v/>
      </c>
      <c r="Y86">
        <f>IF(COUNTIFS(Data!$B$2:$B$181,B86,Data!$L$2:$L$181,0)&gt;=4,1,0)</f>
        <v/>
      </c>
      <c r="Z86" s="5">
        <f>M86/(J86/60000)</f>
        <v/>
      </c>
      <c r="AA86" s="5">
        <f>M86/(I86/60000)</f>
        <v/>
      </c>
    </row>
    <row r="87">
      <c r="A87" t="inlineStr">
        <is>
          <t>SIMULATED_Arousal_Nike_vs_elf</t>
        </is>
      </c>
      <c r="B87" t="inlineStr">
        <is>
          <t>P15</t>
        </is>
      </c>
      <c r="C87" t="inlineStr">
        <is>
          <t>M</t>
        </is>
      </c>
      <c r="D87" t="n">
        <v>33</v>
      </c>
      <c r="E87" t="inlineStr">
        <is>
          <t>B</t>
        </is>
      </c>
      <c r="F87" t="inlineStr">
        <is>
          <t>Stimulus</t>
        </is>
      </c>
      <c r="G87" t="inlineStr">
        <is>
          <t>Nike_Commercial</t>
        </is>
      </c>
      <c r="H87" t="n">
        <v>351186</v>
      </c>
      <c r="I87" t="n">
        <v>60000</v>
      </c>
      <c r="J87" t="n">
        <v>60000</v>
      </c>
      <c r="K87" t="inlineStr">
        <is>
          <t>Nike_Commercial</t>
        </is>
      </c>
      <c r="L87" t="n">
        <v>1</v>
      </c>
      <c r="M87" t="n">
        <v>5</v>
      </c>
      <c r="N87" t="n">
        <v>5</v>
      </c>
      <c r="O87" t="n">
        <v>0.2663</v>
      </c>
      <c r="P87" t="inlineStr">
        <is>
          <t>Shimmer3-8956</t>
        </is>
      </c>
      <c r="Q87" t="n">
        <v>20</v>
      </c>
      <c r="R87" t="n">
        <v>1.1</v>
      </c>
      <c r="S87" t="n">
        <v>73.2</v>
      </c>
      <c r="T87" t="n">
        <v>5</v>
      </c>
      <c r="U87">
        <f>IF(LEFT(G87,8)="Baseline","Baseline",IF(LEFT(G87,8)="Recovery","Recovery","Commercial"))</f>
        <v/>
      </c>
      <c r="V87">
        <f>IF(ISNUMBER(SEARCH("Nike",G87)),"Nike","elf")</f>
        <v/>
      </c>
      <c r="W87">
        <f>IF(OR(AND(E87="A",V87="Nike"),AND(E87="B",V87="elf")),"first","second")</f>
        <v/>
      </c>
      <c r="X87">
        <f>IF(COUNTIFS(Data!$B$2:$B$181,B87,Data!$U$2:$U$181,"Commercial",Data!$Q$2:$Q$181,"&lt;0")+COUNTIFS(Data!$B$2:$B$181,B87,Data!$U$2:$U$181,"Commercial",Data!$R$2:$R$181,"&gt;20")&gt;0,"No","Yes")</f>
        <v/>
      </c>
      <c r="Y87">
        <f>IF(COUNTIFS(Data!$B$2:$B$181,B87,Data!$L$2:$L$181,0)&gt;=4,1,0)</f>
        <v/>
      </c>
      <c r="Z87" s="5">
        <f>M87/(J87/60000)</f>
        <v/>
      </c>
      <c r="AA87" s="5">
        <f>M87/(I87/60000)</f>
        <v/>
      </c>
    </row>
    <row r="88">
      <c r="A88" t="inlineStr">
        <is>
          <t>SIMULATED_Arousal_Nike_vs_elf</t>
        </is>
      </c>
      <c r="B88" t="inlineStr">
        <is>
          <t>P15</t>
        </is>
      </c>
      <c r="C88" t="inlineStr">
        <is>
          <t>M</t>
        </is>
      </c>
      <c r="D88" t="n">
        <v>33</v>
      </c>
      <c r="E88" t="inlineStr">
        <is>
          <t>B</t>
        </is>
      </c>
      <c r="F88" t="inlineStr">
        <is>
          <t>Stimulus</t>
        </is>
      </c>
      <c r="G88" t="inlineStr">
        <is>
          <t>Recovery_Nike</t>
        </is>
      </c>
      <c r="H88" t="n">
        <v>411186</v>
      </c>
      <c r="I88" t="n">
        <v>15000</v>
      </c>
      <c r="J88" t="n">
        <v>15000</v>
      </c>
      <c r="K88" t="inlineStr">
        <is>
          <t>Recovery_Nike</t>
        </is>
      </c>
      <c r="L88" t="n">
        <v>1</v>
      </c>
      <c r="M88" t="n">
        <v>1</v>
      </c>
      <c r="N88" t="n">
        <v>4</v>
      </c>
      <c r="O88" t="n">
        <v>0.1897</v>
      </c>
      <c r="P88" t="inlineStr">
        <is>
          <t>Shimmer3-8956</t>
        </is>
      </c>
      <c r="Q88" t="n">
        <v>17.6</v>
      </c>
      <c r="R88" t="n">
        <v>1.1</v>
      </c>
      <c r="S88" t="n">
        <v>76.2</v>
      </c>
      <c r="T88" t="inlineStr">
        <is>
          <t>NA</t>
        </is>
      </c>
      <c r="U88">
        <f>IF(LEFT(G88,8)="Baseline","Baseline",IF(LEFT(G88,8)="Recovery","Recovery","Commercial"))</f>
        <v/>
      </c>
      <c r="V88">
        <f>IF(ISNUMBER(SEARCH("Nike",G88)),"Nike","elf")</f>
        <v/>
      </c>
      <c r="W88">
        <f>IF(OR(AND(E88="A",V88="Nike"),AND(E88="B",V88="elf")),"first","second")</f>
        <v/>
      </c>
      <c r="X88">
        <f>IF(COUNTIFS(Data!$B$2:$B$181,B88,Data!$U$2:$U$181,"Commercial",Data!$Q$2:$Q$181,"&lt;0")+COUNTIFS(Data!$B$2:$B$181,B88,Data!$U$2:$U$181,"Commercial",Data!$R$2:$R$181,"&gt;20")&gt;0,"No","Yes")</f>
        <v/>
      </c>
      <c r="Y88">
        <f>IF(COUNTIFS(Data!$B$2:$B$181,B88,Data!$L$2:$L$181,0)&gt;=4,1,0)</f>
        <v/>
      </c>
      <c r="Z88" s="5">
        <f>M88/(J88/60000)</f>
        <v/>
      </c>
      <c r="AA88" s="5">
        <f>M88/(I88/60000)</f>
        <v/>
      </c>
    </row>
    <row r="89">
      <c r="A89" t="inlineStr">
        <is>
          <t>SIMULATED_Arousal_Nike_vs_elf</t>
        </is>
      </c>
      <c r="B89" t="inlineStr">
        <is>
          <t>P15</t>
        </is>
      </c>
      <c r="C89" t="inlineStr">
        <is>
          <t>M</t>
        </is>
      </c>
      <c r="D89" t="n">
        <v>33</v>
      </c>
      <c r="E89" t="inlineStr">
        <is>
          <t>B</t>
        </is>
      </c>
      <c r="F89" t="inlineStr">
        <is>
          <t>Stimulus</t>
        </is>
      </c>
      <c r="G89" t="inlineStr">
        <is>
          <t>Baseline_elf</t>
        </is>
      </c>
      <c r="H89" t="n">
        <v>28944</v>
      </c>
      <c r="I89" t="n">
        <v>60000</v>
      </c>
      <c r="J89" t="n">
        <v>60000</v>
      </c>
      <c r="K89" t="inlineStr">
        <is>
          <t>Baseline_elf</t>
        </is>
      </c>
      <c r="L89" t="n">
        <v>1</v>
      </c>
      <c r="M89" t="n">
        <v>3</v>
      </c>
      <c r="N89" t="n">
        <v>3</v>
      </c>
      <c r="O89" t="n">
        <v>0.1845</v>
      </c>
      <c r="P89" t="inlineStr">
        <is>
          <t>Shimmer3-8956</t>
        </is>
      </c>
      <c r="Q89" t="n">
        <v>17.8</v>
      </c>
      <c r="R89" t="n">
        <v>0</v>
      </c>
      <c r="S89" t="n">
        <v>75</v>
      </c>
      <c r="T89" t="inlineStr">
        <is>
          <t>NA</t>
        </is>
      </c>
      <c r="U89">
        <f>IF(LEFT(G89,8)="Baseline","Baseline",IF(LEFT(G89,8)="Recovery","Recovery","Commercial"))</f>
        <v/>
      </c>
      <c r="V89">
        <f>IF(ISNUMBER(SEARCH("Nike",G89)),"Nike","elf")</f>
        <v/>
      </c>
      <c r="W89">
        <f>IF(OR(AND(E89="A",V89="Nike"),AND(E89="B",V89="elf")),"first","second")</f>
        <v/>
      </c>
      <c r="X89">
        <f>IF(COUNTIFS(Data!$B$2:$B$181,B89,Data!$U$2:$U$181,"Commercial",Data!$Q$2:$Q$181,"&lt;0")+COUNTIFS(Data!$B$2:$B$181,B89,Data!$U$2:$U$181,"Commercial",Data!$R$2:$R$181,"&gt;20")&gt;0,"No","Yes")</f>
        <v/>
      </c>
      <c r="Y89">
        <f>IF(COUNTIFS(Data!$B$2:$B$181,B89,Data!$L$2:$L$181,0)&gt;=4,1,0)</f>
        <v/>
      </c>
      <c r="Z89" s="5">
        <f>M89/(J89/60000)</f>
        <v/>
      </c>
      <c r="AA89" s="5">
        <f>M89/(I89/60000)</f>
        <v/>
      </c>
    </row>
    <row r="90">
      <c r="A90" t="inlineStr">
        <is>
          <t>SIMULATED_Arousal_Nike_vs_elf</t>
        </is>
      </c>
      <c r="B90" t="inlineStr">
        <is>
          <t>P15</t>
        </is>
      </c>
      <c r="C90" t="inlineStr">
        <is>
          <t>M</t>
        </is>
      </c>
      <c r="D90" t="n">
        <v>33</v>
      </c>
      <c r="E90" t="inlineStr">
        <is>
          <t>B</t>
        </is>
      </c>
      <c r="F90" t="inlineStr">
        <is>
          <t>Stimulus</t>
        </is>
      </c>
      <c r="G90" t="inlineStr">
        <is>
          <t>elf_Commercial</t>
        </is>
      </c>
      <c r="H90" t="n">
        <v>88944</v>
      </c>
      <c r="I90" t="n">
        <v>30000</v>
      </c>
      <c r="J90" t="n">
        <v>30000</v>
      </c>
      <c r="K90" t="inlineStr">
        <is>
          <t>elf_Commercial</t>
        </is>
      </c>
      <c r="L90" t="n">
        <v>1</v>
      </c>
      <c r="M90" t="n">
        <v>2</v>
      </c>
      <c r="N90" t="n">
        <v>4</v>
      </c>
      <c r="O90" t="n">
        <v>0.2609</v>
      </c>
      <c r="P90" t="inlineStr">
        <is>
          <t>Shimmer3-8956</t>
        </is>
      </c>
      <c r="Q90" t="n">
        <v>17.3</v>
      </c>
      <c r="R90" t="n">
        <v>0</v>
      </c>
      <c r="S90" t="n">
        <v>74.7</v>
      </c>
      <c r="T90" t="n">
        <v>4</v>
      </c>
      <c r="U90">
        <f>IF(LEFT(G90,8)="Baseline","Baseline",IF(LEFT(G90,8)="Recovery","Recovery","Commercial"))</f>
        <v/>
      </c>
      <c r="V90">
        <f>IF(ISNUMBER(SEARCH("Nike",G90)),"Nike","elf")</f>
        <v/>
      </c>
      <c r="W90">
        <f>IF(OR(AND(E90="A",V90="Nike"),AND(E90="B",V90="elf")),"first","second")</f>
        <v/>
      </c>
      <c r="X90">
        <f>IF(COUNTIFS(Data!$B$2:$B$181,B90,Data!$U$2:$U$181,"Commercial",Data!$Q$2:$Q$181,"&lt;0")+COUNTIFS(Data!$B$2:$B$181,B90,Data!$U$2:$U$181,"Commercial",Data!$R$2:$R$181,"&gt;20")&gt;0,"No","Yes")</f>
        <v/>
      </c>
      <c r="Y90">
        <f>IF(COUNTIFS(Data!$B$2:$B$181,B90,Data!$L$2:$L$181,0)&gt;=4,1,0)</f>
        <v/>
      </c>
      <c r="Z90" s="5">
        <f>M90/(J90/60000)</f>
        <v/>
      </c>
      <c r="AA90" s="5">
        <f>M90/(I90/60000)</f>
        <v/>
      </c>
    </row>
    <row r="91">
      <c r="A91" t="inlineStr">
        <is>
          <t>SIMULATED_Arousal_Nike_vs_elf</t>
        </is>
      </c>
      <c r="B91" t="inlineStr">
        <is>
          <t>P15</t>
        </is>
      </c>
      <c r="C91" t="inlineStr">
        <is>
          <t>M</t>
        </is>
      </c>
      <c r="D91" t="n">
        <v>33</v>
      </c>
      <c r="E91" t="inlineStr">
        <is>
          <t>B</t>
        </is>
      </c>
      <c r="F91" t="inlineStr">
        <is>
          <t>Stimulus</t>
        </is>
      </c>
      <c r="G91" t="inlineStr">
        <is>
          <t>Recovery_elf</t>
        </is>
      </c>
      <c r="H91" t="n">
        <v>118944</v>
      </c>
      <c r="I91" t="n">
        <v>15000</v>
      </c>
      <c r="J91" t="n">
        <v>15000</v>
      </c>
      <c r="K91" t="inlineStr">
        <is>
          <t>Recovery_elf</t>
        </is>
      </c>
      <c r="L91" t="n">
        <v>1</v>
      </c>
      <c r="M91" t="n">
        <v>1</v>
      </c>
      <c r="N91" t="n">
        <v>4</v>
      </c>
      <c r="O91" t="n">
        <v>0.3148</v>
      </c>
      <c r="P91" t="inlineStr">
        <is>
          <t>Shimmer3-8956</t>
        </is>
      </c>
      <c r="Q91" t="n">
        <v>15.8</v>
      </c>
      <c r="R91" t="n">
        <v>0</v>
      </c>
      <c r="S91" t="n">
        <v>75.90000000000001</v>
      </c>
      <c r="T91" t="inlineStr">
        <is>
          <t>NA</t>
        </is>
      </c>
      <c r="U91">
        <f>IF(LEFT(G91,8)="Baseline","Baseline",IF(LEFT(G91,8)="Recovery","Recovery","Commercial"))</f>
        <v/>
      </c>
      <c r="V91">
        <f>IF(ISNUMBER(SEARCH("Nike",G91)),"Nike","elf")</f>
        <v/>
      </c>
      <c r="W91">
        <f>IF(OR(AND(E91="A",V91="Nike"),AND(E91="B",V91="elf")),"first","second")</f>
        <v/>
      </c>
      <c r="X91">
        <f>IF(COUNTIFS(Data!$B$2:$B$181,B91,Data!$U$2:$U$181,"Commercial",Data!$Q$2:$Q$181,"&lt;0")+COUNTIFS(Data!$B$2:$B$181,B91,Data!$U$2:$U$181,"Commercial",Data!$R$2:$R$181,"&gt;20")&gt;0,"No","Yes")</f>
        <v/>
      </c>
      <c r="Y91">
        <f>IF(COUNTIFS(Data!$B$2:$B$181,B91,Data!$L$2:$L$181,0)&gt;=4,1,0)</f>
        <v/>
      </c>
      <c r="Z91" s="5">
        <f>M91/(J91/60000)</f>
        <v/>
      </c>
      <c r="AA91" s="5">
        <f>M91/(I91/60000)</f>
        <v/>
      </c>
    </row>
    <row r="92">
      <c r="A92" t="inlineStr">
        <is>
          <t>SIMULATED_Arousal_Nike_vs_elf</t>
        </is>
      </c>
      <c r="B92" t="inlineStr">
        <is>
          <t>P16</t>
        </is>
      </c>
      <c r="C92" t="inlineStr">
        <is>
          <t>F</t>
        </is>
      </c>
      <c r="D92" t="n">
        <v>25</v>
      </c>
      <c r="E92" t="inlineStr">
        <is>
          <t>A</t>
        </is>
      </c>
      <c r="F92" t="inlineStr">
        <is>
          <t>Stimulus</t>
        </is>
      </c>
      <c r="G92" t="inlineStr">
        <is>
          <t>Baseline_Nike</t>
        </is>
      </c>
      <c r="H92" t="n">
        <v>23341</v>
      </c>
      <c r="I92" t="n">
        <v>60000</v>
      </c>
      <c r="J92" t="n">
        <v>60000</v>
      </c>
      <c r="K92" t="inlineStr">
        <is>
          <t>Baseline_Nike</t>
        </is>
      </c>
      <c r="L92" t="n">
        <v>0</v>
      </c>
      <c r="M92" t="n">
        <v>0</v>
      </c>
      <c r="N92" t="n">
        <v>0</v>
      </c>
      <c r="O92" t="inlineStr">
        <is>
          <t>NA</t>
        </is>
      </c>
      <c r="P92" t="inlineStr">
        <is>
          <t>Shimmer3-B</t>
        </is>
      </c>
      <c r="Q92" t="n">
        <v>23.6</v>
      </c>
      <c r="R92" t="n">
        <v>0.4</v>
      </c>
      <c r="S92" t="n">
        <v>78.2</v>
      </c>
      <c r="T92" t="inlineStr">
        <is>
          <t>NA</t>
        </is>
      </c>
      <c r="U92">
        <f>IF(LEFT(G92,8)="Baseline","Baseline",IF(LEFT(G92,8)="Recovery","Recovery","Commercial"))</f>
        <v/>
      </c>
      <c r="V92">
        <f>IF(ISNUMBER(SEARCH("Nike",G92)),"Nike","elf")</f>
        <v/>
      </c>
      <c r="W92">
        <f>IF(OR(AND(E92="A",V92="Nike"),AND(E92="B",V92="elf")),"first","second")</f>
        <v/>
      </c>
      <c r="X92">
        <f>IF(COUNTIFS(Data!$B$2:$B$181,B92,Data!$U$2:$U$181,"Commercial",Data!$Q$2:$Q$181,"&lt;0")+COUNTIFS(Data!$B$2:$B$181,B92,Data!$U$2:$U$181,"Commercial",Data!$R$2:$R$181,"&gt;20")&gt;0,"No","Yes")</f>
        <v/>
      </c>
      <c r="Y92">
        <f>IF(COUNTIFS(Data!$B$2:$B$181,B92,Data!$L$2:$L$181,0)&gt;=4,1,0)</f>
        <v/>
      </c>
      <c r="Z92" s="5">
        <f>M92/(J92/60000)</f>
        <v/>
      </c>
      <c r="AA92" s="5">
        <f>M92/(I92/60000)</f>
        <v/>
      </c>
    </row>
    <row r="93">
      <c r="A93" t="inlineStr">
        <is>
          <t>SIMULATED_Arousal_Nike_vs_elf</t>
        </is>
      </c>
      <c r="B93" t="inlineStr">
        <is>
          <t>P16</t>
        </is>
      </c>
      <c r="C93" t="inlineStr">
        <is>
          <t>F</t>
        </is>
      </c>
      <c r="D93" t="n">
        <v>25</v>
      </c>
      <c r="E93" t="inlineStr">
        <is>
          <t>A</t>
        </is>
      </c>
      <c r="F93" t="inlineStr">
        <is>
          <t>Stimulus</t>
        </is>
      </c>
      <c r="G93" t="inlineStr">
        <is>
          <t>Nike_Commercial</t>
        </is>
      </c>
      <c r="H93" t="n">
        <v>83341</v>
      </c>
      <c r="I93" t="n">
        <v>60000</v>
      </c>
      <c r="J93" t="n">
        <v>60000</v>
      </c>
      <c r="K93" t="inlineStr">
        <is>
          <t>Nike_Commercial</t>
        </is>
      </c>
      <c r="L93" t="n">
        <v>1</v>
      </c>
      <c r="M93" t="n">
        <v>1</v>
      </c>
      <c r="N93" t="n">
        <v>1</v>
      </c>
      <c r="O93" t="n">
        <v>0.2304</v>
      </c>
      <c r="P93" t="inlineStr">
        <is>
          <t>Shimmer3-B</t>
        </is>
      </c>
      <c r="Q93" t="n">
        <v>28.4</v>
      </c>
      <c r="R93" t="n">
        <v>0</v>
      </c>
      <c r="S93" t="n">
        <v>73.40000000000001</v>
      </c>
      <c r="T93" t="n">
        <v>7</v>
      </c>
      <c r="U93">
        <f>IF(LEFT(G93,8)="Baseline","Baseline",IF(LEFT(G93,8)="Recovery","Recovery","Commercial"))</f>
        <v/>
      </c>
      <c r="V93">
        <f>IF(ISNUMBER(SEARCH("Nike",G93)),"Nike","elf")</f>
        <v/>
      </c>
      <c r="W93">
        <f>IF(OR(AND(E93="A",V93="Nike"),AND(E93="B",V93="elf")),"first","second")</f>
        <v/>
      </c>
      <c r="X93">
        <f>IF(COUNTIFS(Data!$B$2:$B$181,B93,Data!$U$2:$U$181,"Commercial",Data!$Q$2:$Q$181,"&lt;0")+COUNTIFS(Data!$B$2:$B$181,B93,Data!$U$2:$U$181,"Commercial",Data!$R$2:$R$181,"&gt;20")&gt;0,"No","Yes")</f>
        <v/>
      </c>
      <c r="Y93">
        <f>IF(COUNTIFS(Data!$B$2:$B$181,B93,Data!$L$2:$L$181,0)&gt;=4,1,0)</f>
        <v/>
      </c>
      <c r="Z93" s="5">
        <f>M93/(J93/60000)</f>
        <v/>
      </c>
      <c r="AA93" s="5">
        <f>M93/(I93/60000)</f>
        <v/>
      </c>
    </row>
    <row r="94">
      <c r="A94" t="inlineStr">
        <is>
          <t>SIMULATED_Arousal_Nike_vs_elf</t>
        </is>
      </c>
      <c r="B94" t="inlineStr">
        <is>
          <t>P16</t>
        </is>
      </c>
      <c r="C94" t="inlineStr">
        <is>
          <t>F</t>
        </is>
      </c>
      <c r="D94" t="n">
        <v>25</v>
      </c>
      <c r="E94" t="inlineStr">
        <is>
          <t>A</t>
        </is>
      </c>
      <c r="F94" t="inlineStr">
        <is>
          <t>Stimulus</t>
        </is>
      </c>
      <c r="G94" t="inlineStr">
        <is>
          <t>Recovery_Nike</t>
        </is>
      </c>
      <c r="H94" t="n">
        <v>143341</v>
      </c>
      <c r="I94" t="n">
        <v>15000</v>
      </c>
      <c r="J94" t="n">
        <v>15000</v>
      </c>
      <c r="K94" t="inlineStr">
        <is>
          <t>Recovery_Nike</t>
        </is>
      </c>
      <c r="L94" t="n">
        <v>0</v>
      </c>
      <c r="M94" t="n">
        <v>0</v>
      </c>
      <c r="N94" t="n">
        <v>0</v>
      </c>
      <c r="O94" t="inlineStr">
        <is>
          <t>NA</t>
        </is>
      </c>
      <c r="P94" t="inlineStr">
        <is>
          <t>Shimmer3-B</t>
        </is>
      </c>
      <c r="Q94" t="n">
        <v>24.4</v>
      </c>
      <c r="R94" t="n">
        <v>0</v>
      </c>
      <c r="S94" t="n">
        <v>72.8</v>
      </c>
      <c r="T94" t="inlineStr">
        <is>
          <t>NA</t>
        </is>
      </c>
      <c r="U94">
        <f>IF(LEFT(G94,8)="Baseline","Baseline",IF(LEFT(G94,8)="Recovery","Recovery","Commercial"))</f>
        <v/>
      </c>
      <c r="V94">
        <f>IF(ISNUMBER(SEARCH("Nike",G94)),"Nike","elf")</f>
        <v/>
      </c>
      <c r="W94">
        <f>IF(OR(AND(E94="A",V94="Nike"),AND(E94="B",V94="elf")),"first","second")</f>
        <v/>
      </c>
      <c r="X94">
        <f>IF(COUNTIFS(Data!$B$2:$B$181,B94,Data!$U$2:$U$181,"Commercial",Data!$Q$2:$Q$181,"&lt;0")+COUNTIFS(Data!$B$2:$B$181,B94,Data!$U$2:$U$181,"Commercial",Data!$R$2:$R$181,"&gt;20")&gt;0,"No","Yes")</f>
        <v/>
      </c>
      <c r="Y94">
        <f>IF(COUNTIFS(Data!$B$2:$B$181,B94,Data!$L$2:$L$181,0)&gt;=4,1,0)</f>
        <v/>
      </c>
      <c r="Z94" s="5">
        <f>M94/(J94/60000)</f>
        <v/>
      </c>
      <c r="AA94" s="5">
        <f>M94/(I94/60000)</f>
        <v/>
      </c>
    </row>
    <row r="95">
      <c r="A95" t="inlineStr">
        <is>
          <t>SIMULATED_Arousal_Nike_vs_elf</t>
        </is>
      </c>
      <c r="B95" t="inlineStr">
        <is>
          <t>P16</t>
        </is>
      </c>
      <c r="C95" t="inlineStr">
        <is>
          <t>F</t>
        </is>
      </c>
      <c r="D95" t="n">
        <v>25</v>
      </c>
      <c r="E95" t="inlineStr">
        <is>
          <t>A</t>
        </is>
      </c>
      <c r="F95" t="inlineStr">
        <is>
          <t>Stimulus</t>
        </is>
      </c>
      <c r="G95" t="inlineStr">
        <is>
          <t>Baseline_elf</t>
        </is>
      </c>
      <c r="H95" t="n">
        <v>340703</v>
      </c>
      <c r="I95" t="n">
        <v>60000</v>
      </c>
      <c r="J95" t="n">
        <v>60000</v>
      </c>
      <c r="K95" t="inlineStr">
        <is>
          <t>Baseline_elf</t>
        </is>
      </c>
      <c r="L95" t="n">
        <v>0</v>
      </c>
      <c r="M95" t="n">
        <v>0</v>
      </c>
      <c r="N95" t="n">
        <v>0</v>
      </c>
      <c r="O95" t="inlineStr">
        <is>
          <t>NA</t>
        </is>
      </c>
      <c r="P95" t="inlineStr">
        <is>
          <t>Shimmer3-B</t>
        </is>
      </c>
      <c r="Q95" t="n">
        <v>17</v>
      </c>
      <c r="R95" t="n">
        <v>0</v>
      </c>
      <c r="S95" t="n">
        <v>75</v>
      </c>
      <c r="T95" t="inlineStr">
        <is>
          <t>NA</t>
        </is>
      </c>
      <c r="U95">
        <f>IF(LEFT(G95,8)="Baseline","Baseline",IF(LEFT(G95,8)="Recovery","Recovery","Commercial"))</f>
        <v/>
      </c>
      <c r="V95">
        <f>IF(ISNUMBER(SEARCH("Nike",G95)),"Nike","elf")</f>
        <v/>
      </c>
      <c r="W95">
        <f>IF(OR(AND(E95="A",V95="Nike"),AND(E95="B",V95="elf")),"first","second")</f>
        <v/>
      </c>
      <c r="X95">
        <f>IF(COUNTIFS(Data!$B$2:$B$181,B95,Data!$U$2:$U$181,"Commercial",Data!$Q$2:$Q$181,"&lt;0")+COUNTIFS(Data!$B$2:$B$181,B95,Data!$U$2:$U$181,"Commercial",Data!$R$2:$R$181,"&gt;20")&gt;0,"No","Yes")</f>
        <v/>
      </c>
      <c r="Y95">
        <f>IF(COUNTIFS(Data!$B$2:$B$181,B95,Data!$L$2:$L$181,0)&gt;=4,1,0)</f>
        <v/>
      </c>
      <c r="Z95" s="5">
        <f>M95/(J95/60000)</f>
        <v/>
      </c>
      <c r="AA95" s="5">
        <f>M95/(I95/60000)</f>
        <v/>
      </c>
    </row>
    <row r="96">
      <c r="A96" t="inlineStr">
        <is>
          <t>SIMULATED_Arousal_Nike_vs_elf</t>
        </is>
      </c>
      <c r="B96" t="inlineStr">
        <is>
          <t>P16</t>
        </is>
      </c>
      <c r="C96" t="inlineStr">
        <is>
          <t>F</t>
        </is>
      </c>
      <c r="D96" t="n">
        <v>25</v>
      </c>
      <c r="E96" t="inlineStr">
        <is>
          <t>A</t>
        </is>
      </c>
      <c r="F96" t="inlineStr">
        <is>
          <t>Stimulus</t>
        </is>
      </c>
      <c r="G96" t="inlineStr">
        <is>
          <t>elf_Commercial</t>
        </is>
      </c>
      <c r="H96" t="n">
        <v>400703</v>
      </c>
      <c r="I96" t="n">
        <v>30000</v>
      </c>
      <c r="J96" t="n">
        <v>30000</v>
      </c>
      <c r="K96" t="inlineStr">
        <is>
          <t>elf_Commercial</t>
        </is>
      </c>
      <c r="L96" t="n">
        <v>0</v>
      </c>
      <c r="M96" t="n">
        <v>0</v>
      </c>
      <c r="N96" t="n">
        <v>0</v>
      </c>
      <c r="O96" t="inlineStr">
        <is>
          <t>NA</t>
        </is>
      </c>
      <c r="P96" t="inlineStr">
        <is>
          <t>Shimmer3-B</t>
        </is>
      </c>
      <c r="Q96" t="n">
        <v>20</v>
      </c>
      <c r="R96" t="n">
        <v>0</v>
      </c>
      <c r="S96" t="n">
        <v>73.40000000000001</v>
      </c>
      <c r="T96" t="n">
        <v>6</v>
      </c>
      <c r="U96">
        <f>IF(LEFT(G96,8)="Baseline","Baseline",IF(LEFT(G96,8)="Recovery","Recovery","Commercial"))</f>
        <v/>
      </c>
      <c r="V96">
        <f>IF(ISNUMBER(SEARCH("Nike",G96)),"Nike","elf")</f>
        <v/>
      </c>
      <c r="W96">
        <f>IF(OR(AND(E96="A",V96="Nike"),AND(E96="B",V96="elf")),"first","second")</f>
        <v/>
      </c>
      <c r="X96">
        <f>IF(COUNTIFS(Data!$B$2:$B$181,B96,Data!$U$2:$U$181,"Commercial",Data!$Q$2:$Q$181,"&lt;0")+COUNTIFS(Data!$B$2:$B$181,B96,Data!$U$2:$U$181,"Commercial",Data!$R$2:$R$181,"&gt;20")&gt;0,"No","Yes")</f>
        <v/>
      </c>
      <c r="Y96">
        <f>IF(COUNTIFS(Data!$B$2:$B$181,B96,Data!$L$2:$L$181,0)&gt;=4,1,0)</f>
        <v/>
      </c>
      <c r="Z96" s="5">
        <f>M96/(J96/60000)</f>
        <v/>
      </c>
      <c r="AA96" s="5">
        <f>M96/(I96/60000)</f>
        <v/>
      </c>
    </row>
    <row r="97">
      <c r="A97" t="inlineStr">
        <is>
          <t>SIMULATED_Arousal_Nike_vs_elf</t>
        </is>
      </c>
      <c r="B97" t="inlineStr">
        <is>
          <t>P16</t>
        </is>
      </c>
      <c r="C97" t="inlineStr">
        <is>
          <t>F</t>
        </is>
      </c>
      <c r="D97" t="n">
        <v>25</v>
      </c>
      <c r="E97" t="inlineStr">
        <is>
          <t>A</t>
        </is>
      </c>
      <c r="F97" t="inlineStr">
        <is>
          <t>Stimulus</t>
        </is>
      </c>
      <c r="G97" t="inlineStr">
        <is>
          <t>Recovery_elf</t>
        </is>
      </c>
      <c r="H97" t="n">
        <v>430703</v>
      </c>
      <c r="I97" t="n">
        <v>15000</v>
      </c>
      <c r="J97" t="n">
        <v>15000</v>
      </c>
      <c r="K97" t="inlineStr">
        <is>
          <t>Recovery_elf</t>
        </is>
      </c>
      <c r="L97" t="n">
        <v>0</v>
      </c>
      <c r="M97" t="n">
        <v>0</v>
      </c>
      <c r="N97" t="n">
        <v>0</v>
      </c>
      <c r="O97" t="inlineStr">
        <is>
          <t>NA</t>
        </is>
      </c>
      <c r="P97" t="inlineStr">
        <is>
          <t>Shimmer3-B</t>
        </is>
      </c>
      <c r="Q97" t="n">
        <v>25.5</v>
      </c>
      <c r="R97" t="n">
        <v>1.1</v>
      </c>
      <c r="S97" t="n">
        <v>73.7</v>
      </c>
      <c r="T97" t="inlineStr">
        <is>
          <t>NA</t>
        </is>
      </c>
      <c r="U97">
        <f>IF(LEFT(G97,8)="Baseline","Baseline",IF(LEFT(G97,8)="Recovery","Recovery","Commercial"))</f>
        <v/>
      </c>
      <c r="V97">
        <f>IF(ISNUMBER(SEARCH("Nike",G97)),"Nike","elf")</f>
        <v/>
      </c>
      <c r="W97">
        <f>IF(OR(AND(E97="A",V97="Nike"),AND(E97="B",V97="elf")),"first","second")</f>
        <v/>
      </c>
      <c r="X97">
        <f>IF(COUNTIFS(Data!$B$2:$B$181,B97,Data!$U$2:$U$181,"Commercial",Data!$Q$2:$Q$181,"&lt;0")+COUNTIFS(Data!$B$2:$B$181,B97,Data!$U$2:$U$181,"Commercial",Data!$R$2:$R$181,"&gt;20")&gt;0,"No","Yes")</f>
        <v/>
      </c>
      <c r="Y97">
        <f>IF(COUNTIFS(Data!$B$2:$B$181,B97,Data!$L$2:$L$181,0)&gt;=4,1,0)</f>
        <v/>
      </c>
      <c r="Z97" s="5">
        <f>M97/(J97/60000)</f>
        <v/>
      </c>
      <c r="AA97" s="5">
        <f>M97/(I97/60000)</f>
        <v/>
      </c>
    </row>
    <row r="98">
      <c r="A98" t="inlineStr">
        <is>
          <t>SIMULATED_Arousal_Nike_vs_elf</t>
        </is>
      </c>
      <c r="B98" t="inlineStr">
        <is>
          <t>P17</t>
        </is>
      </c>
      <c r="C98" t="inlineStr">
        <is>
          <t>M</t>
        </is>
      </c>
      <c r="D98" t="n">
        <v>21</v>
      </c>
      <c r="E98" t="inlineStr">
        <is>
          <t>B</t>
        </is>
      </c>
      <c r="F98" t="inlineStr">
        <is>
          <t>Stimulus</t>
        </is>
      </c>
      <c r="G98" t="inlineStr">
        <is>
          <t>Baseline_Nike</t>
        </is>
      </c>
      <c r="H98" t="n">
        <v>309809</v>
      </c>
      <c r="I98" t="n">
        <v>60000</v>
      </c>
      <c r="J98" t="n">
        <v>60000</v>
      </c>
      <c r="K98" t="inlineStr">
        <is>
          <t>Baseline_Nike</t>
        </is>
      </c>
      <c r="L98" t="n">
        <v>1</v>
      </c>
      <c r="M98" t="n">
        <v>1</v>
      </c>
      <c r="N98" t="n">
        <v>1</v>
      </c>
      <c r="O98" t="n">
        <v>0.0898</v>
      </c>
      <c r="P98" t="inlineStr">
        <is>
          <t>Shimmer3-B</t>
        </is>
      </c>
      <c r="Q98" t="n">
        <v>23.3</v>
      </c>
      <c r="R98" t="n">
        <v>1.2</v>
      </c>
      <c r="S98" t="n">
        <v>68.8</v>
      </c>
      <c r="T98" t="inlineStr">
        <is>
          <t>NA</t>
        </is>
      </c>
      <c r="U98">
        <f>IF(LEFT(G98,8)="Baseline","Baseline",IF(LEFT(G98,8)="Recovery","Recovery","Commercial"))</f>
        <v/>
      </c>
      <c r="V98">
        <f>IF(ISNUMBER(SEARCH("Nike",G98)),"Nike","elf")</f>
        <v/>
      </c>
      <c r="W98">
        <f>IF(OR(AND(E98="A",V98="Nike"),AND(E98="B",V98="elf")),"first","second")</f>
        <v/>
      </c>
      <c r="X98">
        <f>IF(COUNTIFS(Data!$B$2:$B$181,B98,Data!$U$2:$U$181,"Commercial",Data!$Q$2:$Q$181,"&lt;0")+COUNTIFS(Data!$B$2:$B$181,B98,Data!$U$2:$U$181,"Commercial",Data!$R$2:$R$181,"&gt;20")&gt;0,"No","Yes")</f>
        <v/>
      </c>
      <c r="Y98">
        <f>IF(COUNTIFS(Data!$B$2:$B$181,B98,Data!$L$2:$L$181,0)&gt;=4,1,0)</f>
        <v/>
      </c>
      <c r="Z98" s="5">
        <f>M98/(J98/60000)</f>
        <v/>
      </c>
      <c r="AA98" s="5">
        <f>M98/(I98/60000)</f>
        <v/>
      </c>
    </row>
    <row r="99">
      <c r="A99" t="inlineStr">
        <is>
          <t>SIMULATED_Arousal_Nike_vs_elf</t>
        </is>
      </c>
      <c r="B99" t="inlineStr">
        <is>
          <t>P17</t>
        </is>
      </c>
      <c r="C99" t="inlineStr">
        <is>
          <t>M</t>
        </is>
      </c>
      <c r="D99" t="n">
        <v>21</v>
      </c>
      <c r="E99" t="inlineStr">
        <is>
          <t>B</t>
        </is>
      </c>
      <c r="F99" t="inlineStr">
        <is>
          <t>Stimulus</t>
        </is>
      </c>
      <c r="G99" t="inlineStr">
        <is>
          <t>Nike_Commercial</t>
        </is>
      </c>
      <c r="H99" t="n">
        <v>369809</v>
      </c>
      <c r="I99" t="n">
        <v>60000</v>
      </c>
      <c r="J99" t="n">
        <v>60000</v>
      </c>
      <c r="K99" t="inlineStr">
        <is>
          <t>Nike_Commercial</t>
        </is>
      </c>
      <c r="L99" t="n">
        <v>1</v>
      </c>
      <c r="M99" t="n">
        <v>3</v>
      </c>
      <c r="N99" t="n">
        <v>3</v>
      </c>
      <c r="O99" t="n">
        <v>0.1573</v>
      </c>
      <c r="P99" t="inlineStr">
        <is>
          <t>Shimmer3-B</t>
        </is>
      </c>
      <c r="Q99" t="n">
        <v>25.6</v>
      </c>
      <c r="R99" t="n">
        <v>0</v>
      </c>
      <c r="S99" t="n">
        <v>68.5</v>
      </c>
      <c r="T99" t="n">
        <v>5</v>
      </c>
      <c r="U99">
        <f>IF(LEFT(G99,8)="Baseline","Baseline",IF(LEFT(G99,8)="Recovery","Recovery","Commercial"))</f>
        <v/>
      </c>
      <c r="V99">
        <f>IF(ISNUMBER(SEARCH("Nike",G99)),"Nike","elf")</f>
        <v/>
      </c>
      <c r="W99">
        <f>IF(OR(AND(E99="A",V99="Nike"),AND(E99="B",V99="elf")),"first","second")</f>
        <v/>
      </c>
      <c r="X99">
        <f>IF(COUNTIFS(Data!$B$2:$B$181,B99,Data!$U$2:$U$181,"Commercial",Data!$Q$2:$Q$181,"&lt;0")+COUNTIFS(Data!$B$2:$B$181,B99,Data!$U$2:$U$181,"Commercial",Data!$R$2:$R$181,"&gt;20")&gt;0,"No","Yes")</f>
        <v/>
      </c>
      <c r="Y99">
        <f>IF(COUNTIFS(Data!$B$2:$B$181,B99,Data!$L$2:$L$181,0)&gt;=4,1,0)</f>
        <v/>
      </c>
      <c r="Z99" s="5">
        <f>M99/(J99/60000)</f>
        <v/>
      </c>
      <c r="AA99" s="5">
        <f>M99/(I99/60000)</f>
        <v/>
      </c>
    </row>
    <row r="100">
      <c r="A100" t="inlineStr">
        <is>
          <t>SIMULATED_Arousal_Nike_vs_elf</t>
        </is>
      </c>
      <c r="B100" t="inlineStr">
        <is>
          <t>P17</t>
        </is>
      </c>
      <c r="C100" t="inlineStr">
        <is>
          <t>M</t>
        </is>
      </c>
      <c r="D100" t="n">
        <v>21</v>
      </c>
      <c r="E100" t="inlineStr">
        <is>
          <t>B</t>
        </is>
      </c>
      <c r="F100" t="inlineStr">
        <is>
          <t>Stimulus</t>
        </is>
      </c>
      <c r="G100" t="inlineStr">
        <is>
          <t>Recovery_Nike</t>
        </is>
      </c>
      <c r="H100" t="n">
        <v>429809</v>
      </c>
      <c r="I100" t="n">
        <v>15000</v>
      </c>
      <c r="J100" t="n">
        <v>15000</v>
      </c>
      <c r="K100" t="inlineStr">
        <is>
          <t>Recovery_Nike</t>
        </is>
      </c>
      <c r="L100" t="n">
        <v>0</v>
      </c>
      <c r="M100" t="n">
        <v>0</v>
      </c>
      <c r="N100" t="n">
        <v>0</v>
      </c>
      <c r="O100" t="inlineStr">
        <is>
          <t>NA</t>
        </is>
      </c>
      <c r="P100" t="inlineStr">
        <is>
          <t>Shimmer3-B</t>
        </is>
      </c>
      <c r="Q100" t="n">
        <v>25</v>
      </c>
      <c r="R100" t="n">
        <v>1.1</v>
      </c>
      <c r="S100" t="n">
        <v>69.3</v>
      </c>
      <c r="T100" t="inlineStr">
        <is>
          <t>NA</t>
        </is>
      </c>
      <c r="U100">
        <f>IF(LEFT(G100,8)="Baseline","Baseline",IF(LEFT(G100,8)="Recovery","Recovery","Commercial"))</f>
        <v/>
      </c>
      <c r="V100">
        <f>IF(ISNUMBER(SEARCH("Nike",G100)),"Nike","elf")</f>
        <v/>
      </c>
      <c r="W100">
        <f>IF(OR(AND(E100="A",V100="Nike"),AND(E100="B",V100="elf")),"first","second")</f>
        <v/>
      </c>
      <c r="X100">
        <f>IF(COUNTIFS(Data!$B$2:$B$181,B100,Data!$U$2:$U$181,"Commercial",Data!$Q$2:$Q$181,"&lt;0")+COUNTIFS(Data!$B$2:$B$181,B100,Data!$U$2:$U$181,"Commercial",Data!$R$2:$R$181,"&gt;20")&gt;0,"No","Yes")</f>
        <v/>
      </c>
      <c r="Y100">
        <f>IF(COUNTIFS(Data!$B$2:$B$181,B100,Data!$L$2:$L$181,0)&gt;=4,1,0)</f>
        <v/>
      </c>
      <c r="Z100" s="5">
        <f>M100/(J100/60000)</f>
        <v/>
      </c>
      <c r="AA100" s="5">
        <f>M100/(I100/60000)</f>
        <v/>
      </c>
    </row>
    <row r="101">
      <c r="A101" t="inlineStr">
        <is>
          <t>SIMULATED_Arousal_Nike_vs_elf</t>
        </is>
      </c>
      <c r="B101" t="inlineStr">
        <is>
          <t>P17</t>
        </is>
      </c>
      <c r="C101" t="inlineStr">
        <is>
          <t>M</t>
        </is>
      </c>
      <c r="D101" t="n">
        <v>21</v>
      </c>
      <c r="E101" t="inlineStr">
        <is>
          <t>B</t>
        </is>
      </c>
      <c r="F101" t="inlineStr">
        <is>
          <t>Stimulus</t>
        </is>
      </c>
      <c r="G101" t="inlineStr">
        <is>
          <t>Baseline_elf</t>
        </is>
      </c>
      <c r="H101" t="n">
        <v>38309</v>
      </c>
      <c r="I101" t="n">
        <v>60000</v>
      </c>
      <c r="J101" t="n">
        <v>60000</v>
      </c>
      <c r="K101" t="inlineStr">
        <is>
          <t>Baseline_elf</t>
        </is>
      </c>
      <c r="L101" t="n">
        <v>1</v>
      </c>
      <c r="M101" t="n">
        <v>2</v>
      </c>
      <c r="N101" t="n">
        <v>2</v>
      </c>
      <c r="O101" t="n">
        <v>0.1694</v>
      </c>
      <c r="P101" t="inlineStr">
        <is>
          <t>Shimmer3-B</t>
        </is>
      </c>
      <c r="Q101" t="n">
        <v>23.5</v>
      </c>
      <c r="R101" t="n">
        <v>2.5</v>
      </c>
      <c r="S101" t="n">
        <v>68.40000000000001</v>
      </c>
      <c r="T101" t="inlineStr">
        <is>
          <t>NA</t>
        </is>
      </c>
      <c r="U101">
        <f>IF(LEFT(G101,8)="Baseline","Baseline",IF(LEFT(G101,8)="Recovery","Recovery","Commercial"))</f>
        <v/>
      </c>
      <c r="V101">
        <f>IF(ISNUMBER(SEARCH("Nike",G101)),"Nike","elf")</f>
        <v/>
      </c>
      <c r="W101">
        <f>IF(OR(AND(E101="A",V101="Nike"),AND(E101="B",V101="elf")),"first","second")</f>
        <v/>
      </c>
      <c r="X101">
        <f>IF(COUNTIFS(Data!$B$2:$B$181,B101,Data!$U$2:$U$181,"Commercial",Data!$Q$2:$Q$181,"&lt;0")+COUNTIFS(Data!$B$2:$B$181,B101,Data!$U$2:$U$181,"Commercial",Data!$R$2:$R$181,"&gt;20")&gt;0,"No","Yes")</f>
        <v/>
      </c>
      <c r="Y101">
        <f>IF(COUNTIFS(Data!$B$2:$B$181,B101,Data!$L$2:$L$181,0)&gt;=4,1,0)</f>
        <v/>
      </c>
      <c r="Z101" s="5">
        <f>M101/(J101/60000)</f>
        <v/>
      </c>
      <c r="AA101" s="5">
        <f>M101/(I101/60000)</f>
        <v/>
      </c>
    </row>
    <row r="102">
      <c r="A102" t="inlineStr">
        <is>
          <t>SIMULATED_Arousal_Nike_vs_elf</t>
        </is>
      </c>
      <c r="B102" t="inlineStr">
        <is>
          <t>P17</t>
        </is>
      </c>
      <c r="C102" t="inlineStr">
        <is>
          <t>M</t>
        </is>
      </c>
      <c r="D102" t="n">
        <v>21</v>
      </c>
      <c r="E102" t="inlineStr">
        <is>
          <t>B</t>
        </is>
      </c>
      <c r="F102" t="inlineStr">
        <is>
          <t>Stimulus</t>
        </is>
      </c>
      <c r="G102" t="inlineStr">
        <is>
          <t>elf_Commercial</t>
        </is>
      </c>
      <c r="H102" t="n">
        <v>98309</v>
      </c>
      <c r="I102" t="n">
        <v>30000</v>
      </c>
      <c r="J102" t="n">
        <v>30000</v>
      </c>
      <c r="K102" t="inlineStr">
        <is>
          <t>elf_Commercial</t>
        </is>
      </c>
      <c r="L102" t="n">
        <v>1</v>
      </c>
      <c r="M102" t="n">
        <v>2</v>
      </c>
      <c r="N102" t="n">
        <v>4</v>
      </c>
      <c r="O102" t="n">
        <v>0.112</v>
      </c>
      <c r="P102" t="inlineStr">
        <is>
          <t>Shimmer3-B</t>
        </is>
      </c>
      <c r="Q102" t="n">
        <v>25.8</v>
      </c>
      <c r="R102" t="n">
        <v>0</v>
      </c>
      <c r="S102" t="n">
        <v>68.5</v>
      </c>
      <c r="T102" t="n">
        <v>7</v>
      </c>
      <c r="U102">
        <f>IF(LEFT(G102,8)="Baseline","Baseline",IF(LEFT(G102,8)="Recovery","Recovery","Commercial"))</f>
        <v/>
      </c>
      <c r="V102">
        <f>IF(ISNUMBER(SEARCH("Nike",G102)),"Nike","elf")</f>
        <v/>
      </c>
      <c r="W102">
        <f>IF(OR(AND(E102="A",V102="Nike"),AND(E102="B",V102="elf")),"first","second")</f>
        <v/>
      </c>
      <c r="X102">
        <f>IF(COUNTIFS(Data!$B$2:$B$181,B102,Data!$U$2:$U$181,"Commercial",Data!$Q$2:$Q$181,"&lt;0")+COUNTIFS(Data!$B$2:$B$181,B102,Data!$U$2:$U$181,"Commercial",Data!$R$2:$R$181,"&gt;20")&gt;0,"No","Yes")</f>
        <v/>
      </c>
      <c r="Y102">
        <f>IF(COUNTIFS(Data!$B$2:$B$181,B102,Data!$L$2:$L$181,0)&gt;=4,1,0)</f>
        <v/>
      </c>
      <c r="Z102" s="5">
        <f>M102/(J102/60000)</f>
        <v/>
      </c>
      <c r="AA102" s="5">
        <f>M102/(I102/60000)</f>
        <v/>
      </c>
    </row>
    <row r="103">
      <c r="A103" t="inlineStr">
        <is>
          <t>SIMULATED_Arousal_Nike_vs_elf</t>
        </is>
      </c>
      <c r="B103" t="inlineStr">
        <is>
          <t>P17</t>
        </is>
      </c>
      <c r="C103" t="inlineStr">
        <is>
          <t>M</t>
        </is>
      </c>
      <c r="D103" t="n">
        <v>21</v>
      </c>
      <c r="E103" t="inlineStr">
        <is>
          <t>B</t>
        </is>
      </c>
      <c r="F103" t="inlineStr">
        <is>
          <t>Stimulus</t>
        </is>
      </c>
      <c r="G103" t="inlineStr">
        <is>
          <t>Recovery_elf</t>
        </is>
      </c>
      <c r="H103" t="n">
        <v>128309</v>
      </c>
      <c r="I103" t="n">
        <v>15000</v>
      </c>
      <c r="J103" t="n">
        <v>15000</v>
      </c>
      <c r="K103" t="inlineStr">
        <is>
          <t>Recovery_elf</t>
        </is>
      </c>
      <c r="L103" t="n">
        <v>1</v>
      </c>
      <c r="M103" t="n">
        <v>1</v>
      </c>
      <c r="N103" t="n">
        <v>4</v>
      </c>
      <c r="O103" t="n">
        <v>0.1359</v>
      </c>
      <c r="P103" t="inlineStr">
        <is>
          <t>Shimmer3-B</t>
        </is>
      </c>
      <c r="Q103" t="n">
        <v>23.2</v>
      </c>
      <c r="R103" t="n">
        <v>0.8</v>
      </c>
      <c r="S103" t="n">
        <v>68.5</v>
      </c>
      <c r="T103" t="inlineStr">
        <is>
          <t>NA</t>
        </is>
      </c>
      <c r="U103">
        <f>IF(LEFT(G103,8)="Baseline","Baseline",IF(LEFT(G103,8)="Recovery","Recovery","Commercial"))</f>
        <v/>
      </c>
      <c r="V103">
        <f>IF(ISNUMBER(SEARCH("Nike",G103)),"Nike","elf")</f>
        <v/>
      </c>
      <c r="W103">
        <f>IF(OR(AND(E103="A",V103="Nike"),AND(E103="B",V103="elf")),"first","second")</f>
        <v/>
      </c>
      <c r="X103">
        <f>IF(COUNTIFS(Data!$B$2:$B$181,B103,Data!$U$2:$U$181,"Commercial",Data!$Q$2:$Q$181,"&lt;0")+COUNTIFS(Data!$B$2:$B$181,B103,Data!$U$2:$U$181,"Commercial",Data!$R$2:$R$181,"&gt;20")&gt;0,"No","Yes")</f>
        <v/>
      </c>
      <c r="Y103">
        <f>IF(COUNTIFS(Data!$B$2:$B$181,B103,Data!$L$2:$L$181,0)&gt;=4,1,0)</f>
        <v/>
      </c>
      <c r="Z103" s="5">
        <f>M103/(J103/60000)</f>
        <v/>
      </c>
      <c r="AA103" s="5">
        <f>M103/(I103/60000)</f>
        <v/>
      </c>
    </row>
    <row r="104">
      <c r="A104" t="inlineStr">
        <is>
          <t>SIMULATED_Arousal_Nike_vs_elf</t>
        </is>
      </c>
      <c r="B104" t="inlineStr">
        <is>
          <t>P18</t>
        </is>
      </c>
      <c r="C104" t="inlineStr">
        <is>
          <t>F</t>
        </is>
      </c>
      <c r="D104" t="n">
        <v>38</v>
      </c>
      <c r="E104" t="inlineStr">
        <is>
          <t>A</t>
        </is>
      </c>
      <c r="F104" t="inlineStr">
        <is>
          <t>Stimulus</t>
        </is>
      </c>
      <c r="G104" t="inlineStr">
        <is>
          <t>Baseline_Nike</t>
        </is>
      </c>
      <c r="H104" t="n">
        <v>32391</v>
      </c>
      <c r="I104" t="n">
        <v>60000</v>
      </c>
      <c r="J104" t="n">
        <v>60000</v>
      </c>
      <c r="K104" t="inlineStr">
        <is>
          <t>Baseline_Nike</t>
        </is>
      </c>
      <c r="L104" t="n">
        <v>1</v>
      </c>
      <c r="M104" t="n">
        <v>3</v>
      </c>
      <c r="N104" t="n">
        <v>3</v>
      </c>
      <c r="O104" t="n">
        <v>0.1121</v>
      </c>
      <c r="P104" t="inlineStr">
        <is>
          <t>Shimmer3-8956</t>
        </is>
      </c>
      <c r="Q104" t="n">
        <v>23.7</v>
      </c>
      <c r="R104" t="n">
        <v>0.8</v>
      </c>
      <c r="S104" t="n">
        <v>75.5</v>
      </c>
      <c r="T104" t="inlineStr">
        <is>
          <t>NA</t>
        </is>
      </c>
      <c r="U104">
        <f>IF(LEFT(G104,8)="Baseline","Baseline",IF(LEFT(G104,8)="Recovery","Recovery","Commercial"))</f>
        <v/>
      </c>
      <c r="V104">
        <f>IF(ISNUMBER(SEARCH("Nike",G104)),"Nike","elf")</f>
        <v/>
      </c>
      <c r="W104">
        <f>IF(OR(AND(E104="A",V104="Nike"),AND(E104="B",V104="elf")),"first","second")</f>
        <v/>
      </c>
      <c r="X104">
        <f>IF(COUNTIFS(Data!$B$2:$B$181,B104,Data!$U$2:$U$181,"Commercial",Data!$Q$2:$Q$181,"&lt;0")+COUNTIFS(Data!$B$2:$B$181,B104,Data!$U$2:$U$181,"Commercial",Data!$R$2:$R$181,"&gt;20")&gt;0,"No","Yes")</f>
        <v/>
      </c>
      <c r="Y104">
        <f>IF(COUNTIFS(Data!$B$2:$B$181,B104,Data!$L$2:$L$181,0)&gt;=4,1,0)</f>
        <v/>
      </c>
      <c r="Z104" s="5">
        <f>M104/(J104/60000)</f>
        <v/>
      </c>
      <c r="AA104" s="5">
        <f>M104/(I104/60000)</f>
        <v/>
      </c>
    </row>
    <row r="105">
      <c r="A105" t="inlineStr">
        <is>
          <t>SIMULATED_Arousal_Nike_vs_elf</t>
        </is>
      </c>
      <c r="B105" t="inlineStr">
        <is>
          <t>P18</t>
        </is>
      </c>
      <c r="C105" t="inlineStr">
        <is>
          <t>F</t>
        </is>
      </c>
      <c r="D105" t="n">
        <v>38</v>
      </c>
      <c r="E105" t="inlineStr">
        <is>
          <t>A</t>
        </is>
      </c>
      <c r="F105" t="inlineStr">
        <is>
          <t>Stimulus</t>
        </is>
      </c>
      <c r="G105" t="inlineStr">
        <is>
          <t>Nike_Commercial</t>
        </is>
      </c>
      <c r="H105" t="n">
        <v>92391</v>
      </c>
      <c r="I105" t="n">
        <v>60000</v>
      </c>
      <c r="J105" t="n">
        <v>60000</v>
      </c>
      <c r="K105" t="inlineStr">
        <is>
          <t>Nike_Commercial</t>
        </is>
      </c>
      <c r="L105" t="n">
        <v>1</v>
      </c>
      <c r="M105" t="n">
        <v>4</v>
      </c>
      <c r="N105" t="n">
        <v>4</v>
      </c>
      <c r="O105" t="n">
        <v>0.1668</v>
      </c>
      <c r="P105" t="inlineStr">
        <is>
          <t>Shimmer3-8956</t>
        </is>
      </c>
      <c r="Q105" t="n">
        <v>23.2</v>
      </c>
      <c r="R105" t="n">
        <v>0</v>
      </c>
      <c r="S105" t="n">
        <v>72</v>
      </c>
      <c r="T105" t="n">
        <v>5</v>
      </c>
      <c r="U105">
        <f>IF(LEFT(G105,8)="Baseline","Baseline",IF(LEFT(G105,8)="Recovery","Recovery","Commercial"))</f>
        <v/>
      </c>
      <c r="V105">
        <f>IF(ISNUMBER(SEARCH("Nike",G105)),"Nike","elf")</f>
        <v/>
      </c>
      <c r="W105">
        <f>IF(OR(AND(E105="A",V105="Nike"),AND(E105="B",V105="elf")),"first","second")</f>
        <v/>
      </c>
      <c r="X105">
        <f>IF(COUNTIFS(Data!$B$2:$B$181,B105,Data!$U$2:$U$181,"Commercial",Data!$Q$2:$Q$181,"&lt;0")+COUNTIFS(Data!$B$2:$B$181,B105,Data!$U$2:$U$181,"Commercial",Data!$R$2:$R$181,"&gt;20")&gt;0,"No","Yes")</f>
        <v/>
      </c>
      <c r="Y105">
        <f>IF(COUNTIFS(Data!$B$2:$B$181,B105,Data!$L$2:$L$181,0)&gt;=4,1,0)</f>
        <v/>
      </c>
      <c r="Z105" s="5">
        <f>M105/(J105/60000)</f>
        <v/>
      </c>
      <c r="AA105" s="5">
        <f>M105/(I105/60000)</f>
        <v/>
      </c>
    </row>
    <row r="106">
      <c r="A106" t="inlineStr">
        <is>
          <t>SIMULATED_Arousal_Nike_vs_elf</t>
        </is>
      </c>
      <c r="B106" t="inlineStr">
        <is>
          <t>P18</t>
        </is>
      </c>
      <c r="C106" t="inlineStr">
        <is>
          <t>F</t>
        </is>
      </c>
      <c r="D106" t="n">
        <v>38</v>
      </c>
      <c r="E106" t="inlineStr">
        <is>
          <t>A</t>
        </is>
      </c>
      <c r="F106" t="inlineStr">
        <is>
          <t>Stimulus</t>
        </is>
      </c>
      <c r="G106" t="inlineStr">
        <is>
          <t>Recovery_Nike</t>
        </is>
      </c>
      <c r="H106" t="n">
        <v>152391</v>
      </c>
      <c r="I106" t="n">
        <v>15000</v>
      </c>
      <c r="J106" t="n">
        <v>15000</v>
      </c>
      <c r="K106" t="inlineStr">
        <is>
          <t>Recovery_Nike</t>
        </is>
      </c>
      <c r="L106" t="n">
        <v>1</v>
      </c>
      <c r="M106" t="n">
        <v>1</v>
      </c>
      <c r="N106" t="n">
        <v>4</v>
      </c>
      <c r="O106" t="n">
        <v>0.2112</v>
      </c>
      <c r="P106" t="inlineStr">
        <is>
          <t>Shimmer3-8956</t>
        </is>
      </c>
      <c r="Q106" t="n">
        <v>27.2</v>
      </c>
      <c r="R106" t="n">
        <v>0</v>
      </c>
      <c r="S106" t="n">
        <v>75.8</v>
      </c>
      <c r="T106" t="inlineStr">
        <is>
          <t>NA</t>
        </is>
      </c>
      <c r="U106">
        <f>IF(LEFT(G106,8)="Baseline","Baseline",IF(LEFT(G106,8)="Recovery","Recovery","Commercial"))</f>
        <v/>
      </c>
      <c r="V106">
        <f>IF(ISNUMBER(SEARCH("Nike",G106)),"Nike","elf")</f>
        <v/>
      </c>
      <c r="W106">
        <f>IF(OR(AND(E106="A",V106="Nike"),AND(E106="B",V106="elf")),"first","second")</f>
        <v/>
      </c>
      <c r="X106">
        <f>IF(COUNTIFS(Data!$B$2:$B$181,B106,Data!$U$2:$U$181,"Commercial",Data!$Q$2:$Q$181,"&lt;0")+COUNTIFS(Data!$B$2:$B$181,B106,Data!$U$2:$U$181,"Commercial",Data!$R$2:$R$181,"&gt;20")&gt;0,"No","Yes")</f>
        <v/>
      </c>
      <c r="Y106">
        <f>IF(COUNTIFS(Data!$B$2:$B$181,B106,Data!$L$2:$L$181,0)&gt;=4,1,0)</f>
        <v/>
      </c>
      <c r="Z106" s="5">
        <f>M106/(J106/60000)</f>
        <v/>
      </c>
      <c r="AA106" s="5">
        <f>M106/(I106/60000)</f>
        <v/>
      </c>
    </row>
    <row r="107">
      <c r="A107" t="inlineStr">
        <is>
          <t>SIMULATED_Arousal_Nike_vs_elf</t>
        </is>
      </c>
      <c r="B107" t="inlineStr">
        <is>
          <t>P18</t>
        </is>
      </c>
      <c r="C107" t="inlineStr">
        <is>
          <t>F</t>
        </is>
      </c>
      <c r="D107" t="n">
        <v>38</v>
      </c>
      <c r="E107" t="inlineStr">
        <is>
          <t>A</t>
        </is>
      </c>
      <c r="F107" t="inlineStr">
        <is>
          <t>Stimulus</t>
        </is>
      </c>
      <c r="G107" t="inlineStr">
        <is>
          <t>Baseline_elf</t>
        </is>
      </c>
      <c r="H107" t="n">
        <v>343705</v>
      </c>
      <c r="I107" t="n">
        <v>60000</v>
      </c>
      <c r="J107" t="n">
        <v>60000</v>
      </c>
      <c r="K107" t="inlineStr">
        <is>
          <t>Baseline_elf</t>
        </is>
      </c>
      <c r="L107" t="n">
        <v>1</v>
      </c>
      <c r="M107" t="n">
        <v>2</v>
      </c>
      <c r="N107" t="n">
        <v>2</v>
      </c>
      <c r="O107" t="n">
        <v>0.1894</v>
      </c>
      <c r="P107" t="inlineStr">
        <is>
          <t>Shimmer3-8956</t>
        </is>
      </c>
      <c r="Q107" t="n">
        <v>23.8</v>
      </c>
      <c r="R107" t="n">
        <v>0</v>
      </c>
      <c r="S107" t="n">
        <v>76.59999999999999</v>
      </c>
      <c r="T107" t="inlineStr">
        <is>
          <t>NA</t>
        </is>
      </c>
      <c r="U107">
        <f>IF(LEFT(G107,8)="Baseline","Baseline",IF(LEFT(G107,8)="Recovery","Recovery","Commercial"))</f>
        <v/>
      </c>
      <c r="V107">
        <f>IF(ISNUMBER(SEARCH("Nike",G107)),"Nike","elf")</f>
        <v/>
      </c>
      <c r="W107">
        <f>IF(OR(AND(E107="A",V107="Nike"),AND(E107="B",V107="elf")),"first","second")</f>
        <v/>
      </c>
      <c r="X107">
        <f>IF(COUNTIFS(Data!$B$2:$B$181,B107,Data!$U$2:$U$181,"Commercial",Data!$Q$2:$Q$181,"&lt;0")+COUNTIFS(Data!$B$2:$B$181,B107,Data!$U$2:$U$181,"Commercial",Data!$R$2:$R$181,"&gt;20")&gt;0,"No","Yes")</f>
        <v/>
      </c>
      <c r="Y107">
        <f>IF(COUNTIFS(Data!$B$2:$B$181,B107,Data!$L$2:$L$181,0)&gt;=4,1,0)</f>
        <v/>
      </c>
      <c r="Z107" s="5">
        <f>M107/(J107/60000)</f>
        <v/>
      </c>
      <c r="AA107" s="5">
        <f>M107/(I107/60000)</f>
        <v/>
      </c>
    </row>
    <row r="108">
      <c r="A108" t="inlineStr">
        <is>
          <t>SIMULATED_Arousal_Nike_vs_elf</t>
        </is>
      </c>
      <c r="B108" t="inlineStr">
        <is>
          <t>P18</t>
        </is>
      </c>
      <c r="C108" t="inlineStr">
        <is>
          <t>F</t>
        </is>
      </c>
      <c r="D108" t="n">
        <v>38</v>
      </c>
      <c r="E108" t="inlineStr">
        <is>
          <t>A</t>
        </is>
      </c>
      <c r="F108" t="inlineStr">
        <is>
          <t>Stimulus</t>
        </is>
      </c>
      <c r="G108" t="inlineStr">
        <is>
          <t>elf_Commercial</t>
        </is>
      </c>
      <c r="H108" t="n">
        <v>403705</v>
      </c>
      <c r="I108" t="n">
        <v>30000</v>
      </c>
      <c r="J108" t="n">
        <v>30000</v>
      </c>
      <c r="K108" t="inlineStr">
        <is>
          <t>elf_Commercial</t>
        </is>
      </c>
      <c r="L108" t="n">
        <v>1</v>
      </c>
      <c r="M108" t="n">
        <v>2</v>
      </c>
      <c r="N108" t="n">
        <v>4</v>
      </c>
      <c r="O108" t="n">
        <v>0.239</v>
      </c>
      <c r="P108" t="inlineStr">
        <is>
          <t>Shimmer3-8956</t>
        </is>
      </c>
      <c r="Q108" t="n">
        <v>22.2</v>
      </c>
      <c r="R108" t="n">
        <v>1.7</v>
      </c>
      <c r="S108" t="n">
        <v>73.2</v>
      </c>
      <c r="T108" t="n">
        <v>7</v>
      </c>
      <c r="U108">
        <f>IF(LEFT(G108,8)="Baseline","Baseline",IF(LEFT(G108,8)="Recovery","Recovery","Commercial"))</f>
        <v/>
      </c>
      <c r="V108">
        <f>IF(ISNUMBER(SEARCH("Nike",G108)),"Nike","elf")</f>
        <v/>
      </c>
      <c r="W108">
        <f>IF(OR(AND(E108="A",V108="Nike"),AND(E108="B",V108="elf")),"first","second")</f>
        <v/>
      </c>
      <c r="X108">
        <f>IF(COUNTIFS(Data!$B$2:$B$181,B108,Data!$U$2:$U$181,"Commercial",Data!$Q$2:$Q$181,"&lt;0")+COUNTIFS(Data!$B$2:$B$181,B108,Data!$U$2:$U$181,"Commercial",Data!$R$2:$R$181,"&gt;20")&gt;0,"No","Yes")</f>
        <v/>
      </c>
      <c r="Y108">
        <f>IF(COUNTIFS(Data!$B$2:$B$181,B108,Data!$L$2:$L$181,0)&gt;=4,1,0)</f>
        <v/>
      </c>
      <c r="Z108" s="5">
        <f>M108/(J108/60000)</f>
        <v/>
      </c>
      <c r="AA108" s="5">
        <f>M108/(I108/60000)</f>
        <v/>
      </c>
    </row>
    <row r="109">
      <c r="A109" t="inlineStr">
        <is>
          <t>SIMULATED_Arousal_Nike_vs_elf</t>
        </is>
      </c>
      <c r="B109" t="inlineStr">
        <is>
          <t>P18</t>
        </is>
      </c>
      <c r="C109" t="inlineStr">
        <is>
          <t>F</t>
        </is>
      </c>
      <c r="D109" t="n">
        <v>38</v>
      </c>
      <c r="E109" t="inlineStr">
        <is>
          <t>A</t>
        </is>
      </c>
      <c r="F109" t="inlineStr">
        <is>
          <t>Stimulus</t>
        </is>
      </c>
      <c r="G109" t="inlineStr">
        <is>
          <t>Recovery_elf</t>
        </is>
      </c>
      <c r="H109" t="n">
        <v>433705</v>
      </c>
      <c r="I109" t="n">
        <v>15000</v>
      </c>
      <c r="J109" t="n">
        <v>15000</v>
      </c>
      <c r="K109" t="inlineStr">
        <is>
          <t>Recovery_elf</t>
        </is>
      </c>
      <c r="L109" t="n">
        <v>1</v>
      </c>
      <c r="M109" t="n">
        <v>2</v>
      </c>
      <c r="N109" t="n">
        <v>8</v>
      </c>
      <c r="O109" t="n">
        <v>0.117</v>
      </c>
      <c r="P109" t="inlineStr">
        <is>
          <t>Shimmer3-8956</t>
        </is>
      </c>
      <c r="Q109" t="n">
        <v>27.3</v>
      </c>
      <c r="R109" t="n">
        <v>0</v>
      </c>
      <c r="S109" t="n">
        <v>74.5</v>
      </c>
      <c r="T109" t="inlineStr">
        <is>
          <t>NA</t>
        </is>
      </c>
      <c r="U109">
        <f>IF(LEFT(G109,8)="Baseline","Baseline",IF(LEFT(G109,8)="Recovery","Recovery","Commercial"))</f>
        <v/>
      </c>
      <c r="V109">
        <f>IF(ISNUMBER(SEARCH("Nike",G109)),"Nike","elf")</f>
        <v/>
      </c>
      <c r="W109">
        <f>IF(OR(AND(E109="A",V109="Nike"),AND(E109="B",V109="elf")),"first","second")</f>
        <v/>
      </c>
      <c r="X109">
        <f>IF(COUNTIFS(Data!$B$2:$B$181,B109,Data!$U$2:$U$181,"Commercial",Data!$Q$2:$Q$181,"&lt;0")+COUNTIFS(Data!$B$2:$B$181,B109,Data!$U$2:$U$181,"Commercial",Data!$R$2:$R$181,"&gt;20")&gt;0,"No","Yes")</f>
        <v/>
      </c>
      <c r="Y109">
        <f>IF(COUNTIFS(Data!$B$2:$B$181,B109,Data!$L$2:$L$181,0)&gt;=4,1,0)</f>
        <v/>
      </c>
      <c r="Z109" s="5">
        <f>M109/(J109/60000)</f>
        <v/>
      </c>
      <c r="AA109" s="5">
        <f>M109/(I109/60000)</f>
        <v/>
      </c>
    </row>
    <row r="110">
      <c r="A110" t="inlineStr">
        <is>
          <t>SIMULATED_Arousal_Nike_vs_elf</t>
        </is>
      </c>
      <c r="B110" t="inlineStr">
        <is>
          <t>P19</t>
        </is>
      </c>
      <c r="C110" t="inlineStr">
        <is>
          <t>F</t>
        </is>
      </c>
      <c r="D110" t="n">
        <v>29</v>
      </c>
      <c r="E110" t="inlineStr">
        <is>
          <t>B</t>
        </is>
      </c>
      <c r="F110" t="inlineStr">
        <is>
          <t>Stimulus</t>
        </is>
      </c>
      <c r="G110" t="inlineStr">
        <is>
          <t>Baseline_Nike</t>
        </is>
      </c>
      <c r="H110" t="n">
        <v>333393</v>
      </c>
      <c r="I110" t="n">
        <v>60000</v>
      </c>
      <c r="J110" t="n">
        <v>60000</v>
      </c>
      <c r="K110" t="inlineStr">
        <is>
          <t>Baseline_Nike</t>
        </is>
      </c>
      <c r="L110" t="n">
        <v>1</v>
      </c>
      <c r="M110" t="n">
        <v>2</v>
      </c>
      <c r="N110" t="n">
        <v>2</v>
      </c>
      <c r="O110" t="n">
        <v>0.2606</v>
      </c>
      <c r="P110" t="inlineStr">
        <is>
          <t>Shimmer3-B</t>
        </is>
      </c>
      <c r="Q110" t="n">
        <v>22.1</v>
      </c>
      <c r="R110" t="n">
        <v>0</v>
      </c>
      <c r="S110" t="n">
        <v>59.3</v>
      </c>
      <c r="T110" t="inlineStr">
        <is>
          <t>NA</t>
        </is>
      </c>
      <c r="U110">
        <f>IF(LEFT(G110,8)="Baseline","Baseline",IF(LEFT(G110,8)="Recovery","Recovery","Commercial"))</f>
        <v/>
      </c>
      <c r="V110">
        <f>IF(ISNUMBER(SEARCH("Nike",G110)),"Nike","elf")</f>
        <v/>
      </c>
      <c r="W110">
        <f>IF(OR(AND(E110="A",V110="Nike"),AND(E110="B",V110="elf")),"first","second")</f>
        <v/>
      </c>
      <c r="X110">
        <f>IF(COUNTIFS(Data!$B$2:$B$181,B110,Data!$U$2:$U$181,"Commercial",Data!$Q$2:$Q$181,"&lt;0")+COUNTIFS(Data!$B$2:$B$181,B110,Data!$U$2:$U$181,"Commercial",Data!$R$2:$R$181,"&gt;20")&gt;0,"No","Yes")</f>
        <v/>
      </c>
      <c r="Y110">
        <f>IF(COUNTIFS(Data!$B$2:$B$181,B110,Data!$L$2:$L$181,0)&gt;=4,1,0)</f>
        <v/>
      </c>
      <c r="Z110" s="5">
        <f>M110/(J110/60000)</f>
        <v/>
      </c>
      <c r="AA110" s="5">
        <f>M110/(I110/60000)</f>
        <v/>
      </c>
    </row>
    <row r="111">
      <c r="A111" t="inlineStr">
        <is>
          <t>SIMULATED_Arousal_Nike_vs_elf</t>
        </is>
      </c>
      <c r="B111" t="inlineStr">
        <is>
          <t>P19</t>
        </is>
      </c>
      <c r="C111" t="inlineStr">
        <is>
          <t>F</t>
        </is>
      </c>
      <c r="D111" t="n">
        <v>29</v>
      </c>
      <c r="E111" t="inlineStr">
        <is>
          <t>B</t>
        </is>
      </c>
      <c r="F111" t="inlineStr">
        <is>
          <t>Stimulus</t>
        </is>
      </c>
      <c r="G111" t="inlineStr">
        <is>
          <t>Nike_Commercial</t>
        </is>
      </c>
      <c r="H111" t="n">
        <v>393393</v>
      </c>
      <c r="I111" t="n">
        <v>60000</v>
      </c>
      <c r="J111" t="n">
        <v>55400</v>
      </c>
      <c r="K111" t="inlineStr">
        <is>
          <t>Nike_Commercial</t>
        </is>
      </c>
      <c r="L111" t="n">
        <v>1</v>
      </c>
      <c r="M111" t="n">
        <v>5</v>
      </c>
      <c r="N111" t="n">
        <v>5.415</v>
      </c>
      <c r="O111" t="n">
        <v>0.4121</v>
      </c>
      <c r="P111" t="inlineStr">
        <is>
          <t>Shimmer3-B</t>
        </is>
      </c>
      <c r="Q111" t="n">
        <v>25.1</v>
      </c>
      <c r="R111" t="n">
        <v>7.7</v>
      </c>
      <c r="S111" t="n">
        <v>60.4</v>
      </c>
      <c r="T111" t="n">
        <v>6</v>
      </c>
      <c r="U111">
        <f>IF(LEFT(G111,8)="Baseline","Baseline",IF(LEFT(G111,8)="Recovery","Recovery","Commercial"))</f>
        <v/>
      </c>
      <c r="V111">
        <f>IF(ISNUMBER(SEARCH("Nike",G111)),"Nike","elf")</f>
        <v/>
      </c>
      <c r="W111">
        <f>IF(OR(AND(E111="A",V111="Nike"),AND(E111="B",V111="elf")),"first","second")</f>
        <v/>
      </c>
      <c r="X111">
        <f>IF(COUNTIFS(Data!$B$2:$B$181,B111,Data!$U$2:$U$181,"Commercial",Data!$Q$2:$Q$181,"&lt;0")+COUNTIFS(Data!$B$2:$B$181,B111,Data!$U$2:$U$181,"Commercial",Data!$R$2:$R$181,"&gt;20")&gt;0,"No","Yes")</f>
        <v/>
      </c>
      <c r="Y111">
        <f>IF(COUNTIFS(Data!$B$2:$B$181,B111,Data!$L$2:$L$181,0)&gt;=4,1,0)</f>
        <v/>
      </c>
      <c r="Z111" s="5">
        <f>M111/(J111/60000)</f>
        <v/>
      </c>
      <c r="AA111" s="5">
        <f>M111/(I111/60000)</f>
        <v/>
      </c>
    </row>
    <row r="112">
      <c r="A112" t="inlineStr">
        <is>
          <t>SIMULATED_Arousal_Nike_vs_elf</t>
        </is>
      </c>
      <c r="B112" t="inlineStr">
        <is>
          <t>P19</t>
        </is>
      </c>
      <c r="C112" t="inlineStr">
        <is>
          <t>F</t>
        </is>
      </c>
      <c r="D112" t="n">
        <v>29</v>
      </c>
      <c r="E112" t="inlineStr">
        <is>
          <t>B</t>
        </is>
      </c>
      <c r="F112" t="inlineStr">
        <is>
          <t>Stimulus</t>
        </is>
      </c>
      <c r="G112" t="inlineStr">
        <is>
          <t>Recovery_Nike</t>
        </is>
      </c>
      <c r="H112" t="n">
        <v>453393</v>
      </c>
      <c r="I112" t="n">
        <v>15000</v>
      </c>
      <c r="J112" t="n">
        <v>15000</v>
      </c>
      <c r="K112" t="inlineStr">
        <is>
          <t>Recovery_Nike</t>
        </is>
      </c>
      <c r="L112" t="n">
        <v>1</v>
      </c>
      <c r="M112" t="n">
        <v>1</v>
      </c>
      <c r="N112" t="n">
        <v>4</v>
      </c>
      <c r="O112" t="n">
        <v>0.1893</v>
      </c>
      <c r="P112" t="inlineStr">
        <is>
          <t>Shimmer3-B</t>
        </is>
      </c>
      <c r="Q112" t="n">
        <v>24</v>
      </c>
      <c r="R112" t="n">
        <v>0</v>
      </c>
      <c r="S112" t="n">
        <v>62.6</v>
      </c>
      <c r="T112" t="inlineStr">
        <is>
          <t>NA</t>
        </is>
      </c>
      <c r="U112">
        <f>IF(LEFT(G112,8)="Baseline","Baseline",IF(LEFT(G112,8)="Recovery","Recovery","Commercial"))</f>
        <v/>
      </c>
      <c r="V112">
        <f>IF(ISNUMBER(SEARCH("Nike",G112)),"Nike","elf")</f>
        <v/>
      </c>
      <c r="W112">
        <f>IF(OR(AND(E112="A",V112="Nike"),AND(E112="B",V112="elf")),"first","second")</f>
        <v/>
      </c>
      <c r="X112">
        <f>IF(COUNTIFS(Data!$B$2:$B$181,B112,Data!$U$2:$U$181,"Commercial",Data!$Q$2:$Q$181,"&lt;0")+COUNTIFS(Data!$B$2:$B$181,B112,Data!$U$2:$U$181,"Commercial",Data!$R$2:$R$181,"&gt;20")&gt;0,"No","Yes")</f>
        <v/>
      </c>
      <c r="Y112">
        <f>IF(COUNTIFS(Data!$B$2:$B$181,B112,Data!$L$2:$L$181,0)&gt;=4,1,0)</f>
        <v/>
      </c>
      <c r="Z112" s="5">
        <f>M112/(J112/60000)</f>
        <v/>
      </c>
      <c r="AA112" s="5">
        <f>M112/(I112/60000)</f>
        <v/>
      </c>
    </row>
    <row r="113">
      <c r="A113" t="inlineStr">
        <is>
          <t>SIMULATED_Arousal_Nike_vs_elf</t>
        </is>
      </c>
      <c r="B113" t="inlineStr">
        <is>
          <t>P19</t>
        </is>
      </c>
      <c r="C113" t="inlineStr">
        <is>
          <t>F</t>
        </is>
      </c>
      <c r="D113" t="n">
        <v>29</v>
      </c>
      <c r="E113" t="inlineStr">
        <is>
          <t>B</t>
        </is>
      </c>
      <c r="F113" t="inlineStr">
        <is>
          <t>Stimulus</t>
        </is>
      </c>
      <c r="G113" t="inlineStr">
        <is>
          <t>Baseline_elf</t>
        </is>
      </c>
      <c r="H113" t="n">
        <v>36073</v>
      </c>
      <c r="I113" t="n">
        <v>60000</v>
      </c>
      <c r="J113" t="n">
        <v>60000</v>
      </c>
      <c r="K113" t="inlineStr">
        <is>
          <t>Baseline_elf</t>
        </is>
      </c>
      <c r="L113" t="n">
        <v>1</v>
      </c>
      <c r="M113" t="n">
        <v>4</v>
      </c>
      <c r="N113" t="n">
        <v>4</v>
      </c>
      <c r="O113" t="n">
        <v>0.4227</v>
      </c>
      <c r="P113" t="inlineStr">
        <is>
          <t>Shimmer3-B</t>
        </is>
      </c>
      <c r="Q113" t="n">
        <v>26.2</v>
      </c>
      <c r="R113" t="n">
        <v>0</v>
      </c>
      <c r="S113" t="n">
        <v>58.6</v>
      </c>
      <c r="T113" t="inlineStr">
        <is>
          <t>NA</t>
        </is>
      </c>
      <c r="U113">
        <f>IF(LEFT(G113,8)="Baseline","Baseline",IF(LEFT(G113,8)="Recovery","Recovery","Commercial"))</f>
        <v/>
      </c>
      <c r="V113">
        <f>IF(ISNUMBER(SEARCH("Nike",G113)),"Nike","elf")</f>
        <v/>
      </c>
      <c r="W113">
        <f>IF(OR(AND(E113="A",V113="Nike"),AND(E113="B",V113="elf")),"first","second")</f>
        <v/>
      </c>
      <c r="X113">
        <f>IF(COUNTIFS(Data!$B$2:$B$181,B113,Data!$U$2:$U$181,"Commercial",Data!$Q$2:$Q$181,"&lt;0")+COUNTIFS(Data!$B$2:$B$181,B113,Data!$U$2:$U$181,"Commercial",Data!$R$2:$R$181,"&gt;20")&gt;0,"No","Yes")</f>
        <v/>
      </c>
      <c r="Y113">
        <f>IF(COUNTIFS(Data!$B$2:$B$181,B113,Data!$L$2:$L$181,0)&gt;=4,1,0)</f>
        <v/>
      </c>
      <c r="Z113" s="5">
        <f>M113/(J113/60000)</f>
        <v/>
      </c>
      <c r="AA113" s="5">
        <f>M113/(I113/60000)</f>
        <v/>
      </c>
    </row>
    <row r="114">
      <c r="A114" t="inlineStr">
        <is>
          <t>SIMULATED_Arousal_Nike_vs_elf</t>
        </is>
      </c>
      <c r="B114" t="inlineStr">
        <is>
          <t>P19</t>
        </is>
      </c>
      <c r="C114" t="inlineStr">
        <is>
          <t>F</t>
        </is>
      </c>
      <c r="D114" t="n">
        <v>29</v>
      </c>
      <c r="E114" t="inlineStr">
        <is>
          <t>B</t>
        </is>
      </c>
      <c r="F114" t="inlineStr">
        <is>
          <t>Stimulus</t>
        </is>
      </c>
      <c r="G114" t="inlineStr">
        <is>
          <t>elf_Commercial</t>
        </is>
      </c>
      <c r="H114" t="n">
        <v>96073</v>
      </c>
      <c r="I114" t="n">
        <v>30000</v>
      </c>
      <c r="J114" t="n">
        <v>30000</v>
      </c>
      <c r="K114" t="inlineStr">
        <is>
          <t>elf_Commercial</t>
        </is>
      </c>
      <c r="L114" t="n">
        <v>1</v>
      </c>
      <c r="M114" t="n">
        <v>2</v>
      </c>
      <c r="N114" t="n">
        <v>4</v>
      </c>
      <c r="O114" t="n">
        <v>0.32</v>
      </c>
      <c r="P114" t="inlineStr">
        <is>
          <t>Shimmer3-B</t>
        </is>
      </c>
      <c r="Q114" t="n">
        <v>27.7</v>
      </c>
      <c r="R114" t="n">
        <v>1.9</v>
      </c>
      <c r="S114" t="n">
        <v>60</v>
      </c>
      <c r="T114" t="n">
        <v>3</v>
      </c>
      <c r="U114">
        <f>IF(LEFT(G114,8)="Baseline","Baseline",IF(LEFT(G114,8)="Recovery","Recovery","Commercial"))</f>
        <v/>
      </c>
      <c r="V114">
        <f>IF(ISNUMBER(SEARCH("Nike",G114)),"Nike","elf")</f>
        <v/>
      </c>
      <c r="W114">
        <f>IF(OR(AND(E114="A",V114="Nike"),AND(E114="B",V114="elf")),"first","second")</f>
        <v/>
      </c>
      <c r="X114">
        <f>IF(COUNTIFS(Data!$B$2:$B$181,B114,Data!$U$2:$U$181,"Commercial",Data!$Q$2:$Q$181,"&lt;0")+COUNTIFS(Data!$B$2:$B$181,B114,Data!$U$2:$U$181,"Commercial",Data!$R$2:$R$181,"&gt;20")&gt;0,"No","Yes")</f>
        <v/>
      </c>
      <c r="Y114">
        <f>IF(COUNTIFS(Data!$B$2:$B$181,B114,Data!$L$2:$L$181,0)&gt;=4,1,0)</f>
        <v/>
      </c>
      <c r="Z114" s="5">
        <f>M114/(J114/60000)</f>
        <v/>
      </c>
      <c r="AA114" s="5">
        <f>M114/(I114/60000)</f>
        <v/>
      </c>
    </row>
    <row r="115">
      <c r="A115" t="inlineStr">
        <is>
          <t>SIMULATED_Arousal_Nike_vs_elf</t>
        </is>
      </c>
      <c r="B115" t="inlineStr">
        <is>
          <t>P19</t>
        </is>
      </c>
      <c r="C115" t="inlineStr">
        <is>
          <t>F</t>
        </is>
      </c>
      <c r="D115" t="n">
        <v>29</v>
      </c>
      <c r="E115" t="inlineStr">
        <is>
          <t>B</t>
        </is>
      </c>
      <c r="F115" t="inlineStr">
        <is>
          <t>Stimulus</t>
        </is>
      </c>
      <c r="G115" t="inlineStr">
        <is>
          <t>Recovery_elf</t>
        </is>
      </c>
      <c r="H115" t="n">
        <v>126073</v>
      </c>
      <c r="I115" t="n">
        <v>15000</v>
      </c>
      <c r="J115" t="n">
        <v>15000</v>
      </c>
      <c r="K115" t="inlineStr">
        <is>
          <t>Recovery_elf</t>
        </is>
      </c>
      <c r="L115" t="n">
        <v>1</v>
      </c>
      <c r="M115" t="n">
        <v>1</v>
      </c>
      <c r="N115" t="n">
        <v>4</v>
      </c>
      <c r="O115" t="n">
        <v>0.2911</v>
      </c>
      <c r="P115" t="inlineStr">
        <is>
          <t>Shimmer3-B</t>
        </is>
      </c>
      <c r="Q115" t="n">
        <v>21.3</v>
      </c>
      <c r="R115" t="n">
        <v>0.9</v>
      </c>
      <c r="S115" t="n">
        <v>60</v>
      </c>
      <c r="T115" t="inlineStr">
        <is>
          <t>NA</t>
        </is>
      </c>
      <c r="U115">
        <f>IF(LEFT(G115,8)="Baseline","Baseline",IF(LEFT(G115,8)="Recovery","Recovery","Commercial"))</f>
        <v/>
      </c>
      <c r="V115">
        <f>IF(ISNUMBER(SEARCH("Nike",G115)),"Nike","elf")</f>
        <v/>
      </c>
      <c r="W115">
        <f>IF(OR(AND(E115="A",V115="Nike"),AND(E115="B",V115="elf")),"first","second")</f>
        <v/>
      </c>
      <c r="X115">
        <f>IF(COUNTIFS(Data!$B$2:$B$181,B115,Data!$U$2:$U$181,"Commercial",Data!$Q$2:$Q$181,"&lt;0")+COUNTIFS(Data!$B$2:$B$181,B115,Data!$U$2:$U$181,"Commercial",Data!$R$2:$R$181,"&gt;20")&gt;0,"No","Yes")</f>
        <v/>
      </c>
      <c r="Y115">
        <f>IF(COUNTIFS(Data!$B$2:$B$181,B115,Data!$L$2:$L$181,0)&gt;=4,1,0)</f>
        <v/>
      </c>
      <c r="Z115" s="5">
        <f>M115/(J115/60000)</f>
        <v/>
      </c>
      <c r="AA115" s="5">
        <f>M115/(I115/60000)</f>
        <v/>
      </c>
    </row>
    <row r="116">
      <c r="A116" t="inlineStr">
        <is>
          <t>SIMULATED_Arousal_Nike_vs_elf</t>
        </is>
      </c>
      <c r="B116" t="inlineStr">
        <is>
          <t>P20</t>
        </is>
      </c>
      <c r="C116" t="inlineStr">
        <is>
          <t>M</t>
        </is>
      </c>
      <c r="D116" t="n">
        <v>26</v>
      </c>
      <c r="E116" t="inlineStr">
        <is>
          <t>A</t>
        </is>
      </c>
      <c r="F116" t="inlineStr">
        <is>
          <t>Stimulus</t>
        </is>
      </c>
      <c r="G116" t="inlineStr">
        <is>
          <t>Baseline_Nike</t>
        </is>
      </c>
      <c r="H116" t="n">
        <v>37798</v>
      </c>
      <c r="I116" t="n">
        <v>60000</v>
      </c>
      <c r="J116" t="n">
        <v>60000</v>
      </c>
      <c r="K116" t="inlineStr">
        <is>
          <t>Baseline_Nike</t>
        </is>
      </c>
      <c r="L116" t="n">
        <v>1</v>
      </c>
      <c r="M116" t="n">
        <v>2</v>
      </c>
      <c r="N116" t="n">
        <v>2</v>
      </c>
      <c r="O116" t="n">
        <v>0.2453</v>
      </c>
      <c r="P116" t="inlineStr">
        <is>
          <t>Shimmer3-8956</t>
        </is>
      </c>
      <c r="Q116" t="n">
        <v>20.7</v>
      </c>
      <c r="R116" t="n">
        <v>3</v>
      </c>
      <c r="S116" t="n">
        <v>81.8</v>
      </c>
      <c r="T116" t="inlineStr">
        <is>
          <t>NA</t>
        </is>
      </c>
      <c r="U116">
        <f>IF(LEFT(G116,8)="Baseline","Baseline",IF(LEFT(G116,8)="Recovery","Recovery","Commercial"))</f>
        <v/>
      </c>
      <c r="V116">
        <f>IF(ISNUMBER(SEARCH("Nike",G116)),"Nike","elf")</f>
        <v/>
      </c>
      <c r="W116">
        <f>IF(OR(AND(E116="A",V116="Nike"),AND(E116="B",V116="elf")),"first","second")</f>
        <v/>
      </c>
      <c r="X116">
        <f>IF(COUNTIFS(Data!$B$2:$B$181,B116,Data!$U$2:$U$181,"Commercial",Data!$Q$2:$Q$181,"&lt;0")+COUNTIFS(Data!$B$2:$B$181,B116,Data!$U$2:$U$181,"Commercial",Data!$R$2:$R$181,"&gt;20")&gt;0,"No","Yes")</f>
        <v/>
      </c>
      <c r="Y116">
        <f>IF(COUNTIFS(Data!$B$2:$B$181,B116,Data!$L$2:$L$181,0)&gt;=4,1,0)</f>
        <v/>
      </c>
      <c r="Z116" s="5">
        <f>M116/(J116/60000)</f>
        <v/>
      </c>
      <c r="AA116" s="5">
        <f>M116/(I116/60000)</f>
        <v/>
      </c>
    </row>
    <row r="117">
      <c r="A117" t="inlineStr">
        <is>
          <t>SIMULATED_Arousal_Nike_vs_elf</t>
        </is>
      </c>
      <c r="B117" t="inlineStr">
        <is>
          <t>P20</t>
        </is>
      </c>
      <c r="C117" t="inlineStr">
        <is>
          <t>M</t>
        </is>
      </c>
      <c r="D117" t="n">
        <v>26</v>
      </c>
      <c r="E117" t="inlineStr">
        <is>
          <t>A</t>
        </is>
      </c>
      <c r="F117" t="inlineStr">
        <is>
          <t>Stimulus</t>
        </is>
      </c>
      <c r="G117" t="inlineStr">
        <is>
          <t>Nike_Commercial</t>
        </is>
      </c>
      <c r="H117" t="n">
        <v>97798</v>
      </c>
      <c r="I117" t="n">
        <v>60000</v>
      </c>
      <c r="J117" t="n">
        <v>60000</v>
      </c>
      <c r="K117" t="inlineStr">
        <is>
          <t>Nike_Commercial</t>
        </is>
      </c>
      <c r="L117" t="n">
        <v>1</v>
      </c>
      <c r="M117" t="n">
        <v>5</v>
      </c>
      <c r="N117" t="n">
        <v>5</v>
      </c>
      <c r="O117" t="n">
        <v>0.2452</v>
      </c>
      <c r="P117" t="inlineStr">
        <is>
          <t>Shimmer3-8956</t>
        </is>
      </c>
      <c r="Q117" t="n">
        <v>24.3</v>
      </c>
      <c r="R117" t="n">
        <v>0</v>
      </c>
      <c r="S117" t="n">
        <v>78.7</v>
      </c>
      <c r="T117" t="n">
        <v>6</v>
      </c>
      <c r="U117">
        <f>IF(LEFT(G117,8)="Baseline","Baseline",IF(LEFT(G117,8)="Recovery","Recovery","Commercial"))</f>
        <v/>
      </c>
      <c r="V117">
        <f>IF(ISNUMBER(SEARCH("Nike",G117)),"Nike","elf")</f>
        <v/>
      </c>
      <c r="W117">
        <f>IF(OR(AND(E117="A",V117="Nike"),AND(E117="B",V117="elf")),"first","second")</f>
        <v/>
      </c>
      <c r="X117">
        <f>IF(COUNTIFS(Data!$B$2:$B$181,B117,Data!$U$2:$U$181,"Commercial",Data!$Q$2:$Q$181,"&lt;0")+COUNTIFS(Data!$B$2:$B$181,B117,Data!$U$2:$U$181,"Commercial",Data!$R$2:$R$181,"&gt;20")&gt;0,"No","Yes")</f>
        <v/>
      </c>
      <c r="Y117">
        <f>IF(COUNTIFS(Data!$B$2:$B$181,B117,Data!$L$2:$L$181,0)&gt;=4,1,0)</f>
        <v/>
      </c>
      <c r="Z117" s="5">
        <f>M117/(J117/60000)</f>
        <v/>
      </c>
      <c r="AA117" s="5">
        <f>M117/(I117/60000)</f>
        <v/>
      </c>
    </row>
    <row r="118">
      <c r="A118" t="inlineStr">
        <is>
          <t>SIMULATED_Arousal_Nike_vs_elf</t>
        </is>
      </c>
      <c r="B118" t="inlineStr">
        <is>
          <t>P20</t>
        </is>
      </c>
      <c r="C118" t="inlineStr">
        <is>
          <t>M</t>
        </is>
      </c>
      <c r="D118" t="n">
        <v>26</v>
      </c>
      <c r="E118" t="inlineStr">
        <is>
          <t>A</t>
        </is>
      </c>
      <c r="F118" t="inlineStr">
        <is>
          <t>Stimulus</t>
        </is>
      </c>
      <c r="G118" t="inlineStr">
        <is>
          <t>Recovery_Nike</t>
        </is>
      </c>
      <c r="H118" t="n">
        <v>157798</v>
      </c>
      <c r="I118" t="n">
        <v>15000</v>
      </c>
      <c r="J118" t="n">
        <v>15000</v>
      </c>
      <c r="K118" t="inlineStr">
        <is>
          <t>Recovery_Nike</t>
        </is>
      </c>
      <c r="L118" t="n">
        <v>1</v>
      </c>
      <c r="M118" t="n">
        <v>1</v>
      </c>
      <c r="N118" t="n">
        <v>4</v>
      </c>
      <c r="O118" t="n">
        <v>0.2733</v>
      </c>
      <c r="P118" t="inlineStr">
        <is>
          <t>Shimmer3-8956</t>
        </is>
      </c>
      <c r="Q118" t="n">
        <v>23.1</v>
      </c>
      <c r="R118" t="n">
        <v>0</v>
      </c>
      <c r="S118" t="n">
        <v>77.40000000000001</v>
      </c>
      <c r="T118" t="inlineStr">
        <is>
          <t>NA</t>
        </is>
      </c>
      <c r="U118">
        <f>IF(LEFT(G118,8)="Baseline","Baseline",IF(LEFT(G118,8)="Recovery","Recovery","Commercial"))</f>
        <v/>
      </c>
      <c r="V118">
        <f>IF(ISNUMBER(SEARCH("Nike",G118)),"Nike","elf")</f>
        <v/>
      </c>
      <c r="W118">
        <f>IF(OR(AND(E118="A",V118="Nike"),AND(E118="B",V118="elf")),"first","second")</f>
        <v/>
      </c>
      <c r="X118">
        <f>IF(COUNTIFS(Data!$B$2:$B$181,B118,Data!$U$2:$U$181,"Commercial",Data!$Q$2:$Q$181,"&lt;0")+COUNTIFS(Data!$B$2:$B$181,B118,Data!$U$2:$U$181,"Commercial",Data!$R$2:$R$181,"&gt;20")&gt;0,"No","Yes")</f>
        <v/>
      </c>
      <c r="Y118">
        <f>IF(COUNTIFS(Data!$B$2:$B$181,B118,Data!$L$2:$L$181,0)&gt;=4,1,0)</f>
        <v/>
      </c>
      <c r="Z118" s="5">
        <f>M118/(J118/60000)</f>
        <v/>
      </c>
      <c r="AA118" s="5">
        <f>M118/(I118/60000)</f>
        <v/>
      </c>
    </row>
    <row r="119">
      <c r="A119" t="inlineStr">
        <is>
          <t>SIMULATED_Arousal_Nike_vs_elf</t>
        </is>
      </c>
      <c r="B119" t="inlineStr">
        <is>
          <t>P20</t>
        </is>
      </c>
      <c r="C119" t="inlineStr">
        <is>
          <t>M</t>
        </is>
      </c>
      <c r="D119" t="n">
        <v>26</v>
      </c>
      <c r="E119" t="inlineStr">
        <is>
          <t>A</t>
        </is>
      </c>
      <c r="F119" t="inlineStr">
        <is>
          <t>Stimulus</t>
        </is>
      </c>
      <c r="G119" t="inlineStr">
        <is>
          <t>Baseline_elf</t>
        </is>
      </c>
      <c r="H119" t="n">
        <v>346777</v>
      </c>
      <c r="I119" t="n">
        <v>60000</v>
      </c>
      <c r="J119" t="n">
        <v>60000</v>
      </c>
      <c r="K119" t="inlineStr">
        <is>
          <t>Baseline_elf</t>
        </is>
      </c>
      <c r="L119" t="n">
        <v>1</v>
      </c>
      <c r="M119" t="n">
        <v>2</v>
      </c>
      <c r="N119" t="n">
        <v>2</v>
      </c>
      <c r="O119" t="n">
        <v>0.1641</v>
      </c>
      <c r="P119" t="inlineStr">
        <is>
          <t>Shimmer3-8956</t>
        </is>
      </c>
      <c r="Q119" t="n">
        <v>23.6</v>
      </c>
      <c r="R119" t="n">
        <v>0</v>
      </c>
      <c r="S119" t="n">
        <v>80.2</v>
      </c>
      <c r="T119" t="inlineStr">
        <is>
          <t>NA</t>
        </is>
      </c>
      <c r="U119">
        <f>IF(LEFT(G119,8)="Baseline","Baseline",IF(LEFT(G119,8)="Recovery","Recovery","Commercial"))</f>
        <v/>
      </c>
      <c r="V119">
        <f>IF(ISNUMBER(SEARCH("Nike",G119)),"Nike","elf")</f>
        <v/>
      </c>
      <c r="W119">
        <f>IF(OR(AND(E119="A",V119="Nike"),AND(E119="B",V119="elf")),"first","second")</f>
        <v/>
      </c>
      <c r="X119">
        <f>IF(COUNTIFS(Data!$B$2:$B$181,B119,Data!$U$2:$U$181,"Commercial",Data!$Q$2:$Q$181,"&lt;0")+COUNTIFS(Data!$B$2:$B$181,B119,Data!$U$2:$U$181,"Commercial",Data!$R$2:$R$181,"&gt;20")&gt;0,"No","Yes")</f>
        <v/>
      </c>
      <c r="Y119">
        <f>IF(COUNTIFS(Data!$B$2:$B$181,B119,Data!$L$2:$L$181,0)&gt;=4,1,0)</f>
        <v/>
      </c>
      <c r="Z119" s="5">
        <f>M119/(J119/60000)</f>
        <v/>
      </c>
      <c r="AA119" s="5">
        <f>M119/(I119/60000)</f>
        <v/>
      </c>
    </row>
    <row r="120">
      <c r="A120" t="inlineStr">
        <is>
          <t>SIMULATED_Arousal_Nike_vs_elf</t>
        </is>
      </c>
      <c r="B120" t="inlineStr">
        <is>
          <t>P20</t>
        </is>
      </c>
      <c r="C120" t="inlineStr">
        <is>
          <t>M</t>
        </is>
      </c>
      <c r="D120" t="n">
        <v>26</v>
      </c>
      <c r="E120" t="inlineStr">
        <is>
          <t>A</t>
        </is>
      </c>
      <c r="F120" t="inlineStr">
        <is>
          <t>Stimulus</t>
        </is>
      </c>
      <c r="G120" t="inlineStr">
        <is>
          <t>elf_Commercial</t>
        </is>
      </c>
      <c r="H120" t="n">
        <v>406777</v>
      </c>
      <c r="I120" t="n">
        <v>30000</v>
      </c>
      <c r="J120" t="n">
        <v>30000</v>
      </c>
      <c r="K120" t="inlineStr">
        <is>
          <t>elf_Commercial</t>
        </is>
      </c>
      <c r="L120" t="n">
        <v>1</v>
      </c>
      <c r="M120" t="n">
        <v>1</v>
      </c>
      <c r="N120" t="n">
        <v>2</v>
      </c>
      <c r="O120" t="n">
        <v>0.2201</v>
      </c>
      <c r="P120" t="inlineStr">
        <is>
          <t>Shimmer3-8956</t>
        </is>
      </c>
      <c r="Q120" t="n">
        <v>26.2</v>
      </c>
      <c r="R120" t="n">
        <v>0</v>
      </c>
      <c r="S120" t="n">
        <v>80.59999999999999</v>
      </c>
      <c r="T120" t="n">
        <v>5</v>
      </c>
      <c r="U120">
        <f>IF(LEFT(G120,8)="Baseline","Baseline",IF(LEFT(G120,8)="Recovery","Recovery","Commercial"))</f>
        <v/>
      </c>
      <c r="V120">
        <f>IF(ISNUMBER(SEARCH("Nike",G120)),"Nike","elf")</f>
        <v/>
      </c>
      <c r="W120">
        <f>IF(OR(AND(E120="A",V120="Nike"),AND(E120="B",V120="elf")),"first","second")</f>
        <v/>
      </c>
      <c r="X120">
        <f>IF(COUNTIFS(Data!$B$2:$B$181,B120,Data!$U$2:$U$181,"Commercial",Data!$Q$2:$Q$181,"&lt;0")+COUNTIFS(Data!$B$2:$B$181,B120,Data!$U$2:$U$181,"Commercial",Data!$R$2:$R$181,"&gt;20")&gt;0,"No","Yes")</f>
        <v/>
      </c>
      <c r="Y120">
        <f>IF(COUNTIFS(Data!$B$2:$B$181,B120,Data!$L$2:$L$181,0)&gt;=4,1,0)</f>
        <v/>
      </c>
      <c r="Z120" s="5">
        <f>M120/(J120/60000)</f>
        <v/>
      </c>
      <c r="AA120" s="5">
        <f>M120/(I120/60000)</f>
        <v/>
      </c>
    </row>
    <row r="121">
      <c r="A121" t="inlineStr">
        <is>
          <t>SIMULATED_Arousal_Nike_vs_elf</t>
        </is>
      </c>
      <c r="B121" t="inlineStr">
        <is>
          <t>P20</t>
        </is>
      </c>
      <c r="C121" t="inlineStr">
        <is>
          <t>M</t>
        </is>
      </c>
      <c r="D121" t="n">
        <v>26</v>
      </c>
      <c r="E121" t="inlineStr">
        <is>
          <t>A</t>
        </is>
      </c>
      <c r="F121" t="inlineStr">
        <is>
          <t>Stimulus</t>
        </is>
      </c>
      <c r="G121" t="inlineStr">
        <is>
          <t>Recovery_elf</t>
        </is>
      </c>
      <c r="H121" t="n">
        <v>436777</v>
      </c>
      <c r="I121" t="n">
        <v>15000</v>
      </c>
      <c r="J121" t="n">
        <v>15000</v>
      </c>
      <c r="K121" t="inlineStr">
        <is>
          <t>Recovery_elf</t>
        </is>
      </c>
      <c r="L121" t="n">
        <v>1</v>
      </c>
      <c r="M121" t="n">
        <v>1</v>
      </c>
      <c r="N121" t="n">
        <v>4</v>
      </c>
      <c r="O121" t="n">
        <v>0.192</v>
      </c>
      <c r="P121" t="inlineStr">
        <is>
          <t>Shimmer3-8956</t>
        </is>
      </c>
      <c r="Q121" t="n">
        <v>26</v>
      </c>
      <c r="R121" t="n">
        <v>0</v>
      </c>
      <c r="S121" t="n">
        <v>82.40000000000001</v>
      </c>
      <c r="T121" t="inlineStr">
        <is>
          <t>NA</t>
        </is>
      </c>
      <c r="U121">
        <f>IF(LEFT(G121,8)="Baseline","Baseline",IF(LEFT(G121,8)="Recovery","Recovery","Commercial"))</f>
        <v/>
      </c>
      <c r="V121">
        <f>IF(ISNUMBER(SEARCH("Nike",G121)),"Nike","elf")</f>
        <v/>
      </c>
      <c r="W121">
        <f>IF(OR(AND(E121="A",V121="Nike"),AND(E121="B",V121="elf")),"first","second")</f>
        <v/>
      </c>
      <c r="X121">
        <f>IF(COUNTIFS(Data!$B$2:$B$181,B121,Data!$U$2:$U$181,"Commercial",Data!$Q$2:$Q$181,"&lt;0")+COUNTIFS(Data!$B$2:$B$181,B121,Data!$U$2:$U$181,"Commercial",Data!$R$2:$R$181,"&gt;20")&gt;0,"No","Yes")</f>
        <v/>
      </c>
      <c r="Y121">
        <f>IF(COUNTIFS(Data!$B$2:$B$181,B121,Data!$L$2:$L$181,0)&gt;=4,1,0)</f>
        <v/>
      </c>
      <c r="Z121" s="5">
        <f>M121/(J121/60000)</f>
        <v/>
      </c>
      <c r="AA121" s="5">
        <f>M121/(I121/60000)</f>
        <v/>
      </c>
    </row>
    <row r="122">
      <c r="A122" t="inlineStr">
        <is>
          <t>SIMULATED_Arousal_Nike_vs_elf</t>
        </is>
      </c>
      <c r="B122" t="inlineStr">
        <is>
          <t>P21</t>
        </is>
      </c>
      <c r="C122" t="inlineStr">
        <is>
          <t>M</t>
        </is>
      </c>
      <c r="D122" t="n">
        <v>19</v>
      </c>
      <c r="E122" t="inlineStr">
        <is>
          <t>A</t>
        </is>
      </c>
      <c r="F122" t="inlineStr">
        <is>
          <t>Stimulus</t>
        </is>
      </c>
      <c r="G122" t="inlineStr">
        <is>
          <t>Baseline_Nike</t>
        </is>
      </c>
      <c r="H122" t="n">
        <v>34750</v>
      </c>
      <c r="I122" t="n">
        <v>60000</v>
      </c>
      <c r="J122" t="n">
        <v>60000</v>
      </c>
      <c r="K122" t="inlineStr">
        <is>
          <t>Baseline_Nike</t>
        </is>
      </c>
      <c r="L122" t="n">
        <v>1</v>
      </c>
      <c r="M122" t="n">
        <v>1</v>
      </c>
      <c r="N122" t="n">
        <v>1</v>
      </c>
      <c r="O122" t="n">
        <v>0.1778</v>
      </c>
      <c r="P122" t="inlineStr">
        <is>
          <t>Shimmer3-B</t>
        </is>
      </c>
      <c r="Q122" t="n">
        <v>23.6</v>
      </c>
      <c r="R122" t="n">
        <v>0.4</v>
      </c>
      <c r="S122" t="n">
        <v>76.8</v>
      </c>
      <c r="T122" t="inlineStr">
        <is>
          <t>NA</t>
        </is>
      </c>
      <c r="U122">
        <f>IF(LEFT(G122,8)="Baseline","Baseline",IF(LEFT(G122,8)="Recovery","Recovery","Commercial"))</f>
        <v/>
      </c>
      <c r="V122">
        <f>IF(ISNUMBER(SEARCH("Nike",G122)),"Nike","elf")</f>
        <v/>
      </c>
      <c r="W122">
        <f>IF(OR(AND(E122="A",V122="Nike"),AND(E122="B",V122="elf")),"first","second")</f>
        <v/>
      </c>
      <c r="X122">
        <f>IF(COUNTIFS(Data!$B$2:$B$181,B122,Data!$U$2:$U$181,"Commercial",Data!$Q$2:$Q$181,"&lt;0")+COUNTIFS(Data!$B$2:$B$181,B122,Data!$U$2:$U$181,"Commercial",Data!$R$2:$R$181,"&gt;20")&gt;0,"No","Yes")</f>
        <v/>
      </c>
      <c r="Y122">
        <f>IF(COUNTIFS(Data!$B$2:$B$181,B122,Data!$L$2:$L$181,0)&gt;=4,1,0)</f>
        <v/>
      </c>
      <c r="Z122" s="5">
        <f>M122/(J122/60000)</f>
        <v/>
      </c>
      <c r="AA122" s="5">
        <f>M122/(I122/60000)</f>
        <v/>
      </c>
    </row>
    <row r="123">
      <c r="A123" t="inlineStr">
        <is>
          <t>SIMULATED_Arousal_Nike_vs_elf</t>
        </is>
      </c>
      <c r="B123" t="inlineStr">
        <is>
          <t>P21</t>
        </is>
      </c>
      <c r="C123" t="inlineStr">
        <is>
          <t>M</t>
        </is>
      </c>
      <c r="D123" t="n">
        <v>19</v>
      </c>
      <c r="E123" t="inlineStr">
        <is>
          <t>A</t>
        </is>
      </c>
      <c r="F123" t="inlineStr">
        <is>
          <t>Stimulus</t>
        </is>
      </c>
      <c r="G123" t="inlineStr">
        <is>
          <t>Nike_Commercial</t>
        </is>
      </c>
      <c r="H123" t="n">
        <v>94750</v>
      </c>
      <c r="I123" t="n">
        <v>60000</v>
      </c>
      <c r="J123" t="n">
        <v>60000</v>
      </c>
      <c r="K123" t="inlineStr">
        <is>
          <t>Nike_Commercial</t>
        </is>
      </c>
      <c r="L123" t="n">
        <v>1</v>
      </c>
      <c r="M123" t="n">
        <v>1</v>
      </c>
      <c r="N123" t="n">
        <v>1</v>
      </c>
      <c r="O123" t="n">
        <v>0.1259</v>
      </c>
      <c r="P123" t="inlineStr">
        <is>
          <t>Shimmer3-B</t>
        </is>
      </c>
      <c r="Q123" t="n">
        <v>22.9</v>
      </c>
      <c r="R123" t="n">
        <v>0</v>
      </c>
      <c r="S123" t="n">
        <v>75.2</v>
      </c>
      <c r="T123" t="n">
        <v>6</v>
      </c>
      <c r="U123">
        <f>IF(LEFT(G123,8)="Baseline","Baseline",IF(LEFT(G123,8)="Recovery","Recovery","Commercial"))</f>
        <v/>
      </c>
      <c r="V123">
        <f>IF(ISNUMBER(SEARCH("Nike",G123)),"Nike","elf")</f>
        <v/>
      </c>
      <c r="W123">
        <f>IF(OR(AND(E123="A",V123="Nike"),AND(E123="B",V123="elf")),"first","second")</f>
        <v/>
      </c>
      <c r="X123">
        <f>IF(COUNTIFS(Data!$B$2:$B$181,B123,Data!$U$2:$U$181,"Commercial",Data!$Q$2:$Q$181,"&lt;0")+COUNTIFS(Data!$B$2:$B$181,B123,Data!$U$2:$U$181,"Commercial",Data!$R$2:$R$181,"&gt;20")&gt;0,"No","Yes")</f>
        <v/>
      </c>
      <c r="Y123">
        <f>IF(COUNTIFS(Data!$B$2:$B$181,B123,Data!$L$2:$L$181,0)&gt;=4,1,0)</f>
        <v/>
      </c>
      <c r="Z123" s="5">
        <f>M123/(J123/60000)</f>
        <v/>
      </c>
      <c r="AA123" s="5">
        <f>M123/(I123/60000)</f>
        <v/>
      </c>
    </row>
    <row r="124">
      <c r="A124" t="inlineStr">
        <is>
          <t>SIMULATED_Arousal_Nike_vs_elf</t>
        </is>
      </c>
      <c r="B124" t="inlineStr">
        <is>
          <t>P21</t>
        </is>
      </c>
      <c r="C124" t="inlineStr">
        <is>
          <t>M</t>
        </is>
      </c>
      <c r="D124" t="n">
        <v>19</v>
      </c>
      <c r="E124" t="inlineStr">
        <is>
          <t>A</t>
        </is>
      </c>
      <c r="F124" t="inlineStr">
        <is>
          <t>Stimulus</t>
        </is>
      </c>
      <c r="G124" t="inlineStr">
        <is>
          <t>Recovery_Nike</t>
        </is>
      </c>
      <c r="H124" t="n">
        <v>154750</v>
      </c>
      <c r="I124" t="n">
        <v>15000</v>
      </c>
      <c r="J124" t="n">
        <v>15000</v>
      </c>
      <c r="K124" t="inlineStr">
        <is>
          <t>Recovery_Nike</t>
        </is>
      </c>
      <c r="L124" t="n">
        <v>0</v>
      </c>
      <c r="M124" t="n">
        <v>0</v>
      </c>
      <c r="N124" t="n">
        <v>0</v>
      </c>
      <c r="O124" t="inlineStr">
        <is>
          <t>NA</t>
        </is>
      </c>
      <c r="P124" t="inlineStr">
        <is>
          <t>Shimmer3-B</t>
        </is>
      </c>
      <c r="Q124" t="n">
        <v>22.2</v>
      </c>
      <c r="R124" t="n">
        <v>1.3</v>
      </c>
      <c r="S124" t="n">
        <v>77.40000000000001</v>
      </c>
      <c r="T124" t="inlineStr">
        <is>
          <t>NA</t>
        </is>
      </c>
      <c r="U124">
        <f>IF(LEFT(G124,8)="Baseline","Baseline",IF(LEFT(G124,8)="Recovery","Recovery","Commercial"))</f>
        <v/>
      </c>
      <c r="V124">
        <f>IF(ISNUMBER(SEARCH("Nike",G124)),"Nike","elf")</f>
        <v/>
      </c>
      <c r="W124">
        <f>IF(OR(AND(E124="A",V124="Nike"),AND(E124="B",V124="elf")),"first","second")</f>
        <v/>
      </c>
      <c r="X124">
        <f>IF(COUNTIFS(Data!$B$2:$B$181,B124,Data!$U$2:$U$181,"Commercial",Data!$Q$2:$Q$181,"&lt;0")+COUNTIFS(Data!$B$2:$B$181,B124,Data!$U$2:$U$181,"Commercial",Data!$R$2:$R$181,"&gt;20")&gt;0,"No","Yes")</f>
        <v/>
      </c>
      <c r="Y124">
        <f>IF(COUNTIFS(Data!$B$2:$B$181,B124,Data!$L$2:$L$181,0)&gt;=4,1,0)</f>
        <v/>
      </c>
      <c r="Z124" s="5">
        <f>M124/(J124/60000)</f>
        <v/>
      </c>
      <c r="AA124" s="5">
        <f>M124/(I124/60000)</f>
        <v/>
      </c>
    </row>
    <row r="125">
      <c r="A125" t="inlineStr">
        <is>
          <t>SIMULATED_Arousal_Nike_vs_elf</t>
        </is>
      </c>
      <c r="B125" t="inlineStr">
        <is>
          <t>P21</t>
        </is>
      </c>
      <c r="C125" t="inlineStr">
        <is>
          <t>M</t>
        </is>
      </c>
      <c r="D125" t="n">
        <v>19</v>
      </c>
      <c r="E125" t="inlineStr">
        <is>
          <t>A</t>
        </is>
      </c>
      <c r="F125" t="inlineStr">
        <is>
          <t>Stimulus</t>
        </is>
      </c>
      <c r="G125" t="inlineStr">
        <is>
          <t>Baseline_elf</t>
        </is>
      </c>
      <c r="H125" t="n">
        <v>348589</v>
      </c>
      <c r="I125" t="n">
        <v>60000</v>
      </c>
      <c r="J125" t="n">
        <v>60000</v>
      </c>
      <c r="K125" t="inlineStr">
        <is>
          <t>Baseline_elf</t>
        </is>
      </c>
      <c r="L125" t="n">
        <v>0</v>
      </c>
      <c r="M125" t="n">
        <v>0</v>
      </c>
      <c r="N125" t="n">
        <v>0</v>
      </c>
      <c r="O125" t="inlineStr">
        <is>
          <t>NA</t>
        </is>
      </c>
      <c r="P125" t="inlineStr">
        <is>
          <t>Shimmer3-B</t>
        </is>
      </c>
      <c r="Q125" t="n">
        <v>22.4</v>
      </c>
      <c r="R125" t="n">
        <v>0</v>
      </c>
      <c r="S125" t="n">
        <v>75.3</v>
      </c>
      <c r="T125" t="inlineStr">
        <is>
          <t>NA</t>
        </is>
      </c>
      <c r="U125">
        <f>IF(LEFT(G125,8)="Baseline","Baseline",IF(LEFT(G125,8)="Recovery","Recovery","Commercial"))</f>
        <v/>
      </c>
      <c r="V125">
        <f>IF(ISNUMBER(SEARCH("Nike",G125)),"Nike","elf")</f>
        <v/>
      </c>
      <c r="W125">
        <f>IF(OR(AND(E125="A",V125="Nike"),AND(E125="B",V125="elf")),"first","second")</f>
        <v/>
      </c>
      <c r="X125">
        <f>IF(COUNTIFS(Data!$B$2:$B$181,B125,Data!$U$2:$U$181,"Commercial",Data!$Q$2:$Q$181,"&lt;0")+COUNTIFS(Data!$B$2:$B$181,B125,Data!$U$2:$U$181,"Commercial",Data!$R$2:$R$181,"&gt;20")&gt;0,"No","Yes")</f>
        <v/>
      </c>
      <c r="Y125">
        <f>IF(COUNTIFS(Data!$B$2:$B$181,B125,Data!$L$2:$L$181,0)&gt;=4,1,0)</f>
        <v/>
      </c>
      <c r="Z125" s="5">
        <f>M125/(J125/60000)</f>
        <v/>
      </c>
      <c r="AA125" s="5">
        <f>M125/(I125/60000)</f>
        <v/>
      </c>
    </row>
    <row r="126">
      <c r="A126" t="inlineStr">
        <is>
          <t>SIMULATED_Arousal_Nike_vs_elf</t>
        </is>
      </c>
      <c r="B126" t="inlineStr">
        <is>
          <t>P21</t>
        </is>
      </c>
      <c r="C126" t="inlineStr">
        <is>
          <t>M</t>
        </is>
      </c>
      <c r="D126" t="n">
        <v>19</v>
      </c>
      <c r="E126" t="inlineStr">
        <is>
          <t>A</t>
        </is>
      </c>
      <c r="F126" t="inlineStr">
        <is>
          <t>Stimulus</t>
        </is>
      </c>
      <c r="G126" t="inlineStr">
        <is>
          <t>elf_Commercial</t>
        </is>
      </c>
      <c r="H126" t="n">
        <v>408589</v>
      </c>
      <c r="I126" t="n">
        <v>30000</v>
      </c>
      <c r="J126" t="n">
        <v>30000</v>
      </c>
      <c r="K126" t="inlineStr">
        <is>
          <t>elf_Commercial</t>
        </is>
      </c>
      <c r="L126" t="n">
        <v>0</v>
      </c>
      <c r="M126" t="n">
        <v>0</v>
      </c>
      <c r="N126" t="n">
        <v>0</v>
      </c>
      <c r="O126" t="inlineStr">
        <is>
          <t>NA</t>
        </is>
      </c>
      <c r="P126" t="inlineStr">
        <is>
          <t>Shimmer3-B</t>
        </is>
      </c>
      <c r="Q126" t="n">
        <v>22.1</v>
      </c>
      <c r="R126" t="n">
        <v>0</v>
      </c>
      <c r="S126" t="n">
        <v>71.40000000000001</v>
      </c>
      <c r="T126" t="n">
        <v>6</v>
      </c>
      <c r="U126">
        <f>IF(LEFT(G126,8)="Baseline","Baseline",IF(LEFT(G126,8)="Recovery","Recovery","Commercial"))</f>
        <v/>
      </c>
      <c r="V126">
        <f>IF(ISNUMBER(SEARCH("Nike",G126)),"Nike","elf")</f>
        <v/>
      </c>
      <c r="W126">
        <f>IF(OR(AND(E126="A",V126="Nike"),AND(E126="B",V126="elf")),"first","second")</f>
        <v/>
      </c>
      <c r="X126">
        <f>IF(COUNTIFS(Data!$B$2:$B$181,B126,Data!$U$2:$U$181,"Commercial",Data!$Q$2:$Q$181,"&lt;0")+COUNTIFS(Data!$B$2:$B$181,B126,Data!$U$2:$U$181,"Commercial",Data!$R$2:$R$181,"&gt;20")&gt;0,"No","Yes")</f>
        <v/>
      </c>
      <c r="Y126">
        <f>IF(COUNTIFS(Data!$B$2:$B$181,B126,Data!$L$2:$L$181,0)&gt;=4,1,0)</f>
        <v/>
      </c>
      <c r="Z126" s="5">
        <f>M126/(J126/60000)</f>
        <v/>
      </c>
      <c r="AA126" s="5">
        <f>M126/(I126/60000)</f>
        <v/>
      </c>
    </row>
    <row r="127">
      <c r="A127" t="inlineStr">
        <is>
          <t>SIMULATED_Arousal_Nike_vs_elf</t>
        </is>
      </c>
      <c r="B127" t="inlineStr">
        <is>
          <t>P21</t>
        </is>
      </c>
      <c r="C127" t="inlineStr">
        <is>
          <t>M</t>
        </is>
      </c>
      <c r="D127" t="n">
        <v>19</v>
      </c>
      <c r="E127" t="inlineStr">
        <is>
          <t>A</t>
        </is>
      </c>
      <c r="F127" t="inlineStr">
        <is>
          <t>Stimulus</t>
        </is>
      </c>
      <c r="G127" t="inlineStr">
        <is>
          <t>Recovery_elf</t>
        </is>
      </c>
      <c r="H127" t="n">
        <v>438589</v>
      </c>
      <c r="I127" t="n">
        <v>15000</v>
      </c>
      <c r="J127" t="n">
        <v>15000</v>
      </c>
      <c r="K127" t="inlineStr">
        <is>
          <t>Recovery_elf</t>
        </is>
      </c>
      <c r="L127" t="n">
        <v>0</v>
      </c>
      <c r="M127" t="n">
        <v>0</v>
      </c>
      <c r="N127" t="n">
        <v>0</v>
      </c>
      <c r="O127" t="inlineStr">
        <is>
          <t>NA</t>
        </is>
      </c>
      <c r="P127" t="inlineStr">
        <is>
          <t>Shimmer3-B</t>
        </is>
      </c>
      <c r="Q127" t="n">
        <v>24.1</v>
      </c>
      <c r="R127" t="n">
        <v>0</v>
      </c>
      <c r="S127" t="n">
        <v>70.8</v>
      </c>
      <c r="T127" t="inlineStr">
        <is>
          <t>NA</t>
        </is>
      </c>
      <c r="U127">
        <f>IF(LEFT(G127,8)="Baseline","Baseline",IF(LEFT(G127,8)="Recovery","Recovery","Commercial"))</f>
        <v/>
      </c>
      <c r="V127">
        <f>IF(ISNUMBER(SEARCH("Nike",G127)),"Nike","elf")</f>
        <v/>
      </c>
      <c r="W127">
        <f>IF(OR(AND(E127="A",V127="Nike"),AND(E127="B",V127="elf")),"first","second")</f>
        <v/>
      </c>
      <c r="X127">
        <f>IF(COUNTIFS(Data!$B$2:$B$181,B127,Data!$U$2:$U$181,"Commercial",Data!$Q$2:$Q$181,"&lt;0")+COUNTIFS(Data!$B$2:$B$181,B127,Data!$U$2:$U$181,"Commercial",Data!$R$2:$R$181,"&gt;20")&gt;0,"No","Yes")</f>
        <v/>
      </c>
      <c r="Y127">
        <f>IF(COUNTIFS(Data!$B$2:$B$181,B127,Data!$L$2:$L$181,0)&gt;=4,1,0)</f>
        <v/>
      </c>
      <c r="Z127" s="5">
        <f>M127/(J127/60000)</f>
        <v/>
      </c>
      <c r="AA127" s="5">
        <f>M127/(I127/60000)</f>
        <v/>
      </c>
    </row>
    <row r="128">
      <c r="A128" t="inlineStr">
        <is>
          <t>SIMULATED_Arousal_Nike_vs_elf</t>
        </is>
      </c>
      <c r="B128" t="inlineStr">
        <is>
          <t>P22</t>
        </is>
      </c>
      <c r="C128" t="inlineStr">
        <is>
          <t>F</t>
        </is>
      </c>
      <c r="D128" t="n">
        <v>26</v>
      </c>
      <c r="E128" t="inlineStr">
        <is>
          <t>B</t>
        </is>
      </c>
      <c r="F128" t="inlineStr">
        <is>
          <t>Stimulus</t>
        </is>
      </c>
      <c r="G128" t="inlineStr">
        <is>
          <t>Baseline_Nike</t>
        </is>
      </c>
      <c r="H128" t="n">
        <v>309651</v>
      </c>
      <c r="I128" t="n">
        <v>60000</v>
      </c>
      <c r="J128" t="n">
        <v>60000</v>
      </c>
      <c r="K128" t="inlineStr">
        <is>
          <t>Baseline_Nike</t>
        </is>
      </c>
      <c r="L128" t="n">
        <v>1</v>
      </c>
      <c r="M128" t="n">
        <v>2</v>
      </c>
      <c r="N128" t="n">
        <v>2</v>
      </c>
      <c r="O128" t="n">
        <v>0.2796</v>
      </c>
      <c r="P128" t="inlineStr">
        <is>
          <t>Shimmer3-8956</t>
        </is>
      </c>
      <c r="Q128" t="n">
        <v>24.2</v>
      </c>
      <c r="R128" t="n">
        <v>3.9</v>
      </c>
      <c r="S128" t="n">
        <v>67.59999999999999</v>
      </c>
      <c r="T128" t="inlineStr">
        <is>
          <t>NA</t>
        </is>
      </c>
      <c r="U128">
        <f>IF(LEFT(G128,8)="Baseline","Baseline",IF(LEFT(G128,8)="Recovery","Recovery","Commercial"))</f>
        <v/>
      </c>
      <c r="V128">
        <f>IF(ISNUMBER(SEARCH("Nike",G128)),"Nike","elf")</f>
        <v/>
      </c>
      <c r="W128">
        <f>IF(OR(AND(E128="A",V128="Nike"),AND(E128="B",V128="elf")),"first","second")</f>
        <v/>
      </c>
      <c r="X128">
        <f>IF(COUNTIFS(Data!$B$2:$B$181,B128,Data!$U$2:$U$181,"Commercial",Data!$Q$2:$Q$181,"&lt;0")+COUNTIFS(Data!$B$2:$B$181,B128,Data!$U$2:$U$181,"Commercial",Data!$R$2:$R$181,"&gt;20")&gt;0,"No","Yes")</f>
        <v/>
      </c>
      <c r="Y128">
        <f>IF(COUNTIFS(Data!$B$2:$B$181,B128,Data!$L$2:$L$181,0)&gt;=4,1,0)</f>
        <v/>
      </c>
      <c r="Z128" s="5">
        <f>M128/(J128/60000)</f>
        <v/>
      </c>
      <c r="AA128" s="5">
        <f>M128/(I128/60000)</f>
        <v/>
      </c>
    </row>
    <row r="129">
      <c r="A129" t="inlineStr">
        <is>
          <t>SIMULATED_Arousal_Nike_vs_elf</t>
        </is>
      </c>
      <c r="B129" t="inlineStr">
        <is>
          <t>P22</t>
        </is>
      </c>
      <c r="C129" t="inlineStr">
        <is>
          <t>F</t>
        </is>
      </c>
      <c r="D129" t="n">
        <v>26</v>
      </c>
      <c r="E129" t="inlineStr">
        <is>
          <t>B</t>
        </is>
      </c>
      <c r="F129" t="inlineStr">
        <is>
          <t>Stimulus</t>
        </is>
      </c>
      <c r="G129" t="inlineStr">
        <is>
          <t>Nike_Commercial</t>
        </is>
      </c>
      <c r="H129" t="n">
        <v>369651</v>
      </c>
      <c r="I129" t="n">
        <v>60000</v>
      </c>
      <c r="J129" t="n">
        <v>60000</v>
      </c>
      <c r="K129" t="inlineStr">
        <is>
          <t>Nike_Commercial</t>
        </is>
      </c>
      <c r="L129" t="n">
        <v>1</v>
      </c>
      <c r="M129" t="n">
        <v>6</v>
      </c>
      <c r="N129" t="n">
        <v>6</v>
      </c>
      <c r="O129" t="n">
        <v>0.4016</v>
      </c>
      <c r="P129" t="inlineStr">
        <is>
          <t>Shimmer3-8956</t>
        </is>
      </c>
      <c r="Q129" t="n">
        <v>23.8</v>
      </c>
      <c r="R129" t="n">
        <v>0</v>
      </c>
      <c r="S129" t="n">
        <v>64.90000000000001</v>
      </c>
      <c r="T129" t="n">
        <v>7</v>
      </c>
      <c r="U129">
        <f>IF(LEFT(G129,8)="Baseline","Baseline",IF(LEFT(G129,8)="Recovery","Recovery","Commercial"))</f>
        <v/>
      </c>
      <c r="V129">
        <f>IF(ISNUMBER(SEARCH("Nike",G129)),"Nike","elf")</f>
        <v/>
      </c>
      <c r="W129">
        <f>IF(OR(AND(E129="A",V129="Nike"),AND(E129="B",V129="elf")),"first","second")</f>
        <v/>
      </c>
      <c r="X129">
        <f>IF(COUNTIFS(Data!$B$2:$B$181,B129,Data!$U$2:$U$181,"Commercial",Data!$Q$2:$Q$181,"&lt;0")+COUNTIFS(Data!$B$2:$B$181,B129,Data!$U$2:$U$181,"Commercial",Data!$R$2:$R$181,"&gt;20")&gt;0,"No","Yes")</f>
        <v/>
      </c>
      <c r="Y129">
        <f>IF(COUNTIFS(Data!$B$2:$B$181,B129,Data!$L$2:$L$181,0)&gt;=4,1,0)</f>
        <v/>
      </c>
      <c r="Z129" s="5">
        <f>M129/(J129/60000)</f>
        <v/>
      </c>
      <c r="AA129" s="5">
        <f>M129/(I129/60000)</f>
        <v/>
      </c>
    </row>
    <row r="130">
      <c r="A130" t="inlineStr">
        <is>
          <t>SIMULATED_Arousal_Nike_vs_elf</t>
        </is>
      </c>
      <c r="B130" t="inlineStr">
        <is>
          <t>P22</t>
        </is>
      </c>
      <c r="C130" t="inlineStr">
        <is>
          <t>F</t>
        </is>
      </c>
      <c r="D130" t="n">
        <v>26</v>
      </c>
      <c r="E130" t="inlineStr">
        <is>
          <t>B</t>
        </is>
      </c>
      <c r="F130" t="inlineStr">
        <is>
          <t>Stimulus</t>
        </is>
      </c>
      <c r="G130" t="inlineStr">
        <is>
          <t>Recovery_Nike</t>
        </is>
      </c>
      <c r="H130" t="n">
        <v>429651</v>
      </c>
      <c r="I130" t="n">
        <v>15000</v>
      </c>
      <c r="J130" t="n">
        <v>15000</v>
      </c>
      <c r="K130" t="inlineStr">
        <is>
          <t>Recovery_Nike</t>
        </is>
      </c>
      <c r="L130" t="n">
        <v>0</v>
      </c>
      <c r="M130" t="n">
        <v>0</v>
      </c>
      <c r="N130" t="n">
        <v>0</v>
      </c>
      <c r="O130" t="inlineStr">
        <is>
          <t>NA</t>
        </is>
      </c>
      <c r="P130" t="inlineStr">
        <is>
          <t>Shimmer3-8956</t>
        </is>
      </c>
      <c r="Q130" t="n">
        <v>30.2</v>
      </c>
      <c r="R130" t="n">
        <v>0</v>
      </c>
      <c r="S130" t="n">
        <v>65</v>
      </c>
      <c r="T130" t="inlineStr">
        <is>
          <t>NA</t>
        </is>
      </c>
      <c r="U130">
        <f>IF(LEFT(G130,8)="Baseline","Baseline",IF(LEFT(G130,8)="Recovery","Recovery","Commercial"))</f>
        <v/>
      </c>
      <c r="V130">
        <f>IF(ISNUMBER(SEARCH("Nike",G130)),"Nike","elf")</f>
        <v/>
      </c>
      <c r="W130">
        <f>IF(OR(AND(E130="A",V130="Nike"),AND(E130="B",V130="elf")),"first","second")</f>
        <v/>
      </c>
      <c r="X130">
        <f>IF(COUNTIFS(Data!$B$2:$B$181,B130,Data!$U$2:$U$181,"Commercial",Data!$Q$2:$Q$181,"&lt;0")+COUNTIFS(Data!$B$2:$B$181,B130,Data!$U$2:$U$181,"Commercial",Data!$R$2:$R$181,"&gt;20")&gt;0,"No","Yes")</f>
        <v/>
      </c>
      <c r="Y130">
        <f>IF(COUNTIFS(Data!$B$2:$B$181,B130,Data!$L$2:$L$181,0)&gt;=4,1,0)</f>
        <v/>
      </c>
      <c r="Z130" s="5">
        <f>M130/(J130/60000)</f>
        <v/>
      </c>
      <c r="AA130" s="5">
        <f>M130/(I130/60000)</f>
        <v/>
      </c>
    </row>
    <row r="131">
      <c r="A131" t="inlineStr">
        <is>
          <t>SIMULATED_Arousal_Nike_vs_elf</t>
        </is>
      </c>
      <c r="B131" t="inlineStr">
        <is>
          <t>P22</t>
        </is>
      </c>
      <c r="C131" t="inlineStr">
        <is>
          <t>F</t>
        </is>
      </c>
      <c r="D131" t="n">
        <v>26</v>
      </c>
      <c r="E131" t="inlineStr">
        <is>
          <t>B</t>
        </is>
      </c>
      <c r="F131" t="inlineStr">
        <is>
          <t>Stimulus</t>
        </is>
      </c>
      <c r="G131" t="inlineStr">
        <is>
          <t>Baseline_elf</t>
        </is>
      </c>
      <c r="H131" t="n">
        <v>39097</v>
      </c>
      <c r="I131" t="n">
        <v>60000</v>
      </c>
      <c r="J131" t="n">
        <v>60000</v>
      </c>
      <c r="K131" t="inlineStr">
        <is>
          <t>Baseline_elf</t>
        </is>
      </c>
      <c r="L131" t="n">
        <v>1</v>
      </c>
      <c r="M131" t="n">
        <v>3</v>
      </c>
      <c r="N131" t="n">
        <v>3</v>
      </c>
      <c r="O131" t="n">
        <v>0.1813</v>
      </c>
      <c r="P131" t="inlineStr">
        <is>
          <t>Shimmer3-8956</t>
        </is>
      </c>
      <c r="Q131" t="n">
        <v>26.5</v>
      </c>
      <c r="R131" t="n">
        <v>0.6</v>
      </c>
      <c r="S131" t="n">
        <v>62.7</v>
      </c>
      <c r="T131" t="inlineStr">
        <is>
          <t>NA</t>
        </is>
      </c>
      <c r="U131">
        <f>IF(LEFT(G131,8)="Baseline","Baseline",IF(LEFT(G131,8)="Recovery","Recovery","Commercial"))</f>
        <v/>
      </c>
      <c r="V131">
        <f>IF(ISNUMBER(SEARCH("Nike",G131)),"Nike","elf")</f>
        <v/>
      </c>
      <c r="W131">
        <f>IF(OR(AND(E131="A",V131="Nike"),AND(E131="B",V131="elf")),"first","second")</f>
        <v/>
      </c>
      <c r="X131">
        <f>IF(COUNTIFS(Data!$B$2:$B$181,B131,Data!$U$2:$U$181,"Commercial",Data!$Q$2:$Q$181,"&lt;0")+COUNTIFS(Data!$B$2:$B$181,B131,Data!$U$2:$U$181,"Commercial",Data!$R$2:$R$181,"&gt;20")&gt;0,"No","Yes")</f>
        <v/>
      </c>
      <c r="Y131">
        <f>IF(COUNTIFS(Data!$B$2:$B$181,B131,Data!$L$2:$L$181,0)&gt;=4,1,0)</f>
        <v/>
      </c>
      <c r="Z131" s="5">
        <f>M131/(J131/60000)</f>
        <v/>
      </c>
      <c r="AA131" s="5">
        <f>M131/(I131/60000)</f>
        <v/>
      </c>
    </row>
    <row r="132">
      <c r="A132" t="inlineStr">
        <is>
          <t>SIMULATED_Arousal_Nike_vs_elf</t>
        </is>
      </c>
      <c r="B132" t="inlineStr">
        <is>
          <t>P22</t>
        </is>
      </c>
      <c r="C132" t="inlineStr">
        <is>
          <t>F</t>
        </is>
      </c>
      <c r="D132" t="n">
        <v>26</v>
      </c>
      <c r="E132" t="inlineStr">
        <is>
          <t>B</t>
        </is>
      </c>
      <c r="F132" t="inlineStr">
        <is>
          <t>Stimulus</t>
        </is>
      </c>
      <c r="G132" t="inlineStr">
        <is>
          <t>elf_Commercial</t>
        </is>
      </c>
      <c r="H132" t="n">
        <v>99097</v>
      </c>
      <c r="I132" t="n">
        <v>30000</v>
      </c>
      <c r="J132" t="n">
        <v>30000</v>
      </c>
      <c r="K132" t="inlineStr">
        <is>
          <t>elf_Commercial</t>
        </is>
      </c>
      <c r="L132" t="n">
        <v>1</v>
      </c>
      <c r="M132" t="n">
        <v>3</v>
      </c>
      <c r="N132" t="n">
        <v>6</v>
      </c>
      <c r="O132" t="n">
        <v>0.3297</v>
      </c>
      <c r="P132" t="inlineStr">
        <is>
          <t>Shimmer3-8956</t>
        </is>
      </c>
      <c r="Q132" t="n">
        <v>25.5</v>
      </c>
      <c r="R132" t="n">
        <v>0.7</v>
      </c>
      <c r="S132" t="n">
        <v>63.4</v>
      </c>
      <c r="T132" t="n">
        <v>7</v>
      </c>
      <c r="U132">
        <f>IF(LEFT(G132,8)="Baseline","Baseline",IF(LEFT(G132,8)="Recovery","Recovery","Commercial"))</f>
        <v/>
      </c>
      <c r="V132">
        <f>IF(ISNUMBER(SEARCH("Nike",G132)),"Nike","elf")</f>
        <v/>
      </c>
      <c r="W132">
        <f>IF(OR(AND(E132="A",V132="Nike"),AND(E132="B",V132="elf")),"first","second")</f>
        <v/>
      </c>
      <c r="X132">
        <f>IF(COUNTIFS(Data!$B$2:$B$181,B132,Data!$U$2:$U$181,"Commercial",Data!$Q$2:$Q$181,"&lt;0")+COUNTIFS(Data!$B$2:$B$181,B132,Data!$U$2:$U$181,"Commercial",Data!$R$2:$R$181,"&gt;20")&gt;0,"No","Yes")</f>
        <v/>
      </c>
      <c r="Y132">
        <f>IF(COUNTIFS(Data!$B$2:$B$181,B132,Data!$L$2:$L$181,0)&gt;=4,1,0)</f>
        <v/>
      </c>
      <c r="Z132" s="5">
        <f>M132/(J132/60000)</f>
        <v/>
      </c>
      <c r="AA132" s="5">
        <f>M132/(I132/60000)</f>
        <v/>
      </c>
    </row>
    <row r="133">
      <c r="A133" t="inlineStr">
        <is>
          <t>SIMULATED_Arousal_Nike_vs_elf</t>
        </is>
      </c>
      <c r="B133" t="inlineStr">
        <is>
          <t>P22</t>
        </is>
      </c>
      <c r="C133" t="inlineStr">
        <is>
          <t>F</t>
        </is>
      </c>
      <c r="D133" t="n">
        <v>26</v>
      </c>
      <c r="E133" t="inlineStr">
        <is>
          <t>B</t>
        </is>
      </c>
      <c r="F133" t="inlineStr">
        <is>
          <t>Stimulus</t>
        </is>
      </c>
      <c r="G133" t="inlineStr">
        <is>
          <t>Recovery_elf</t>
        </is>
      </c>
      <c r="H133" t="n">
        <v>129097</v>
      </c>
      <c r="I133" t="n">
        <v>15000</v>
      </c>
      <c r="J133" t="n">
        <v>15000</v>
      </c>
      <c r="K133" t="inlineStr">
        <is>
          <t>Recovery_elf</t>
        </is>
      </c>
      <c r="L133" t="n">
        <v>1</v>
      </c>
      <c r="M133" t="n">
        <v>1</v>
      </c>
      <c r="N133" t="n">
        <v>4</v>
      </c>
      <c r="O133" t="n">
        <v>0.4432</v>
      </c>
      <c r="P133" t="inlineStr">
        <is>
          <t>Shimmer3-8956</t>
        </is>
      </c>
      <c r="Q133" t="n">
        <v>24.2</v>
      </c>
      <c r="R133" t="n">
        <v>0</v>
      </c>
      <c r="S133" t="n">
        <v>61.2</v>
      </c>
      <c r="T133" t="inlineStr">
        <is>
          <t>NA</t>
        </is>
      </c>
      <c r="U133">
        <f>IF(LEFT(G133,8)="Baseline","Baseline",IF(LEFT(G133,8)="Recovery","Recovery","Commercial"))</f>
        <v/>
      </c>
      <c r="V133">
        <f>IF(ISNUMBER(SEARCH("Nike",G133)),"Nike","elf")</f>
        <v/>
      </c>
      <c r="W133">
        <f>IF(OR(AND(E133="A",V133="Nike"),AND(E133="B",V133="elf")),"first","second")</f>
        <v/>
      </c>
      <c r="X133">
        <f>IF(COUNTIFS(Data!$B$2:$B$181,B133,Data!$U$2:$U$181,"Commercial",Data!$Q$2:$Q$181,"&lt;0")+COUNTIFS(Data!$B$2:$B$181,B133,Data!$U$2:$U$181,"Commercial",Data!$R$2:$R$181,"&gt;20")&gt;0,"No","Yes")</f>
        <v/>
      </c>
      <c r="Y133">
        <f>IF(COUNTIFS(Data!$B$2:$B$181,B133,Data!$L$2:$L$181,0)&gt;=4,1,0)</f>
        <v/>
      </c>
      <c r="Z133" s="5">
        <f>M133/(J133/60000)</f>
        <v/>
      </c>
      <c r="AA133" s="5">
        <f>M133/(I133/60000)</f>
        <v/>
      </c>
    </row>
    <row r="134">
      <c r="A134" t="inlineStr">
        <is>
          <t>SIMULATED_Arousal_Nike_vs_elf</t>
        </is>
      </c>
      <c r="B134" t="inlineStr">
        <is>
          <t>P23</t>
        </is>
      </c>
      <c r="C134" t="inlineStr">
        <is>
          <t>M</t>
        </is>
      </c>
      <c r="D134" t="n">
        <v>38</v>
      </c>
      <c r="E134" t="inlineStr">
        <is>
          <t>A</t>
        </is>
      </c>
      <c r="F134" t="inlineStr">
        <is>
          <t>Stimulus</t>
        </is>
      </c>
      <c r="G134" t="inlineStr">
        <is>
          <t>Baseline_Nike</t>
        </is>
      </c>
      <c r="H134" t="n">
        <v>34411</v>
      </c>
      <c r="I134" t="n">
        <v>60000</v>
      </c>
      <c r="J134" t="n">
        <v>60000</v>
      </c>
      <c r="K134" t="inlineStr">
        <is>
          <t>Baseline_Nike</t>
        </is>
      </c>
      <c r="L134" t="n">
        <v>1</v>
      </c>
      <c r="M134" t="n">
        <v>4</v>
      </c>
      <c r="N134" t="n">
        <v>4</v>
      </c>
      <c r="O134" t="n">
        <v>0.1908</v>
      </c>
      <c r="P134" t="inlineStr">
        <is>
          <t>Shimmer3-8956</t>
        </is>
      </c>
      <c r="Q134" t="n">
        <v>27.9</v>
      </c>
      <c r="R134" t="n">
        <v>0</v>
      </c>
      <c r="S134" t="n">
        <v>93.8</v>
      </c>
      <c r="T134" t="inlineStr">
        <is>
          <t>NA</t>
        </is>
      </c>
      <c r="U134">
        <f>IF(LEFT(G134,8)="Baseline","Baseline",IF(LEFT(G134,8)="Recovery","Recovery","Commercial"))</f>
        <v/>
      </c>
      <c r="V134">
        <f>IF(ISNUMBER(SEARCH("Nike",G134)),"Nike","elf")</f>
        <v/>
      </c>
      <c r="W134">
        <f>IF(OR(AND(E134="A",V134="Nike"),AND(E134="B",V134="elf")),"first","second")</f>
        <v/>
      </c>
      <c r="X134">
        <f>IF(COUNTIFS(Data!$B$2:$B$181,B134,Data!$U$2:$U$181,"Commercial",Data!$Q$2:$Q$181,"&lt;0")+COUNTIFS(Data!$B$2:$B$181,B134,Data!$U$2:$U$181,"Commercial",Data!$R$2:$R$181,"&gt;20")&gt;0,"No","Yes")</f>
        <v/>
      </c>
      <c r="Y134">
        <f>IF(COUNTIFS(Data!$B$2:$B$181,B134,Data!$L$2:$L$181,0)&gt;=4,1,0)</f>
        <v/>
      </c>
      <c r="Z134" s="5">
        <f>M134/(J134/60000)</f>
        <v/>
      </c>
      <c r="AA134" s="5">
        <f>M134/(I134/60000)</f>
        <v/>
      </c>
    </row>
    <row r="135">
      <c r="A135" t="inlineStr">
        <is>
          <t>SIMULATED_Arousal_Nike_vs_elf</t>
        </is>
      </c>
      <c r="B135" t="inlineStr">
        <is>
          <t>P23</t>
        </is>
      </c>
      <c r="C135" t="inlineStr">
        <is>
          <t>M</t>
        </is>
      </c>
      <c r="D135" t="n">
        <v>38</v>
      </c>
      <c r="E135" t="inlineStr">
        <is>
          <t>A</t>
        </is>
      </c>
      <c r="F135" t="inlineStr">
        <is>
          <t>Stimulus</t>
        </is>
      </c>
      <c r="G135" t="inlineStr">
        <is>
          <t>Nike_Commercial</t>
        </is>
      </c>
      <c r="H135" t="n">
        <v>94411</v>
      </c>
      <c r="I135" t="n">
        <v>60000</v>
      </c>
      <c r="J135" t="n">
        <v>60000</v>
      </c>
      <c r="K135" t="inlineStr">
        <is>
          <t>Nike_Commercial</t>
        </is>
      </c>
      <c r="L135" t="n">
        <v>1</v>
      </c>
      <c r="M135" t="n">
        <v>6</v>
      </c>
      <c r="N135" t="n">
        <v>6</v>
      </c>
      <c r="O135" t="n">
        <v>0.3551</v>
      </c>
      <c r="P135" t="inlineStr">
        <is>
          <t>Shimmer3-8956</t>
        </is>
      </c>
      <c r="Q135" t="n">
        <v>29.5</v>
      </c>
      <c r="R135" t="n">
        <v>0</v>
      </c>
      <c r="S135" t="n">
        <v>93.2</v>
      </c>
      <c r="T135" t="n">
        <v>7</v>
      </c>
      <c r="U135">
        <f>IF(LEFT(G135,8)="Baseline","Baseline",IF(LEFT(G135,8)="Recovery","Recovery","Commercial"))</f>
        <v/>
      </c>
      <c r="V135">
        <f>IF(ISNUMBER(SEARCH("Nike",G135)),"Nike","elf")</f>
        <v/>
      </c>
      <c r="W135">
        <f>IF(OR(AND(E135="A",V135="Nike"),AND(E135="B",V135="elf")),"first","second")</f>
        <v/>
      </c>
      <c r="X135">
        <f>IF(COUNTIFS(Data!$B$2:$B$181,B135,Data!$U$2:$U$181,"Commercial",Data!$Q$2:$Q$181,"&lt;0")+COUNTIFS(Data!$B$2:$B$181,B135,Data!$U$2:$U$181,"Commercial",Data!$R$2:$R$181,"&gt;20")&gt;0,"No","Yes")</f>
        <v/>
      </c>
      <c r="Y135">
        <f>IF(COUNTIFS(Data!$B$2:$B$181,B135,Data!$L$2:$L$181,0)&gt;=4,1,0)</f>
        <v/>
      </c>
      <c r="Z135" s="5">
        <f>M135/(J135/60000)</f>
        <v/>
      </c>
      <c r="AA135" s="5">
        <f>M135/(I135/60000)</f>
        <v/>
      </c>
    </row>
    <row r="136">
      <c r="A136" t="inlineStr">
        <is>
          <t>SIMULATED_Arousal_Nike_vs_elf</t>
        </is>
      </c>
      <c r="B136" t="inlineStr">
        <is>
          <t>P23</t>
        </is>
      </c>
      <c r="C136" t="inlineStr">
        <is>
          <t>M</t>
        </is>
      </c>
      <c r="D136" t="n">
        <v>38</v>
      </c>
      <c r="E136" t="inlineStr">
        <is>
          <t>A</t>
        </is>
      </c>
      <c r="F136" t="inlineStr">
        <is>
          <t>Stimulus</t>
        </is>
      </c>
      <c r="G136" t="inlineStr">
        <is>
          <t>Recovery_Nike</t>
        </is>
      </c>
      <c r="H136" t="n">
        <v>154411</v>
      </c>
      <c r="I136" t="n">
        <v>15000</v>
      </c>
      <c r="J136" t="n">
        <v>15000</v>
      </c>
      <c r="K136" t="inlineStr">
        <is>
          <t>Recovery_Nike</t>
        </is>
      </c>
      <c r="L136" t="n">
        <v>1</v>
      </c>
      <c r="M136" t="n">
        <v>1</v>
      </c>
      <c r="N136" t="n">
        <v>4</v>
      </c>
      <c r="O136" t="n">
        <v>0.3253</v>
      </c>
      <c r="P136" t="inlineStr">
        <is>
          <t>Shimmer3-8956</t>
        </is>
      </c>
      <c r="Q136" t="n">
        <v>30.6</v>
      </c>
      <c r="R136" t="n">
        <v>2.5</v>
      </c>
      <c r="S136" t="n">
        <v>92.7</v>
      </c>
      <c r="T136" t="inlineStr">
        <is>
          <t>NA</t>
        </is>
      </c>
      <c r="U136">
        <f>IF(LEFT(G136,8)="Baseline","Baseline",IF(LEFT(G136,8)="Recovery","Recovery","Commercial"))</f>
        <v/>
      </c>
      <c r="V136">
        <f>IF(ISNUMBER(SEARCH("Nike",G136)),"Nike","elf")</f>
        <v/>
      </c>
      <c r="W136">
        <f>IF(OR(AND(E136="A",V136="Nike"),AND(E136="B",V136="elf")),"first","second")</f>
        <v/>
      </c>
      <c r="X136">
        <f>IF(COUNTIFS(Data!$B$2:$B$181,B136,Data!$U$2:$U$181,"Commercial",Data!$Q$2:$Q$181,"&lt;0")+COUNTIFS(Data!$B$2:$B$181,B136,Data!$U$2:$U$181,"Commercial",Data!$R$2:$R$181,"&gt;20")&gt;0,"No","Yes")</f>
        <v/>
      </c>
      <c r="Y136">
        <f>IF(COUNTIFS(Data!$B$2:$B$181,B136,Data!$L$2:$L$181,0)&gt;=4,1,0)</f>
        <v/>
      </c>
      <c r="Z136" s="5">
        <f>M136/(J136/60000)</f>
        <v/>
      </c>
      <c r="AA136" s="5">
        <f>M136/(I136/60000)</f>
        <v/>
      </c>
    </row>
    <row r="137">
      <c r="A137" t="inlineStr">
        <is>
          <t>SIMULATED_Arousal_Nike_vs_elf</t>
        </is>
      </c>
      <c r="B137" t="inlineStr">
        <is>
          <t>P23</t>
        </is>
      </c>
      <c r="C137" t="inlineStr">
        <is>
          <t>M</t>
        </is>
      </c>
      <c r="D137" t="n">
        <v>38</v>
      </c>
      <c r="E137" t="inlineStr">
        <is>
          <t>A</t>
        </is>
      </c>
      <c r="F137" t="inlineStr">
        <is>
          <t>Stimulus</t>
        </is>
      </c>
      <c r="G137" t="inlineStr">
        <is>
          <t>Baseline_elf</t>
        </is>
      </c>
      <c r="H137" t="n">
        <v>366425</v>
      </c>
      <c r="I137" t="n">
        <v>60000</v>
      </c>
      <c r="J137" t="n">
        <v>60000</v>
      </c>
      <c r="K137" t="inlineStr">
        <is>
          <t>Baseline_elf</t>
        </is>
      </c>
      <c r="L137" t="n">
        <v>1</v>
      </c>
      <c r="M137" t="n">
        <v>3</v>
      </c>
      <c r="N137" t="n">
        <v>3</v>
      </c>
      <c r="O137" t="n">
        <v>0.2356</v>
      </c>
      <c r="P137" t="inlineStr">
        <is>
          <t>Shimmer3-8956</t>
        </is>
      </c>
      <c r="Q137" t="n">
        <v>23.6</v>
      </c>
      <c r="R137" t="n">
        <v>0</v>
      </c>
      <c r="S137" t="n">
        <v>93.5</v>
      </c>
      <c r="T137" t="inlineStr">
        <is>
          <t>NA</t>
        </is>
      </c>
      <c r="U137">
        <f>IF(LEFT(G137,8)="Baseline","Baseline",IF(LEFT(G137,8)="Recovery","Recovery","Commercial"))</f>
        <v/>
      </c>
      <c r="V137">
        <f>IF(ISNUMBER(SEARCH("Nike",G137)),"Nike","elf")</f>
        <v/>
      </c>
      <c r="W137">
        <f>IF(OR(AND(E137="A",V137="Nike"),AND(E137="B",V137="elf")),"first","second")</f>
        <v/>
      </c>
      <c r="X137">
        <f>IF(COUNTIFS(Data!$B$2:$B$181,B137,Data!$U$2:$U$181,"Commercial",Data!$Q$2:$Q$181,"&lt;0")+COUNTIFS(Data!$B$2:$B$181,B137,Data!$U$2:$U$181,"Commercial",Data!$R$2:$R$181,"&gt;20")&gt;0,"No","Yes")</f>
        <v/>
      </c>
      <c r="Y137">
        <f>IF(COUNTIFS(Data!$B$2:$B$181,B137,Data!$L$2:$L$181,0)&gt;=4,1,0)</f>
        <v/>
      </c>
      <c r="Z137" s="5">
        <f>M137/(J137/60000)</f>
        <v/>
      </c>
      <c r="AA137" s="5">
        <f>M137/(I137/60000)</f>
        <v/>
      </c>
    </row>
    <row r="138">
      <c r="A138" t="inlineStr">
        <is>
          <t>SIMULATED_Arousal_Nike_vs_elf</t>
        </is>
      </c>
      <c r="B138" t="inlineStr">
        <is>
          <t>P23</t>
        </is>
      </c>
      <c r="C138" t="inlineStr">
        <is>
          <t>M</t>
        </is>
      </c>
      <c r="D138" t="n">
        <v>38</v>
      </c>
      <c r="E138" t="inlineStr">
        <is>
          <t>A</t>
        </is>
      </c>
      <c r="F138" t="inlineStr">
        <is>
          <t>Stimulus</t>
        </is>
      </c>
      <c r="G138" t="inlineStr">
        <is>
          <t>elf_Commercial</t>
        </is>
      </c>
      <c r="H138" t="n">
        <v>426425</v>
      </c>
      <c r="I138" t="n">
        <v>30000</v>
      </c>
      <c r="J138" t="n">
        <v>30000</v>
      </c>
      <c r="K138" t="inlineStr">
        <is>
          <t>elf_Commercial</t>
        </is>
      </c>
      <c r="L138" t="n">
        <v>1</v>
      </c>
      <c r="M138" t="n">
        <v>1</v>
      </c>
      <c r="N138" t="n">
        <v>2</v>
      </c>
      <c r="O138" t="n">
        <v>0.3057</v>
      </c>
      <c r="P138" t="inlineStr">
        <is>
          <t>Shimmer3-8956</t>
        </is>
      </c>
      <c r="Q138" t="n">
        <v>26.8</v>
      </c>
      <c r="R138" t="n">
        <v>0.8</v>
      </c>
      <c r="S138" t="n">
        <v>93.09999999999999</v>
      </c>
      <c r="T138" t="n">
        <v>4</v>
      </c>
      <c r="U138">
        <f>IF(LEFT(G138,8)="Baseline","Baseline",IF(LEFT(G138,8)="Recovery","Recovery","Commercial"))</f>
        <v/>
      </c>
      <c r="V138">
        <f>IF(ISNUMBER(SEARCH("Nike",G138)),"Nike","elf")</f>
        <v/>
      </c>
      <c r="W138">
        <f>IF(OR(AND(E138="A",V138="Nike"),AND(E138="B",V138="elf")),"first","second")</f>
        <v/>
      </c>
      <c r="X138">
        <f>IF(COUNTIFS(Data!$B$2:$B$181,B138,Data!$U$2:$U$181,"Commercial",Data!$Q$2:$Q$181,"&lt;0")+COUNTIFS(Data!$B$2:$B$181,B138,Data!$U$2:$U$181,"Commercial",Data!$R$2:$R$181,"&gt;20")&gt;0,"No","Yes")</f>
        <v/>
      </c>
      <c r="Y138">
        <f>IF(COUNTIFS(Data!$B$2:$B$181,B138,Data!$L$2:$L$181,0)&gt;=4,1,0)</f>
        <v/>
      </c>
      <c r="Z138" s="5">
        <f>M138/(J138/60000)</f>
        <v/>
      </c>
      <c r="AA138" s="5">
        <f>M138/(I138/60000)</f>
        <v/>
      </c>
    </row>
    <row r="139">
      <c r="A139" t="inlineStr">
        <is>
          <t>SIMULATED_Arousal_Nike_vs_elf</t>
        </is>
      </c>
      <c r="B139" t="inlineStr">
        <is>
          <t>P23</t>
        </is>
      </c>
      <c r="C139" t="inlineStr">
        <is>
          <t>M</t>
        </is>
      </c>
      <c r="D139" t="n">
        <v>38</v>
      </c>
      <c r="E139" t="inlineStr">
        <is>
          <t>A</t>
        </is>
      </c>
      <c r="F139" t="inlineStr">
        <is>
          <t>Stimulus</t>
        </is>
      </c>
      <c r="G139" t="inlineStr">
        <is>
          <t>Recovery_elf</t>
        </is>
      </c>
      <c r="H139" t="n">
        <v>456425</v>
      </c>
      <c r="I139" t="n">
        <v>15000</v>
      </c>
      <c r="J139" t="n">
        <v>15000</v>
      </c>
      <c r="K139" t="inlineStr">
        <is>
          <t>Recovery_elf</t>
        </is>
      </c>
      <c r="L139" t="n">
        <v>0</v>
      </c>
      <c r="M139" t="n">
        <v>0</v>
      </c>
      <c r="N139" t="n">
        <v>0</v>
      </c>
      <c r="O139" t="inlineStr">
        <is>
          <t>NA</t>
        </is>
      </c>
      <c r="P139" t="inlineStr">
        <is>
          <t>Shimmer3-8956</t>
        </is>
      </c>
      <c r="Q139" t="n">
        <v>29.5</v>
      </c>
      <c r="R139" t="n">
        <v>0</v>
      </c>
      <c r="S139" t="n">
        <v>92.7</v>
      </c>
      <c r="T139" t="inlineStr">
        <is>
          <t>NA</t>
        </is>
      </c>
      <c r="U139">
        <f>IF(LEFT(G139,8)="Baseline","Baseline",IF(LEFT(G139,8)="Recovery","Recovery","Commercial"))</f>
        <v/>
      </c>
      <c r="V139">
        <f>IF(ISNUMBER(SEARCH("Nike",G139)),"Nike","elf")</f>
        <v/>
      </c>
      <c r="W139">
        <f>IF(OR(AND(E139="A",V139="Nike"),AND(E139="B",V139="elf")),"first","second")</f>
        <v/>
      </c>
      <c r="X139">
        <f>IF(COUNTIFS(Data!$B$2:$B$181,B139,Data!$U$2:$U$181,"Commercial",Data!$Q$2:$Q$181,"&lt;0")+COUNTIFS(Data!$B$2:$B$181,B139,Data!$U$2:$U$181,"Commercial",Data!$R$2:$R$181,"&gt;20")&gt;0,"No","Yes")</f>
        <v/>
      </c>
      <c r="Y139">
        <f>IF(COUNTIFS(Data!$B$2:$B$181,B139,Data!$L$2:$L$181,0)&gt;=4,1,0)</f>
        <v/>
      </c>
      <c r="Z139" s="5">
        <f>M139/(J139/60000)</f>
        <v/>
      </c>
      <c r="AA139" s="5">
        <f>M139/(I139/60000)</f>
        <v/>
      </c>
    </row>
    <row r="140">
      <c r="A140" t="inlineStr">
        <is>
          <t>SIMULATED_Arousal_Nike_vs_elf</t>
        </is>
      </c>
      <c r="B140" t="inlineStr">
        <is>
          <t>P24</t>
        </is>
      </c>
      <c r="C140" t="inlineStr">
        <is>
          <t>F</t>
        </is>
      </c>
      <c r="D140" t="n">
        <v>19</v>
      </c>
      <c r="E140" t="inlineStr">
        <is>
          <t>B</t>
        </is>
      </c>
      <c r="F140" t="inlineStr">
        <is>
          <t>Stimulus</t>
        </is>
      </c>
      <c r="G140" t="inlineStr">
        <is>
          <t>Baseline_Nike</t>
        </is>
      </c>
      <c r="H140" t="n">
        <v>304541</v>
      </c>
      <c r="I140" t="n">
        <v>60000</v>
      </c>
      <c r="J140" t="n">
        <v>60000</v>
      </c>
      <c r="K140" t="inlineStr">
        <is>
          <t>Baseline_Nike</t>
        </is>
      </c>
      <c r="L140" t="n">
        <v>1</v>
      </c>
      <c r="M140" t="n">
        <v>3</v>
      </c>
      <c r="N140" t="n">
        <v>3</v>
      </c>
      <c r="O140" t="n">
        <v>0.1503</v>
      </c>
      <c r="P140" t="inlineStr">
        <is>
          <t>Shimmer3-B</t>
        </is>
      </c>
      <c r="Q140" t="n">
        <v>27.3</v>
      </c>
      <c r="R140" t="n">
        <v>0</v>
      </c>
      <c r="S140" t="n">
        <v>78.2</v>
      </c>
      <c r="T140" t="inlineStr">
        <is>
          <t>NA</t>
        </is>
      </c>
      <c r="U140">
        <f>IF(LEFT(G140,8)="Baseline","Baseline",IF(LEFT(G140,8)="Recovery","Recovery","Commercial"))</f>
        <v/>
      </c>
      <c r="V140">
        <f>IF(ISNUMBER(SEARCH("Nike",G140)),"Nike","elf")</f>
        <v/>
      </c>
      <c r="W140">
        <f>IF(OR(AND(E140="A",V140="Nike"),AND(E140="B",V140="elf")),"first","second")</f>
        <v/>
      </c>
      <c r="X140">
        <f>IF(COUNTIFS(Data!$B$2:$B$181,B140,Data!$U$2:$U$181,"Commercial",Data!$Q$2:$Q$181,"&lt;0")+COUNTIFS(Data!$B$2:$B$181,B140,Data!$U$2:$U$181,"Commercial",Data!$R$2:$R$181,"&gt;20")&gt;0,"No","Yes")</f>
        <v/>
      </c>
      <c r="Y140">
        <f>IF(COUNTIFS(Data!$B$2:$B$181,B140,Data!$L$2:$L$181,0)&gt;=4,1,0)</f>
        <v/>
      </c>
      <c r="Z140" s="5">
        <f>M140/(J140/60000)</f>
        <v/>
      </c>
      <c r="AA140" s="5">
        <f>M140/(I140/60000)</f>
        <v/>
      </c>
    </row>
    <row r="141">
      <c r="A141" t="inlineStr">
        <is>
          <t>SIMULATED_Arousal_Nike_vs_elf</t>
        </is>
      </c>
      <c r="B141" t="inlineStr">
        <is>
          <t>P24</t>
        </is>
      </c>
      <c r="C141" t="inlineStr">
        <is>
          <t>F</t>
        </is>
      </c>
      <c r="D141" t="n">
        <v>19</v>
      </c>
      <c r="E141" t="inlineStr">
        <is>
          <t>B</t>
        </is>
      </c>
      <c r="F141" t="inlineStr">
        <is>
          <t>Stimulus</t>
        </is>
      </c>
      <c r="G141" t="inlineStr">
        <is>
          <t>Nike_Commercial</t>
        </is>
      </c>
      <c r="H141" t="n">
        <v>364541</v>
      </c>
      <c r="I141" t="n">
        <v>60000</v>
      </c>
      <c r="J141" t="n">
        <v>60000</v>
      </c>
      <c r="K141" t="inlineStr">
        <is>
          <t>Nike_Commercial</t>
        </is>
      </c>
      <c r="L141" t="n">
        <v>1</v>
      </c>
      <c r="M141" t="n">
        <v>5</v>
      </c>
      <c r="N141" t="n">
        <v>5</v>
      </c>
      <c r="O141" t="n">
        <v>0.2057</v>
      </c>
      <c r="P141" t="inlineStr">
        <is>
          <t>Shimmer3-B</t>
        </is>
      </c>
      <c r="Q141" t="n">
        <v>28.2</v>
      </c>
      <c r="R141" t="n">
        <v>1</v>
      </c>
      <c r="S141" t="n">
        <v>75.7</v>
      </c>
      <c r="T141" t="n">
        <v>6</v>
      </c>
      <c r="U141">
        <f>IF(LEFT(G141,8)="Baseline","Baseline",IF(LEFT(G141,8)="Recovery","Recovery","Commercial"))</f>
        <v/>
      </c>
      <c r="V141">
        <f>IF(ISNUMBER(SEARCH("Nike",G141)),"Nike","elf")</f>
        <v/>
      </c>
      <c r="W141">
        <f>IF(OR(AND(E141="A",V141="Nike"),AND(E141="B",V141="elf")),"first","second")</f>
        <v/>
      </c>
      <c r="X141">
        <f>IF(COUNTIFS(Data!$B$2:$B$181,B141,Data!$U$2:$U$181,"Commercial",Data!$Q$2:$Q$181,"&lt;0")+COUNTIFS(Data!$B$2:$B$181,B141,Data!$U$2:$U$181,"Commercial",Data!$R$2:$R$181,"&gt;20")&gt;0,"No","Yes")</f>
        <v/>
      </c>
      <c r="Y141">
        <f>IF(COUNTIFS(Data!$B$2:$B$181,B141,Data!$L$2:$L$181,0)&gt;=4,1,0)</f>
        <v/>
      </c>
      <c r="Z141" s="5">
        <f>M141/(J141/60000)</f>
        <v/>
      </c>
      <c r="AA141" s="5">
        <f>M141/(I141/60000)</f>
        <v/>
      </c>
    </row>
    <row r="142">
      <c r="A142" t="inlineStr">
        <is>
          <t>SIMULATED_Arousal_Nike_vs_elf</t>
        </is>
      </c>
      <c r="B142" t="inlineStr">
        <is>
          <t>P24</t>
        </is>
      </c>
      <c r="C142" t="inlineStr">
        <is>
          <t>F</t>
        </is>
      </c>
      <c r="D142" t="n">
        <v>19</v>
      </c>
      <c r="E142" t="inlineStr">
        <is>
          <t>B</t>
        </is>
      </c>
      <c r="F142" t="inlineStr">
        <is>
          <t>Stimulus</t>
        </is>
      </c>
      <c r="G142" t="inlineStr">
        <is>
          <t>Recovery_Nike</t>
        </is>
      </c>
      <c r="H142" t="n">
        <v>424541</v>
      </c>
      <c r="I142" t="n">
        <v>15000</v>
      </c>
      <c r="J142" t="n">
        <v>15000</v>
      </c>
      <c r="K142" t="inlineStr">
        <is>
          <t>Recovery_Nike</t>
        </is>
      </c>
      <c r="L142" t="n">
        <v>0</v>
      </c>
      <c r="M142" t="n">
        <v>0</v>
      </c>
      <c r="N142" t="n">
        <v>0</v>
      </c>
      <c r="O142" t="inlineStr">
        <is>
          <t>NA</t>
        </is>
      </c>
      <c r="P142" t="inlineStr">
        <is>
          <t>Shimmer3-B</t>
        </is>
      </c>
      <c r="Q142" t="n">
        <v>21.3</v>
      </c>
      <c r="R142" t="n">
        <v>0</v>
      </c>
      <c r="S142" t="n">
        <v>76.59999999999999</v>
      </c>
      <c r="T142" t="inlineStr">
        <is>
          <t>NA</t>
        </is>
      </c>
      <c r="U142">
        <f>IF(LEFT(G142,8)="Baseline","Baseline",IF(LEFT(G142,8)="Recovery","Recovery","Commercial"))</f>
        <v/>
      </c>
      <c r="V142">
        <f>IF(ISNUMBER(SEARCH("Nike",G142)),"Nike","elf")</f>
        <v/>
      </c>
      <c r="W142">
        <f>IF(OR(AND(E142="A",V142="Nike"),AND(E142="B",V142="elf")),"first","second")</f>
        <v/>
      </c>
      <c r="X142">
        <f>IF(COUNTIFS(Data!$B$2:$B$181,B142,Data!$U$2:$U$181,"Commercial",Data!$Q$2:$Q$181,"&lt;0")+COUNTIFS(Data!$B$2:$B$181,B142,Data!$U$2:$U$181,"Commercial",Data!$R$2:$R$181,"&gt;20")&gt;0,"No","Yes")</f>
        <v/>
      </c>
      <c r="Y142">
        <f>IF(COUNTIFS(Data!$B$2:$B$181,B142,Data!$L$2:$L$181,0)&gt;=4,1,0)</f>
        <v/>
      </c>
      <c r="Z142" s="5">
        <f>M142/(J142/60000)</f>
        <v/>
      </c>
      <c r="AA142" s="5">
        <f>M142/(I142/60000)</f>
        <v/>
      </c>
    </row>
    <row r="143">
      <c r="A143" t="inlineStr">
        <is>
          <t>SIMULATED_Arousal_Nike_vs_elf</t>
        </is>
      </c>
      <c r="B143" t="inlineStr">
        <is>
          <t>P24</t>
        </is>
      </c>
      <c r="C143" t="inlineStr">
        <is>
          <t>F</t>
        </is>
      </c>
      <c r="D143" t="n">
        <v>19</v>
      </c>
      <c r="E143" t="inlineStr">
        <is>
          <t>B</t>
        </is>
      </c>
      <c r="F143" t="inlineStr">
        <is>
          <t>Stimulus</t>
        </is>
      </c>
      <c r="G143" t="inlineStr">
        <is>
          <t>Baseline_elf</t>
        </is>
      </c>
      <c r="H143" t="n">
        <v>34349</v>
      </c>
      <c r="I143" t="n">
        <v>60000</v>
      </c>
      <c r="J143" t="n">
        <v>60000</v>
      </c>
      <c r="K143" t="inlineStr">
        <is>
          <t>Baseline_elf</t>
        </is>
      </c>
      <c r="L143" t="n">
        <v>1</v>
      </c>
      <c r="M143" t="n">
        <v>2</v>
      </c>
      <c r="N143" t="n">
        <v>2</v>
      </c>
      <c r="O143" t="n">
        <v>0.1878</v>
      </c>
      <c r="P143" t="inlineStr">
        <is>
          <t>Shimmer3-B</t>
        </is>
      </c>
      <c r="Q143" t="n">
        <v>22.1</v>
      </c>
      <c r="R143" t="n">
        <v>0</v>
      </c>
      <c r="S143" t="n">
        <v>77.09999999999999</v>
      </c>
      <c r="T143" t="inlineStr">
        <is>
          <t>NA</t>
        </is>
      </c>
      <c r="U143">
        <f>IF(LEFT(G143,8)="Baseline","Baseline",IF(LEFT(G143,8)="Recovery","Recovery","Commercial"))</f>
        <v/>
      </c>
      <c r="V143">
        <f>IF(ISNUMBER(SEARCH("Nike",G143)),"Nike","elf")</f>
        <v/>
      </c>
      <c r="W143">
        <f>IF(OR(AND(E143="A",V143="Nike"),AND(E143="B",V143="elf")),"first","second")</f>
        <v/>
      </c>
      <c r="X143">
        <f>IF(COUNTIFS(Data!$B$2:$B$181,B143,Data!$U$2:$U$181,"Commercial",Data!$Q$2:$Q$181,"&lt;0")+COUNTIFS(Data!$B$2:$B$181,B143,Data!$U$2:$U$181,"Commercial",Data!$R$2:$R$181,"&gt;20")&gt;0,"No","Yes")</f>
        <v/>
      </c>
      <c r="Y143">
        <f>IF(COUNTIFS(Data!$B$2:$B$181,B143,Data!$L$2:$L$181,0)&gt;=4,1,0)</f>
        <v/>
      </c>
      <c r="Z143" s="5">
        <f>M143/(J143/60000)</f>
        <v/>
      </c>
      <c r="AA143" s="5">
        <f>M143/(I143/60000)</f>
        <v/>
      </c>
    </row>
    <row r="144">
      <c r="A144" t="inlineStr">
        <is>
          <t>SIMULATED_Arousal_Nike_vs_elf</t>
        </is>
      </c>
      <c r="B144" t="inlineStr">
        <is>
          <t>P24</t>
        </is>
      </c>
      <c r="C144" t="inlineStr">
        <is>
          <t>F</t>
        </is>
      </c>
      <c r="D144" t="n">
        <v>19</v>
      </c>
      <c r="E144" t="inlineStr">
        <is>
          <t>B</t>
        </is>
      </c>
      <c r="F144" t="inlineStr">
        <is>
          <t>Stimulus</t>
        </is>
      </c>
      <c r="G144" t="inlineStr">
        <is>
          <t>elf_Commercial</t>
        </is>
      </c>
      <c r="H144" t="n">
        <v>94349</v>
      </c>
      <c r="I144" t="n">
        <v>30000</v>
      </c>
      <c r="J144" t="n">
        <v>18600</v>
      </c>
      <c r="K144" t="inlineStr">
        <is>
          <t>elf_Commercial</t>
        </is>
      </c>
      <c r="L144" t="n">
        <v>1</v>
      </c>
      <c r="M144" t="n">
        <v>2</v>
      </c>
      <c r="N144" t="n">
        <v>6.452</v>
      </c>
      <c r="O144" t="n">
        <v>0.1893</v>
      </c>
      <c r="P144" t="inlineStr">
        <is>
          <t>Shimmer3-B</t>
        </is>
      </c>
      <c r="Q144" t="n">
        <v>22.6</v>
      </c>
      <c r="R144" t="n">
        <v>38</v>
      </c>
      <c r="S144" t="n">
        <v>73.59999999999999</v>
      </c>
      <c r="T144" t="n">
        <v>5</v>
      </c>
      <c r="U144">
        <f>IF(LEFT(G144,8)="Baseline","Baseline",IF(LEFT(G144,8)="Recovery","Recovery","Commercial"))</f>
        <v/>
      </c>
      <c r="V144">
        <f>IF(ISNUMBER(SEARCH("Nike",G144)),"Nike","elf")</f>
        <v/>
      </c>
      <c r="W144">
        <f>IF(OR(AND(E144="A",V144="Nike"),AND(E144="B",V144="elf")),"first","second")</f>
        <v/>
      </c>
      <c r="X144">
        <f>IF(COUNTIFS(Data!$B$2:$B$181,B144,Data!$U$2:$U$181,"Commercial",Data!$Q$2:$Q$181,"&lt;0")+COUNTIFS(Data!$B$2:$B$181,B144,Data!$U$2:$U$181,"Commercial",Data!$R$2:$R$181,"&gt;20")&gt;0,"No","Yes")</f>
        <v/>
      </c>
      <c r="Y144">
        <f>IF(COUNTIFS(Data!$B$2:$B$181,B144,Data!$L$2:$L$181,0)&gt;=4,1,0)</f>
        <v/>
      </c>
      <c r="Z144" s="5">
        <f>M144/(J144/60000)</f>
        <v/>
      </c>
      <c r="AA144" s="5">
        <f>M144/(I144/60000)</f>
        <v/>
      </c>
    </row>
    <row r="145">
      <c r="A145" t="inlineStr">
        <is>
          <t>SIMULATED_Arousal_Nike_vs_elf</t>
        </is>
      </c>
      <c r="B145" t="inlineStr">
        <is>
          <t>P24</t>
        </is>
      </c>
      <c r="C145" t="inlineStr">
        <is>
          <t>F</t>
        </is>
      </c>
      <c r="D145" t="n">
        <v>19</v>
      </c>
      <c r="E145" t="inlineStr">
        <is>
          <t>B</t>
        </is>
      </c>
      <c r="F145" t="inlineStr">
        <is>
          <t>Stimulus</t>
        </is>
      </c>
      <c r="G145" t="inlineStr">
        <is>
          <t>Recovery_elf</t>
        </is>
      </c>
      <c r="H145" t="n">
        <v>124349</v>
      </c>
      <c r="I145" t="n">
        <v>15000</v>
      </c>
      <c r="J145" t="n">
        <v>15000</v>
      </c>
      <c r="K145" t="inlineStr">
        <is>
          <t>Recovery_elf</t>
        </is>
      </c>
      <c r="L145" t="n">
        <v>1</v>
      </c>
      <c r="M145" t="n">
        <v>1</v>
      </c>
      <c r="N145" t="n">
        <v>4</v>
      </c>
      <c r="O145" t="n">
        <v>0.1711</v>
      </c>
      <c r="P145" t="inlineStr">
        <is>
          <t>Shimmer3-B</t>
        </is>
      </c>
      <c r="Q145" t="n">
        <v>24.9</v>
      </c>
      <c r="R145" t="n">
        <v>1.3</v>
      </c>
      <c r="S145" t="n">
        <v>76.7</v>
      </c>
      <c r="T145" t="inlineStr">
        <is>
          <t>NA</t>
        </is>
      </c>
      <c r="U145">
        <f>IF(LEFT(G145,8)="Baseline","Baseline",IF(LEFT(G145,8)="Recovery","Recovery","Commercial"))</f>
        <v/>
      </c>
      <c r="V145">
        <f>IF(ISNUMBER(SEARCH("Nike",G145)),"Nike","elf")</f>
        <v/>
      </c>
      <c r="W145">
        <f>IF(OR(AND(E145="A",V145="Nike"),AND(E145="B",V145="elf")),"first","second")</f>
        <v/>
      </c>
      <c r="X145">
        <f>IF(COUNTIFS(Data!$B$2:$B$181,B145,Data!$U$2:$U$181,"Commercial",Data!$Q$2:$Q$181,"&lt;0")+COUNTIFS(Data!$B$2:$B$181,B145,Data!$U$2:$U$181,"Commercial",Data!$R$2:$R$181,"&gt;20")&gt;0,"No","Yes")</f>
        <v/>
      </c>
      <c r="Y145">
        <f>IF(COUNTIFS(Data!$B$2:$B$181,B145,Data!$L$2:$L$181,0)&gt;=4,1,0)</f>
        <v/>
      </c>
      <c r="Z145" s="5">
        <f>M145/(J145/60000)</f>
        <v/>
      </c>
      <c r="AA145" s="5">
        <f>M145/(I145/60000)</f>
        <v/>
      </c>
    </row>
    <row r="146">
      <c r="A146" t="inlineStr">
        <is>
          <t>SIMULATED_Arousal_Nike_vs_elf</t>
        </is>
      </c>
      <c r="B146" t="inlineStr">
        <is>
          <t>P25</t>
        </is>
      </c>
      <c r="C146" t="inlineStr">
        <is>
          <t>F</t>
        </is>
      </c>
      <c r="D146" t="n">
        <v>36</v>
      </c>
      <c r="E146" t="inlineStr">
        <is>
          <t>B</t>
        </is>
      </c>
      <c r="F146" t="inlineStr">
        <is>
          <t>Stimulus</t>
        </is>
      </c>
      <c r="G146" t="inlineStr">
        <is>
          <t>Baseline_Nike</t>
        </is>
      </c>
      <c r="H146" t="n">
        <v>331821</v>
      </c>
      <c r="I146" t="n">
        <v>60000</v>
      </c>
      <c r="J146" t="n">
        <v>60000</v>
      </c>
      <c r="K146" t="inlineStr">
        <is>
          <t>Baseline_Nike</t>
        </is>
      </c>
      <c r="L146" t="n">
        <v>1</v>
      </c>
      <c r="M146" t="n">
        <v>3</v>
      </c>
      <c r="N146" t="n">
        <v>3</v>
      </c>
      <c r="O146" t="n">
        <v>0.1728</v>
      </c>
      <c r="P146" t="inlineStr">
        <is>
          <t>Shimmer3-B</t>
        </is>
      </c>
      <c r="Q146" t="n">
        <v>24.6</v>
      </c>
      <c r="R146" t="n">
        <v>0</v>
      </c>
      <c r="S146" t="n">
        <v>83.7</v>
      </c>
      <c r="T146" t="inlineStr">
        <is>
          <t>NA</t>
        </is>
      </c>
      <c r="U146">
        <f>IF(LEFT(G146,8)="Baseline","Baseline",IF(LEFT(G146,8)="Recovery","Recovery","Commercial"))</f>
        <v/>
      </c>
      <c r="V146">
        <f>IF(ISNUMBER(SEARCH("Nike",G146)),"Nike","elf")</f>
        <v/>
      </c>
      <c r="W146">
        <f>IF(OR(AND(E146="A",V146="Nike"),AND(E146="B",V146="elf")),"first","second")</f>
        <v/>
      </c>
      <c r="X146">
        <f>IF(COUNTIFS(Data!$B$2:$B$181,B146,Data!$U$2:$U$181,"Commercial",Data!$Q$2:$Q$181,"&lt;0")+COUNTIFS(Data!$B$2:$B$181,B146,Data!$U$2:$U$181,"Commercial",Data!$R$2:$R$181,"&gt;20")&gt;0,"No","Yes")</f>
        <v/>
      </c>
      <c r="Y146">
        <f>IF(COUNTIFS(Data!$B$2:$B$181,B146,Data!$L$2:$L$181,0)&gt;=4,1,0)</f>
        <v/>
      </c>
      <c r="Z146" s="5">
        <f>M146/(J146/60000)</f>
        <v/>
      </c>
      <c r="AA146" s="5">
        <f>M146/(I146/60000)</f>
        <v/>
      </c>
    </row>
    <row r="147">
      <c r="A147" t="inlineStr">
        <is>
          <t>SIMULATED_Arousal_Nike_vs_elf</t>
        </is>
      </c>
      <c r="B147" t="inlineStr">
        <is>
          <t>P25</t>
        </is>
      </c>
      <c r="C147" t="inlineStr">
        <is>
          <t>F</t>
        </is>
      </c>
      <c r="D147" t="n">
        <v>36</v>
      </c>
      <c r="E147" t="inlineStr">
        <is>
          <t>B</t>
        </is>
      </c>
      <c r="F147" t="inlineStr">
        <is>
          <t>Stimulus</t>
        </is>
      </c>
      <c r="G147" t="inlineStr">
        <is>
          <t>Nike_Commercial</t>
        </is>
      </c>
      <c r="H147" t="n">
        <v>391821</v>
      </c>
      <c r="I147" t="n">
        <v>60000</v>
      </c>
      <c r="J147" t="n">
        <v>60000</v>
      </c>
      <c r="K147" t="inlineStr">
        <is>
          <t>Nike_Commercial</t>
        </is>
      </c>
      <c r="L147" t="n">
        <v>1</v>
      </c>
      <c r="M147" t="n">
        <v>6</v>
      </c>
      <c r="N147" t="n">
        <v>6</v>
      </c>
      <c r="O147" t="n">
        <v>0.2436</v>
      </c>
      <c r="P147" t="inlineStr">
        <is>
          <t>Shimmer3-B</t>
        </is>
      </c>
      <c r="Q147" t="n">
        <v>25.4</v>
      </c>
      <c r="R147" t="n">
        <v>0.5</v>
      </c>
      <c r="S147" t="n">
        <v>82.40000000000001</v>
      </c>
      <c r="T147" t="n">
        <v>6</v>
      </c>
      <c r="U147">
        <f>IF(LEFT(G147,8)="Baseline","Baseline",IF(LEFT(G147,8)="Recovery","Recovery","Commercial"))</f>
        <v/>
      </c>
      <c r="V147">
        <f>IF(ISNUMBER(SEARCH("Nike",G147)),"Nike","elf")</f>
        <v/>
      </c>
      <c r="W147">
        <f>IF(OR(AND(E147="A",V147="Nike"),AND(E147="B",V147="elf")),"first","second")</f>
        <v/>
      </c>
      <c r="X147">
        <f>IF(COUNTIFS(Data!$B$2:$B$181,B147,Data!$U$2:$U$181,"Commercial",Data!$Q$2:$Q$181,"&lt;0")+COUNTIFS(Data!$B$2:$B$181,B147,Data!$U$2:$U$181,"Commercial",Data!$R$2:$R$181,"&gt;20")&gt;0,"No","Yes")</f>
        <v/>
      </c>
      <c r="Y147">
        <f>IF(COUNTIFS(Data!$B$2:$B$181,B147,Data!$L$2:$L$181,0)&gt;=4,1,0)</f>
        <v/>
      </c>
      <c r="Z147" s="5">
        <f>M147/(J147/60000)</f>
        <v/>
      </c>
      <c r="AA147" s="5">
        <f>M147/(I147/60000)</f>
        <v/>
      </c>
    </row>
    <row r="148">
      <c r="A148" t="inlineStr">
        <is>
          <t>SIMULATED_Arousal_Nike_vs_elf</t>
        </is>
      </c>
      <c r="B148" t="inlineStr">
        <is>
          <t>P25</t>
        </is>
      </c>
      <c r="C148" t="inlineStr">
        <is>
          <t>F</t>
        </is>
      </c>
      <c r="D148" t="n">
        <v>36</v>
      </c>
      <c r="E148" t="inlineStr">
        <is>
          <t>B</t>
        </is>
      </c>
      <c r="F148" t="inlineStr">
        <is>
          <t>Stimulus</t>
        </is>
      </c>
      <c r="G148" t="inlineStr">
        <is>
          <t>Recovery_Nike</t>
        </is>
      </c>
      <c r="H148" t="n">
        <v>451821</v>
      </c>
      <c r="I148" t="n">
        <v>15000</v>
      </c>
      <c r="J148" t="n">
        <v>15000</v>
      </c>
      <c r="K148" t="inlineStr">
        <is>
          <t>Recovery_Nike</t>
        </is>
      </c>
      <c r="L148" t="n">
        <v>1</v>
      </c>
      <c r="M148" t="n">
        <v>1</v>
      </c>
      <c r="N148" t="n">
        <v>4</v>
      </c>
      <c r="O148" t="n">
        <v>0.1473</v>
      </c>
      <c r="P148" t="inlineStr">
        <is>
          <t>Shimmer3-B</t>
        </is>
      </c>
      <c r="Q148" t="n">
        <v>27.9</v>
      </c>
      <c r="R148" t="n">
        <v>0</v>
      </c>
      <c r="S148" t="n">
        <v>83.40000000000001</v>
      </c>
      <c r="T148" t="inlineStr">
        <is>
          <t>NA</t>
        </is>
      </c>
      <c r="U148">
        <f>IF(LEFT(G148,8)="Baseline","Baseline",IF(LEFT(G148,8)="Recovery","Recovery","Commercial"))</f>
        <v/>
      </c>
      <c r="V148">
        <f>IF(ISNUMBER(SEARCH("Nike",G148)),"Nike","elf")</f>
        <v/>
      </c>
      <c r="W148">
        <f>IF(OR(AND(E148="A",V148="Nike"),AND(E148="B",V148="elf")),"first","second")</f>
        <v/>
      </c>
      <c r="X148">
        <f>IF(COUNTIFS(Data!$B$2:$B$181,B148,Data!$U$2:$U$181,"Commercial",Data!$Q$2:$Q$181,"&lt;0")+COUNTIFS(Data!$B$2:$B$181,B148,Data!$U$2:$U$181,"Commercial",Data!$R$2:$R$181,"&gt;20")&gt;0,"No","Yes")</f>
        <v/>
      </c>
      <c r="Y148">
        <f>IF(COUNTIFS(Data!$B$2:$B$181,B148,Data!$L$2:$L$181,0)&gt;=4,1,0)</f>
        <v/>
      </c>
      <c r="Z148" s="5">
        <f>M148/(J148/60000)</f>
        <v/>
      </c>
      <c r="AA148" s="5">
        <f>M148/(I148/60000)</f>
        <v/>
      </c>
    </row>
    <row r="149">
      <c r="A149" t="inlineStr">
        <is>
          <t>SIMULATED_Arousal_Nike_vs_elf</t>
        </is>
      </c>
      <c r="B149" t="inlineStr">
        <is>
          <t>P25</t>
        </is>
      </c>
      <c r="C149" t="inlineStr">
        <is>
          <t>F</t>
        </is>
      </c>
      <c r="D149" t="n">
        <v>36</v>
      </c>
      <c r="E149" t="inlineStr">
        <is>
          <t>B</t>
        </is>
      </c>
      <c r="F149" t="inlineStr">
        <is>
          <t>Stimulus</t>
        </is>
      </c>
      <c r="G149" t="inlineStr">
        <is>
          <t>Baseline_elf</t>
        </is>
      </c>
      <c r="H149" t="n">
        <v>28434</v>
      </c>
      <c r="I149" t="n">
        <v>60000</v>
      </c>
      <c r="J149" t="n">
        <v>60000</v>
      </c>
      <c r="K149" t="inlineStr">
        <is>
          <t>Baseline_elf</t>
        </is>
      </c>
      <c r="L149" t="n">
        <v>1</v>
      </c>
      <c r="M149" t="n">
        <v>4</v>
      </c>
      <c r="N149" t="n">
        <v>4</v>
      </c>
      <c r="O149" t="n">
        <v>0.1709</v>
      </c>
      <c r="P149" t="inlineStr">
        <is>
          <t>Shimmer3-B</t>
        </is>
      </c>
      <c r="Q149" t="n">
        <v>26.4</v>
      </c>
      <c r="R149" t="n">
        <v>0</v>
      </c>
      <c r="S149" t="n">
        <v>83.90000000000001</v>
      </c>
      <c r="T149" t="inlineStr">
        <is>
          <t>NA</t>
        </is>
      </c>
      <c r="U149">
        <f>IF(LEFT(G149,8)="Baseline","Baseline",IF(LEFT(G149,8)="Recovery","Recovery","Commercial"))</f>
        <v/>
      </c>
      <c r="V149">
        <f>IF(ISNUMBER(SEARCH("Nike",G149)),"Nike","elf")</f>
        <v/>
      </c>
      <c r="W149">
        <f>IF(OR(AND(E149="A",V149="Nike"),AND(E149="B",V149="elf")),"first","second")</f>
        <v/>
      </c>
      <c r="X149">
        <f>IF(COUNTIFS(Data!$B$2:$B$181,B149,Data!$U$2:$U$181,"Commercial",Data!$Q$2:$Q$181,"&lt;0")+COUNTIFS(Data!$B$2:$B$181,B149,Data!$U$2:$U$181,"Commercial",Data!$R$2:$R$181,"&gt;20")&gt;0,"No","Yes")</f>
        <v/>
      </c>
      <c r="Y149">
        <f>IF(COUNTIFS(Data!$B$2:$B$181,B149,Data!$L$2:$L$181,0)&gt;=4,1,0)</f>
        <v/>
      </c>
      <c r="Z149" s="5">
        <f>M149/(J149/60000)</f>
        <v/>
      </c>
      <c r="AA149" s="5">
        <f>M149/(I149/60000)</f>
        <v/>
      </c>
    </row>
    <row r="150">
      <c r="A150" t="inlineStr">
        <is>
          <t>SIMULATED_Arousal_Nike_vs_elf</t>
        </is>
      </c>
      <c r="B150" t="inlineStr">
        <is>
          <t>P25</t>
        </is>
      </c>
      <c r="C150" t="inlineStr">
        <is>
          <t>F</t>
        </is>
      </c>
      <c r="D150" t="n">
        <v>36</v>
      </c>
      <c r="E150" t="inlineStr">
        <is>
          <t>B</t>
        </is>
      </c>
      <c r="F150" t="inlineStr">
        <is>
          <t>Stimulus</t>
        </is>
      </c>
      <c r="G150" t="inlineStr">
        <is>
          <t>elf_Commercial</t>
        </is>
      </c>
      <c r="H150" t="n">
        <v>88434</v>
      </c>
      <c r="I150" t="n">
        <v>30000</v>
      </c>
      <c r="J150" t="n">
        <v>30000</v>
      </c>
      <c r="K150" t="inlineStr">
        <is>
          <t>elf_Commercial</t>
        </is>
      </c>
      <c r="L150" t="n">
        <v>1</v>
      </c>
      <c r="M150" t="n">
        <v>2</v>
      </c>
      <c r="N150" t="n">
        <v>4</v>
      </c>
      <c r="O150" t="n">
        <v>0.1669</v>
      </c>
      <c r="P150" t="inlineStr">
        <is>
          <t>Shimmer3-B</t>
        </is>
      </c>
      <c r="Q150" t="n">
        <v>26.3</v>
      </c>
      <c r="R150" t="n">
        <v>0.2</v>
      </c>
      <c r="S150" t="n">
        <v>83.2</v>
      </c>
      <c r="T150" t="n">
        <v>8</v>
      </c>
      <c r="U150">
        <f>IF(LEFT(G150,8)="Baseline","Baseline",IF(LEFT(G150,8)="Recovery","Recovery","Commercial"))</f>
        <v/>
      </c>
      <c r="V150">
        <f>IF(ISNUMBER(SEARCH("Nike",G150)),"Nike","elf")</f>
        <v/>
      </c>
      <c r="W150">
        <f>IF(OR(AND(E150="A",V150="Nike"),AND(E150="B",V150="elf")),"first","second")</f>
        <v/>
      </c>
      <c r="X150">
        <f>IF(COUNTIFS(Data!$B$2:$B$181,B150,Data!$U$2:$U$181,"Commercial",Data!$Q$2:$Q$181,"&lt;0")+COUNTIFS(Data!$B$2:$B$181,B150,Data!$U$2:$U$181,"Commercial",Data!$R$2:$R$181,"&gt;20")&gt;0,"No","Yes")</f>
        <v/>
      </c>
      <c r="Y150">
        <f>IF(COUNTIFS(Data!$B$2:$B$181,B150,Data!$L$2:$L$181,0)&gt;=4,1,0)</f>
        <v/>
      </c>
      <c r="Z150" s="5">
        <f>M150/(J150/60000)</f>
        <v/>
      </c>
      <c r="AA150" s="5">
        <f>M150/(I150/60000)</f>
        <v/>
      </c>
    </row>
    <row r="151">
      <c r="A151" t="inlineStr">
        <is>
          <t>SIMULATED_Arousal_Nike_vs_elf</t>
        </is>
      </c>
      <c r="B151" t="inlineStr">
        <is>
          <t>P25</t>
        </is>
      </c>
      <c r="C151" t="inlineStr">
        <is>
          <t>F</t>
        </is>
      </c>
      <c r="D151" t="n">
        <v>36</v>
      </c>
      <c r="E151" t="inlineStr">
        <is>
          <t>B</t>
        </is>
      </c>
      <c r="F151" t="inlineStr">
        <is>
          <t>Stimulus</t>
        </is>
      </c>
      <c r="G151" t="inlineStr">
        <is>
          <t>Recovery_elf</t>
        </is>
      </c>
      <c r="H151" t="n">
        <v>118434</v>
      </c>
      <c r="I151" t="n">
        <v>15000</v>
      </c>
      <c r="J151" t="n">
        <v>15000</v>
      </c>
      <c r="K151" t="inlineStr">
        <is>
          <t>Recovery_elf</t>
        </is>
      </c>
      <c r="L151" t="n">
        <v>1</v>
      </c>
      <c r="M151" t="n">
        <v>1</v>
      </c>
      <c r="N151" t="n">
        <v>4</v>
      </c>
      <c r="O151" t="n">
        <v>0.1531</v>
      </c>
      <c r="P151" t="inlineStr">
        <is>
          <t>Shimmer3-B</t>
        </is>
      </c>
      <c r="Q151" t="n">
        <v>26.5</v>
      </c>
      <c r="R151" t="n">
        <v>0</v>
      </c>
      <c r="S151" t="n">
        <v>82</v>
      </c>
      <c r="T151" t="inlineStr">
        <is>
          <t>NA</t>
        </is>
      </c>
      <c r="U151">
        <f>IF(LEFT(G151,8)="Baseline","Baseline",IF(LEFT(G151,8)="Recovery","Recovery","Commercial"))</f>
        <v/>
      </c>
      <c r="V151">
        <f>IF(ISNUMBER(SEARCH("Nike",G151)),"Nike","elf")</f>
        <v/>
      </c>
      <c r="W151">
        <f>IF(OR(AND(E151="A",V151="Nike"),AND(E151="B",V151="elf")),"first","second")</f>
        <v/>
      </c>
      <c r="X151">
        <f>IF(COUNTIFS(Data!$B$2:$B$181,B151,Data!$U$2:$U$181,"Commercial",Data!$Q$2:$Q$181,"&lt;0")+COUNTIFS(Data!$B$2:$B$181,B151,Data!$U$2:$U$181,"Commercial",Data!$R$2:$R$181,"&gt;20")&gt;0,"No","Yes")</f>
        <v/>
      </c>
      <c r="Y151">
        <f>IF(COUNTIFS(Data!$B$2:$B$181,B151,Data!$L$2:$L$181,0)&gt;=4,1,0)</f>
        <v/>
      </c>
      <c r="Z151" s="5">
        <f>M151/(J151/60000)</f>
        <v/>
      </c>
      <c r="AA151" s="5">
        <f>M151/(I151/60000)</f>
        <v/>
      </c>
    </row>
    <row r="152">
      <c r="A152" t="inlineStr">
        <is>
          <t>SIMULATED_Arousal_Nike_vs_elf</t>
        </is>
      </c>
      <c r="B152" t="inlineStr">
        <is>
          <t>P26</t>
        </is>
      </c>
      <c r="C152" t="inlineStr">
        <is>
          <t>M</t>
        </is>
      </c>
      <c r="D152" t="n">
        <v>32</v>
      </c>
      <c r="E152" t="inlineStr">
        <is>
          <t>A</t>
        </is>
      </c>
      <c r="F152" t="inlineStr">
        <is>
          <t>Stimulus</t>
        </is>
      </c>
      <c r="G152" t="inlineStr">
        <is>
          <t>Baseline_Nike</t>
        </is>
      </c>
      <c r="H152" t="n">
        <v>39797</v>
      </c>
      <c r="I152" t="n">
        <v>60000</v>
      </c>
      <c r="J152" t="n">
        <v>60000</v>
      </c>
      <c r="K152" t="inlineStr">
        <is>
          <t>Baseline_Nike</t>
        </is>
      </c>
      <c r="L152" t="n">
        <v>1</v>
      </c>
      <c r="M152" t="n">
        <v>2</v>
      </c>
      <c r="N152" t="n">
        <v>2</v>
      </c>
      <c r="O152" t="n">
        <v>0.1347</v>
      </c>
      <c r="P152" t="inlineStr">
        <is>
          <t>Shimmer3-8956</t>
        </is>
      </c>
      <c r="Q152" t="n">
        <v>29.6</v>
      </c>
      <c r="R152" t="n">
        <v>3.9</v>
      </c>
      <c r="S152" t="n">
        <v>76.8</v>
      </c>
      <c r="T152" t="inlineStr">
        <is>
          <t>NA</t>
        </is>
      </c>
      <c r="U152">
        <f>IF(LEFT(G152,8)="Baseline","Baseline",IF(LEFT(G152,8)="Recovery","Recovery","Commercial"))</f>
        <v/>
      </c>
      <c r="V152">
        <f>IF(ISNUMBER(SEARCH("Nike",G152)),"Nike","elf")</f>
        <v/>
      </c>
      <c r="W152">
        <f>IF(OR(AND(E152="A",V152="Nike"),AND(E152="B",V152="elf")),"first","second")</f>
        <v/>
      </c>
      <c r="X152">
        <f>IF(COUNTIFS(Data!$B$2:$B$181,B152,Data!$U$2:$U$181,"Commercial",Data!$Q$2:$Q$181,"&lt;0")+COUNTIFS(Data!$B$2:$B$181,B152,Data!$U$2:$U$181,"Commercial",Data!$R$2:$R$181,"&gt;20")&gt;0,"No","Yes")</f>
        <v/>
      </c>
      <c r="Y152">
        <f>IF(COUNTIFS(Data!$B$2:$B$181,B152,Data!$L$2:$L$181,0)&gt;=4,1,0)</f>
        <v/>
      </c>
      <c r="Z152" s="5">
        <f>M152/(J152/60000)</f>
        <v/>
      </c>
      <c r="AA152" s="5">
        <f>M152/(I152/60000)</f>
        <v/>
      </c>
    </row>
    <row r="153">
      <c r="A153" t="inlineStr">
        <is>
          <t>SIMULATED_Arousal_Nike_vs_elf</t>
        </is>
      </c>
      <c r="B153" t="inlineStr">
        <is>
          <t>P26</t>
        </is>
      </c>
      <c r="C153" t="inlineStr">
        <is>
          <t>M</t>
        </is>
      </c>
      <c r="D153" t="n">
        <v>32</v>
      </c>
      <c r="E153" t="inlineStr">
        <is>
          <t>A</t>
        </is>
      </c>
      <c r="F153" t="inlineStr">
        <is>
          <t>Stimulus</t>
        </is>
      </c>
      <c r="G153" t="inlineStr">
        <is>
          <t>Nike_Commercial</t>
        </is>
      </c>
      <c r="H153" t="n">
        <v>99797</v>
      </c>
      <c r="I153" t="n">
        <v>60000</v>
      </c>
      <c r="J153" t="n">
        <v>60000</v>
      </c>
      <c r="K153" t="inlineStr">
        <is>
          <t>Nike_Commercial</t>
        </is>
      </c>
      <c r="L153" t="n">
        <v>1</v>
      </c>
      <c r="M153" t="n">
        <v>7</v>
      </c>
      <c r="N153" t="n">
        <v>7</v>
      </c>
      <c r="O153" t="n">
        <v>0.1779</v>
      </c>
      <c r="P153" t="inlineStr">
        <is>
          <t>Shimmer3-8956</t>
        </is>
      </c>
      <c r="Q153" t="n">
        <v>25</v>
      </c>
      <c r="R153" t="n">
        <v>0</v>
      </c>
      <c r="S153" t="n">
        <v>77.8</v>
      </c>
      <c r="T153" t="n">
        <v>6</v>
      </c>
      <c r="U153">
        <f>IF(LEFT(G153,8)="Baseline","Baseline",IF(LEFT(G153,8)="Recovery","Recovery","Commercial"))</f>
        <v/>
      </c>
      <c r="V153">
        <f>IF(ISNUMBER(SEARCH("Nike",G153)),"Nike","elf")</f>
        <v/>
      </c>
      <c r="W153">
        <f>IF(OR(AND(E153="A",V153="Nike"),AND(E153="B",V153="elf")),"first","second")</f>
        <v/>
      </c>
      <c r="X153">
        <f>IF(COUNTIFS(Data!$B$2:$B$181,B153,Data!$U$2:$U$181,"Commercial",Data!$Q$2:$Q$181,"&lt;0")+COUNTIFS(Data!$B$2:$B$181,B153,Data!$U$2:$U$181,"Commercial",Data!$R$2:$R$181,"&gt;20")&gt;0,"No","Yes")</f>
        <v/>
      </c>
      <c r="Y153">
        <f>IF(COUNTIFS(Data!$B$2:$B$181,B153,Data!$L$2:$L$181,0)&gt;=4,1,0)</f>
        <v/>
      </c>
      <c r="Z153" s="5">
        <f>M153/(J153/60000)</f>
        <v/>
      </c>
      <c r="AA153" s="5">
        <f>M153/(I153/60000)</f>
        <v/>
      </c>
    </row>
    <row r="154">
      <c r="A154" t="inlineStr">
        <is>
          <t>SIMULATED_Arousal_Nike_vs_elf</t>
        </is>
      </c>
      <c r="B154" t="inlineStr">
        <is>
          <t>P26</t>
        </is>
      </c>
      <c r="C154" t="inlineStr">
        <is>
          <t>M</t>
        </is>
      </c>
      <c r="D154" t="n">
        <v>32</v>
      </c>
      <c r="E154" t="inlineStr">
        <is>
          <t>A</t>
        </is>
      </c>
      <c r="F154" t="inlineStr">
        <is>
          <t>Stimulus</t>
        </is>
      </c>
      <c r="G154" t="inlineStr">
        <is>
          <t>Recovery_Nike</t>
        </is>
      </c>
      <c r="H154" t="n">
        <v>159797</v>
      </c>
      <c r="I154" t="n">
        <v>15000</v>
      </c>
      <c r="J154" t="n">
        <v>15000</v>
      </c>
      <c r="K154" t="inlineStr">
        <is>
          <t>Recovery_Nike</t>
        </is>
      </c>
      <c r="L154" t="n">
        <v>1</v>
      </c>
      <c r="M154" t="n">
        <v>1</v>
      </c>
      <c r="N154" t="n">
        <v>4</v>
      </c>
      <c r="O154" t="n">
        <v>0.1069</v>
      </c>
      <c r="P154" t="inlineStr">
        <is>
          <t>Shimmer3-8956</t>
        </is>
      </c>
      <c r="Q154" t="n">
        <v>25.2</v>
      </c>
      <c r="R154" t="n">
        <v>0.3</v>
      </c>
      <c r="S154" t="n">
        <v>74.5</v>
      </c>
      <c r="T154" t="inlineStr">
        <is>
          <t>NA</t>
        </is>
      </c>
      <c r="U154">
        <f>IF(LEFT(G154,8)="Baseline","Baseline",IF(LEFT(G154,8)="Recovery","Recovery","Commercial"))</f>
        <v/>
      </c>
      <c r="V154">
        <f>IF(ISNUMBER(SEARCH("Nike",G154)),"Nike","elf")</f>
        <v/>
      </c>
      <c r="W154">
        <f>IF(OR(AND(E154="A",V154="Nike"),AND(E154="B",V154="elf")),"first","second")</f>
        <v/>
      </c>
      <c r="X154">
        <f>IF(COUNTIFS(Data!$B$2:$B$181,B154,Data!$U$2:$U$181,"Commercial",Data!$Q$2:$Q$181,"&lt;0")+COUNTIFS(Data!$B$2:$B$181,B154,Data!$U$2:$U$181,"Commercial",Data!$R$2:$R$181,"&gt;20")&gt;0,"No","Yes")</f>
        <v/>
      </c>
      <c r="Y154">
        <f>IF(COUNTIFS(Data!$B$2:$B$181,B154,Data!$L$2:$L$181,0)&gt;=4,1,0)</f>
        <v/>
      </c>
      <c r="Z154" s="5">
        <f>M154/(J154/60000)</f>
        <v/>
      </c>
      <c r="AA154" s="5">
        <f>M154/(I154/60000)</f>
        <v/>
      </c>
    </row>
    <row r="155">
      <c r="A155" t="inlineStr">
        <is>
          <t>SIMULATED_Arousal_Nike_vs_elf</t>
        </is>
      </c>
      <c r="B155" t="inlineStr">
        <is>
          <t>P26</t>
        </is>
      </c>
      <c r="C155" t="inlineStr">
        <is>
          <t>M</t>
        </is>
      </c>
      <c r="D155" t="n">
        <v>32</v>
      </c>
      <c r="E155" t="inlineStr">
        <is>
          <t>A</t>
        </is>
      </c>
      <c r="F155" t="inlineStr">
        <is>
          <t>Stimulus</t>
        </is>
      </c>
      <c r="G155" t="inlineStr">
        <is>
          <t>Baseline_elf</t>
        </is>
      </c>
      <c r="H155" t="n">
        <v>371496</v>
      </c>
      <c r="I155" t="n">
        <v>60000</v>
      </c>
      <c r="J155" t="n">
        <v>60000</v>
      </c>
      <c r="K155" t="inlineStr">
        <is>
          <t>Baseline_elf</t>
        </is>
      </c>
      <c r="L155" t="n">
        <v>1</v>
      </c>
      <c r="M155" t="n">
        <v>2</v>
      </c>
      <c r="N155" t="n">
        <v>2</v>
      </c>
      <c r="O155" t="n">
        <v>0.1276</v>
      </c>
      <c r="P155" t="inlineStr">
        <is>
          <t>Shimmer3-8956</t>
        </is>
      </c>
      <c r="Q155" t="n">
        <v>25.7</v>
      </c>
      <c r="R155" t="n">
        <v>2.2</v>
      </c>
      <c r="S155" t="n">
        <v>77.5</v>
      </c>
      <c r="T155" t="inlineStr">
        <is>
          <t>NA</t>
        </is>
      </c>
      <c r="U155">
        <f>IF(LEFT(G155,8)="Baseline","Baseline",IF(LEFT(G155,8)="Recovery","Recovery","Commercial"))</f>
        <v/>
      </c>
      <c r="V155">
        <f>IF(ISNUMBER(SEARCH("Nike",G155)),"Nike","elf")</f>
        <v/>
      </c>
      <c r="W155">
        <f>IF(OR(AND(E155="A",V155="Nike"),AND(E155="B",V155="elf")),"first","second")</f>
        <v/>
      </c>
      <c r="X155">
        <f>IF(COUNTIFS(Data!$B$2:$B$181,B155,Data!$U$2:$U$181,"Commercial",Data!$Q$2:$Q$181,"&lt;0")+COUNTIFS(Data!$B$2:$B$181,B155,Data!$U$2:$U$181,"Commercial",Data!$R$2:$R$181,"&gt;20")&gt;0,"No","Yes")</f>
        <v/>
      </c>
      <c r="Y155">
        <f>IF(COUNTIFS(Data!$B$2:$B$181,B155,Data!$L$2:$L$181,0)&gt;=4,1,0)</f>
        <v/>
      </c>
      <c r="Z155" s="5">
        <f>M155/(J155/60000)</f>
        <v/>
      </c>
      <c r="AA155" s="5">
        <f>M155/(I155/60000)</f>
        <v/>
      </c>
    </row>
    <row r="156">
      <c r="A156" t="inlineStr">
        <is>
          <t>SIMULATED_Arousal_Nike_vs_elf</t>
        </is>
      </c>
      <c r="B156" t="inlineStr">
        <is>
          <t>P26</t>
        </is>
      </c>
      <c r="C156" t="inlineStr">
        <is>
          <t>M</t>
        </is>
      </c>
      <c r="D156" t="n">
        <v>32</v>
      </c>
      <c r="E156" t="inlineStr">
        <is>
          <t>A</t>
        </is>
      </c>
      <c r="F156" t="inlineStr">
        <is>
          <t>Stimulus</t>
        </is>
      </c>
      <c r="G156" t="inlineStr">
        <is>
          <t>elf_Commercial</t>
        </is>
      </c>
      <c r="H156" t="n">
        <v>431496</v>
      </c>
      <c r="I156" t="n">
        <v>30000</v>
      </c>
      <c r="J156" t="n">
        <v>30000</v>
      </c>
      <c r="K156" t="inlineStr">
        <is>
          <t>elf_Commercial</t>
        </is>
      </c>
      <c r="L156" t="n">
        <v>1</v>
      </c>
      <c r="M156" t="n">
        <v>2</v>
      </c>
      <c r="N156" t="n">
        <v>4</v>
      </c>
      <c r="O156" t="n">
        <v>0.1335</v>
      </c>
      <c r="P156" t="inlineStr">
        <is>
          <t>Shimmer3-8956</t>
        </is>
      </c>
      <c r="Q156" t="n">
        <v>26.6</v>
      </c>
      <c r="R156" t="n">
        <v>1.1</v>
      </c>
      <c r="S156" t="n">
        <v>74.7</v>
      </c>
      <c r="T156" t="n">
        <v>6</v>
      </c>
      <c r="U156">
        <f>IF(LEFT(G156,8)="Baseline","Baseline",IF(LEFT(G156,8)="Recovery","Recovery","Commercial"))</f>
        <v/>
      </c>
      <c r="V156">
        <f>IF(ISNUMBER(SEARCH("Nike",G156)),"Nike","elf")</f>
        <v/>
      </c>
      <c r="W156">
        <f>IF(OR(AND(E156="A",V156="Nike"),AND(E156="B",V156="elf")),"first","second")</f>
        <v/>
      </c>
      <c r="X156">
        <f>IF(COUNTIFS(Data!$B$2:$B$181,B156,Data!$U$2:$U$181,"Commercial",Data!$Q$2:$Q$181,"&lt;0")+COUNTIFS(Data!$B$2:$B$181,B156,Data!$U$2:$U$181,"Commercial",Data!$R$2:$R$181,"&gt;20")&gt;0,"No","Yes")</f>
        <v/>
      </c>
      <c r="Y156">
        <f>IF(COUNTIFS(Data!$B$2:$B$181,B156,Data!$L$2:$L$181,0)&gt;=4,1,0)</f>
        <v/>
      </c>
      <c r="Z156" s="5">
        <f>M156/(J156/60000)</f>
        <v/>
      </c>
      <c r="AA156" s="5">
        <f>M156/(I156/60000)</f>
        <v/>
      </c>
    </row>
    <row r="157">
      <c r="A157" t="inlineStr">
        <is>
          <t>SIMULATED_Arousal_Nike_vs_elf</t>
        </is>
      </c>
      <c r="B157" t="inlineStr">
        <is>
          <t>P26</t>
        </is>
      </c>
      <c r="C157" t="inlineStr">
        <is>
          <t>M</t>
        </is>
      </c>
      <c r="D157" t="n">
        <v>32</v>
      </c>
      <c r="E157" t="inlineStr">
        <is>
          <t>A</t>
        </is>
      </c>
      <c r="F157" t="inlineStr">
        <is>
          <t>Stimulus</t>
        </is>
      </c>
      <c r="G157" t="inlineStr">
        <is>
          <t>Recovery_elf</t>
        </is>
      </c>
      <c r="H157" t="n">
        <v>461496</v>
      </c>
      <c r="I157" t="n">
        <v>15000</v>
      </c>
      <c r="J157" t="n">
        <v>15000</v>
      </c>
      <c r="K157" t="inlineStr">
        <is>
          <t>Recovery_elf</t>
        </is>
      </c>
      <c r="L157" t="n">
        <v>1</v>
      </c>
      <c r="M157" t="n">
        <v>1</v>
      </c>
      <c r="N157" t="n">
        <v>4</v>
      </c>
      <c r="O157" t="n">
        <v>0.1121</v>
      </c>
      <c r="P157" t="inlineStr">
        <is>
          <t>Shimmer3-8956</t>
        </is>
      </c>
      <c r="Q157" t="n">
        <v>29.3</v>
      </c>
      <c r="R157" t="n">
        <v>0</v>
      </c>
      <c r="S157" t="n">
        <v>76.90000000000001</v>
      </c>
      <c r="T157" t="inlineStr">
        <is>
          <t>NA</t>
        </is>
      </c>
      <c r="U157">
        <f>IF(LEFT(G157,8)="Baseline","Baseline",IF(LEFT(G157,8)="Recovery","Recovery","Commercial"))</f>
        <v/>
      </c>
      <c r="V157">
        <f>IF(ISNUMBER(SEARCH("Nike",G157)),"Nike","elf")</f>
        <v/>
      </c>
      <c r="W157">
        <f>IF(OR(AND(E157="A",V157="Nike"),AND(E157="B",V157="elf")),"first","second")</f>
        <v/>
      </c>
      <c r="X157">
        <f>IF(COUNTIFS(Data!$B$2:$B$181,B157,Data!$U$2:$U$181,"Commercial",Data!$Q$2:$Q$181,"&lt;0")+COUNTIFS(Data!$B$2:$B$181,B157,Data!$U$2:$U$181,"Commercial",Data!$R$2:$R$181,"&gt;20")&gt;0,"No","Yes")</f>
        <v/>
      </c>
      <c r="Y157">
        <f>IF(COUNTIFS(Data!$B$2:$B$181,B157,Data!$L$2:$L$181,0)&gt;=4,1,0)</f>
        <v/>
      </c>
      <c r="Z157" s="5">
        <f>M157/(J157/60000)</f>
        <v/>
      </c>
      <c r="AA157" s="5">
        <f>M157/(I157/60000)</f>
        <v/>
      </c>
    </row>
    <row r="158">
      <c r="A158" t="inlineStr">
        <is>
          <t>SIMULATED_Arousal_Nike_vs_elf</t>
        </is>
      </c>
      <c r="B158" t="inlineStr">
        <is>
          <t>P27</t>
        </is>
      </c>
      <c r="C158" t="inlineStr">
        <is>
          <t>F</t>
        </is>
      </c>
      <c r="D158" t="n">
        <v>23</v>
      </c>
      <c r="E158" t="inlineStr">
        <is>
          <t>A</t>
        </is>
      </c>
      <c r="F158" t="inlineStr">
        <is>
          <t>Stimulus</t>
        </is>
      </c>
      <c r="G158" t="inlineStr">
        <is>
          <t>Baseline_Nike</t>
        </is>
      </c>
      <c r="H158" t="n">
        <v>33753</v>
      </c>
      <c r="I158" t="n">
        <v>60000</v>
      </c>
      <c r="J158" t="n">
        <v>60000</v>
      </c>
      <c r="K158" t="inlineStr">
        <is>
          <t>Baseline_Nike</t>
        </is>
      </c>
      <c r="L158" t="n">
        <v>1</v>
      </c>
      <c r="M158" t="n">
        <v>3</v>
      </c>
      <c r="N158" t="n">
        <v>3</v>
      </c>
      <c r="O158" t="n">
        <v>0.2295</v>
      </c>
      <c r="P158" t="inlineStr">
        <is>
          <t>Shimmer3-B</t>
        </is>
      </c>
      <c r="Q158" t="n">
        <v>22.2</v>
      </c>
      <c r="R158" t="n">
        <v>0</v>
      </c>
      <c r="S158" t="n">
        <v>78.2</v>
      </c>
      <c r="T158" t="inlineStr">
        <is>
          <t>NA</t>
        </is>
      </c>
      <c r="U158">
        <f>IF(LEFT(G158,8)="Baseline","Baseline",IF(LEFT(G158,8)="Recovery","Recovery","Commercial"))</f>
        <v/>
      </c>
      <c r="V158">
        <f>IF(ISNUMBER(SEARCH("Nike",G158)),"Nike","elf")</f>
        <v/>
      </c>
      <c r="W158">
        <f>IF(OR(AND(E158="A",V158="Nike"),AND(E158="B",V158="elf")),"first","second")</f>
        <v/>
      </c>
      <c r="X158">
        <f>IF(COUNTIFS(Data!$B$2:$B$181,B158,Data!$U$2:$U$181,"Commercial",Data!$Q$2:$Q$181,"&lt;0")+COUNTIFS(Data!$B$2:$B$181,B158,Data!$U$2:$U$181,"Commercial",Data!$R$2:$R$181,"&gt;20")&gt;0,"No","Yes")</f>
        <v/>
      </c>
      <c r="Y158">
        <f>IF(COUNTIFS(Data!$B$2:$B$181,B158,Data!$L$2:$L$181,0)&gt;=4,1,0)</f>
        <v/>
      </c>
      <c r="Z158" s="5">
        <f>M158/(J158/60000)</f>
        <v/>
      </c>
      <c r="AA158" s="5">
        <f>M158/(I158/60000)</f>
        <v/>
      </c>
    </row>
    <row r="159">
      <c r="A159" t="inlineStr">
        <is>
          <t>SIMULATED_Arousal_Nike_vs_elf</t>
        </is>
      </c>
      <c r="B159" t="inlineStr">
        <is>
          <t>P27</t>
        </is>
      </c>
      <c r="C159" t="inlineStr">
        <is>
          <t>F</t>
        </is>
      </c>
      <c r="D159" t="n">
        <v>23</v>
      </c>
      <c r="E159" t="inlineStr">
        <is>
          <t>A</t>
        </is>
      </c>
      <c r="F159" t="inlineStr">
        <is>
          <t>Stimulus</t>
        </is>
      </c>
      <c r="G159" t="inlineStr">
        <is>
          <t>Nike_Commercial</t>
        </is>
      </c>
      <c r="H159" t="n">
        <v>93753</v>
      </c>
      <c r="I159" t="n">
        <v>60000</v>
      </c>
      <c r="J159" t="n">
        <v>60000</v>
      </c>
      <c r="K159" t="inlineStr">
        <is>
          <t>Nike_Commercial</t>
        </is>
      </c>
      <c r="L159" t="n">
        <v>1</v>
      </c>
      <c r="M159" t="n">
        <v>5</v>
      </c>
      <c r="N159" t="n">
        <v>5</v>
      </c>
      <c r="O159" t="n">
        <v>0.37</v>
      </c>
      <c r="P159" t="inlineStr">
        <is>
          <t>Shimmer3-B</t>
        </is>
      </c>
      <c r="Q159" t="n">
        <v>27.4</v>
      </c>
      <c r="R159" t="n">
        <v>0</v>
      </c>
      <c r="S159" t="n">
        <v>75.3</v>
      </c>
      <c r="T159" t="n">
        <v>7</v>
      </c>
      <c r="U159">
        <f>IF(LEFT(G159,8)="Baseline","Baseline",IF(LEFT(G159,8)="Recovery","Recovery","Commercial"))</f>
        <v/>
      </c>
      <c r="V159">
        <f>IF(ISNUMBER(SEARCH("Nike",G159)),"Nike","elf")</f>
        <v/>
      </c>
      <c r="W159">
        <f>IF(OR(AND(E159="A",V159="Nike"),AND(E159="B",V159="elf")),"first","second")</f>
        <v/>
      </c>
      <c r="X159">
        <f>IF(COUNTIFS(Data!$B$2:$B$181,B159,Data!$U$2:$U$181,"Commercial",Data!$Q$2:$Q$181,"&lt;0")+COUNTIFS(Data!$B$2:$B$181,B159,Data!$U$2:$U$181,"Commercial",Data!$R$2:$R$181,"&gt;20")&gt;0,"No","Yes")</f>
        <v/>
      </c>
      <c r="Y159">
        <f>IF(COUNTIFS(Data!$B$2:$B$181,B159,Data!$L$2:$L$181,0)&gt;=4,1,0)</f>
        <v/>
      </c>
      <c r="Z159" s="5">
        <f>M159/(J159/60000)</f>
        <v/>
      </c>
      <c r="AA159" s="5">
        <f>M159/(I159/60000)</f>
        <v/>
      </c>
    </row>
    <row r="160">
      <c r="A160" t="inlineStr">
        <is>
          <t>SIMULATED_Arousal_Nike_vs_elf</t>
        </is>
      </c>
      <c r="B160" t="inlineStr">
        <is>
          <t>P27</t>
        </is>
      </c>
      <c r="C160" t="inlineStr">
        <is>
          <t>F</t>
        </is>
      </c>
      <c r="D160" t="n">
        <v>23</v>
      </c>
      <c r="E160" t="inlineStr">
        <is>
          <t>A</t>
        </is>
      </c>
      <c r="F160" t="inlineStr">
        <is>
          <t>Stimulus</t>
        </is>
      </c>
      <c r="G160" t="inlineStr">
        <is>
          <t>Recovery_Nike</t>
        </is>
      </c>
      <c r="H160" t="n">
        <v>153753</v>
      </c>
      <c r="I160" t="n">
        <v>15000</v>
      </c>
      <c r="J160" t="n">
        <v>15000</v>
      </c>
      <c r="K160" t="inlineStr">
        <is>
          <t>Recovery_Nike</t>
        </is>
      </c>
      <c r="L160" t="n">
        <v>1</v>
      </c>
      <c r="M160" t="n">
        <v>2</v>
      </c>
      <c r="N160" t="n">
        <v>8</v>
      </c>
      <c r="O160" t="n">
        <v>0.1895</v>
      </c>
      <c r="P160" t="inlineStr">
        <is>
          <t>Shimmer3-B</t>
        </is>
      </c>
      <c r="Q160" t="n">
        <v>20.1</v>
      </c>
      <c r="R160" t="n">
        <v>0</v>
      </c>
      <c r="S160" t="n">
        <v>77.2</v>
      </c>
      <c r="T160" t="inlineStr">
        <is>
          <t>NA</t>
        </is>
      </c>
      <c r="U160">
        <f>IF(LEFT(G160,8)="Baseline","Baseline",IF(LEFT(G160,8)="Recovery","Recovery","Commercial"))</f>
        <v/>
      </c>
      <c r="V160">
        <f>IF(ISNUMBER(SEARCH("Nike",G160)),"Nike","elf")</f>
        <v/>
      </c>
      <c r="W160">
        <f>IF(OR(AND(E160="A",V160="Nike"),AND(E160="B",V160="elf")),"first","second")</f>
        <v/>
      </c>
      <c r="X160">
        <f>IF(COUNTIFS(Data!$B$2:$B$181,B160,Data!$U$2:$U$181,"Commercial",Data!$Q$2:$Q$181,"&lt;0")+COUNTIFS(Data!$B$2:$B$181,B160,Data!$U$2:$U$181,"Commercial",Data!$R$2:$R$181,"&gt;20")&gt;0,"No","Yes")</f>
        <v/>
      </c>
      <c r="Y160">
        <f>IF(COUNTIFS(Data!$B$2:$B$181,B160,Data!$L$2:$L$181,0)&gt;=4,1,0)</f>
        <v/>
      </c>
      <c r="Z160" s="5">
        <f>M160/(J160/60000)</f>
        <v/>
      </c>
      <c r="AA160" s="5">
        <f>M160/(I160/60000)</f>
        <v/>
      </c>
    </row>
    <row r="161">
      <c r="A161" t="inlineStr">
        <is>
          <t>SIMULATED_Arousal_Nike_vs_elf</t>
        </is>
      </c>
      <c r="B161" t="inlineStr">
        <is>
          <t>P27</t>
        </is>
      </c>
      <c r="C161" t="inlineStr">
        <is>
          <t>F</t>
        </is>
      </c>
      <c r="D161" t="n">
        <v>23</v>
      </c>
      <c r="E161" t="inlineStr">
        <is>
          <t>A</t>
        </is>
      </c>
      <c r="F161" t="inlineStr">
        <is>
          <t>Stimulus</t>
        </is>
      </c>
      <c r="G161" t="inlineStr">
        <is>
          <t>Baseline_elf</t>
        </is>
      </c>
      <c r="H161" t="n">
        <v>366448</v>
      </c>
      <c r="I161" t="n">
        <v>60000</v>
      </c>
      <c r="J161" t="n">
        <v>60000</v>
      </c>
      <c r="K161" t="inlineStr">
        <is>
          <t>Baseline_elf</t>
        </is>
      </c>
      <c r="L161" t="n">
        <v>1</v>
      </c>
      <c r="M161" t="n">
        <v>5</v>
      </c>
      <c r="N161" t="n">
        <v>5</v>
      </c>
      <c r="O161" t="n">
        <v>0.2555</v>
      </c>
      <c r="P161" t="inlineStr">
        <is>
          <t>Shimmer3-B</t>
        </is>
      </c>
      <c r="Q161" t="n">
        <v>26.4</v>
      </c>
      <c r="R161" t="n">
        <v>0.6</v>
      </c>
      <c r="S161" t="n">
        <v>70.8</v>
      </c>
      <c r="T161" t="inlineStr">
        <is>
          <t>NA</t>
        </is>
      </c>
      <c r="U161">
        <f>IF(LEFT(G161,8)="Baseline","Baseline",IF(LEFT(G161,8)="Recovery","Recovery","Commercial"))</f>
        <v/>
      </c>
      <c r="V161">
        <f>IF(ISNUMBER(SEARCH("Nike",G161)),"Nike","elf")</f>
        <v/>
      </c>
      <c r="W161">
        <f>IF(OR(AND(E161="A",V161="Nike"),AND(E161="B",V161="elf")),"first","second")</f>
        <v/>
      </c>
      <c r="X161">
        <f>IF(COUNTIFS(Data!$B$2:$B$181,B161,Data!$U$2:$U$181,"Commercial",Data!$Q$2:$Q$181,"&lt;0")+COUNTIFS(Data!$B$2:$B$181,B161,Data!$U$2:$U$181,"Commercial",Data!$R$2:$R$181,"&gt;20")&gt;0,"No","Yes")</f>
        <v/>
      </c>
      <c r="Y161">
        <f>IF(COUNTIFS(Data!$B$2:$B$181,B161,Data!$L$2:$L$181,0)&gt;=4,1,0)</f>
        <v/>
      </c>
      <c r="Z161" s="5">
        <f>M161/(J161/60000)</f>
        <v/>
      </c>
      <c r="AA161" s="5">
        <f>M161/(I161/60000)</f>
        <v/>
      </c>
    </row>
    <row r="162">
      <c r="A162" t="inlineStr">
        <is>
          <t>SIMULATED_Arousal_Nike_vs_elf</t>
        </is>
      </c>
      <c r="B162" t="inlineStr">
        <is>
          <t>P27</t>
        </is>
      </c>
      <c r="C162" t="inlineStr">
        <is>
          <t>F</t>
        </is>
      </c>
      <c r="D162" t="n">
        <v>23</v>
      </c>
      <c r="E162" t="inlineStr">
        <is>
          <t>A</t>
        </is>
      </c>
      <c r="F162" t="inlineStr">
        <is>
          <t>Stimulus</t>
        </is>
      </c>
      <c r="G162" t="inlineStr">
        <is>
          <t>elf_Commercial</t>
        </is>
      </c>
      <c r="H162" t="n">
        <v>426448</v>
      </c>
      <c r="I162" t="n">
        <v>30000</v>
      </c>
      <c r="J162" t="n">
        <v>30000</v>
      </c>
      <c r="K162" t="inlineStr">
        <is>
          <t>elf_Commercial</t>
        </is>
      </c>
      <c r="L162" t="n">
        <v>1</v>
      </c>
      <c r="M162" t="n">
        <v>2</v>
      </c>
      <c r="N162" t="n">
        <v>4</v>
      </c>
      <c r="O162" t="n">
        <v>0.4124</v>
      </c>
      <c r="P162" t="inlineStr">
        <is>
          <t>Shimmer3-B</t>
        </is>
      </c>
      <c r="Q162" t="n">
        <v>22.3</v>
      </c>
      <c r="R162" t="n">
        <v>0</v>
      </c>
      <c r="S162" t="n">
        <v>71</v>
      </c>
      <c r="T162" t="n">
        <v>6</v>
      </c>
      <c r="U162">
        <f>IF(LEFT(G162,8)="Baseline","Baseline",IF(LEFT(G162,8)="Recovery","Recovery","Commercial"))</f>
        <v/>
      </c>
      <c r="V162">
        <f>IF(ISNUMBER(SEARCH("Nike",G162)),"Nike","elf")</f>
        <v/>
      </c>
      <c r="W162">
        <f>IF(OR(AND(E162="A",V162="Nike"),AND(E162="B",V162="elf")),"first","second")</f>
        <v/>
      </c>
      <c r="X162">
        <f>IF(COUNTIFS(Data!$B$2:$B$181,B162,Data!$U$2:$U$181,"Commercial",Data!$Q$2:$Q$181,"&lt;0")+COUNTIFS(Data!$B$2:$B$181,B162,Data!$U$2:$U$181,"Commercial",Data!$R$2:$R$181,"&gt;20")&gt;0,"No","Yes")</f>
        <v/>
      </c>
      <c r="Y162">
        <f>IF(COUNTIFS(Data!$B$2:$B$181,B162,Data!$L$2:$L$181,0)&gt;=4,1,0)</f>
        <v/>
      </c>
      <c r="Z162" s="5">
        <f>M162/(J162/60000)</f>
        <v/>
      </c>
      <c r="AA162" s="5">
        <f>M162/(I162/60000)</f>
        <v/>
      </c>
    </row>
    <row r="163">
      <c r="A163" t="inlineStr">
        <is>
          <t>SIMULATED_Arousal_Nike_vs_elf</t>
        </is>
      </c>
      <c r="B163" t="inlineStr">
        <is>
          <t>P27</t>
        </is>
      </c>
      <c r="C163" t="inlineStr">
        <is>
          <t>F</t>
        </is>
      </c>
      <c r="D163" t="n">
        <v>23</v>
      </c>
      <c r="E163" t="inlineStr">
        <is>
          <t>A</t>
        </is>
      </c>
      <c r="F163" t="inlineStr">
        <is>
          <t>Stimulus</t>
        </is>
      </c>
      <c r="G163" t="inlineStr">
        <is>
          <t>Recovery_elf</t>
        </is>
      </c>
      <c r="H163" t="n">
        <v>456448</v>
      </c>
      <c r="I163" t="n">
        <v>15000</v>
      </c>
      <c r="J163" t="n">
        <v>15000</v>
      </c>
      <c r="K163" t="inlineStr">
        <is>
          <t>Recovery_elf</t>
        </is>
      </c>
      <c r="L163" t="n">
        <v>1</v>
      </c>
      <c r="M163" t="n">
        <v>1</v>
      </c>
      <c r="N163" t="n">
        <v>4</v>
      </c>
      <c r="O163" t="n">
        <v>0.2307</v>
      </c>
      <c r="P163" t="inlineStr">
        <is>
          <t>Shimmer3-B</t>
        </is>
      </c>
      <c r="Q163" t="n">
        <v>22.7</v>
      </c>
      <c r="R163" t="n">
        <v>0</v>
      </c>
      <c r="S163" t="n">
        <v>70.3</v>
      </c>
      <c r="T163" t="inlineStr">
        <is>
          <t>NA</t>
        </is>
      </c>
      <c r="U163">
        <f>IF(LEFT(G163,8)="Baseline","Baseline",IF(LEFT(G163,8)="Recovery","Recovery","Commercial"))</f>
        <v/>
      </c>
      <c r="V163">
        <f>IF(ISNUMBER(SEARCH("Nike",G163)),"Nike","elf")</f>
        <v/>
      </c>
      <c r="W163">
        <f>IF(OR(AND(E163="A",V163="Nike"),AND(E163="B",V163="elf")),"first","second")</f>
        <v/>
      </c>
      <c r="X163">
        <f>IF(COUNTIFS(Data!$B$2:$B$181,B163,Data!$U$2:$U$181,"Commercial",Data!$Q$2:$Q$181,"&lt;0")+COUNTIFS(Data!$B$2:$B$181,B163,Data!$U$2:$U$181,"Commercial",Data!$R$2:$R$181,"&gt;20")&gt;0,"No","Yes")</f>
        <v/>
      </c>
      <c r="Y163">
        <f>IF(COUNTIFS(Data!$B$2:$B$181,B163,Data!$L$2:$L$181,0)&gt;=4,1,0)</f>
        <v/>
      </c>
      <c r="Z163" s="5">
        <f>M163/(J163/60000)</f>
        <v/>
      </c>
      <c r="AA163" s="5">
        <f>M163/(I163/60000)</f>
        <v/>
      </c>
    </row>
    <row r="164">
      <c r="A164" t="inlineStr">
        <is>
          <t>SIMULATED_Arousal_Nike_vs_elf</t>
        </is>
      </c>
      <c r="B164" t="inlineStr">
        <is>
          <t>P28</t>
        </is>
      </c>
      <c r="C164" t="inlineStr">
        <is>
          <t>F</t>
        </is>
      </c>
      <c r="D164" t="n">
        <v>29</v>
      </c>
      <c r="E164" t="inlineStr">
        <is>
          <t>B</t>
        </is>
      </c>
      <c r="F164" t="inlineStr">
        <is>
          <t>Stimulus</t>
        </is>
      </c>
      <c r="G164" t="inlineStr">
        <is>
          <t>Baseline_Nike</t>
        </is>
      </c>
      <c r="H164" t="n">
        <v>287450</v>
      </c>
      <c r="I164" t="n">
        <v>60000</v>
      </c>
      <c r="J164" t="n">
        <v>60000</v>
      </c>
      <c r="K164" t="inlineStr">
        <is>
          <t>Baseline_Nike</t>
        </is>
      </c>
      <c r="L164" t="n">
        <v>1</v>
      </c>
      <c r="M164" t="n">
        <v>2</v>
      </c>
      <c r="N164" t="n">
        <v>2</v>
      </c>
      <c r="O164" t="n">
        <v>0.22</v>
      </c>
      <c r="P164" t="inlineStr">
        <is>
          <t>Shimmer3-8956</t>
        </is>
      </c>
      <c r="Q164" t="n">
        <v>20.9</v>
      </c>
      <c r="R164" t="n">
        <v>1</v>
      </c>
      <c r="S164" t="n">
        <v>59.4</v>
      </c>
      <c r="T164" t="inlineStr">
        <is>
          <t>NA</t>
        </is>
      </c>
      <c r="U164">
        <f>IF(LEFT(G164,8)="Baseline","Baseline",IF(LEFT(G164,8)="Recovery","Recovery","Commercial"))</f>
        <v/>
      </c>
      <c r="V164">
        <f>IF(ISNUMBER(SEARCH("Nike",G164)),"Nike","elf")</f>
        <v/>
      </c>
      <c r="W164">
        <f>IF(OR(AND(E164="A",V164="Nike"),AND(E164="B",V164="elf")),"first","second")</f>
        <v/>
      </c>
      <c r="X164">
        <f>IF(COUNTIFS(Data!$B$2:$B$181,B164,Data!$U$2:$U$181,"Commercial",Data!$Q$2:$Q$181,"&lt;0")+COUNTIFS(Data!$B$2:$B$181,B164,Data!$U$2:$U$181,"Commercial",Data!$R$2:$R$181,"&gt;20")&gt;0,"No","Yes")</f>
        <v/>
      </c>
      <c r="Y164">
        <f>IF(COUNTIFS(Data!$B$2:$B$181,B164,Data!$L$2:$L$181,0)&gt;=4,1,0)</f>
        <v/>
      </c>
      <c r="Z164" s="5">
        <f>M164/(J164/60000)</f>
        <v/>
      </c>
      <c r="AA164" s="5">
        <f>M164/(I164/60000)</f>
        <v/>
      </c>
    </row>
    <row r="165">
      <c r="A165" t="inlineStr">
        <is>
          <t>SIMULATED_Arousal_Nike_vs_elf</t>
        </is>
      </c>
      <c r="B165" t="inlineStr">
        <is>
          <t>P28</t>
        </is>
      </c>
      <c r="C165" t="inlineStr">
        <is>
          <t>F</t>
        </is>
      </c>
      <c r="D165" t="n">
        <v>29</v>
      </c>
      <c r="E165" t="inlineStr">
        <is>
          <t>B</t>
        </is>
      </c>
      <c r="F165" t="inlineStr">
        <is>
          <t>Stimulus</t>
        </is>
      </c>
      <c r="G165" t="inlineStr">
        <is>
          <t>Nike_Commercial</t>
        </is>
      </c>
      <c r="H165" t="n">
        <v>347450</v>
      </c>
      <c r="I165" t="n">
        <v>60000</v>
      </c>
      <c r="J165" t="n">
        <v>60000</v>
      </c>
      <c r="K165" t="inlineStr">
        <is>
          <t>Nike_Commercial</t>
        </is>
      </c>
      <c r="L165" t="n">
        <v>1</v>
      </c>
      <c r="M165" t="n">
        <v>2</v>
      </c>
      <c r="N165" t="n">
        <v>2</v>
      </c>
      <c r="O165" t="n">
        <v>0.5464</v>
      </c>
      <c r="P165" t="inlineStr">
        <is>
          <t>Shimmer3-8956</t>
        </is>
      </c>
      <c r="Q165" t="n">
        <v>22.1</v>
      </c>
      <c r="R165" t="n">
        <v>0</v>
      </c>
      <c r="S165" t="n">
        <v>60.3</v>
      </c>
      <c r="T165" t="n">
        <v>4</v>
      </c>
      <c r="U165">
        <f>IF(LEFT(G165,8)="Baseline","Baseline",IF(LEFT(G165,8)="Recovery","Recovery","Commercial"))</f>
        <v/>
      </c>
      <c r="V165">
        <f>IF(ISNUMBER(SEARCH("Nike",G165)),"Nike","elf")</f>
        <v/>
      </c>
      <c r="W165">
        <f>IF(OR(AND(E165="A",V165="Nike"),AND(E165="B",V165="elf")),"first","second")</f>
        <v/>
      </c>
      <c r="X165">
        <f>IF(COUNTIFS(Data!$B$2:$B$181,B165,Data!$U$2:$U$181,"Commercial",Data!$Q$2:$Q$181,"&lt;0")+COUNTIFS(Data!$B$2:$B$181,B165,Data!$U$2:$U$181,"Commercial",Data!$R$2:$R$181,"&gt;20")&gt;0,"No","Yes")</f>
        <v/>
      </c>
      <c r="Y165">
        <f>IF(COUNTIFS(Data!$B$2:$B$181,B165,Data!$L$2:$L$181,0)&gt;=4,1,0)</f>
        <v/>
      </c>
      <c r="Z165" s="5">
        <f>M165/(J165/60000)</f>
        <v/>
      </c>
      <c r="AA165" s="5">
        <f>M165/(I165/60000)</f>
        <v/>
      </c>
    </row>
    <row r="166">
      <c r="A166" t="inlineStr">
        <is>
          <t>SIMULATED_Arousal_Nike_vs_elf</t>
        </is>
      </c>
      <c r="B166" t="inlineStr">
        <is>
          <t>P28</t>
        </is>
      </c>
      <c r="C166" t="inlineStr">
        <is>
          <t>F</t>
        </is>
      </c>
      <c r="D166" t="n">
        <v>29</v>
      </c>
      <c r="E166" t="inlineStr">
        <is>
          <t>B</t>
        </is>
      </c>
      <c r="F166" t="inlineStr">
        <is>
          <t>Stimulus</t>
        </is>
      </c>
      <c r="G166" t="inlineStr">
        <is>
          <t>Recovery_Nike</t>
        </is>
      </c>
      <c r="H166" t="n">
        <v>407450</v>
      </c>
      <c r="I166" t="n">
        <v>15000</v>
      </c>
      <c r="J166" t="n">
        <v>15000</v>
      </c>
      <c r="K166" t="inlineStr">
        <is>
          <t>Recovery_Nike</t>
        </is>
      </c>
      <c r="L166" t="n">
        <v>1</v>
      </c>
      <c r="M166" t="n">
        <v>1</v>
      </c>
      <c r="N166" t="n">
        <v>4</v>
      </c>
      <c r="O166" t="n">
        <v>0.479</v>
      </c>
      <c r="P166" t="inlineStr">
        <is>
          <t>Shimmer3-8956</t>
        </is>
      </c>
      <c r="Q166" t="n">
        <v>21.3</v>
      </c>
      <c r="R166" t="n">
        <v>0</v>
      </c>
      <c r="S166" t="n">
        <v>60.7</v>
      </c>
      <c r="T166" t="inlineStr">
        <is>
          <t>NA</t>
        </is>
      </c>
      <c r="U166">
        <f>IF(LEFT(G166,8)="Baseline","Baseline",IF(LEFT(G166,8)="Recovery","Recovery","Commercial"))</f>
        <v/>
      </c>
      <c r="V166">
        <f>IF(ISNUMBER(SEARCH("Nike",G166)),"Nike","elf")</f>
        <v/>
      </c>
      <c r="W166">
        <f>IF(OR(AND(E166="A",V166="Nike"),AND(E166="B",V166="elf")),"first","second")</f>
        <v/>
      </c>
      <c r="X166">
        <f>IF(COUNTIFS(Data!$B$2:$B$181,B166,Data!$U$2:$U$181,"Commercial",Data!$Q$2:$Q$181,"&lt;0")+COUNTIFS(Data!$B$2:$B$181,B166,Data!$U$2:$U$181,"Commercial",Data!$R$2:$R$181,"&gt;20")&gt;0,"No","Yes")</f>
        <v/>
      </c>
      <c r="Y166">
        <f>IF(COUNTIFS(Data!$B$2:$B$181,B166,Data!$L$2:$L$181,0)&gt;=4,1,0)</f>
        <v/>
      </c>
      <c r="Z166" s="5">
        <f>M166/(J166/60000)</f>
        <v/>
      </c>
      <c r="AA166" s="5">
        <f>M166/(I166/60000)</f>
        <v/>
      </c>
    </row>
    <row r="167">
      <c r="A167" t="inlineStr">
        <is>
          <t>SIMULATED_Arousal_Nike_vs_elf</t>
        </is>
      </c>
      <c r="B167" t="inlineStr">
        <is>
          <t>P28</t>
        </is>
      </c>
      <c r="C167" t="inlineStr">
        <is>
          <t>F</t>
        </is>
      </c>
      <c r="D167" t="n">
        <v>29</v>
      </c>
      <c r="E167" t="inlineStr">
        <is>
          <t>B</t>
        </is>
      </c>
      <c r="F167" t="inlineStr">
        <is>
          <t>Stimulus</t>
        </is>
      </c>
      <c r="G167" t="inlineStr">
        <is>
          <t>Baseline_elf</t>
        </is>
      </c>
      <c r="H167" t="n">
        <v>26108</v>
      </c>
      <c r="I167" t="n">
        <v>60000</v>
      </c>
      <c r="J167" t="n">
        <v>60000</v>
      </c>
      <c r="K167" t="inlineStr">
        <is>
          <t>Baseline_elf</t>
        </is>
      </c>
      <c r="L167" t="n">
        <v>1</v>
      </c>
      <c r="M167" t="n">
        <v>3</v>
      </c>
      <c r="N167" t="n">
        <v>3</v>
      </c>
      <c r="O167" t="n">
        <v>0.1814</v>
      </c>
      <c r="P167" t="inlineStr">
        <is>
          <t>Shimmer3-8956</t>
        </is>
      </c>
      <c r="Q167" t="n">
        <v>19.4</v>
      </c>
      <c r="R167" t="n">
        <v>0</v>
      </c>
      <c r="S167" t="n">
        <v>59.3</v>
      </c>
      <c r="T167" t="inlineStr">
        <is>
          <t>NA</t>
        </is>
      </c>
      <c r="U167">
        <f>IF(LEFT(G167,8)="Baseline","Baseline",IF(LEFT(G167,8)="Recovery","Recovery","Commercial"))</f>
        <v/>
      </c>
      <c r="V167">
        <f>IF(ISNUMBER(SEARCH("Nike",G167)),"Nike","elf")</f>
        <v/>
      </c>
      <c r="W167">
        <f>IF(OR(AND(E167="A",V167="Nike"),AND(E167="B",V167="elf")),"first","second")</f>
        <v/>
      </c>
      <c r="X167">
        <f>IF(COUNTIFS(Data!$B$2:$B$181,B167,Data!$U$2:$U$181,"Commercial",Data!$Q$2:$Q$181,"&lt;0")+COUNTIFS(Data!$B$2:$B$181,B167,Data!$U$2:$U$181,"Commercial",Data!$R$2:$R$181,"&gt;20")&gt;0,"No","Yes")</f>
        <v/>
      </c>
      <c r="Y167">
        <f>IF(COUNTIFS(Data!$B$2:$B$181,B167,Data!$L$2:$L$181,0)&gt;=4,1,0)</f>
        <v/>
      </c>
      <c r="Z167" s="5">
        <f>M167/(J167/60000)</f>
        <v/>
      </c>
      <c r="AA167" s="5">
        <f>M167/(I167/60000)</f>
        <v/>
      </c>
    </row>
    <row r="168">
      <c r="A168" t="inlineStr">
        <is>
          <t>SIMULATED_Arousal_Nike_vs_elf</t>
        </is>
      </c>
      <c r="B168" t="inlineStr">
        <is>
          <t>P28</t>
        </is>
      </c>
      <c r="C168" t="inlineStr">
        <is>
          <t>F</t>
        </is>
      </c>
      <c r="D168" t="n">
        <v>29</v>
      </c>
      <c r="E168" t="inlineStr">
        <is>
          <t>B</t>
        </is>
      </c>
      <c r="F168" t="inlineStr">
        <is>
          <t>Stimulus</t>
        </is>
      </c>
      <c r="G168" t="inlineStr">
        <is>
          <t>elf_Commercial</t>
        </is>
      </c>
      <c r="H168" t="n">
        <v>86108</v>
      </c>
      <c r="I168" t="n">
        <v>30000</v>
      </c>
      <c r="J168" t="n">
        <v>30000</v>
      </c>
      <c r="K168" t="inlineStr">
        <is>
          <t>elf_Commercial</t>
        </is>
      </c>
      <c r="L168" t="n">
        <v>1</v>
      </c>
      <c r="M168" t="n">
        <v>3</v>
      </c>
      <c r="N168" t="n">
        <v>6</v>
      </c>
      <c r="O168" t="n">
        <v>0.2125</v>
      </c>
      <c r="P168" t="inlineStr">
        <is>
          <t>Shimmer3-8956</t>
        </is>
      </c>
      <c r="Q168" t="n">
        <v>22.4</v>
      </c>
      <c r="R168" t="n">
        <v>0</v>
      </c>
      <c r="S168" t="n">
        <v>57.7</v>
      </c>
      <c r="T168" t="n">
        <v>8</v>
      </c>
      <c r="U168">
        <f>IF(LEFT(G168,8)="Baseline","Baseline",IF(LEFT(G168,8)="Recovery","Recovery","Commercial"))</f>
        <v/>
      </c>
      <c r="V168">
        <f>IF(ISNUMBER(SEARCH("Nike",G168)),"Nike","elf")</f>
        <v/>
      </c>
      <c r="W168">
        <f>IF(OR(AND(E168="A",V168="Nike"),AND(E168="B",V168="elf")),"first","second")</f>
        <v/>
      </c>
      <c r="X168">
        <f>IF(COUNTIFS(Data!$B$2:$B$181,B168,Data!$U$2:$U$181,"Commercial",Data!$Q$2:$Q$181,"&lt;0")+COUNTIFS(Data!$B$2:$B$181,B168,Data!$U$2:$U$181,"Commercial",Data!$R$2:$R$181,"&gt;20")&gt;0,"No","Yes")</f>
        <v/>
      </c>
      <c r="Y168">
        <f>IF(COUNTIFS(Data!$B$2:$B$181,B168,Data!$L$2:$L$181,0)&gt;=4,1,0)</f>
        <v/>
      </c>
      <c r="Z168" s="5">
        <f>M168/(J168/60000)</f>
        <v/>
      </c>
      <c r="AA168" s="5">
        <f>M168/(I168/60000)</f>
        <v/>
      </c>
    </row>
    <row r="169">
      <c r="A169" t="inlineStr">
        <is>
          <t>SIMULATED_Arousal_Nike_vs_elf</t>
        </is>
      </c>
      <c r="B169" t="inlineStr">
        <is>
          <t>P28</t>
        </is>
      </c>
      <c r="C169" t="inlineStr">
        <is>
          <t>F</t>
        </is>
      </c>
      <c r="D169" t="n">
        <v>29</v>
      </c>
      <c r="E169" t="inlineStr">
        <is>
          <t>B</t>
        </is>
      </c>
      <c r="F169" t="inlineStr">
        <is>
          <t>Stimulus</t>
        </is>
      </c>
      <c r="G169" t="inlineStr">
        <is>
          <t>Recovery_elf</t>
        </is>
      </c>
      <c r="H169" t="n">
        <v>116108</v>
      </c>
      <c r="I169" t="n">
        <v>15000</v>
      </c>
      <c r="J169" t="n">
        <v>15000</v>
      </c>
      <c r="K169" t="inlineStr">
        <is>
          <t>Recovery_elf</t>
        </is>
      </c>
      <c r="L169" t="n">
        <v>1</v>
      </c>
      <c r="M169" t="n">
        <v>1</v>
      </c>
      <c r="N169" t="n">
        <v>4</v>
      </c>
      <c r="O169" t="n">
        <v>0.2534</v>
      </c>
      <c r="P169" t="inlineStr">
        <is>
          <t>Shimmer3-8956</t>
        </is>
      </c>
      <c r="Q169" t="n">
        <v>23.3</v>
      </c>
      <c r="R169" t="n">
        <v>2.8</v>
      </c>
      <c r="S169" t="n">
        <v>59.8</v>
      </c>
      <c r="T169" t="inlineStr">
        <is>
          <t>NA</t>
        </is>
      </c>
      <c r="U169">
        <f>IF(LEFT(G169,8)="Baseline","Baseline",IF(LEFT(G169,8)="Recovery","Recovery","Commercial"))</f>
        <v/>
      </c>
      <c r="V169">
        <f>IF(ISNUMBER(SEARCH("Nike",G169)),"Nike","elf")</f>
        <v/>
      </c>
      <c r="W169">
        <f>IF(OR(AND(E169="A",V169="Nike"),AND(E169="B",V169="elf")),"first","second")</f>
        <v/>
      </c>
      <c r="X169">
        <f>IF(COUNTIFS(Data!$B$2:$B$181,B169,Data!$U$2:$U$181,"Commercial",Data!$Q$2:$Q$181,"&lt;0")+COUNTIFS(Data!$B$2:$B$181,B169,Data!$U$2:$U$181,"Commercial",Data!$R$2:$R$181,"&gt;20")&gt;0,"No","Yes")</f>
        <v/>
      </c>
      <c r="Y169">
        <f>IF(COUNTIFS(Data!$B$2:$B$181,B169,Data!$L$2:$L$181,0)&gt;=4,1,0)</f>
        <v/>
      </c>
      <c r="Z169" s="5">
        <f>M169/(J169/60000)</f>
        <v/>
      </c>
      <c r="AA169" s="5">
        <f>M169/(I169/60000)</f>
        <v/>
      </c>
    </row>
    <row r="170">
      <c r="A170" t="inlineStr">
        <is>
          <t>SIMULATED_Arousal_Nike_vs_elf</t>
        </is>
      </c>
      <c r="B170" t="inlineStr">
        <is>
          <t>P29</t>
        </is>
      </c>
      <c r="C170" t="inlineStr">
        <is>
          <t>M</t>
        </is>
      </c>
      <c r="D170" t="n">
        <v>28</v>
      </c>
      <c r="E170" t="inlineStr">
        <is>
          <t>A</t>
        </is>
      </c>
      <c r="F170" t="inlineStr">
        <is>
          <t>Stimulus</t>
        </is>
      </c>
      <c r="G170" t="inlineStr">
        <is>
          <t>Baseline_Nike</t>
        </is>
      </c>
      <c r="H170" t="n">
        <v>34245</v>
      </c>
      <c r="I170" t="n">
        <v>60000</v>
      </c>
      <c r="J170" t="n">
        <v>60000</v>
      </c>
      <c r="K170" t="inlineStr">
        <is>
          <t>Baseline_Nike</t>
        </is>
      </c>
      <c r="L170" t="n">
        <v>1</v>
      </c>
      <c r="M170" t="n">
        <v>5</v>
      </c>
      <c r="N170" t="n">
        <v>5</v>
      </c>
      <c r="O170" t="n">
        <v>0.1295</v>
      </c>
      <c r="P170" t="inlineStr">
        <is>
          <t>Shimmer3-8956</t>
        </is>
      </c>
      <c r="Q170" t="n">
        <v>22.4</v>
      </c>
      <c r="R170" t="n">
        <v>0.9</v>
      </c>
      <c r="S170" t="n">
        <v>83.09999999999999</v>
      </c>
      <c r="T170" t="inlineStr">
        <is>
          <t>NA</t>
        </is>
      </c>
      <c r="U170">
        <f>IF(LEFT(G170,8)="Baseline","Baseline",IF(LEFT(G170,8)="Recovery","Recovery","Commercial"))</f>
        <v/>
      </c>
      <c r="V170">
        <f>IF(ISNUMBER(SEARCH("Nike",G170)),"Nike","elf")</f>
        <v/>
      </c>
      <c r="W170">
        <f>IF(OR(AND(E170="A",V170="Nike"),AND(E170="B",V170="elf")),"first","second")</f>
        <v/>
      </c>
      <c r="X170">
        <f>IF(COUNTIFS(Data!$B$2:$B$181,B170,Data!$U$2:$U$181,"Commercial",Data!$Q$2:$Q$181,"&lt;0")+COUNTIFS(Data!$B$2:$B$181,B170,Data!$U$2:$U$181,"Commercial",Data!$R$2:$R$181,"&gt;20")&gt;0,"No","Yes")</f>
        <v/>
      </c>
      <c r="Y170">
        <f>IF(COUNTIFS(Data!$B$2:$B$181,B170,Data!$L$2:$L$181,0)&gt;=4,1,0)</f>
        <v/>
      </c>
      <c r="Z170" s="5">
        <f>M170/(J170/60000)</f>
        <v/>
      </c>
      <c r="AA170" s="5">
        <f>M170/(I170/60000)</f>
        <v/>
      </c>
    </row>
    <row r="171">
      <c r="A171" t="inlineStr">
        <is>
          <t>SIMULATED_Arousal_Nike_vs_elf</t>
        </is>
      </c>
      <c r="B171" t="inlineStr">
        <is>
          <t>P29</t>
        </is>
      </c>
      <c r="C171" t="inlineStr">
        <is>
          <t>M</t>
        </is>
      </c>
      <c r="D171" t="n">
        <v>28</v>
      </c>
      <c r="E171" t="inlineStr">
        <is>
          <t>A</t>
        </is>
      </c>
      <c r="F171" t="inlineStr">
        <is>
          <t>Stimulus</t>
        </is>
      </c>
      <c r="G171" t="inlineStr">
        <is>
          <t>Nike_Commercial</t>
        </is>
      </c>
      <c r="H171" t="n">
        <v>94245</v>
      </c>
      <c r="I171" t="n">
        <v>60000</v>
      </c>
      <c r="J171" t="n">
        <v>60000</v>
      </c>
      <c r="K171" t="inlineStr">
        <is>
          <t>Nike_Commercial</t>
        </is>
      </c>
      <c r="L171" t="n">
        <v>1</v>
      </c>
      <c r="M171" t="n">
        <v>4</v>
      </c>
      <c r="N171" t="n">
        <v>4</v>
      </c>
      <c r="O171" t="n">
        <v>0.2278</v>
      </c>
      <c r="P171" t="inlineStr">
        <is>
          <t>Shimmer3-8956</t>
        </is>
      </c>
      <c r="Q171" t="n">
        <v>22</v>
      </c>
      <c r="R171" t="n">
        <v>0.7</v>
      </c>
      <c r="S171" t="n">
        <v>83.59999999999999</v>
      </c>
      <c r="T171" t="n">
        <v>7</v>
      </c>
      <c r="U171">
        <f>IF(LEFT(G171,8)="Baseline","Baseline",IF(LEFT(G171,8)="Recovery","Recovery","Commercial"))</f>
        <v/>
      </c>
      <c r="V171">
        <f>IF(ISNUMBER(SEARCH("Nike",G171)),"Nike","elf")</f>
        <v/>
      </c>
      <c r="W171">
        <f>IF(OR(AND(E171="A",V171="Nike"),AND(E171="B",V171="elf")),"first","second")</f>
        <v/>
      </c>
      <c r="X171">
        <f>IF(COUNTIFS(Data!$B$2:$B$181,B171,Data!$U$2:$U$181,"Commercial",Data!$Q$2:$Q$181,"&lt;0")+COUNTIFS(Data!$B$2:$B$181,B171,Data!$U$2:$U$181,"Commercial",Data!$R$2:$R$181,"&gt;20")&gt;0,"No","Yes")</f>
        <v/>
      </c>
      <c r="Y171">
        <f>IF(COUNTIFS(Data!$B$2:$B$181,B171,Data!$L$2:$L$181,0)&gt;=4,1,0)</f>
        <v/>
      </c>
      <c r="Z171" s="5">
        <f>M171/(J171/60000)</f>
        <v/>
      </c>
      <c r="AA171" s="5">
        <f>M171/(I171/60000)</f>
        <v/>
      </c>
    </row>
    <row r="172">
      <c r="A172" t="inlineStr">
        <is>
          <t>SIMULATED_Arousal_Nike_vs_elf</t>
        </is>
      </c>
      <c r="B172" t="inlineStr">
        <is>
          <t>P29</t>
        </is>
      </c>
      <c r="C172" t="inlineStr">
        <is>
          <t>M</t>
        </is>
      </c>
      <c r="D172" t="n">
        <v>28</v>
      </c>
      <c r="E172" t="inlineStr">
        <is>
          <t>A</t>
        </is>
      </c>
      <c r="F172" t="inlineStr">
        <is>
          <t>Stimulus</t>
        </is>
      </c>
      <c r="G172" t="inlineStr">
        <is>
          <t>Recovery_Nike</t>
        </is>
      </c>
      <c r="H172" t="n">
        <v>154245</v>
      </c>
      <c r="I172" t="n">
        <v>15000</v>
      </c>
      <c r="J172" t="n">
        <v>15000</v>
      </c>
      <c r="K172" t="inlineStr">
        <is>
          <t>Recovery_Nike</t>
        </is>
      </c>
      <c r="L172" t="n">
        <v>0</v>
      </c>
      <c r="M172" t="n">
        <v>0</v>
      </c>
      <c r="N172" t="n">
        <v>0</v>
      </c>
      <c r="O172" t="inlineStr">
        <is>
          <t>NA</t>
        </is>
      </c>
      <c r="P172" t="inlineStr">
        <is>
          <t>Shimmer3-8956</t>
        </is>
      </c>
      <c r="Q172" t="n">
        <v>19.9</v>
      </c>
      <c r="R172" t="n">
        <v>1.1</v>
      </c>
      <c r="S172" t="n">
        <v>81.59999999999999</v>
      </c>
      <c r="T172" t="inlineStr">
        <is>
          <t>NA</t>
        </is>
      </c>
      <c r="U172">
        <f>IF(LEFT(G172,8)="Baseline","Baseline",IF(LEFT(G172,8)="Recovery","Recovery","Commercial"))</f>
        <v/>
      </c>
      <c r="V172">
        <f>IF(ISNUMBER(SEARCH("Nike",G172)),"Nike","elf")</f>
        <v/>
      </c>
      <c r="W172">
        <f>IF(OR(AND(E172="A",V172="Nike"),AND(E172="B",V172="elf")),"first","second")</f>
        <v/>
      </c>
      <c r="X172">
        <f>IF(COUNTIFS(Data!$B$2:$B$181,B172,Data!$U$2:$U$181,"Commercial",Data!$Q$2:$Q$181,"&lt;0")+COUNTIFS(Data!$B$2:$B$181,B172,Data!$U$2:$U$181,"Commercial",Data!$R$2:$R$181,"&gt;20")&gt;0,"No","Yes")</f>
        <v/>
      </c>
      <c r="Y172">
        <f>IF(COUNTIFS(Data!$B$2:$B$181,B172,Data!$L$2:$L$181,0)&gt;=4,1,0)</f>
        <v/>
      </c>
      <c r="Z172" s="5">
        <f>M172/(J172/60000)</f>
        <v/>
      </c>
      <c r="AA172" s="5">
        <f>M172/(I172/60000)</f>
        <v/>
      </c>
    </row>
    <row r="173">
      <c r="A173" t="inlineStr">
        <is>
          <t>SIMULATED_Arousal_Nike_vs_elf</t>
        </is>
      </c>
      <c r="B173" t="inlineStr">
        <is>
          <t>P29</t>
        </is>
      </c>
      <c r="C173" t="inlineStr">
        <is>
          <t>M</t>
        </is>
      </c>
      <c r="D173" t="n">
        <v>28</v>
      </c>
      <c r="E173" t="inlineStr">
        <is>
          <t>A</t>
        </is>
      </c>
      <c r="F173" t="inlineStr">
        <is>
          <t>Stimulus</t>
        </is>
      </c>
      <c r="G173" t="inlineStr">
        <is>
          <t>Baseline_elf</t>
        </is>
      </c>
      <c r="H173" t="n">
        <v>367625</v>
      </c>
      <c r="I173" t="n">
        <v>60000</v>
      </c>
      <c r="J173" t="n">
        <v>55100</v>
      </c>
      <c r="K173" t="inlineStr">
        <is>
          <t>Baseline_elf</t>
        </is>
      </c>
      <c r="L173" t="n">
        <v>1</v>
      </c>
      <c r="M173" t="n">
        <v>2</v>
      </c>
      <c r="N173" t="n">
        <v>2.178</v>
      </c>
      <c r="O173" t="n">
        <v>0.1182</v>
      </c>
      <c r="P173" t="inlineStr">
        <is>
          <t>Shimmer3-8956</t>
        </is>
      </c>
      <c r="Q173" t="n">
        <v>21</v>
      </c>
      <c r="R173" t="n">
        <v>8.199999999999999</v>
      </c>
      <c r="S173" t="n">
        <v>81.5</v>
      </c>
      <c r="T173" t="inlineStr">
        <is>
          <t>NA</t>
        </is>
      </c>
      <c r="U173">
        <f>IF(LEFT(G173,8)="Baseline","Baseline",IF(LEFT(G173,8)="Recovery","Recovery","Commercial"))</f>
        <v/>
      </c>
      <c r="V173">
        <f>IF(ISNUMBER(SEARCH("Nike",G173)),"Nike","elf")</f>
        <v/>
      </c>
      <c r="W173">
        <f>IF(OR(AND(E173="A",V173="Nike"),AND(E173="B",V173="elf")),"first","second")</f>
        <v/>
      </c>
      <c r="X173">
        <f>IF(COUNTIFS(Data!$B$2:$B$181,B173,Data!$U$2:$U$181,"Commercial",Data!$Q$2:$Q$181,"&lt;0")+COUNTIFS(Data!$B$2:$B$181,B173,Data!$U$2:$U$181,"Commercial",Data!$R$2:$R$181,"&gt;20")&gt;0,"No","Yes")</f>
        <v/>
      </c>
      <c r="Y173">
        <f>IF(COUNTIFS(Data!$B$2:$B$181,B173,Data!$L$2:$L$181,0)&gt;=4,1,0)</f>
        <v/>
      </c>
      <c r="Z173" s="5">
        <f>M173/(J173/60000)</f>
        <v/>
      </c>
      <c r="AA173" s="5">
        <f>M173/(I173/60000)</f>
        <v/>
      </c>
    </row>
    <row r="174">
      <c r="A174" t="inlineStr">
        <is>
          <t>SIMULATED_Arousal_Nike_vs_elf</t>
        </is>
      </c>
      <c r="B174" t="inlineStr">
        <is>
          <t>P29</t>
        </is>
      </c>
      <c r="C174" t="inlineStr">
        <is>
          <t>M</t>
        </is>
      </c>
      <c r="D174" t="n">
        <v>28</v>
      </c>
      <c r="E174" t="inlineStr">
        <is>
          <t>A</t>
        </is>
      </c>
      <c r="F174" t="inlineStr">
        <is>
          <t>Stimulus</t>
        </is>
      </c>
      <c r="G174" t="inlineStr">
        <is>
          <t>elf_Commercial</t>
        </is>
      </c>
      <c r="H174" t="n">
        <v>427625</v>
      </c>
      <c r="I174" t="n">
        <v>30000</v>
      </c>
      <c r="J174" t="n">
        <v>30000</v>
      </c>
      <c r="K174" t="inlineStr">
        <is>
          <t>elf_Commercial</t>
        </is>
      </c>
      <c r="L174" t="n">
        <v>1</v>
      </c>
      <c r="M174" t="n">
        <v>2</v>
      </c>
      <c r="N174" t="n">
        <v>4</v>
      </c>
      <c r="O174" t="n">
        <v>0.1749</v>
      </c>
      <c r="P174" t="inlineStr">
        <is>
          <t>Shimmer3-8956</t>
        </is>
      </c>
      <c r="Q174" t="n">
        <v>23.7</v>
      </c>
      <c r="R174" t="n">
        <v>0</v>
      </c>
      <c r="S174" t="n">
        <v>82.7</v>
      </c>
      <c r="T174" t="n">
        <v>7</v>
      </c>
      <c r="U174">
        <f>IF(LEFT(G174,8)="Baseline","Baseline",IF(LEFT(G174,8)="Recovery","Recovery","Commercial"))</f>
        <v/>
      </c>
      <c r="V174">
        <f>IF(ISNUMBER(SEARCH("Nike",G174)),"Nike","elf")</f>
        <v/>
      </c>
      <c r="W174">
        <f>IF(OR(AND(E174="A",V174="Nike"),AND(E174="B",V174="elf")),"first","second")</f>
        <v/>
      </c>
      <c r="X174">
        <f>IF(COUNTIFS(Data!$B$2:$B$181,B174,Data!$U$2:$U$181,"Commercial",Data!$Q$2:$Q$181,"&lt;0")+COUNTIFS(Data!$B$2:$B$181,B174,Data!$U$2:$U$181,"Commercial",Data!$R$2:$R$181,"&gt;20")&gt;0,"No","Yes")</f>
        <v/>
      </c>
      <c r="Y174">
        <f>IF(COUNTIFS(Data!$B$2:$B$181,B174,Data!$L$2:$L$181,0)&gt;=4,1,0)</f>
        <v/>
      </c>
      <c r="Z174" s="5">
        <f>M174/(J174/60000)</f>
        <v/>
      </c>
      <c r="AA174" s="5">
        <f>M174/(I174/60000)</f>
        <v/>
      </c>
    </row>
    <row r="175">
      <c r="A175" t="inlineStr">
        <is>
          <t>SIMULATED_Arousal_Nike_vs_elf</t>
        </is>
      </c>
      <c r="B175" t="inlineStr">
        <is>
          <t>P29</t>
        </is>
      </c>
      <c r="C175" t="inlineStr">
        <is>
          <t>M</t>
        </is>
      </c>
      <c r="D175" t="n">
        <v>28</v>
      </c>
      <c r="E175" t="inlineStr">
        <is>
          <t>A</t>
        </is>
      </c>
      <c r="F175" t="inlineStr">
        <is>
          <t>Stimulus</t>
        </is>
      </c>
      <c r="G175" t="inlineStr">
        <is>
          <t>Recovery_elf</t>
        </is>
      </c>
      <c r="H175" t="n">
        <v>457625</v>
      </c>
      <c r="I175" t="n">
        <v>15000</v>
      </c>
      <c r="J175" t="n">
        <v>15000</v>
      </c>
      <c r="K175" t="inlineStr">
        <is>
          <t>Recovery_elf</t>
        </is>
      </c>
      <c r="L175" t="n">
        <v>1</v>
      </c>
      <c r="M175" t="n">
        <v>1</v>
      </c>
      <c r="N175" t="n">
        <v>4</v>
      </c>
      <c r="O175" t="n">
        <v>0.2294</v>
      </c>
      <c r="P175" t="inlineStr">
        <is>
          <t>Shimmer3-8956</t>
        </is>
      </c>
      <c r="Q175" t="n">
        <v>22.8</v>
      </c>
      <c r="R175" t="n">
        <v>0</v>
      </c>
      <c r="S175" t="n">
        <v>80.40000000000001</v>
      </c>
      <c r="T175" t="inlineStr">
        <is>
          <t>NA</t>
        </is>
      </c>
      <c r="U175">
        <f>IF(LEFT(G175,8)="Baseline","Baseline",IF(LEFT(G175,8)="Recovery","Recovery","Commercial"))</f>
        <v/>
      </c>
      <c r="V175">
        <f>IF(ISNUMBER(SEARCH("Nike",G175)),"Nike","elf")</f>
        <v/>
      </c>
      <c r="W175">
        <f>IF(OR(AND(E175="A",V175="Nike"),AND(E175="B",V175="elf")),"first","second")</f>
        <v/>
      </c>
      <c r="X175">
        <f>IF(COUNTIFS(Data!$B$2:$B$181,B175,Data!$U$2:$U$181,"Commercial",Data!$Q$2:$Q$181,"&lt;0")+COUNTIFS(Data!$B$2:$B$181,B175,Data!$U$2:$U$181,"Commercial",Data!$R$2:$R$181,"&gt;20")&gt;0,"No","Yes")</f>
        <v/>
      </c>
      <c r="Y175">
        <f>IF(COUNTIFS(Data!$B$2:$B$181,B175,Data!$L$2:$L$181,0)&gt;=4,1,0)</f>
        <v/>
      </c>
      <c r="Z175" s="5">
        <f>M175/(J175/60000)</f>
        <v/>
      </c>
      <c r="AA175" s="5">
        <f>M175/(I175/60000)</f>
        <v/>
      </c>
    </row>
    <row r="176">
      <c r="A176" t="inlineStr">
        <is>
          <t>SIMULATED_Arousal_Nike_vs_elf</t>
        </is>
      </c>
      <c r="B176" t="inlineStr">
        <is>
          <t>P30</t>
        </is>
      </c>
      <c r="C176" t="inlineStr">
        <is>
          <t>M</t>
        </is>
      </c>
      <c r="D176" t="n">
        <v>24</v>
      </c>
      <c r="E176" t="inlineStr">
        <is>
          <t>B</t>
        </is>
      </c>
      <c r="F176" t="inlineStr">
        <is>
          <t>Stimulus</t>
        </is>
      </c>
      <c r="G176" t="inlineStr">
        <is>
          <t>Baseline_Nike</t>
        </is>
      </c>
      <c r="H176" t="n">
        <v>287917</v>
      </c>
      <c r="I176" t="n">
        <v>60000</v>
      </c>
      <c r="J176" t="n">
        <v>60000</v>
      </c>
      <c r="K176" t="inlineStr">
        <is>
          <t>Baseline_Nike</t>
        </is>
      </c>
      <c r="L176" t="n">
        <v>1</v>
      </c>
      <c r="M176" t="n">
        <v>2</v>
      </c>
      <c r="N176" t="n">
        <v>2</v>
      </c>
      <c r="O176" t="n">
        <v>0.1367</v>
      </c>
      <c r="P176" t="inlineStr">
        <is>
          <t>Shimmer3-B</t>
        </is>
      </c>
      <c r="Q176" t="n">
        <v>18</v>
      </c>
      <c r="R176" t="n">
        <v>1.5</v>
      </c>
      <c r="S176" t="n">
        <v>86.40000000000001</v>
      </c>
      <c r="T176" t="inlineStr">
        <is>
          <t>NA</t>
        </is>
      </c>
      <c r="U176">
        <f>IF(LEFT(G176,8)="Baseline","Baseline",IF(LEFT(G176,8)="Recovery","Recovery","Commercial"))</f>
        <v/>
      </c>
      <c r="V176">
        <f>IF(ISNUMBER(SEARCH("Nike",G176)),"Nike","elf")</f>
        <v/>
      </c>
      <c r="W176">
        <f>IF(OR(AND(E176="A",V176="Nike"),AND(E176="B",V176="elf")),"first","second")</f>
        <v/>
      </c>
      <c r="X176">
        <f>IF(COUNTIFS(Data!$B$2:$B$181,B176,Data!$U$2:$U$181,"Commercial",Data!$Q$2:$Q$181,"&lt;0")+COUNTIFS(Data!$B$2:$B$181,B176,Data!$U$2:$U$181,"Commercial",Data!$R$2:$R$181,"&gt;20")&gt;0,"No","Yes")</f>
        <v/>
      </c>
      <c r="Y176">
        <f>IF(COUNTIFS(Data!$B$2:$B$181,B176,Data!$L$2:$L$181,0)&gt;=4,1,0)</f>
        <v/>
      </c>
      <c r="Z176" s="5">
        <f>M176/(J176/60000)</f>
        <v/>
      </c>
      <c r="AA176" s="5">
        <f>M176/(I176/60000)</f>
        <v/>
      </c>
    </row>
    <row r="177">
      <c r="A177" t="inlineStr">
        <is>
          <t>SIMULATED_Arousal_Nike_vs_elf</t>
        </is>
      </c>
      <c r="B177" t="inlineStr">
        <is>
          <t>P30</t>
        </is>
      </c>
      <c r="C177" t="inlineStr">
        <is>
          <t>M</t>
        </is>
      </c>
      <c r="D177" t="n">
        <v>24</v>
      </c>
      <c r="E177" t="inlineStr">
        <is>
          <t>B</t>
        </is>
      </c>
      <c r="F177" t="inlineStr">
        <is>
          <t>Stimulus</t>
        </is>
      </c>
      <c r="G177" t="inlineStr">
        <is>
          <t>Nike_Commercial</t>
        </is>
      </c>
      <c r="H177" t="n">
        <v>347917</v>
      </c>
      <c r="I177" t="n">
        <v>60000</v>
      </c>
      <c r="J177" t="n">
        <v>60000</v>
      </c>
      <c r="K177" t="inlineStr">
        <is>
          <t>Nike_Commercial</t>
        </is>
      </c>
      <c r="L177" t="n">
        <v>1</v>
      </c>
      <c r="M177" t="n">
        <v>6</v>
      </c>
      <c r="N177" t="n">
        <v>6</v>
      </c>
      <c r="O177" t="n">
        <v>0.2377</v>
      </c>
      <c r="P177" t="inlineStr">
        <is>
          <t>Shimmer3-B</t>
        </is>
      </c>
      <c r="Q177" t="n">
        <v>20.6</v>
      </c>
      <c r="R177" t="n">
        <v>0</v>
      </c>
      <c r="S177" t="n">
        <v>84.90000000000001</v>
      </c>
      <c r="T177" t="n">
        <v>9</v>
      </c>
      <c r="U177">
        <f>IF(LEFT(G177,8)="Baseline","Baseline",IF(LEFT(G177,8)="Recovery","Recovery","Commercial"))</f>
        <v/>
      </c>
      <c r="V177">
        <f>IF(ISNUMBER(SEARCH("Nike",G177)),"Nike","elf")</f>
        <v/>
      </c>
      <c r="W177">
        <f>IF(OR(AND(E177="A",V177="Nike"),AND(E177="B",V177="elf")),"first","second")</f>
        <v/>
      </c>
      <c r="X177">
        <f>IF(COUNTIFS(Data!$B$2:$B$181,B177,Data!$U$2:$U$181,"Commercial",Data!$Q$2:$Q$181,"&lt;0")+COUNTIFS(Data!$B$2:$B$181,B177,Data!$U$2:$U$181,"Commercial",Data!$R$2:$R$181,"&gt;20")&gt;0,"No","Yes")</f>
        <v/>
      </c>
      <c r="Y177">
        <f>IF(COUNTIFS(Data!$B$2:$B$181,B177,Data!$L$2:$L$181,0)&gt;=4,1,0)</f>
        <v/>
      </c>
      <c r="Z177" s="5">
        <f>M177/(J177/60000)</f>
        <v/>
      </c>
      <c r="AA177" s="5">
        <f>M177/(I177/60000)</f>
        <v/>
      </c>
    </row>
    <row r="178">
      <c r="A178" t="inlineStr">
        <is>
          <t>SIMULATED_Arousal_Nike_vs_elf</t>
        </is>
      </c>
      <c r="B178" t="inlineStr">
        <is>
          <t>P30</t>
        </is>
      </c>
      <c r="C178" t="inlineStr">
        <is>
          <t>M</t>
        </is>
      </c>
      <c r="D178" t="n">
        <v>24</v>
      </c>
      <c r="E178" t="inlineStr">
        <is>
          <t>B</t>
        </is>
      </c>
      <c r="F178" t="inlineStr">
        <is>
          <t>Stimulus</t>
        </is>
      </c>
      <c r="G178" t="inlineStr">
        <is>
          <t>Recovery_Nike</t>
        </is>
      </c>
      <c r="H178" t="n">
        <v>407917</v>
      </c>
      <c r="I178" t="n">
        <v>15000</v>
      </c>
      <c r="J178" t="n">
        <v>15000</v>
      </c>
      <c r="K178" t="inlineStr">
        <is>
          <t>Recovery_Nike</t>
        </is>
      </c>
      <c r="L178" t="n">
        <v>1</v>
      </c>
      <c r="M178" t="n">
        <v>1</v>
      </c>
      <c r="N178" t="n">
        <v>4</v>
      </c>
      <c r="O178" t="n">
        <v>0.1391</v>
      </c>
      <c r="P178" t="inlineStr">
        <is>
          <t>Shimmer3-B</t>
        </is>
      </c>
      <c r="Q178" t="n">
        <v>24.2</v>
      </c>
      <c r="R178" t="n">
        <v>0</v>
      </c>
      <c r="S178" t="n">
        <v>85.2</v>
      </c>
      <c r="T178" t="inlineStr">
        <is>
          <t>NA</t>
        </is>
      </c>
      <c r="U178">
        <f>IF(LEFT(G178,8)="Baseline","Baseline",IF(LEFT(G178,8)="Recovery","Recovery","Commercial"))</f>
        <v/>
      </c>
      <c r="V178">
        <f>IF(ISNUMBER(SEARCH("Nike",G178)),"Nike","elf")</f>
        <v/>
      </c>
      <c r="W178">
        <f>IF(OR(AND(E178="A",V178="Nike"),AND(E178="B",V178="elf")),"first","second")</f>
        <v/>
      </c>
      <c r="X178">
        <f>IF(COUNTIFS(Data!$B$2:$B$181,B178,Data!$U$2:$U$181,"Commercial",Data!$Q$2:$Q$181,"&lt;0")+COUNTIFS(Data!$B$2:$B$181,B178,Data!$U$2:$U$181,"Commercial",Data!$R$2:$R$181,"&gt;20")&gt;0,"No","Yes")</f>
        <v/>
      </c>
      <c r="Y178">
        <f>IF(COUNTIFS(Data!$B$2:$B$181,B178,Data!$L$2:$L$181,0)&gt;=4,1,0)</f>
        <v/>
      </c>
      <c r="Z178" s="5">
        <f>M178/(J178/60000)</f>
        <v/>
      </c>
      <c r="AA178" s="5">
        <f>M178/(I178/60000)</f>
        <v/>
      </c>
    </row>
    <row r="179">
      <c r="A179" t="inlineStr">
        <is>
          <t>SIMULATED_Arousal_Nike_vs_elf</t>
        </is>
      </c>
      <c r="B179" t="inlineStr">
        <is>
          <t>P30</t>
        </is>
      </c>
      <c r="C179" t="inlineStr">
        <is>
          <t>M</t>
        </is>
      </c>
      <c r="D179" t="n">
        <v>24</v>
      </c>
      <c r="E179" t="inlineStr">
        <is>
          <t>B</t>
        </is>
      </c>
      <c r="F179" t="inlineStr">
        <is>
          <t>Stimulus</t>
        </is>
      </c>
      <c r="G179" t="inlineStr">
        <is>
          <t>Baseline_elf</t>
        </is>
      </c>
      <c r="H179" t="n">
        <v>26971</v>
      </c>
      <c r="I179" t="n">
        <v>60000</v>
      </c>
      <c r="J179" t="n">
        <v>60000</v>
      </c>
      <c r="K179" t="inlineStr">
        <is>
          <t>Baseline_elf</t>
        </is>
      </c>
      <c r="L179" t="n">
        <v>1</v>
      </c>
      <c r="M179" t="n">
        <v>3</v>
      </c>
      <c r="N179" t="n">
        <v>3</v>
      </c>
      <c r="O179" t="n">
        <v>0.1709</v>
      </c>
      <c r="P179" t="inlineStr">
        <is>
          <t>Shimmer3-B</t>
        </is>
      </c>
      <c r="Q179" t="n">
        <v>22.5</v>
      </c>
      <c r="R179" t="n">
        <v>1.4</v>
      </c>
      <c r="S179" t="n">
        <v>87.7</v>
      </c>
      <c r="T179" t="inlineStr">
        <is>
          <t>NA</t>
        </is>
      </c>
      <c r="U179">
        <f>IF(LEFT(G179,8)="Baseline","Baseline",IF(LEFT(G179,8)="Recovery","Recovery","Commercial"))</f>
        <v/>
      </c>
      <c r="V179">
        <f>IF(ISNUMBER(SEARCH("Nike",G179)),"Nike","elf")</f>
        <v/>
      </c>
      <c r="W179">
        <f>IF(OR(AND(E179="A",V179="Nike"),AND(E179="B",V179="elf")),"first","second")</f>
        <v/>
      </c>
      <c r="X179">
        <f>IF(COUNTIFS(Data!$B$2:$B$181,B179,Data!$U$2:$U$181,"Commercial",Data!$Q$2:$Q$181,"&lt;0")+COUNTIFS(Data!$B$2:$B$181,B179,Data!$U$2:$U$181,"Commercial",Data!$R$2:$R$181,"&gt;20")&gt;0,"No","Yes")</f>
        <v/>
      </c>
      <c r="Y179">
        <f>IF(COUNTIFS(Data!$B$2:$B$181,B179,Data!$L$2:$L$181,0)&gt;=4,1,0)</f>
        <v/>
      </c>
      <c r="Z179" s="5">
        <f>M179/(J179/60000)</f>
        <v/>
      </c>
      <c r="AA179" s="5">
        <f>M179/(I179/60000)</f>
        <v/>
      </c>
    </row>
    <row r="180">
      <c r="A180" t="inlineStr">
        <is>
          <t>SIMULATED_Arousal_Nike_vs_elf</t>
        </is>
      </c>
      <c r="B180" t="inlineStr">
        <is>
          <t>P30</t>
        </is>
      </c>
      <c r="C180" t="inlineStr">
        <is>
          <t>M</t>
        </is>
      </c>
      <c r="D180" t="n">
        <v>24</v>
      </c>
      <c r="E180" t="inlineStr">
        <is>
          <t>B</t>
        </is>
      </c>
      <c r="F180" t="inlineStr">
        <is>
          <t>Stimulus</t>
        </is>
      </c>
      <c r="G180" t="inlineStr">
        <is>
          <t>elf_Commercial</t>
        </is>
      </c>
      <c r="H180" t="n">
        <v>86971</v>
      </c>
      <c r="I180" t="n">
        <v>30000</v>
      </c>
      <c r="J180" t="n">
        <v>30000</v>
      </c>
      <c r="K180" t="inlineStr">
        <is>
          <t>elf_Commercial</t>
        </is>
      </c>
      <c r="L180" t="n">
        <v>1</v>
      </c>
      <c r="M180" t="n">
        <v>3</v>
      </c>
      <c r="N180" t="n">
        <v>6</v>
      </c>
      <c r="O180" t="n">
        <v>0.1947</v>
      </c>
      <c r="P180" t="inlineStr">
        <is>
          <t>Shimmer3-B</t>
        </is>
      </c>
      <c r="Q180" t="n">
        <v>17.2</v>
      </c>
      <c r="R180" t="n">
        <v>0.5</v>
      </c>
      <c r="S180" t="n">
        <v>84.90000000000001</v>
      </c>
      <c r="T180" t="n">
        <v>9</v>
      </c>
      <c r="U180">
        <f>IF(LEFT(G180,8)="Baseline","Baseline",IF(LEFT(G180,8)="Recovery","Recovery","Commercial"))</f>
        <v/>
      </c>
      <c r="V180">
        <f>IF(ISNUMBER(SEARCH("Nike",G180)),"Nike","elf")</f>
        <v/>
      </c>
      <c r="W180">
        <f>IF(OR(AND(E180="A",V180="Nike"),AND(E180="B",V180="elf")),"first","second")</f>
        <v/>
      </c>
      <c r="X180">
        <f>IF(COUNTIFS(Data!$B$2:$B$181,B180,Data!$U$2:$U$181,"Commercial",Data!$Q$2:$Q$181,"&lt;0")+COUNTIFS(Data!$B$2:$B$181,B180,Data!$U$2:$U$181,"Commercial",Data!$R$2:$R$181,"&gt;20")&gt;0,"No","Yes")</f>
        <v/>
      </c>
      <c r="Y180">
        <f>IF(COUNTIFS(Data!$B$2:$B$181,B180,Data!$L$2:$L$181,0)&gt;=4,1,0)</f>
        <v/>
      </c>
      <c r="Z180" s="5">
        <f>M180/(J180/60000)</f>
        <v/>
      </c>
      <c r="AA180" s="5">
        <f>M180/(I180/60000)</f>
        <v/>
      </c>
    </row>
    <row r="181">
      <c r="A181" t="inlineStr">
        <is>
          <t>SIMULATED_Arousal_Nike_vs_elf</t>
        </is>
      </c>
      <c r="B181" t="inlineStr">
        <is>
          <t>P30</t>
        </is>
      </c>
      <c r="C181" t="inlineStr">
        <is>
          <t>M</t>
        </is>
      </c>
      <c r="D181" t="n">
        <v>24</v>
      </c>
      <c r="E181" t="inlineStr">
        <is>
          <t>B</t>
        </is>
      </c>
      <c r="F181" t="inlineStr">
        <is>
          <t>Stimulus</t>
        </is>
      </c>
      <c r="G181" t="inlineStr">
        <is>
          <t>Recovery_elf</t>
        </is>
      </c>
      <c r="H181" t="n">
        <v>116971</v>
      </c>
      <c r="I181" t="n">
        <v>15000</v>
      </c>
      <c r="J181" t="n">
        <v>15000</v>
      </c>
      <c r="K181" t="inlineStr">
        <is>
          <t>Recovery_elf</t>
        </is>
      </c>
      <c r="L181" t="n">
        <v>1</v>
      </c>
      <c r="M181" t="n">
        <v>2</v>
      </c>
      <c r="N181" t="n">
        <v>8</v>
      </c>
      <c r="O181" t="n">
        <v>0.2018</v>
      </c>
      <c r="P181" t="inlineStr">
        <is>
          <t>Shimmer3-B</t>
        </is>
      </c>
      <c r="Q181" t="n">
        <v>23.3</v>
      </c>
      <c r="R181" t="n">
        <v>0</v>
      </c>
      <c r="S181" t="n">
        <v>84.3</v>
      </c>
      <c r="T181" t="inlineStr">
        <is>
          <t>NA</t>
        </is>
      </c>
      <c r="U181">
        <f>IF(LEFT(G181,8)="Baseline","Baseline",IF(LEFT(G181,8)="Recovery","Recovery","Commercial"))</f>
        <v/>
      </c>
      <c r="V181">
        <f>IF(ISNUMBER(SEARCH("Nike",G181)),"Nike","elf")</f>
        <v/>
      </c>
      <c r="W181">
        <f>IF(OR(AND(E181="A",V181="Nike"),AND(E181="B",V181="elf")),"first","second")</f>
        <v/>
      </c>
      <c r="X181">
        <f>IF(COUNTIFS(Data!$B$2:$B$181,B181,Data!$U$2:$U$181,"Commercial",Data!$Q$2:$Q$181,"&lt;0")+COUNTIFS(Data!$B$2:$B$181,B181,Data!$U$2:$U$181,"Commercial",Data!$R$2:$R$181,"&gt;20")&gt;0,"No","Yes")</f>
        <v/>
      </c>
      <c r="Y181">
        <f>IF(COUNTIFS(Data!$B$2:$B$181,B181,Data!$L$2:$L$181,0)&gt;=4,1,0)</f>
        <v/>
      </c>
      <c r="Z181" s="5">
        <f>M181/(J181/60000)</f>
        <v/>
      </c>
      <c r="AA181" s="5">
        <f>M181/(I181/60000)</f>
        <v/>
      </c>
    </row>
  </sheetData>
  <autoFilter ref="A1:AA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5" customWidth="1" min="3" max="3"/>
    <col width="24" customWidth="1" min="4" max="4"/>
    <col width="15" customWidth="1" min="5" max="5"/>
    <col width="17" customWidth="1" min="6" max="6"/>
    <col width="24" customWidth="1" min="7" max="7"/>
    <col width="18" customWidth="1" min="8" max="8"/>
    <col width="23" customWidth="1" min="9" max="9"/>
    <col width="24" customWidth="1" min="10" max="10"/>
    <col width="15" customWidth="1" min="11" max="11"/>
    <col width="24" customWidth="1" min="12" max="12"/>
  </cols>
  <sheetData>
    <row r="1">
      <c r="A1" s="6" t="inlineStr">
        <is>
          <t>Descriptive table by stimulus (kept respondents only). SIMULATED data.</t>
        </is>
      </c>
    </row>
    <row r="2">
      <c r="A2" s="7" t="inlineStr">
        <is>
          <t>n = kept respondents. Peaks Per Minute statistics use every kept respondent (nonresponders included). Average Peak Amplitude averages the respondent values that exist (the text NA, a stimulus without a peak, is ignored).</t>
        </is>
      </c>
    </row>
    <row r="3"/>
    <row r="4">
      <c r="A4" s="2" t="inlineStr">
        <is>
          <t>Stimulus</t>
        </is>
      </c>
      <c r="B4" s="2" t="inlineStr">
        <is>
          <t>n</t>
        </is>
      </c>
      <c r="C4" s="2" t="inlineStr">
        <is>
          <t>PPM mean</t>
        </is>
      </c>
      <c r="D4" s="2" t="inlineStr">
        <is>
          <t>PPM SD</t>
        </is>
      </c>
      <c r="E4" s="2" t="inlineStr">
        <is>
          <t>Has Peaks (%)</t>
        </is>
      </c>
      <c r="F4" s="2" t="inlineStr">
        <is>
          <t>Peak Count mean</t>
        </is>
      </c>
      <c r="G4" s="2" t="inlineStr">
        <is>
          <t>Peak amplitude mean (microSiemens)</t>
        </is>
      </c>
      <c r="H4" s="2" t="inlineStr">
        <is>
          <t>n with amplitude</t>
        </is>
      </c>
      <c r="I4" s="2" t="inlineStr">
        <is>
          <t>Heart rate mean (BPM)</t>
        </is>
      </c>
      <c r="J4" s="2" t="inlineStr">
        <is>
          <t>Heart rate SD (BPM)</t>
        </is>
      </c>
      <c r="K4" s="2" t="inlineStr">
        <is>
          <t>SNR mean (dB)</t>
        </is>
      </c>
      <c r="L4" s="2" t="inlineStr">
        <is>
          <t>Signal missing mean (%)</t>
        </is>
      </c>
    </row>
    <row r="5">
      <c r="A5" s="8" t="inlineStr">
        <is>
          <t>Baseline_Nike</t>
        </is>
      </c>
      <c r="B5" s="8">
        <f>COUNTIFS(Data!$G$2:$G$181,$A5,Data!$X$2:$X$181,"Yes")</f>
        <v/>
      </c>
      <c r="C5" s="9">
        <f>AVERAGEIFS(Data!$N$2:$N$181,Data!$G$2:$G$181,$A5,Data!$X$2:$X$181,"Yes")</f>
        <v/>
      </c>
      <c r="D5" s="9">
        <f t="array" ref="D5">_xlfn.STDEV.S(IF((Data!$G$2:$G$181=$A5)*(Data!$X$2:$X$181="Yes"),Data!$N$2:$N$181))</f>
        <v/>
      </c>
      <c r="E5" s="9">
        <f>100*AVERAGEIFS(Data!$L$2:$L$181,Data!$G$2:$G$181,$A5,Data!$X$2:$X$181,"Yes")</f>
        <v/>
      </c>
      <c r="F5" s="9">
        <f>AVERAGEIFS(Data!$M$2:$M$181,Data!$G$2:$G$181,$A5,Data!$X$2:$X$181,"Yes")</f>
        <v/>
      </c>
      <c r="G5" s="9">
        <f>AVERAGEIFS(Data!$O$2:$O$181,Data!$G$2:$G$181,$A5,Data!$X$2:$X$181,"Yes")</f>
        <v/>
      </c>
      <c r="H5" s="9">
        <f>COUNTIFS(Data!$G$2:$G$181,$A5,Data!$X$2:$X$181,"Yes",Data!$O$2:$O$181,"&gt;0")</f>
        <v/>
      </c>
      <c r="I5" s="9">
        <f>AVERAGEIFS(Data!$S$2:$S$181,Data!$G$2:$G$181,$A5,Data!$X$2:$X$181,"Yes")</f>
        <v/>
      </c>
      <c r="J5" s="9">
        <f t="array" ref="J5">_xlfn.STDEV.S(IF((Data!$G$2:$G$181=$A5)*(Data!$X$2:$X$181="Yes"),Data!$S$2:$S$181))</f>
        <v/>
      </c>
      <c r="K5" s="9">
        <f>AVERAGEIFS(Data!$Q$2:$Q$181,Data!$G$2:$G$181,$A5,Data!$X$2:$X$181,"Yes")</f>
        <v/>
      </c>
      <c r="L5" s="9">
        <f>AVERAGEIFS(Data!$R$2:$R$181,Data!$G$2:$G$181,$A5,Data!$X$2:$X$181,"Yes")</f>
        <v/>
      </c>
    </row>
    <row r="6">
      <c r="A6" s="8" t="inlineStr">
        <is>
          <t>Nike_Commercial</t>
        </is>
      </c>
      <c r="B6" s="8">
        <f>COUNTIFS(Data!$G$2:$G$181,$A6,Data!$X$2:$X$181,"Yes")</f>
        <v/>
      </c>
      <c r="C6" s="9">
        <f>AVERAGEIFS(Data!$N$2:$N$181,Data!$G$2:$G$181,$A6,Data!$X$2:$X$181,"Yes")</f>
        <v/>
      </c>
      <c r="D6" s="9">
        <f t="array" ref="D6">_xlfn.STDEV.S(IF((Data!$G$2:$G$181=$A6)*(Data!$X$2:$X$181="Yes"),Data!$N$2:$N$181))</f>
        <v/>
      </c>
      <c r="E6" s="9">
        <f>100*AVERAGEIFS(Data!$L$2:$L$181,Data!$G$2:$G$181,$A6,Data!$X$2:$X$181,"Yes")</f>
        <v/>
      </c>
      <c r="F6" s="9">
        <f>AVERAGEIFS(Data!$M$2:$M$181,Data!$G$2:$G$181,$A6,Data!$X$2:$X$181,"Yes")</f>
        <v/>
      </c>
      <c r="G6" s="9">
        <f>AVERAGEIFS(Data!$O$2:$O$181,Data!$G$2:$G$181,$A6,Data!$X$2:$X$181,"Yes")</f>
        <v/>
      </c>
      <c r="H6" s="9">
        <f>COUNTIFS(Data!$G$2:$G$181,$A6,Data!$X$2:$X$181,"Yes",Data!$O$2:$O$181,"&gt;0")</f>
        <v/>
      </c>
      <c r="I6" s="9">
        <f>AVERAGEIFS(Data!$S$2:$S$181,Data!$G$2:$G$181,$A6,Data!$X$2:$X$181,"Yes")</f>
        <v/>
      </c>
      <c r="J6" s="9">
        <f t="array" ref="J6">_xlfn.STDEV.S(IF((Data!$G$2:$G$181=$A6)*(Data!$X$2:$X$181="Yes"),Data!$S$2:$S$181))</f>
        <v/>
      </c>
      <c r="K6" s="9">
        <f>AVERAGEIFS(Data!$Q$2:$Q$181,Data!$G$2:$G$181,$A6,Data!$X$2:$X$181,"Yes")</f>
        <v/>
      </c>
      <c r="L6" s="9">
        <f>AVERAGEIFS(Data!$R$2:$R$181,Data!$G$2:$G$181,$A6,Data!$X$2:$X$181,"Yes")</f>
        <v/>
      </c>
    </row>
    <row r="7">
      <c r="A7" s="8" t="inlineStr">
        <is>
          <t>Recovery_Nike</t>
        </is>
      </c>
      <c r="B7" s="8">
        <f>COUNTIFS(Data!$G$2:$G$181,$A7,Data!$X$2:$X$181,"Yes")</f>
        <v/>
      </c>
      <c r="C7" s="9">
        <f>AVERAGEIFS(Data!$N$2:$N$181,Data!$G$2:$G$181,$A7,Data!$X$2:$X$181,"Yes")</f>
        <v/>
      </c>
      <c r="D7" s="9">
        <f t="array" ref="D7">_xlfn.STDEV.S(IF((Data!$G$2:$G$181=$A7)*(Data!$X$2:$X$181="Yes"),Data!$N$2:$N$181))</f>
        <v/>
      </c>
      <c r="E7" s="9">
        <f>100*AVERAGEIFS(Data!$L$2:$L$181,Data!$G$2:$G$181,$A7,Data!$X$2:$X$181,"Yes")</f>
        <v/>
      </c>
      <c r="F7" s="9">
        <f>AVERAGEIFS(Data!$M$2:$M$181,Data!$G$2:$G$181,$A7,Data!$X$2:$X$181,"Yes")</f>
        <v/>
      </c>
      <c r="G7" s="9">
        <f>AVERAGEIFS(Data!$O$2:$O$181,Data!$G$2:$G$181,$A7,Data!$X$2:$X$181,"Yes")</f>
        <v/>
      </c>
      <c r="H7" s="9">
        <f>COUNTIFS(Data!$G$2:$G$181,$A7,Data!$X$2:$X$181,"Yes",Data!$O$2:$O$181,"&gt;0")</f>
        <v/>
      </c>
      <c r="I7" s="9">
        <f>AVERAGEIFS(Data!$S$2:$S$181,Data!$G$2:$G$181,$A7,Data!$X$2:$X$181,"Yes")</f>
        <v/>
      </c>
      <c r="J7" s="9">
        <f t="array" ref="J7">_xlfn.STDEV.S(IF((Data!$G$2:$G$181=$A7)*(Data!$X$2:$X$181="Yes"),Data!$S$2:$S$181))</f>
        <v/>
      </c>
      <c r="K7" s="9">
        <f>AVERAGEIFS(Data!$Q$2:$Q$181,Data!$G$2:$G$181,$A7,Data!$X$2:$X$181,"Yes")</f>
        <v/>
      </c>
      <c r="L7" s="9">
        <f>AVERAGEIFS(Data!$R$2:$R$181,Data!$G$2:$G$181,$A7,Data!$X$2:$X$181,"Yes")</f>
        <v/>
      </c>
    </row>
    <row r="8">
      <c r="A8" s="8" t="inlineStr">
        <is>
          <t>Baseline_elf</t>
        </is>
      </c>
      <c r="B8" s="8">
        <f>COUNTIFS(Data!$G$2:$G$181,$A8,Data!$X$2:$X$181,"Yes")</f>
        <v/>
      </c>
      <c r="C8" s="9">
        <f>AVERAGEIFS(Data!$N$2:$N$181,Data!$G$2:$G$181,$A8,Data!$X$2:$X$181,"Yes")</f>
        <v/>
      </c>
      <c r="D8" s="9">
        <f t="array" ref="D8">_xlfn.STDEV.S(IF((Data!$G$2:$G$181=$A8)*(Data!$X$2:$X$181="Yes"),Data!$N$2:$N$181))</f>
        <v/>
      </c>
      <c r="E8" s="9">
        <f>100*AVERAGEIFS(Data!$L$2:$L$181,Data!$G$2:$G$181,$A8,Data!$X$2:$X$181,"Yes")</f>
        <v/>
      </c>
      <c r="F8" s="9">
        <f>AVERAGEIFS(Data!$M$2:$M$181,Data!$G$2:$G$181,$A8,Data!$X$2:$X$181,"Yes")</f>
        <v/>
      </c>
      <c r="G8" s="9">
        <f>AVERAGEIFS(Data!$O$2:$O$181,Data!$G$2:$G$181,$A8,Data!$X$2:$X$181,"Yes")</f>
        <v/>
      </c>
      <c r="H8" s="9">
        <f>COUNTIFS(Data!$G$2:$G$181,$A8,Data!$X$2:$X$181,"Yes",Data!$O$2:$O$181,"&gt;0")</f>
        <v/>
      </c>
      <c r="I8" s="9">
        <f>AVERAGEIFS(Data!$S$2:$S$181,Data!$G$2:$G$181,$A8,Data!$X$2:$X$181,"Yes")</f>
        <v/>
      </c>
      <c r="J8" s="9">
        <f t="array" ref="J8">_xlfn.STDEV.S(IF((Data!$G$2:$G$181=$A8)*(Data!$X$2:$X$181="Yes"),Data!$S$2:$S$181))</f>
        <v/>
      </c>
      <c r="K8" s="9">
        <f>AVERAGEIFS(Data!$Q$2:$Q$181,Data!$G$2:$G$181,$A8,Data!$X$2:$X$181,"Yes")</f>
        <v/>
      </c>
      <c r="L8" s="9">
        <f>AVERAGEIFS(Data!$R$2:$R$181,Data!$G$2:$G$181,$A8,Data!$X$2:$X$181,"Yes")</f>
        <v/>
      </c>
    </row>
    <row r="9">
      <c r="A9" s="8" t="inlineStr">
        <is>
          <t>elf_Commercial</t>
        </is>
      </c>
      <c r="B9" s="8">
        <f>COUNTIFS(Data!$G$2:$G$181,$A9,Data!$X$2:$X$181,"Yes")</f>
        <v/>
      </c>
      <c r="C9" s="9">
        <f>AVERAGEIFS(Data!$N$2:$N$181,Data!$G$2:$G$181,$A9,Data!$X$2:$X$181,"Yes")</f>
        <v/>
      </c>
      <c r="D9" s="9">
        <f t="array" ref="D9">_xlfn.STDEV.S(IF((Data!$G$2:$G$181=$A9)*(Data!$X$2:$X$181="Yes"),Data!$N$2:$N$181))</f>
        <v/>
      </c>
      <c r="E9" s="9">
        <f>100*AVERAGEIFS(Data!$L$2:$L$181,Data!$G$2:$G$181,$A9,Data!$X$2:$X$181,"Yes")</f>
        <v/>
      </c>
      <c r="F9" s="9">
        <f>AVERAGEIFS(Data!$M$2:$M$181,Data!$G$2:$G$181,$A9,Data!$X$2:$X$181,"Yes")</f>
        <v/>
      </c>
      <c r="G9" s="9">
        <f>AVERAGEIFS(Data!$O$2:$O$181,Data!$G$2:$G$181,$A9,Data!$X$2:$X$181,"Yes")</f>
        <v/>
      </c>
      <c r="H9" s="9">
        <f>COUNTIFS(Data!$G$2:$G$181,$A9,Data!$X$2:$X$181,"Yes",Data!$O$2:$O$181,"&gt;0")</f>
        <v/>
      </c>
      <c r="I9" s="9">
        <f>AVERAGEIFS(Data!$S$2:$S$181,Data!$G$2:$G$181,$A9,Data!$X$2:$X$181,"Yes")</f>
        <v/>
      </c>
      <c r="J9" s="9">
        <f t="array" ref="J9">_xlfn.STDEV.S(IF((Data!$G$2:$G$181=$A9)*(Data!$X$2:$X$181="Yes"),Data!$S$2:$S$181))</f>
        <v/>
      </c>
      <c r="K9" s="9">
        <f>AVERAGEIFS(Data!$Q$2:$Q$181,Data!$G$2:$G$181,$A9,Data!$X$2:$X$181,"Yes")</f>
        <v/>
      </c>
      <c r="L9" s="9">
        <f>AVERAGEIFS(Data!$R$2:$R$181,Data!$G$2:$G$181,$A9,Data!$X$2:$X$181,"Yes")</f>
        <v/>
      </c>
    </row>
    <row r="10">
      <c r="A10" s="8" t="inlineStr">
        <is>
          <t>Recovery_elf</t>
        </is>
      </c>
      <c r="B10" s="8">
        <f>COUNTIFS(Data!$G$2:$G$181,$A10,Data!$X$2:$X$181,"Yes")</f>
        <v/>
      </c>
      <c r="C10" s="9">
        <f>AVERAGEIFS(Data!$N$2:$N$181,Data!$G$2:$G$181,$A10,Data!$X$2:$X$181,"Yes")</f>
        <v/>
      </c>
      <c r="D10" s="9">
        <f t="array" ref="D10">_xlfn.STDEV.S(IF((Data!$G$2:$G$181=$A10)*(Data!$X$2:$X$181="Yes"),Data!$N$2:$N$181))</f>
        <v/>
      </c>
      <c r="E10" s="9">
        <f>100*AVERAGEIFS(Data!$L$2:$L$181,Data!$G$2:$G$181,$A10,Data!$X$2:$X$181,"Yes")</f>
        <v/>
      </c>
      <c r="F10" s="9">
        <f>AVERAGEIFS(Data!$M$2:$M$181,Data!$G$2:$G$181,$A10,Data!$X$2:$X$181,"Yes")</f>
        <v/>
      </c>
      <c r="G10" s="9">
        <f>AVERAGEIFS(Data!$O$2:$O$181,Data!$G$2:$G$181,$A10,Data!$X$2:$X$181,"Yes")</f>
        <v/>
      </c>
      <c r="H10" s="9">
        <f>COUNTIFS(Data!$G$2:$G$181,$A10,Data!$X$2:$X$181,"Yes",Data!$O$2:$O$181,"&gt;0")</f>
        <v/>
      </c>
      <c r="I10" s="9">
        <f>AVERAGEIFS(Data!$S$2:$S$181,Data!$G$2:$G$181,$A10,Data!$X$2:$X$181,"Yes")</f>
        <v/>
      </c>
      <c r="J10" s="9">
        <f t="array" ref="J10">_xlfn.STDEV.S(IF((Data!$G$2:$G$181=$A10)*(Data!$X$2:$X$181="Yes"),Data!$S$2:$S$181))</f>
        <v/>
      </c>
      <c r="K10" s="9">
        <f>AVERAGEIFS(Data!$Q$2:$Q$181,Data!$G$2:$G$181,$A10,Data!$X$2:$X$181,"Yes")</f>
        <v/>
      </c>
      <c r="L10" s="9">
        <f>AVERAGEIFS(Data!$R$2:$R$181,Data!$G$2:$G$181,$A10,Data!$X$2:$X$181,"Yes")</f>
        <v/>
      </c>
    </row>
    <row r="11"/>
    <row r="12">
      <c r="A12" s="7" t="inlineStr">
        <is>
          <t>Array formulas (columns D and J): Excel 365 evaluates them with Enter; Excel 2019 or older needs Ctrl+Shift+Enter after editing.</t>
        </is>
      </c>
    </row>
    <row r="13">
      <c r="A13" s="10" t="inlineStr">
        <is>
          <t>Why Peaks Per Minute uses Signal Duration (kept respondents)</t>
        </is>
      </c>
    </row>
    <row r="14">
      <c r="A14" t="inlineStr">
        <is>
          <t>Rows with Signal Duration shorter than Duration</t>
        </is>
      </c>
      <c r="B14" s="11">
        <f>SUMPRODUCT(--(Data!$J$2:$J$181&lt;Data!$I$2:$I$181),--(Data!$X$2:$X$181="Yes"))</f>
        <v/>
      </c>
    </row>
    <row r="15">
      <c r="A15" t="inlineStr">
        <is>
          <t>Largest understatement if Duration were used (peaks per minute)</t>
        </is>
      </c>
      <c r="B15" s="5">
        <f>SUMPRODUCT(MAX((Data!$X$2:$X$181="Yes")*(Data!$Z$2:$Z$181-Data!$AA$2:$AA$181)))</f>
        <v/>
      </c>
    </row>
    <row r="16">
      <c r="A16" t="inlineStr">
        <is>
          <t>Largest gap between the exported Peaks Per Minute and PPM_recalc (all rows)</t>
        </is>
      </c>
      <c r="B16" s="12">
        <f>SUMPRODUCT(MAX(ABS(Data!$N$2:$N$181-Data!$Z$2:$Z$181)))</f>
        <v/>
      </c>
    </row>
    <row r="17">
      <c r="A17" s="10" t="inlineStr">
        <is>
          <t>Device check (kept respondents; the analysis pools the two devices)</t>
        </is>
      </c>
    </row>
    <row r="18">
      <c r="A18" s="2" t="inlineStr">
        <is>
          <t>Device</t>
        </is>
      </c>
      <c r="B18" s="2" t="inlineStr">
        <is>
          <t>Rows</t>
        </is>
      </c>
      <c r="C18" s="2" t="inlineStr">
        <is>
          <t>SNR mean (dB)</t>
        </is>
      </c>
      <c r="D18" s="2" t="inlineStr">
        <is>
          <t>PPM mean (baselines and commercials)</t>
        </is>
      </c>
    </row>
    <row r="19">
      <c r="A19" t="inlineStr">
        <is>
          <t>Shimmer3-8956</t>
        </is>
      </c>
      <c r="B19">
        <f>COUNTIFS(Data!$P$2:$P$181,$A19,Data!$X$2:$X$181,"Yes")</f>
        <v/>
      </c>
      <c r="C19" s="13">
        <f>AVERAGEIFS(Data!$Q$2:$Q$181,Data!$P$2:$P$181,$A19,Data!$X$2:$X$181,"Yes")</f>
        <v/>
      </c>
      <c r="D19" s="13">
        <f>AVERAGEIFS(Data!$N$2:$N$181,Data!$P$2:$P$181,$A19,Data!$X$2:$X$181,"Yes",Data!$U$2:$U$181,"&lt;&gt;Recovery")</f>
        <v/>
      </c>
    </row>
    <row r="20">
      <c r="A20" t="inlineStr">
        <is>
          <t>Shimmer3-B</t>
        </is>
      </c>
      <c r="B20">
        <f>COUNTIFS(Data!$P$2:$P$181,$A20,Data!$X$2:$X$181,"Yes")</f>
        <v/>
      </c>
      <c r="C20" s="13">
        <f>AVERAGEIFS(Data!$Q$2:$Q$181,Data!$P$2:$P$181,$A20,Data!$X$2:$X$181,"Yes")</f>
        <v/>
      </c>
      <c r="D20" s="13">
        <f>AVERAGEIFS(Data!$N$2:$N$181,Data!$P$2:$P$181,$A20,Data!$X$2:$X$181,"Yes",Data!$U$2:$U$181,"&lt;&gt;Recovery")</f>
        <v/>
      </c>
    </row>
    <row r="23">
      <c r="A23" s="10" t="inlineStr">
        <is>
          <t>Chart table: mean Peaks Per Minute by stimulus</t>
        </is>
      </c>
    </row>
    <row r="24">
      <c r="A24" t="inlineStr">
        <is>
          <t>Stimulus</t>
        </is>
      </c>
      <c r="B24" t="inlineStr">
        <is>
          <t>Mean PPM</t>
        </is>
      </c>
    </row>
    <row r="25">
      <c r="A25" t="inlineStr">
        <is>
          <t>Baseline_Nike</t>
        </is>
      </c>
      <c r="B25" s="13">
        <f>C5</f>
        <v/>
      </c>
    </row>
    <row r="26">
      <c r="A26" t="inlineStr">
        <is>
          <t>Nike_Commercial</t>
        </is>
      </c>
      <c r="B26" s="13">
        <f>C6</f>
        <v/>
      </c>
    </row>
    <row r="27">
      <c r="A27" t="inlineStr">
        <is>
          <t>Recovery_Nike</t>
        </is>
      </c>
      <c r="B27" s="13">
        <f>C7</f>
        <v/>
      </c>
    </row>
    <row r="28">
      <c r="A28" t="inlineStr">
        <is>
          <t>Baseline_elf</t>
        </is>
      </c>
      <c r="B28" s="13">
        <f>C8</f>
        <v/>
      </c>
    </row>
    <row r="29">
      <c r="A29" t="inlineStr">
        <is>
          <t>elf_Commercial</t>
        </is>
      </c>
      <c r="B29" s="13">
        <f>C9</f>
        <v/>
      </c>
    </row>
    <row r="30">
      <c r="A30" t="inlineStr">
        <is>
          <t>Recovery_elf</t>
        </is>
      </c>
      <c r="B30" s="13">
        <f>C10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4" customWidth="1" min="4" max="4"/>
    <col width="16" customWidth="1" min="5" max="5"/>
    <col width="22" customWidth="1" min="6" max="6"/>
    <col width="14" customWidth="1" min="7" max="7"/>
    <col width="16" customWidth="1" min="8" max="8"/>
    <col width="22" customWidth="1" min="9" max="9"/>
    <col width="14" customWidth="1" min="10" max="10"/>
    <col width="14" customWidth="1" min="11" max="11"/>
    <col width="16" customWidth="1" min="12" max="12"/>
    <col width="16" customWidth="1" min="13" max="13"/>
    <col width="3" customWidth="1" min="14" max="14"/>
    <col width="60" customWidth="1" min="15" max="15"/>
    <col width="12" customWidth="1" min="16" max="16"/>
    <col width="76" customWidth="1" min="17" max="17"/>
    <col width="60" customWidth="1" min="18" max="18"/>
  </cols>
  <sheetData>
    <row r="1">
      <c r="A1" s="6" t="inlineStr">
        <is>
          <t>H1. Peaks Per Minute in each commercial versus its own baseline, kept respondents. SIMULATED data.</t>
        </is>
      </c>
    </row>
    <row r="2">
      <c r="A2" s="7" t="inlineStr">
        <is>
          <t>One row per kept respondent; responders in rows 5 to 29, the 3 nonresponders in rows 30 to 32. Columns D, E, G, H pull Peaks Per Minute from the Data sheet with SUMIFS (each respondent has exactly one row per stimulus); J and K pull the self reported arousal. Differences are commercial MINUS baseline.</t>
        </is>
      </c>
    </row>
    <row r="4" ht="48" customHeight="1">
      <c r="A4" s="2" t="inlineStr">
        <is>
          <t>Respondent Name</t>
        </is>
      </c>
      <c r="B4" s="2" t="inlineStr">
        <is>
          <t>Group (order)</t>
        </is>
      </c>
      <c r="C4" s="2" t="inlineStr">
        <is>
          <t>Nonresponder</t>
        </is>
      </c>
      <c r="D4" s="2" t="inlineStr">
        <is>
          <t>Baseline_Nike PPM</t>
        </is>
      </c>
      <c r="E4" s="2" t="inlineStr">
        <is>
          <t>Nike_Commercial PPM</t>
        </is>
      </c>
      <c r="F4" s="2" t="inlineStr">
        <is>
          <t>Difference Nike (commercial minus baseline)</t>
        </is>
      </c>
      <c r="G4" s="2" t="inlineStr">
        <is>
          <t>Baseline_elf PPM</t>
        </is>
      </c>
      <c r="H4" s="2" t="inlineStr">
        <is>
          <t>elf_Commercial PPM</t>
        </is>
      </c>
      <c r="I4" s="2" t="inlineStr">
        <is>
          <t>Difference e.l.f. (commercial minus baseline)</t>
        </is>
      </c>
      <c r="J4" s="2" t="inlineStr">
        <is>
          <t>Arousal_Nike_1to9</t>
        </is>
      </c>
      <c r="K4" s="2" t="inlineStr">
        <is>
          <t>Arousal_elf_1to9</t>
        </is>
      </c>
      <c r="L4" s="2" t="inlineStr">
        <is>
          <t>Mean arousal (both commercials)</t>
        </is>
      </c>
      <c r="M4" s="2" t="inlineStr">
        <is>
          <t>Mean commercial PPM (both)</t>
        </is>
      </c>
      <c r="O4" s="14" t="inlineStr">
        <is>
          <t>Statistic</t>
        </is>
      </c>
      <c r="P4" s="14" t="inlineStr">
        <is>
          <t>Value</t>
        </is>
      </c>
      <c r="Q4" s="14" t="inlineStr">
        <is>
          <t>Formula shown</t>
        </is>
      </c>
      <c r="R4" s="14" t="inlineStr">
        <is>
          <t>Note</t>
        </is>
      </c>
    </row>
    <row r="5">
      <c r="A5" s="8" t="inlineStr">
        <is>
          <t>P01</t>
        </is>
      </c>
      <c r="B5" s="8">
        <f>INDEX(Data!$E$2:$E$181,MATCH($A5,Data!$B$2:$B$181,0))</f>
        <v/>
      </c>
      <c r="C5" s="8">
        <f>INDEX(Data!$Y$2:$Y$181,MATCH($A5,Data!$B$2:$B$181,0))</f>
        <v/>
      </c>
      <c r="D5" s="9">
        <f>SUMIFS(Data!$N$2:$N$181,Data!$B$2:$B$181,$A5,Data!$G$2:$G$181,"Baseline_Nike")</f>
        <v/>
      </c>
      <c r="E5" s="9">
        <f>SUMIFS(Data!$N$2:$N$181,Data!$B$2:$B$181,$A5,Data!$G$2:$G$181,"Nike_Commercial")</f>
        <v/>
      </c>
      <c r="F5" s="9">
        <f>E5-D5</f>
        <v/>
      </c>
      <c r="G5" s="9">
        <f>SUMIFS(Data!$N$2:$N$181,Data!$B$2:$B$181,$A5,Data!$G$2:$G$181,"Baseline_elf")</f>
        <v/>
      </c>
      <c r="H5" s="9">
        <f>SUMIFS(Data!$N$2:$N$181,Data!$B$2:$B$181,$A5,Data!$G$2:$G$181,"elf_Commercial")</f>
        <v/>
      </c>
      <c r="I5" s="9">
        <f>H5-G5</f>
        <v/>
      </c>
      <c r="J5" s="8">
        <f>SUMIFS(Data!$T$2:$T$181,Data!$B$2:$B$181,$A5,Data!$G$2:$G$181,"Nike_Commercial")</f>
        <v/>
      </c>
      <c r="K5" s="8">
        <f>SUMIFS(Data!$T$2:$T$181,Data!$B$2:$B$181,$A5,Data!$G$2:$G$181,"elf_Commercial")</f>
        <v/>
      </c>
      <c r="L5" s="8">
        <f>(J5+K5)/2</f>
        <v/>
      </c>
      <c r="M5" s="9">
        <f>(E5+H5)/2</f>
        <v/>
      </c>
      <c r="O5" s="15" t="inlineStr">
        <is>
          <t>Nike: paired t test and d_z, all kept respondents (Peaks Per Minute)</t>
        </is>
      </c>
    </row>
    <row r="6">
      <c r="A6" s="8" t="inlineStr">
        <is>
          <t>P02</t>
        </is>
      </c>
      <c r="B6" s="8">
        <f>INDEX(Data!$E$2:$E$181,MATCH($A6,Data!$B$2:$B$181,0))</f>
        <v/>
      </c>
      <c r="C6" s="8">
        <f>INDEX(Data!$Y$2:$Y$181,MATCH($A6,Data!$B$2:$B$181,0))</f>
        <v/>
      </c>
      <c r="D6" s="9">
        <f>SUMIFS(Data!$N$2:$N$181,Data!$B$2:$B$181,$A6,Data!$G$2:$G$181,"Baseline_Nike")</f>
        <v/>
      </c>
      <c r="E6" s="9">
        <f>SUMIFS(Data!$N$2:$N$181,Data!$B$2:$B$181,$A6,Data!$G$2:$G$181,"Nike_Commercial")</f>
        <v/>
      </c>
      <c r="F6" s="9">
        <f>E6-D6</f>
        <v/>
      </c>
      <c r="G6" s="9">
        <f>SUMIFS(Data!$N$2:$N$181,Data!$B$2:$B$181,$A6,Data!$G$2:$G$181,"Baseline_elf")</f>
        <v/>
      </c>
      <c r="H6" s="9">
        <f>SUMIFS(Data!$N$2:$N$181,Data!$B$2:$B$181,$A6,Data!$G$2:$G$181,"elf_Commercial")</f>
        <v/>
      </c>
      <c r="I6" s="9">
        <f>H6-G6</f>
        <v/>
      </c>
      <c r="J6" s="8">
        <f>SUMIFS(Data!$T$2:$T$181,Data!$B$2:$B$181,$A6,Data!$G$2:$G$181,"Nike_Commercial")</f>
        <v/>
      </c>
      <c r="K6" s="8">
        <f>SUMIFS(Data!$T$2:$T$181,Data!$B$2:$B$181,$A6,Data!$G$2:$G$181,"elf_Commercial")</f>
        <v/>
      </c>
      <c r="L6" s="8">
        <f>(J6+K6)/2</f>
        <v/>
      </c>
      <c r="M6" s="9">
        <f>(E6+H6)/2</f>
        <v/>
      </c>
      <c r="O6" t="inlineStr">
        <is>
          <t>Baseline_Nike mean (peaks per minute)</t>
        </is>
      </c>
      <c r="P6" s="12">
        <f>AVERAGE(D5:D32)</f>
        <v/>
      </c>
      <c r="Q6" s="16" t="inlineStr">
        <is>
          <t>=AVERAGE(D5:D32)</t>
        </is>
      </c>
      <c r="R6" s="7" t="inlineStr">
        <is>
          <t>AVERAGE of the reference column</t>
        </is>
      </c>
    </row>
    <row r="7">
      <c r="A7" s="8" t="inlineStr">
        <is>
          <t>P04</t>
        </is>
      </c>
      <c r="B7" s="8">
        <f>INDEX(Data!$E$2:$E$181,MATCH($A7,Data!$B$2:$B$181,0))</f>
        <v/>
      </c>
      <c r="C7" s="8">
        <f>INDEX(Data!$Y$2:$Y$181,MATCH($A7,Data!$B$2:$B$181,0))</f>
        <v/>
      </c>
      <c r="D7" s="9">
        <f>SUMIFS(Data!$N$2:$N$181,Data!$B$2:$B$181,$A7,Data!$G$2:$G$181,"Baseline_Nike")</f>
        <v/>
      </c>
      <c r="E7" s="9">
        <f>SUMIFS(Data!$N$2:$N$181,Data!$B$2:$B$181,$A7,Data!$G$2:$G$181,"Nike_Commercial")</f>
        <v/>
      </c>
      <c r="F7" s="9">
        <f>E7-D7</f>
        <v/>
      </c>
      <c r="G7" s="9">
        <f>SUMIFS(Data!$N$2:$N$181,Data!$B$2:$B$181,$A7,Data!$G$2:$G$181,"Baseline_elf")</f>
        <v/>
      </c>
      <c r="H7" s="9">
        <f>SUMIFS(Data!$N$2:$N$181,Data!$B$2:$B$181,$A7,Data!$G$2:$G$181,"elf_Commercial")</f>
        <v/>
      </c>
      <c r="I7" s="9">
        <f>H7-G7</f>
        <v/>
      </c>
      <c r="J7" s="8">
        <f>SUMIFS(Data!$T$2:$T$181,Data!$B$2:$B$181,$A7,Data!$G$2:$G$181,"Nike_Commercial")</f>
        <v/>
      </c>
      <c r="K7" s="8">
        <f>SUMIFS(Data!$T$2:$T$181,Data!$B$2:$B$181,$A7,Data!$G$2:$G$181,"elf_Commercial")</f>
        <v/>
      </c>
      <c r="L7" s="8">
        <f>(J7+K7)/2</f>
        <v/>
      </c>
      <c r="M7" s="9">
        <f>(E7+H7)/2</f>
        <v/>
      </c>
      <c r="O7" t="inlineStr">
        <is>
          <t>Baseline_Nike SD (peaks per minute)</t>
        </is>
      </c>
      <c r="P7" s="12">
        <f>_xlfn.STDEV.S(D5:D32)</f>
        <v/>
      </c>
      <c r="Q7" s="16" t="inlineStr">
        <is>
          <t>=STDEV.S(D5:D32)</t>
        </is>
      </c>
      <c r="R7" s="7" t="inlineStr">
        <is>
          <t>STDEV.S = sample standard deviation</t>
        </is>
      </c>
    </row>
    <row r="8">
      <c r="A8" s="8" t="inlineStr">
        <is>
          <t>P05</t>
        </is>
      </c>
      <c r="B8" s="8">
        <f>INDEX(Data!$E$2:$E$181,MATCH($A8,Data!$B$2:$B$181,0))</f>
        <v/>
      </c>
      <c r="C8" s="8">
        <f>INDEX(Data!$Y$2:$Y$181,MATCH($A8,Data!$B$2:$B$181,0))</f>
        <v/>
      </c>
      <c r="D8" s="9">
        <f>SUMIFS(Data!$N$2:$N$181,Data!$B$2:$B$181,$A8,Data!$G$2:$G$181,"Baseline_Nike")</f>
        <v/>
      </c>
      <c r="E8" s="9">
        <f>SUMIFS(Data!$N$2:$N$181,Data!$B$2:$B$181,$A8,Data!$G$2:$G$181,"Nike_Commercial")</f>
        <v/>
      </c>
      <c r="F8" s="9">
        <f>E8-D8</f>
        <v/>
      </c>
      <c r="G8" s="9">
        <f>SUMIFS(Data!$N$2:$N$181,Data!$B$2:$B$181,$A8,Data!$G$2:$G$181,"Baseline_elf")</f>
        <v/>
      </c>
      <c r="H8" s="9">
        <f>SUMIFS(Data!$N$2:$N$181,Data!$B$2:$B$181,$A8,Data!$G$2:$G$181,"elf_Commercial")</f>
        <v/>
      </c>
      <c r="I8" s="9">
        <f>H8-G8</f>
        <v/>
      </c>
      <c r="J8" s="8">
        <f>SUMIFS(Data!$T$2:$T$181,Data!$B$2:$B$181,$A8,Data!$G$2:$G$181,"Nike_Commercial")</f>
        <v/>
      </c>
      <c r="K8" s="8">
        <f>SUMIFS(Data!$T$2:$T$181,Data!$B$2:$B$181,$A8,Data!$G$2:$G$181,"elf_Commercial")</f>
        <v/>
      </c>
      <c r="L8" s="8">
        <f>(J8+K8)/2</f>
        <v/>
      </c>
      <c r="M8" s="9">
        <f>(E8+H8)/2</f>
        <v/>
      </c>
      <c r="O8" t="inlineStr">
        <is>
          <t>Nike_Commercial mean (peaks per minute)</t>
        </is>
      </c>
      <c r="P8" s="12">
        <f>AVERAGE(E5:E32)</f>
        <v/>
      </c>
      <c r="Q8" s="16" t="inlineStr">
        <is>
          <t>=AVERAGE(E5:E32)</t>
        </is>
      </c>
    </row>
    <row r="9">
      <c r="A9" s="8" t="inlineStr">
        <is>
          <t>P06</t>
        </is>
      </c>
      <c r="B9" s="8">
        <f>INDEX(Data!$E$2:$E$181,MATCH($A9,Data!$B$2:$B$181,0))</f>
        <v/>
      </c>
      <c r="C9" s="8">
        <f>INDEX(Data!$Y$2:$Y$181,MATCH($A9,Data!$B$2:$B$181,0))</f>
        <v/>
      </c>
      <c r="D9" s="9">
        <f>SUMIFS(Data!$N$2:$N$181,Data!$B$2:$B$181,$A9,Data!$G$2:$G$181,"Baseline_Nike")</f>
        <v/>
      </c>
      <c r="E9" s="9">
        <f>SUMIFS(Data!$N$2:$N$181,Data!$B$2:$B$181,$A9,Data!$G$2:$G$181,"Nike_Commercial")</f>
        <v/>
      </c>
      <c r="F9" s="9">
        <f>E9-D9</f>
        <v/>
      </c>
      <c r="G9" s="9">
        <f>SUMIFS(Data!$N$2:$N$181,Data!$B$2:$B$181,$A9,Data!$G$2:$G$181,"Baseline_elf")</f>
        <v/>
      </c>
      <c r="H9" s="9">
        <f>SUMIFS(Data!$N$2:$N$181,Data!$B$2:$B$181,$A9,Data!$G$2:$G$181,"elf_Commercial")</f>
        <v/>
      </c>
      <c r="I9" s="9">
        <f>H9-G9</f>
        <v/>
      </c>
      <c r="J9" s="8">
        <f>SUMIFS(Data!$T$2:$T$181,Data!$B$2:$B$181,$A9,Data!$G$2:$G$181,"Nike_Commercial")</f>
        <v/>
      </c>
      <c r="K9" s="8">
        <f>SUMIFS(Data!$T$2:$T$181,Data!$B$2:$B$181,$A9,Data!$G$2:$G$181,"elf_Commercial")</f>
        <v/>
      </c>
      <c r="L9" s="8">
        <f>(J9+K9)/2</f>
        <v/>
      </c>
      <c r="M9" s="9">
        <f>(E9+H9)/2</f>
        <v/>
      </c>
      <c r="O9" t="inlineStr">
        <is>
          <t>Nike_Commercial SD (peaks per minute)</t>
        </is>
      </c>
      <c r="P9" s="12">
        <f>_xlfn.STDEV.S(E5:E32)</f>
        <v/>
      </c>
      <c r="Q9" s="16" t="inlineStr">
        <is>
          <t>=STDEV.S(E5:E32)</t>
        </is>
      </c>
    </row>
    <row r="10">
      <c r="A10" s="8" t="inlineStr">
        <is>
          <t>P07</t>
        </is>
      </c>
      <c r="B10" s="8">
        <f>INDEX(Data!$E$2:$E$181,MATCH($A10,Data!$B$2:$B$181,0))</f>
        <v/>
      </c>
      <c r="C10" s="8">
        <f>INDEX(Data!$Y$2:$Y$181,MATCH($A10,Data!$B$2:$B$181,0))</f>
        <v/>
      </c>
      <c r="D10" s="9">
        <f>SUMIFS(Data!$N$2:$N$181,Data!$B$2:$B$181,$A10,Data!$G$2:$G$181,"Baseline_Nike")</f>
        <v/>
      </c>
      <c r="E10" s="9">
        <f>SUMIFS(Data!$N$2:$N$181,Data!$B$2:$B$181,$A10,Data!$G$2:$G$181,"Nike_Commercial")</f>
        <v/>
      </c>
      <c r="F10" s="9">
        <f>E10-D10</f>
        <v/>
      </c>
      <c r="G10" s="9">
        <f>SUMIFS(Data!$N$2:$N$181,Data!$B$2:$B$181,$A10,Data!$G$2:$G$181,"Baseline_elf")</f>
        <v/>
      </c>
      <c r="H10" s="9">
        <f>SUMIFS(Data!$N$2:$N$181,Data!$B$2:$B$181,$A10,Data!$G$2:$G$181,"elf_Commercial")</f>
        <v/>
      </c>
      <c r="I10" s="9">
        <f>H10-G10</f>
        <v/>
      </c>
      <c r="J10" s="8">
        <f>SUMIFS(Data!$T$2:$T$181,Data!$B$2:$B$181,$A10,Data!$G$2:$G$181,"Nike_Commercial")</f>
        <v/>
      </c>
      <c r="K10" s="8">
        <f>SUMIFS(Data!$T$2:$T$181,Data!$B$2:$B$181,$A10,Data!$G$2:$G$181,"elf_Commercial")</f>
        <v/>
      </c>
      <c r="L10" s="8">
        <f>(J10+K10)/2</f>
        <v/>
      </c>
      <c r="M10" s="9">
        <f>(E10+H10)/2</f>
        <v/>
      </c>
      <c r="O10" t="inlineStr">
        <is>
          <t>n pairs</t>
        </is>
      </c>
      <c r="P10" s="11">
        <f>COUNT(F5:F32)</f>
        <v/>
      </c>
      <c r="Q10" s="16" t="inlineStr">
        <is>
          <t>=COUNT(F5:F32)</t>
        </is>
      </c>
      <c r="R10" s="7" t="inlineStr">
        <is>
          <t>COUNT of the difference column; must equal the check below</t>
        </is>
      </c>
    </row>
    <row r="11">
      <c r="A11" s="8" t="inlineStr">
        <is>
          <t>P08</t>
        </is>
      </c>
      <c r="B11" s="8">
        <f>INDEX(Data!$E$2:$E$181,MATCH($A11,Data!$B$2:$B$181,0))</f>
        <v/>
      </c>
      <c r="C11" s="8">
        <f>INDEX(Data!$Y$2:$Y$181,MATCH($A11,Data!$B$2:$B$181,0))</f>
        <v/>
      </c>
      <c r="D11" s="9">
        <f>SUMIFS(Data!$N$2:$N$181,Data!$B$2:$B$181,$A11,Data!$G$2:$G$181,"Baseline_Nike")</f>
        <v/>
      </c>
      <c r="E11" s="9">
        <f>SUMIFS(Data!$N$2:$N$181,Data!$B$2:$B$181,$A11,Data!$G$2:$G$181,"Nike_Commercial")</f>
        <v/>
      </c>
      <c r="F11" s="9">
        <f>E11-D11</f>
        <v/>
      </c>
      <c r="G11" s="9">
        <f>SUMIFS(Data!$N$2:$N$181,Data!$B$2:$B$181,$A11,Data!$G$2:$G$181,"Baseline_elf")</f>
        <v/>
      </c>
      <c r="H11" s="9">
        <f>SUMIFS(Data!$N$2:$N$181,Data!$B$2:$B$181,$A11,Data!$G$2:$G$181,"elf_Commercial")</f>
        <v/>
      </c>
      <c r="I11" s="9">
        <f>H11-G11</f>
        <v/>
      </c>
      <c r="J11" s="8">
        <f>SUMIFS(Data!$T$2:$T$181,Data!$B$2:$B$181,$A11,Data!$G$2:$G$181,"Nike_Commercial")</f>
        <v/>
      </c>
      <c r="K11" s="8">
        <f>SUMIFS(Data!$T$2:$T$181,Data!$B$2:$B$181,$A11,Data!$G$2:$G$181,"elf_Commercial")</f>
        <v/>
      </c>
      <c r="L11" s="8">
        <f>(J11+K11)/2</f>
        <v/>
      </c>
      <c r="M11" s="9">
        <f>(E11+H11)/2</f>
        <v/>
      </c>
      <c r="O11" t="inlineStr">
        <is>
          <t>Mean difference, Nike_Commercial minus Baseline_Nike (peaks per minute)</t>
        </is>
      </c>
      <c r="P11" s="12">
        <f>AVERAGE(F5:F32)</f>
        <v/>
      </c>
      <c r="Q11" s="16" t="inlineStr">
        <is>
          <t>=AVERAGE(F5:F32)</t>
        </is>
      </c>
    </row>
    <row r="12">
      <c r="A12" s="8" t="inlineStr">
        <is>
          <t>P09</t>
        </is>
      </c>
      <c r="B12" s="8">
        <f>INDEX(Data!$E$2:$E$181,MATCH($A12,Data!$B$2:$B$181,0))</f>
        <v/>
      </c>
      <c r="C12" s="8">
        <f>INDEX(Data!$Y$2:$Y$181,MATCH($A12,Data!$B$2:$B$181,0))</f>
        <v/>
      </c>
      <c r="D12" s="9">
        <f>SUMIFS(Data!$N$2:$N$181,Data!$B$2:$B$181,$A12,Data!$G$2:$G$181,"Baseline_Nike")</f>
        <v/>
      </c>
      <c r="E12" s="9">
        <f>SUMIFS(Data!$N$2:$N$181,Data!$B$2:$B$181,$A12,Data!$G$2:$G$181,"Nike_Commercial")</f>
        <v/>
      </c>
      <c r="F12" s="9">
        <f>E12-D12</f>
        <v/>
      </c>
      <c r="G12" s="9">
        <f>SUMIFS(Data!$N$2:$N$181,Data!$B$2:$B$181,$A12,Data!$G$2:$G$181,"Baseline_elf")</f>
        <v/>
      </c>
      <c r="H12" s="9">
        <f>SUMIFS(Data!$N$2:$N$181,Data!$B$2:$B$181,$A12,Data!$G$2:$G$181,"elf_Commercial")</f>
        <v/>
      </c>
      <c r="I12" s="9">
        <f>H12-G12</f>
        <v/>
      </c>
      <c r="J12" s="8">
        <f>SUMIFS(Data!$T$2:$T$181,Data!$B$2:$B$181,$A12,Data!$G$2:$G$181,"Nike_Commercial")</f>
        <v/>
      </c>
      <c r="K12" s="8">
        <f>SUMIFS(Data!$T$2:$T$181,Data!$B$2:$B$181,$A12,Data!$G$2:$G$181,"elf_Commercial")</f>
        <v/>
      </c>
      <c r="L12" s="8">
        <f>(J12+K12)/2</f>
        <v/>
      </c>
      <c r="M12" s="9">
        <f>(E12+H12)/2</f>
        <v/>
      </c>
      <c r="O12" t="inlineStr">
        <is>
          <t>SD of the differences (peaks per minute)</t>
        </is>
      </c>
      <c r="P12" s="12">
        <f>_xlfn.STDEV.S(F5:F32)</f>
        <v/>
      </c>
      <c r="Q12" s="16" t="inlineStr">
        <is>
          <t>=STDEV.S(F5:F32)</t>
        </is>
      </c>
      <c r="R12" s="7" t="inlineStr">
        <is>
          <t>the SD that matters in a paired test</t>
        </is>
      </c>
    </row>
    <row r="13">
      <c r="A13" s="8" t="inlineStr">
        <is>
          <t>P10</t>
        </is>
      </c>
      <c r="B13" s="8">
        <f>INDEX(Data!$E$2:$E$181,MATCH($A13,Data!$B$2:$B$181,0))</f>
        <v/>
      </c>
      <c r="C13" s="8">
        <f>INDEX(Data!$Y$2:$Y$181,MATCH($A13,Data!$B$2:$B$181,0))</f>
        <v/>
      </c>
      <c r="D13" s="9">
        <f>SUMIFS(Data!$N$2:$N$181,Data!$B$2:$B$181,$A13,Data!$G$2:$G$181,"Baseline_Nike")</f>
        <v/>
      </c>
      <c r="E13" s="9">
        <f>SUMIFS(Data!$N$2:$N$181,Data!$B$2:$B$181,$A13,Data!$G$2:$G$181,"Nike_Commercial")</f>
        <v/>
      </c>
      <c r="F13" s="9">
        <f>E13-D13</f>
        <v/>
      </c>
      <c r="G13" s="9">
        <f>SUMIFS(Data!$N$2:$N$181,Data!$B$2:$B$181,$A13,Data!$G$2:$G$181,"Baseline_elf")</f>
        <v/>
      </c>
      <c r="H13" s="9">
        <f>SUMIFS(Data!$N$2:$N$181,Data!$B$2:$B$181,$A13,Data!$G$2:$G$181,"elf_Commercial")</f>
        <v/>
      </c>
      <c r="I13" s="9">
        <f>H13-G13</f>
        <v/>
      </c>
      <c r="J13" s="8">
        <f>SUMIFS(Data!$T$2:$T$181,Data!$B$2:$B$181,$A13,Data!$G$2:$G$181,"Nike_Commercial")</f>
        <v/>
      </c>
      <c r="K13" s="8">
        <f>SUMIFS(Data!$T$2:$T$181,Data!$B$2:$B$181,$A13,Data!$G$2:$G$181,"elf_Commercial")</f>
        <v/>
      </c>
      <c r="L13" s="8">
        <f>(J13+K13)/2</f>
        <v/>
      </c>
      <c r="M13" s="9">
        <f>(E13+H13)/2</f>
        <v/>
      </c>
      <c r="O13" t="inlineStr">
        <is>
          <t>SE of the mean difference</t>
        </is>
      </c>
      <c r="P13" s="12">
        <f>P12/SQRT(P10)</f>
        <v/>
      </c>
      <c r="Q13" s="16" t="inlineStr">
        <is>
          <t>=P12/SQRT(P10)</t>
        </is>
      </c>
      <c r="R13" s="7" t="inlineStr">
        <is>
          <t>SD of differences / sqrt(n)</t>
        </is>
      </c>
    </row>
    <row r="14">
      <c r="A14" s="8" t="inlineStr">
        <is>
          <t>P12</t>
        </is>
      </c>
      <c r="B14" s="8">
        <f>INDEX(Data!$E$2:$E$181,MATCH($A14,Data!$B$2:$B$181,0))</f>
        <v/>
      </c>
      <c r="C14" s="8">
        <f>INDEX(Data!$Y$2:$Y$181,MATCH($A14,Data!$B$2:$B$181,0))</f>
        <v/>
      </c>
      <c r="D14" s="9">
        <f>SUMIFS(Data!$N$2:$N$181,Data!$B$2:$B$181,$A14,Data!$G$2:$G$181,"Baseline_Nike")</f>
        <v/>
      </c>
      <c r="E14" s="9">
        <f>SUMIFS(Data!$N$2:$N$181,Data!$B$2:$B$181,$A14,Data!$G$2:$G$181,"Nike_Commercial")</f>
        <v/>
      </c>
      <c r="F14" s="9">
        <f>E14-D14</f>
        <v/>
      </c>
      <c r="G14" s="9">
        <f>SUMIFS(Data!$N$2:$N$181,Data!$B$2:$B$181,$A14,Data!$G$2:$G$181,"Baseline_elf")</f>
        <v/>
      </c>
      <c r="H14" s="9">
        <f>SUMIFS(Data!$N$2:$N$181,Data!$B$2:$B$181,$A14,Data!$G$2:$G$181,"elf_Commercial")</f>
        <v/>
      </c>
      <c r="I14" s="9">
        <f>H14-G14</f>
        <v/>
      </c>
      <c r="J14" s="8">
        <f>SUMIFS(Data!$T$2:$T$181,Data!$B$2:$B$181,$A14,Data!$G$2:$G$181,"Nike_Commercial")</f>
        <v/>
      </c>
      <c r="K14" s="8">
        <f>SUMIFS(Data!$T$2:$T$181,Data!$B$2:$B$181,$A14,Data!$G$2:$G$181,"elf_Commercial")</f>
        <v/>
      </c>
      <c r="L14" s="8">
        <f>(J14+K14)/2</f>
        <v/>
      </c>
      <c r="M14" s="9">
        <f>(E14+H14)/2</f>
        <v/>
      </c>
      <c r="O14" t="inlineStr">
        <is>
          <t>Paired t</t>
        </is>
      </c>
      <c r="P14" s="12">
        <f>P11/P13</f>
        <v/>
      </c>
      <c r="Q14" s="16" t="inlineStr">
        <is>
          <t>=P11/P13</t>
        </is>
      </c>
      <c r="R14" s="7" t="inlineStr">
        <is>
          <t>t = mean difference / SE</t>
        </is>
      </c>
    </row>
    <row r="15">
      <c r="A15" s="8" t="inlineStr">
        <is>
          <t>P13</t>
        </is>
      </c>
      <c r="B15" s="8">
        <f>INDEX(Data!$E$2:$E$181,MATCH($A15,Data!$B$2:$B$181,0))</f>
        <v/>
      </c>
      <c r="C15" s="8">
        <f>INDEX(Data!$Y$2:$Y$181,MATCH($A15,Data!$B$2:$B$181,0))</f>
        <v/>
      </c>
      <c r="D15" s="9">
        <f>SUMIFS(Data!$N$2:$N$181,Data!$B$2:$B$181,$A15,Data!$G$2:$G$181,"Baseline_Nike")</f>
        <v/>
      </c>
      <c r="E15" s="9">
        <f>SUMIFS(Data!$N$2:$N$181,Data!$B$2:$B$181,$A15,Data!$G$2:$G$181,"Nike_Commercial")</f>
        <v/>
      </c>
      <c r="F15" s="9">
        <f>E15-D15</f>
        <v/>
      </c>
      <c r="G15" s="9">
        <f>SUMIFS(Data!$N$2:$N$181,Data!$B$2:$B$181,$A15,Data!$G$2:$G$181,"Baseline_elf")</f>
        <v/>
      </c>
      <c r="H15" s="9">
        <f>SUMIFS(Data!$N$2:$N$181,Data!$B$2:$B$181,$A15,Data!$G$2:$G$181,"elf_Commercial")</f>
        <v/>
      </c>
      <c r="I15" s="9">
        <f>H15-G15</f>
        <v/>
      </c>
      <c r="J15" s="8">
        <f>SUMIFS(Data!$T$2:$T$181,Data!$B$2:$B$181,$A15,Data!$G$2:$G$181,"Nike_Commercial")</f>
        <v/>
      </c>
      <c r="K15" s="8">
        <f>SUMIFS(Data!$T$2:$T$181,Data!$B$2:$B$181,$A15,Data!$G$2:$G$181,"elf_Commercial")</f>
        <v/>
      </c>
      <c r="L15" s="8">
        <f>(J15+K15)/2</f>
        <v/>
      </c>
      <c r="M15" s="9">
        <f>(E15+H15)/2</f>
        <v/>
      </c>
      <c r="O15" t="inlineStr">
        <is>
          <t>df</t>
        </is>
      </c>
      <c r="P15" s="11">
        <f>P10-1</f>
        <v/>
      </c>
      <c r="Q15" s="16" t="inlineStr">
        <is>
          <t>=P10-1</t>
        </is>
      </c>
      <c r="R15" s="7" t="inlineStr">
        <is>
          <t>n pairs minus 1</t>
        </is>
      </c>
    </row>
    <row r="16">
      <c r="A16" s="8" t="inlineStr">
        <is>
          <t>P14</t>
        </is>
      </c>
      <c r="B16" s="8">
        <f>INDEX(Data!$E$2:$E$181,MATCH($A16,Data!$B$2:$B$181,0))</f>
        <v/>
      </c>
      <c r="C16" s="8">
        <f>INDEX(Data!$Y$2:$Y$181,MATCH($A16,Data!$B$2:$B$181,0))</f>
        <v/>
      </c>
      <c r="D16" s="9">
        <f>SUMIFS(Data!$N$2:$N$181,Data!$B$2:$B$181,$A16,Data!$G$2:$G$181,"Baseline_Nike")</f>
        <v/>
      </c>
      <c r="E16" s="9">
        <f>SUMIFS(Data!$N$2:$N$181,Data!$B$2:$B$181,$A16,Data!$G$2:$G$181,"Nike_Commercial")</f>
        <v/>
      </c>
      <c r="F16" s="9">
        <f>E16-D16</f>
        <v/>
      </c>
      <c r="G16" s="9">
        <f>SUMIFS(Data!$N$2:$N$181,Data!$B$2:$B$181,$A16,Data!$G$2:$G$181,"Baseline_elf")</f>
        <v/>
      </c>
      <c r="H16" s="9">
        <f>SUMIFS(Data!$N$2:$N$181,Data!$B$2:$B$181,$A16,Data!$G$2:$G$181,"elf_Commercial")</f>
        <v/>
      </c>
      <c r="I16" s="9">
        <f>H16-G16</f>
        <v/>
      </c>
      <c r="J16" s="8">
        <f>SUMIFS(Data!$T$2:$T$181,Data!$B$2:$B$181,$A16,Data!$G$2:$G$181,"Nike_Commercial")</f>
        <v/>
      </c>
      <c r="K16" s="8">
        <f>SUMIFS(Data!$T$2:$T$181,Data!$B$2:$B$181,$A16,Data!$G$2:$G$181,"elf_Commercial")</f>
        <v/>
      </c>
      <c r="L16" s="8">
        <f>(J16+K16)/2</f>
        <v/>
      </c>
      <c r="M16" s="9">
        <f>(E16+H16)/2</f>
        <v/>
      </c>
      <c r="O16" t="inlineStr">
        <is>
          <t>p, two tailed (T.TEST type 1)</t>
        </is>
      </c>
      <c r="P16" s="17">
        <f>_xlfn.T.TEST(D5:D32,E5:E32,2,1)</f>
        <v/>
      </c>
      <c r="Q16" s="16" t="inlineStr">
        <is>
          <t>=T.TEST(D5:D32,E5:E32,2,1)</t>
        </is>
      </c>
      <c r="R16" s="7" t="inlineStr">
        <is>
          <t>tails = 2, type = 1 means paired</t>
        </is>
      </c>
    </row>
    <row r="17">
      <c r="A17" s="8" t="inlineStr">
        <is>
          <t>P15</t>
        </is>
      </c>
      <c r="B17" s="8">
        <f>INDEX(Data!$E$2:$E$181,MATCH($A17,Data!$B$2:$B$181,0))</f>
        <v/>
      </c>
      <c r="C17" s="8">
        <f>INDEX(Data!$Y$2:$Y$181,MATCH($A17,Data!$B$2:$B$181,0))</f>
        <v/>
      </c>
      <c r="D17" s="9">
        <f>SUMIFS(Data!$N$2:$N$181,Data!$B$2:$B$181,$A17,Data!$G$2:$G$181,"Baseline_Nike")</f>
        <v/>
      </c>
      <c r="E17" s="9">
        <f>SUMIFS(Data!$N$2:$N$181,Data!$B$2:$B$181,$A17,Data!$G$2:$G$181,"Nike_Commercial")</f>
        <v/>
      </c>
      <c r="F17" s="9">
        <f>E17-D17</f>
        <v/>
      </c>
      <c r="G17" s="9">
        <f>SUMIFS(Data!$N$2:$N$181,Data!$B$2:$B$181,$A17,Data!$G$2:$G$181,"Baseline_elf")</f>
        <v/>
      </c>
      <c r="H17" s="9">
        <f>SUMIFS(Data!$N$2:$N$181,Data!$B$2:$B$181,$A17,Data!$G$2:$G$181,"elf_Commercial")</f>
        <v/>
      </c>
      <c r="I17" s="9">
        <f>H17-G17</f>
        <v/>
      </c>
      <c r="J17" s="8">
        <f>SUMIFS(Data!$T$2:$T$181,Data!$B$2:$B$181,$A17,Data!$G$2:$G$181,"Nike_Commercial")</f>
        <v/>
      </c>
      <c r="K17" s="8">
        <f>SUMIFS(Data!$T$2:$T$181,Data!$B$2:$B$181,$A17,Data!$G$2:$G$181,"elf_Commercial")</f>
        <v/>
      </c>
      <c r="L17" s="8">
        <f>(J17+K17)/2</f>
        <v/>
      </c>
      <c r="M17" s="9">
        <f>(E17+H17)/2</f>
        <v/>
      </c>
      <c r="O17" t="inlineStr">
        <is>
          <t>p from the hand computed t</t>
        </is>
      </c>
      <c r="P17" s="17">
        <f>_xlfn.T.DIST.2T(ABS(P14),P15)</f>
        <v/>
      </c>
      <c r="Q17" s="16" t="inlineStr">
        <is>
          <t>=T.DIST.2T(ABS(P14),P15)</t>
        </is>
      </c>
      <c r="R17" s="7" t="inlineStr">
        <is>
          <t>should match the T.TEST cell</t>
        </is>
      </c>
    </row>
    <row r="18">
      <c r="A18" s="8" t="inlineStr">
        <is>
          <t>P17</t>
        </is>
      </c>
      <c r="B18" s="8">
        <f>INDEX(Data!$E$2:$E$181,MATCH($A18,Data!$B$2:$B$181,0))</f>
        <v/>
      </c>
      <c r="C18" s="8">
        <f>INDEX(Data!$Y$2:$Y$181,MATCH($A18,Data!$B$2:$B$181,0))</f>
        <v/>
      </c>
      <c r="D18" s="9">
        <f>SUMIFS(Data!$N$2:$N$181,Data!$B$2:$B$181,$A18,Data!$G$2:$G$181,"Baseline_Nike")</f>
        <v/>
      </c>
      <c r="E18" s="9">
        <f>SUMIFS(Data!$N$2:$N$181,Data!$B$2:$B$181,$A18,Data!$G$2:$G$181,"Nike_Commercial")</f>
        <v/>
      </c>
      <c r="F18" s="9">
        <f>E18-D18</f>
        <v/>
      </c>
      <c r="G18" s="9">
        <f>SUMIFS(Data!$N$2:$N$181,Data!$B$2:$B$181,$A18,Data!$G$2:$G$181,"Baseline_elf")</f>
        <v/>
      </c>
      <c r="H18" s="9">
        <f>SUMIFS(Data!$N$2:$N$181,Data!$B$2:$B$181,$A18,Data!$G$2:$G$181,"elf_Commercial")</f>
        <v/>
      </c>
      <c r="I18" s="9">
        <f>H18-G18</f>
        <v/>
      </c>
      <c r="J18" s="8">
        <f>SUMIFS(Data!$T$2:$T$181,Data!$B$2:$B$181,$A18,Data!$G$2:$G$181,"Nike_Commercial")</f>
        <v/>
      </c>
      <c r="K18" s="8">
        <f>SUMIFS(Data!$T$2:$T$181,Data!$B$2:$B$181,$A18,Data!$G$2:$G$181,"elf_Commercial")</f>
        <v/>
      </c>
      <c r="L18" s="8">
        <f>(J18+K18)/2</f>
        <v/>
      </c>
      <c r="M18" s="9">
        <f>(E18+H18)/2</f>
        <v/>
      </c>
      <c r="O18" t="inlineStr">
        <is>
          <t>Critical t (95%)</t>
        </is>
      </c>
      <c r="P18" s="12">
        <f>_xlfn.T.INV.2T(0.05,P15)</f>
        <v/>
      </c>
      <c r="Q18" s="16" t="inlineStr">
        <is>
          <t>=T.INV.2T(0.05,P15)</t>
        </is>
      </c>
      <c r="R18" s="7" t="inlineStr">
        <is>
          <t>two tailed, alpha = .05</t>
        </is>
      </c>
    </row>
    <row r="19">
      <c r="A19" s="8" t="inlineStr">
        <is>
          <t>P18</t>
        </is>
      </c>
      <c r="B19" s="8">
        <f>INDEX(Data!$E$2:$E$181,MATCH($A19,Data!$B$2:$B$181,0))</f>
        <v/>
      </c>
      <c r="C19" s="8">
        <f>INDEX(Data!$Y$2:$Y$181,MATCH($A19,Data!$B$2:$B$181,0))</f>
        <v/>
      </c>
      <c r="D19" s="9">
        <f>SUMIFS(Data!$N$2:$N$181,Data!$B$2:$B$181,$A19,Data!$G$2:$G$181,"Baseline_Nike")</f>
        <v/>
      </c>
      <c r="E19" s="9">
        <f>SUMIFS(Data!$N$2:$N$181,Data!$B$2:$B$181,$A19,Data!$G$2:$G$181,"Nike_Commercial")</f>
        <v/>
      </c>
      <c r="F19" s="9">
        <f>E19-D19</f>
        <v/>
      </c>
      <c r="G19" s="9">
        <f>SUMIFS(Data!$N$2:$N$181,Data!$B$2:$B$181,$A19,Data!$G$2:$G$181,"Baseline_elf")</f>
        <v/>
      </c>
      <c r="H19" s="9">
        <f>SUMIFS(Data!$N$2:$N$181,Data!$B$2:$B$181,$A19,Data!$G$2:$G$181,"elf_Commercial")</f>
        <v/>
      </c>
      <c r="I19" s="9">
        <f>H19-G19</f>
        <v/>
      </c>
      <c r="J19" s="8">
        <f>SUMIFS(Data!$T$2:$T$181,Data!$B$2:$B$181,$A19,Data!$G$2:$G$181,"Nike_Commercial")</f>
        <v/>
      </c>
      <c r="K19" s="8">
        <f>SUMIFS(Data!$T$2:$T$181,Data!$B$2:$B$181,$A19,Data!$G$2:$G$181,"elf_Commercial")</f>
        <v/>
      </c>
      <c r="L19" s="8">
        <f>(J19+K19)/2</f>
        <v/>
      </c>
      <c r="M19" s="9">
        <f>(E19+H19)/2</f>
        <v/>
      </c>
      <c r="O19" t="inlineStr">
        <is>
          <t>Mean difference 95% CI lower</t>
        </is>
      </c>
      <c r="P19" s="12">
        <f>P11-P18*P13</f>
        <v/>
      </c>
      <c r="Q19" s="16" t="inlineStr">
        <is>
          <t>=P11-P18*P13</t>
        </is>
      </c>
    </row>
    <row r="20">
      <c r="A20" s="8" t="inlineStr">
        <is>
          <t>P19</t>
        </is>
      </c>
      <c r="B20" s="8">
        <f>INDEX(Data!$E$2:$E$181,MATCH($A20,Data!$B$2:$B$181,0))</f>
        <v/>
      </c>
      <c r="C20" s="8">
        <f>INDEX(Data!$Y$2:$Y$181,MATCH($A20,Data!$B$2:$B$181,0))</f>
        <v/>
      </c>
      <c r="D20" s="9">
        <f>SUMIFS(Data!$N$2:$N$181,Data!$B$2:$B$181,$A20,Data!$G$2:$G$181,"Baseline_Nike")</f>
        <v/>
      </c>
      <c r="E20" s="9">
        <f>SUMIFS(Data!$N$2:$N$181,Data!$B$2:$B$181,$A20,Data!$G$2:$G$181,"Nike_Commercial")</f>
        <v/>
      </c>
      <c r="F20" s="9">
        <f>E20-D20</f>
        <v/>
      </c>
      <c r="G20" s="9">
        <f>SUMIFS(Data!$N$2:$N$181,Data!$B$2:$B$181,$A20,Data!$G$2:$G$181,"Baseline_elf")</f>
        <v/>
      </c>
      <c r="H20" s="9">
        <f>SUMIFS(Data!$N$2:$N$181,Data!$B$2:$B$181,$A20,Data!$G$2:$G$181,"elf_Commercial")</f>
        <v/>
      </c>
      <c r="I20" s="9">
        <f>H20-G20</f>
        <v/>
      </c>
      <c r="J20" s="8">
        <f>SUMIFS(Data!$T$2:$T$181,Data!$B$2:$B$181,$A20,Data!$G$2:$G$181,"Nike_Commercial")</f>
        <v/>
      </c>
      <c r="K20" s="8">
        <f>SUMIFS(Data!$T$2:$T$181,Data!$B$2:$B$181,$A20,Data!$G$2:$G$181,"elf_Commercial")</f>
        <v/>
      </c>
      <c r="L20" s="8">
        <f>(J20+K20)/2</f>
        <v/>
      </c>
      <c r="M20" s="9">
        <f>(E20+H20)/2</f>
        <v/>
      </c>
      <c r="O20" t="inlineStr">
        <is>
          <t>Mean difference 95% CI upper</t>
        </is>
      </c>
      <c r="P20" s="12">
        <f>P11+P18*P13</f>
        <v/>
      </c>
      <c r="Q20" s="16" t="inlineStr">
        <is>
          <t>=P11+P18*P13</t>
        </is>
      </c>
    </row>
    <row r="21">
      <c r="A21" s="8" t="inlineStr">
        <is>
          <t>P20</t>
        </is>
      </c>
      <c r="B21" s="8">
        <f>INDEX(Data!$E$2:$E$181,MATCH($A21,Data!$B$2:$B$181,0))</f>
        <v/>
      </c>
      <c r="C21" s="8">
        <f>INDEX(Data!$Y$2:$Y$181,MATCH($A21,Data!$B$2:$B$181,0))</f>
        <v/>
      </c>
      <c r="D21" s="9">
        <f>SUMIFS(Data!$N$2:$N$181,Data!$B$2:$B$181,$A21,Data!$G$2:$G$181,"Baseline_Nike")</f>
        <v/>
      </c>
      <c r="E21" s="9">
        <f>SUMIFS(Data!$N$2:$N$181,Data!$B$2:$B$181,$A21,Data!$G$2:$G$181,"Nike_Commercial")</f>
        <v/>
      </c>
      <c r="F21" s="9">
        <f>E21-D21</f>
        <v/>
      </c>
      <c r="G21" s="9">
        <f>SUMIFS(Data!$N$2:$N$181,Data!$B$2:$B$181,$A21,Data!$G$2:$G$181,"Baseline_elf")</f>
        <v/>
      </c>
      <c r="H21" s="9">
        <f>SUMIFS(Data!$N$2:$N$181,Data!$B$2:$B$181,$A21,Data!$G$2:$G$181,"elf_Commercial")</f>
        <v/>
      </c>
      <c r="I21" s="9">
        <f>H21-G21</f>
        <v/>
      </c>
      <c r="J21" s="8">
        <f>SUMIFS(Data!$T$2:$T$181,Data!$B$2:$B$181,$A21,Data!$G$2:$G$181,"Nike_Commercial")</f>
        <v/>
      </c>
      <c r="K21" s="8">
        <f>SUMIFS(Data!$T$2:$T$181,Data!$B$2:$B$181,$A21,Data!$G$2:$G$181,"elf_Commercial")</f>
        <v/>
      </c>
      <c r="L21" s="8">
        <f>(J21+K21)/2</f>
        <v/>
      </c>
      <c r="M21" s="9">
        <f>(E21+H21)/2</f>
        <v/>
      </c>
      <c r="O21" t="inlineStr">
        <is>
          <t>Cohen's d_z</t>
        </is>
      </c>
      <c r="P21" s="12">
        <f>P11/P12</f>
        <v/>
      </c>
      <c r="Q21" s="16" t="inlineStr">
        <is>
          <t>=P11/P12</t>
        </is>
      </c>
      <c r="R21" s="7" t="inlineStr">
        <is>
          <t>d_z = mean difference / SD of differences</t>
        </is>
      </c>
    </row>
    <row r="22">
      <c r="A22" s="8" t="inlineStr">
        <is>
          <t>P22</t>
        </is>
      </c>
      <c r="B22" s="8">
        <f>INDEX(Data!$E$2:$E$181,MATCH($A22,Data!$B$2:$B$181,0))</f>
        <v/>
      </c>
      <c r="C22" s="8">
        <f>INDEX(Data!$Y$2:$Y$181,MATCH($A22,Data!$B$2:$B$181,0))</f>
        <v/>
      </c>
      <c r="D22" s="9">
        <f>SUMIFS(Data!$N$2:$N$181,Data!$B$2:$B$181,$A22,Data!$G$2:$G$181,"Baseline_Nike")</f>
        <v/>
      </c>
      <c r="E22" s="9">
        <f>SUMIFS(Data!$N$2:$N$181,Data!$B$2:$B$181,$A22,Data!$G$2:$G$181,"Nike_Commercial")</f>
        <v/>
      </c>
      <c r="F22" s="9">
        <f>E22-D22</f>
        <v/>
      </c>
      <c r="G22" s="9">
        <f>SUMIFS(Data!$N$2:$N$181,Data!$B$2:$B$181,$A22,Data!$G$2:$G$181,"Baseline_elf")</f>
        <v/>
      </c>
      <c r="H22" s="9">
        <f>SUMIFS(Data!$N$2:$N$181,Data!$B$2:$B$181,$A22,Data!$G$2:$G$181,"elf_Commercial")</f>
        <v/>
      </c>
      <c r="I22" s="9">
        <f>H22-G22</f>
        <v/>
      </c>
      <c r="J22" s="8">
        <f>SUMIFS(Data!$T$2:$T$181,Data!$B$2:$B$181,$A22,Data!$G$2:$G$181,"Nike_Commercial")</f>
        <v/>
      </c>
      <c r="K22" s="8">
        <f>SUMIFS(Data!$T$2:$T$181,Data!$B$2:$B$181,$A22,Data!$G$2:$G$181,"elf_Commercial")</f>
        <v/>
      </c>
      <c r="L22" s="8">
        <f>(J22+K22)/2</f>
        <v/>
      </c>
      <c r="M22" s="9">
        <f>(E22+H22)/2</f>
        <v/>
      </c>
      <c r="O22" t="inlineStr">
        <is>
          <t>SE of d_z (approximation)</t>
        </is>
      </c>
      <c r="P22" s="12">
        <f>SQRT(1/P10+P21^2/(2*P10))</f>
        <v/>
      </c>
      <c r="Q22" s="16" t="inlineStr">
        <is>
          <t>=SQRT(1/P10+P21^2/(2*P10))</t>
        </is>
      </c>
      <c r="R22" s="7" t="inlineStr">
        <is>
          <t>sqrt(1/n + d_z^2 / (2 n))</t>
        </is>
      </c>
    </row>
    <row r="23">
      <c r="A23" s="8" t="inlineStr">
        <is>
          <t>P23</t>
        </is>
      </c>
      <c r="B23" s="8">
        <f>INDEX(Data!$E$2:$E$181,MATCH($A23,Data!$B$2:$B$181,0))</f>
        <v/>
      </c>
      <c r="C23" s="8">
        <f>INDEX(Data!$Y$2:$Y$181,MATCH($A23,Data!$B$2:$B$181,0))</f>
        <v/>
      </c>
      <c r="D23" s="9">
        <f>SUMIFS(Data!$N$2:$N$181,Data!$B$2:$B$181,$A23,Data!$G$2:$G$181,"Baseline_Nike")</f>
        <v/>
      </c>
      <c r="E23" s="9">
        <f>SUMIFS(Data!$N$2:$N$181,Data!$B$2:$B$181,$A23,Data!$G$2:$G$181,"Nike_Commercial")</f>
        <v/>
      </c>
      <c r="F23" s="9">
        <f>E23-D23</f>
        <v/>
      </c>
      <c r="G23" s="9">
        <f>SUMIFS(Data!$N$2:$N$181,Data!$B$2:$B$181,$A23,Data!$G$2:$G$181,"Baseline_elf")</f>
        <v/>
      </c>
      <c r="H23" s="9">
        <f>SUMIFS(Data!$N$2:$N$181,Data!$B$2:$B$181,$A23,Data!$G$2:$G$181,"elf_Commercial")</f>
        <v/>
      </c>
      <c r="I23" s="9">
        <f>H23-G23</f>
        <v/>
      </c>
      <c r="J23" s="8">
        <f>SUMIFS(Data!$T$2:$T$181,Data!$B$2:$B$181,$A23,Data!$G$2:$G$181,"Nike_Commercial")</f>
        <v/>
      </c>
      <c r="K23" s="8">
        <f>SUMIFS(Data!$T$2:$T$181,Data!$B$2:$B$181,$A23,Data!$G$2:$G$181,"elf_Commercial")</f>
        <v/>
      </c>
      <c r="L23" s="8">
        <f>(J23+K23)/2</f>
        <v/>
      </c>
      <c r="M23" s="9">
        <f>(E23+H23)/2</f>
        <v/>
      </c>
      <c r="O23" t="inlineStr">
        <is>
          <t>d_z 95% CI lower</t>
        </is>
      </c>
      <c r="P23" s="12">
        <f>P21-1.96*P22</f>
        <v/>
      </c>
      <c r="Q23" s="16" t="inlineStr">
        <is>
          <t>=P21-1.96*P22</t>
        </is>
      </c>
      <c r="R23" s="7" t="inlineStr">
        <is>
          <t>large sample approximation; R uses the noncentral t interval</t>
        </is>
      </c>
    </row>
    <row r="24">
      <c r="A24" s="8" t="inlineStr">
        <is>
          <t>P25</t>
        </is>
      </c>
      <c r="B24" s="8">
        <f>INDEX(Data!$E$2:$E$181,MATCH($A24,Data!$B$2:$B$181,0))</f>
        <v/>
      </c>
      <c r="C24" s="8">
        <f>INDEX(Data!$Y$2:$Y$181,MATCH($A24,Data!$B$2:$B$181,0))</f>
        <v/>
      </c>
      <c r="D24" s="9">
        <f>SUMIFS(Data!$N$2:$N$181,Data!$B$2:$B$181,$A24,Data!$G$2:$G$181,"Baseline_Nike")</f>
        <v/>
      </c>
      <c r="E24" s="9">
        <f>SUMIFS(Data!$N$2:$N$181,Data!$B$2:$B$181,$A24,Data!$G$2:$G$181,"Nike_Commercial")</f>
        <v/>
      </c>
      <c r="F24" s="9">
        <f>E24-D24</f>
        <v/>
      </c>
      <c r="G24" s="9">
        <f>SUMIFS(Data!$N$2:$N$181,Data!$B$2:$B$181,$A24,Data!$G$2:$G$181,"Baseline_elf")</f>
        <v/>
      </c>
      <c r="H24" s="9">
        <f>SUMIFS(Data!$N$2:$N$181,Data!$B$2:$B$181,$A24,Data!$G$2:$G$181,"elf_Commercial")</f>
        <v/>
      </c>
      <c r="I24" s="9">
        <f>H24-G24</f>
        <v/>
      </c>
      <c r="J24" s="8">
        <f>SUMIFS(Data!$T$2:$T$181,Data!$B$2:$B$181,$A24,Data!$G$2:$G$181,"Nike_Commercial")</f>
        <v/>
      </c>
      <c r="K24" s="8">
        <f>SUMIFS(Data!$T$2:$T$181,Data!$B$2:$B$181,$A24,Data!$G$2:$G$181,"elf_Commercial")</f>
        <v/>
      </c>
      <c r="L24" s="8">
        <f>(J24+K24)/2</f>
        <v/>
      </c>
      <c r="M24" s="9">
        <f>(E24+H24)/2</f>
        <v/>
      </c>
      <c r="O24" t="inlineStr">
        <is>
          <t>d_z 95% CI upper</t>
        </is>
      </c>
      <c r="P24" s="12">
        <f>P21+1.96*P22</f>
        <v/>
      </c>
      <c r="Q24" s="16" t="inlineStr">
        <is>
          <t>=P21+1.96*P22</t>
        </is>
      </c>
    </row>
    <row r="25">
      <c r="A25" s="8" t="inlineStr">
        <is>
          <t>P26</t>
        </is>
      </c>
      <c r="B25" s="8">
        <f>INDEX(Data!$E$2:$E$181,MATCH($A25,Data!$B$2:$B$181,0))</f>
        <v/>
      </c>
      <c r="C25" s="8">
        <f>INDEX(Data!$Y$2:$Y$181,MATCH($A25,Data!$B$2:$B$181,0))</f>
        <v/>
      </c>
      <c r="D25" s="9">
        <f>SUMIFS(Data!$N$2:$N$181,Data!$B$2:$B$181,$A25,Data!$G$2:$G$181,"Baseline_Nike")</f>
        <v/>
      </c>
      <c r="E25" s="9">
        <f>SUMIFS(Data!$N$2:$N$181,Data!$B$2:$B$181,$A25,Data!$G$2:$G$181,"Nike_Commercial")</f>
        <v/>
      </c>
      <c r="F25" s="9">
        <f>E25-D25</f>
        <v/>
      </c>
      <c r="G25" s="9">
        <f>SUMIFS(Data!$N$2:$N$181,Data!$B$2:$B$181,$A25,Data!$G$2:$G$181,"Baseline_elf")</f>
        <v/>
      </c>
      <c r="H25" s="9">
        <f>SUMIFS(Data!$N$2:$N$181,Data!$B$2:$B$181,$A25,Data!$G$2:$G$181,"elf_Commercial")</f>
        <v/>
      </c>
      <c r="I25" s="9">
        <f>H25-G25</f>
        <v/>
      </c>
      <c r="J25" s="8">
        <f>SUMIFS(Data!$T$2:$T$181,Data!$B$2:$B$181,$A25,Data!$G$2:$G$181,"Nike_Commercial")</f>
        <v/>
      </c>
      <c r="K25" s="8">
        <f>SUMIFS(Data!$T$2:$T$181,Data!$B$2:$B$181,$A25,Data!$G$2:$G$181,"elf_Commercial")</f>
        <v/>
      </c>
      <c r="L25" s="8">
        <f>(J25+K25)/2</f>
        <v/>
      </c>
      <c r="M25" s="9">
        <f>(E25+H25)/2</f>
        <v/>
      </c>
      <c r="O25" t="inlineStr">
        <is>
          <t>Correlation of the two columns</t>
        </is>
      </c>
      <c r="P25" s="12">
        <f>CORREL(D5:D32,E5:E32)</f>
        <v/>
      </c>
      <c r="Q25" s="16" t="inlineStr">
        <is>
          <t>=CORREL(D5:D32,E5:E32)</t>
        </is>
      </c>
      <c r="R25" s="7" t="inlineStr">
        <is>
          <t>within respondent correlation</t>
        </is>
      </c>
    </row>
    <row r="26">
      <c r="A26" s="8" t="inlineStr">
        <is>
          <t>P27</t>
        </is>
      </c>
      <c r="B26" s="8">
        <f>INDEX(Data!$E$2:$E$181,MATCH($A26,Data!$B$2:$B$181,0))</f>
        <v/>
      </c>
      <c r="C26" s="8">
        <f>INDEX(Data!$Y$2:$Y$181,MATCH($A26,Data!$B$2:$B$181,0))</f>
        <v/>
      </c>
      <c r="D26" s="9">
        <f>SUMIFS(Data!$N$2:$N$181,Data!$B$2:$B$181,$A26,Data!$G$2:$G$181,"Baseline_Nike")</f>
        <v/>
      </c>
      <c r="E26" s="9">
        <f>SUMIFS(Data!$N$2:$N$181,Data!$B$2:$B$181,$A26,Data!$G$2:$G$181,"Nike_Commercial")</f>
        <v/>
      </c>
      <c r="F26" s="9">
        <f>E26-D26</f>
        <v/>
      </c>
      <c r="G26" s="9">
        <f>SUMIFS(Data!$N$2:$N$181,Data!$B$2:$B$181,$A26,Data!$G$2:$G$181,"Baseline_elf")</f>
        <v/>
      </c>
      <c r="H26" s="9">
        <f>SUMIFS(Data!$N$2:$N$181,Data!$B$2:$B$181,$A26,Data!$G$2:$G$181,"elf_Commercial")</f>
        <v/>
      </c>
      <c r="I26" s="9">
        <f>H26-G26</f>
        <v/>
      </c>
      <c r="J26" s="8">
        <f>SUMIFS(Data!$T$2:$T$181,Data!$B$2:$B$181,$A26,Data!$G$2:$G$181,"Nike_Commercial")</f>
        <v/>
      </c>
      <c r="K26" s="8">
        <f>SUMIFS(Data!$T$2:$T$181,Data!$B$2:$B$181,$A26,Data!$G$2:$G$181,"elf_Commercial")</f>
        <v/>
      </c>
      <c r="L26" s="8">
        <f>(J26+K26)/2</f>
        <v/>
      </c>
      <c r="M26" s="9">
        <f>(E26+H26)/2</f>
        <v/>
      </c>
    </row>
    <row r="27">
      <c r="A27" s="8" t="inlineStr">
        <is>
          <t>P28</t>
        </is>
      </c>
      <c r="B27" s="8">
        <f>INDEX(Data!$E$2:$E$181,MATCH($A27,Data!$B$2:$B$181,0))</f>
        <v/>
      </c>
      <c r="C27" s="8">
        <f>INDEX(Data!$Y$2:$Y$181,MATCH($A27,Data!$B$2:$B$181,0))</f>
        <v/>
      </c>
      <c r="D27" s="9">
        <f>SUMIFS(Data!$N$2:$N$181,Data!$B$2:$B$181,$A27,Data!$G$2:$G$181,"Baseline_Nike")</f>
        <v/>
      </c>
      <c r="E27" s="9">
        <f>SUMIFS(Data!$N$2:$N$181,Data!$B$2:$B$181,$A27,Data!$G$2:$G$181,"Nike_Commercial")</f>
        <v/>
      </c>
      <c r="F27" s="9">
        <f>E27-D27</f>
        <v/>
      </c>
      <c r="G27" s="9">
        <f>SUMIFS(Data!$N$2:$N$181,Data!$B$2:$B$181,$A27,Data!$G$2:$G$181,"Baseline_elf")</f>
        <v/>
      </c>
      <c r="H27" s="9">
        <f>SUMIFS(Data!$N$2:$N$181,Data!$B$2:$B$181,$A27,Data!$G$2:$G$181,"elf_Commercial")</f>
        <v/>
      </c>
      <c r="I27" s="9">
        <f>H27-G27</f>
        <v/>
      </c>
      <c r="J27" s="8">
        <f>SUMIFS(Data!$T$2:$T$181,Data!$B$2:$B$181,$A27,Data!$G$2:$G$181,"Nike_Commercial")</f>
        <v/>
      </c>
      <c r="K27" s="8">
        <f>SUMIFS(Data!$T$2:$T$181,Data!$B$2:$B$181,$A27,Data!$G$2:$G$181,"elf_Commercial")</f>
        <v/>
      </c>
      <c r="L27" s="8">
        <f>(J27+K27)/2</f>
        <v/>
      </c>
      <c r="M27" s="9">
        <f>(E27+H27)/2</f>
        <v/>
      </c>
    </row>
    <row r="28">
      <c r="A28" s="8" t="inlineStr">
        <is>
          <t>P29</t>
        </is>
      </c>
      <c r="B28" s="8">
        <f>INDEX(Data!$E$2:$E$181,MATCH($A28,Data!$B$2:$B$181,0))</f>
        <v/>
      </c>
      <c r="C28" s="8">
        <f>INDEX(Data!$Y$2:$Y$181,MATCH($A28,Data!$B$2:$B$181,0))</f>
        <v/>
      </c>
      <c r="D28" s="9">
        <f>SUMIFS(Data!$N$2:$N$181,Data!$B$2:$B$181,$A28,Data!$G$2:$G$181,"Baseline_Nike")</f>
        <v/>
      </c>
      <c r="E28" s="9">
        <f>SUMIFS(Data!$N$2:$N$181,Data!$B$2:$B$181,$A28,Data!$G$2:$G$181,"Nike_Commercial")</f>
        <v/>
      </c>
      <c r="F28" s="9">
        <f>E28-D28</f>
        <v/>
      </c>
      <c r="G28" s="9">
        <f>SUMIFS(Data!$N$2:$N$181,Data!$B$2:$B$181,$A28,Data!$G$2:$G$181,"Baseline_elf")</f>
        <v/>
      </c>
      <c r="H28" s="9">
        <f>SUMIFS(Data!$N$2:$N$181,Data!$B$2:$B$181,$A28,Data!$G$2:$G$181,"elf_Commercial")</f>
        <v/>
      </c>
      <c r="I28" s="9">
        <f>H28-G28</f>
        <v/>
      </c>
      <c r="J28" s="8">
        <f>SUMIFS(Data!$T$2:$T$181,Data!$B$2:$B$181,$A28,Data!$G$2:$G$181,"Nike_Commercial")</f>
        <v/>
      </c>
      <c r="K28" s="8">
        <f>SUMIFS(Data!$T$2:$T$181,Data!$B$2:$B$181,$A28,Data!$G$2:$G$181,"elf_Commercial")</f>
        <v/>
      </c>
      <c r="L28" s="8">
        <f>(J28+K28)/2</f>
        <v/>
      </c>
      <c r="M28" s="9">
        <f>(E28+H28)/2</f>
        <v/>
      </c>
      <c r="O28" s="14" t="inlineStr">
        <is>
          <t>Statistic</t>
        </is>
      </c>
      <c r="P28" s="14" t="inlineStr">
        <is>
          <t>Value</t>
        </is>
      </c>
      <c r="Q28" s="14" t="inlineStr">
        <is>
          <t>Formula shown</t>
        </is>
      </c>
      <c r="R28" s="14" t="inlineStr">
        <is>
          <t>Note</t>
        </is>
      </c>
    </row>
    <row r="29">
      <c r="A29" s="8" t="inlineStr">
        <is>
          <t>P30</t>
        </is>
      </c>
      <c r="B29" s="8">
        <f>INDEX(Data!$E$2:$E$181,MATCH($A29,Data!$B$2:$B$181,0))</f>
        <v/>
      </c>
      <c r="C29" s="8">
        <f>INDEX(Data!$Y$2:$Y$181,MATCH($A29,Data!$B$2:$B$181,0))</f>
        <v/>
      </c>
      <c r="D29" s="9">
        <f>SUMIFS(Data!$N$2:$N$181,Data!$B$2:$B$181,$A29,Data!$G$2:$G$181,"Baseline_Nike")</f>
        <v/>
      </c>
      <c r="E29" s="9">
        <f>SUMIFS(Data!$N$2:$N$181,Data!$B$2:$B$181,$A29,Data!$G$2:$G$181,"Nike_Commercial")</f>
        <v/>
      </c>
      <c r="F29" s="9">
        <f>E29-D29</f>
        <v/>
      </c>
      <c r="G29" s="9">
        <f>SUMIFS(Data!$N$2:$N$181,Data!$B$2:$B$181,$A29,Data!$G$2:$G$181,"Baseline_elf")</f>
        <v/>
      </c>
      <c r="H29" s="9">
        <f>SUMIFS(Data!$N$2:$N$181,Data!$B$2:$B$181,$A29,Data!$G$2:$G$181,"elf_Commercial")</f>
        <v/>
      </c>
      <c r="I29" s="9">
        <f>H29-G29</f>
        <v/>
      </c>
      <c r="J29" s="8">
        <f>SUMIFS(Data!$T$2:$T$181,Data!$B$2:$B$181,$A29,Data!$G$2:$G$181,"Nike_Commercial")</f>
        <v/>
      </c>
      <c r="K29" s="8">
        <f>SUMIFS(Data!$T$2:$T$181,Data!$B$2:$B$181,$A29,Data!$G$2:$G$181,"elf_Commercial")</f>
        <v/>
      </c>
      <c r="L29" s="8">
        <f>(J29+K29)/2</f>
        <v/>
      </c>
      <c r="M29" s="9">
        <f>(E29+H29)/2</f>
        <v/>
      </c>
      <c r="O29" s="15" t="inlineStr">
        <is>
          <t>e.l.f.: paired t test and d_z, all kept respondents (Peaks Per Minute)</t>
        </is>
      </c>
    </row>
    <row r="30">
      <c r="A30" s="8" t="inlineStr">
        <is>
          <t>P03</t>
        </is>
      </c>
      <c r="B30" s="8">
        <f>INDEX(Data!$E$2:$E$181,MATCH($A30,Data!$B$2:$B$181,0))</f>
        <v/>
      </c>
      <c r="C30" s="8">
        <f>INDEX(Data!$Y$2:$Y$181,MATCH($A30,Data!$B$2:$B$181,0))</f>
        <v/>
      </c>
      <c r="D30" s="9">
        <f>SUMIFS(Data!$N$2:$N$181,Data!$B$2:$B$181,$A30,Data!$G$2:$G$181,"Baseline_Nike")</f>
        <v/>
      </c>
      <c r="E30" s="9">
        <f>SUMIFS(Data!$N$2:$N$181,Data!$B$2:$B$181,$A30,Data!$G$2:$G$181,"Nike_Commercial")</f>
        <v/>
      </c>
      <c r="F30" s="9">
        <f>E30-D30</f>
        <v/>
      </c>
      <c r="G30" s="9">
        <f>SUMIFS(Data!$N$2:$N$181,Data!$B$2:$B$181,$A30,Data!$G$2:$G$181,"Baseline_elf")</f>
        <v/>
      </c>
      <c r="H30" s="9">
        <f>SUMIFS(Data!$N$2:$N$181,Data!$B$2:$B$181,$A30,Data!$G$2:$G$181,"elf_Commercial")</f>
        <v/>
      </c>
      <c r="I30" s="9">
        <f>H30-G30</f>
        <v/>
      </c>
      <c r="J30" s="8">
        <f>SUMIFS(Data!$T$2:$T$181,Data!$B$2:$B$181,$A30,Data!$G$2:$G$181,"Nike_Commercial")</f>
        <v/>
      </c>
      <c r="K30" s="8">
        <f>SUMIFS(Data!$T$2:$T$181,Data!$B$2:$B$181,$A30,Data!$G$2:$G$181,"elf_Commercial")</f>
        <v/>
      </c>
      <c r="L30" s="8">
        <f>(J30+K30)/2</f>
        <v/>
      </c>
      <c r="M30" s="9">
        <f>(E30+H30)/2</f>
        <v/>
      </c>
      <c r="O30" t="inlineStr">
        <is>
          <t>Baseline_elf mean (peaks per minute)</t>
        </is>
      </c>
      <c r="P30" s="12">
        <f>AVERAGE(G5:G32)</f>
        <v/>
      </c>
      <c r="Q30" s="16" t="inlineStr">
        <is>
          <t>=AVERAGE(G5:G32)</t>
        </is>
      </c>
      <c r="R30" s="7" t="inlineStr">
        <is>
          <t>AVERAGE of the reference column</t>
        </is>
      </c>
    </row>
    <row r="31">
      <c r="A31" s="8" t="inlineStr">
        <is>
          <t>P16</t>
        </is>
      </c>
      <c r="B31" s="8">
        <f>INDEX(Data!$E$2:$E$181,MATCH($A31,Data!$B$2:$B$181,0))</f>
        <v/>
      </c>
      <c r="C31" s="8">
        <f>INDEX(Data!$Y$2:$Y$181,MATCH($A31,Data!$B$2:$B$181,0))</f>
        <v/>
      </c>
      <c r="D31" s="9">
        <f>SUMIFS(Data!$N$2:$N$181,Data!$B$2:$B$181,$A31,Data!$G$2:$G$181,"Baseline_Nike")</f>
        <v/>
      </c>
      <c r="E31" s="9">
        <f>SUMIFS(Data!$N$2:$N$181,Data!$B$2:$B$181,$A31,Data!$G$2:$G$181,"Nike_Commercial")</f>
        <v/>
      </c>
      <c r="F31" s="9">
        <f>E31-D31</f>
        <v/>
      </c>
      <c r="G31" s="9">
        <f>SUMIFS(Data!$N$2:$N$181,Data!$B$2:$B$181,$A31,Data!$G$2:$G$181,"Baseline_elf")</f>
        <v/>
      </c>
      <c r="H31" s="9">
        <f>SUMIFS(Data!$N$2:$N$181,Data!$B$2:$B$181,$A31,Data!$G$2:$G$181,"elf_Commercial")</f>
        <v/>
      </c>
      <c r="I31" s="9">
        <f>H31-G31</f>
        <v/>
      </c>
      <c r="J31" s="8">
        <f>SUMIFS(Data!$T$2:$T$181,Data!$B$2:$B$181,$A31,Data!$G$2:$G$181,"Nike_Commercial")</f>
        <v/>
      </c>
      <c r="K31" s="8">
        <f>SUMIFS(Data!$T$2:$T$181,Data!$B$2:$B$181,$A31,Data!$G$2:$G$181,"elf_Commercial")</f>
        <v/>
      </c>
      <c r="L31" s="8">
        <f>(J31+K31)/2</f>
        <v/>
      </c>
      <c r="M31" s="9">
        <f>(E31+H31)/2</f>
        <v/>
      </c>
      <c r="O31" t="inlineStr">
        <is>
          <t>Baseline_elf SD (peaks per minute)</t>
        </is>
      </c>
      <c r="P31" s="12">
        <f>_xlfn.STDEV.S(G5:G32)</f>
        <v/>
      </c>
      <c r="Q31" s="16" t="inlineStr">
        <is>
          <t>=STDEV.S(G5:G32)</t>
        </is>
      </c>
      <c r="R31" s="7" t="inlineStr">
        <is>
          <t>STDEV.S = sample standard deviation</t>
        </is>
      </c>
    </row>
    <row r="32">
      <c r="A32" s="8" t="inlineStr">
        <is>
          <t>P21</t>
        </is>
      </c>
      <c r="B32" s="8">
        <f>INDEX(Data!$E$2:$E$181,MATCH($A32,Data!$B$2:$B$181,0))</f>
        <v/>
      </c>
      <c r="C32" s="8">
        <f>INDEX(Data!$Y$2:$Y$181,MATCH($A32,Data!$B$2:$B$181,0))</f>
        <v/>
      </c>
      <c r="D32" s="9">
        <f>SUMIFS(Data!$N$2:$N$181,Data!$B$2:$B$181,$A32,Data!$G$2:$G$181,"Baseline_Nike")</f>
        <v/>
      </c>
      <c r="E32" s="9">
        <f>SUMIFS(Data!$N$2:$N$181,Data!$B$2:$B$181,$A32,Data!$G$2:$G$181,"Nike_Commercial")</f>
        <v/>
      </c>
      <c r="F32" s="9">
        <f>E32-D32</f>
        <v/>
      </c>
      <c r="G32" s="9">
        <f>SUMIFS(Data!$N$2:$N$181,Data!$B$2:$B$181,$A32,Data!$G$2:$G$181,"Baseline_elf")</f>
        <v/>
      </c>
      <c r="H32" s="9">
        <f>SUMIFS(Data!$N$2:$N$181,Data!$B$2:$B$181,$A32,Data!$G$2:$G$181,"elf_Commercial")</f>
        <v/>
      </c>
      <c r="I32" s="9">
        <f>H32-G32</f>
        <v/>
      </c>
      <c r="J32" s="8">
        <f>SUMIFS(Data!$T$2:$T$181,Data!$B$2:$B$181,$A32,Data!$G$2:$G$181,"Nike_Commercial")</f>
        <v/>
      </c>
      <c r="K32" s="8">
        <f>SUMIFS(Data!$T$2:$T$181,Data!$B$2:$B$181,$A32,Data!$G$2:$G$181,"elf_Commercial")</f>
        <v/>
      </c>
      <c r="L32" s="8">
        <f>(J32+K32)/2</f>
        <v/>
      </c>
      <c r="M32" s="9">
        <f>(E32+H32)/2</f>
        <v/>
      </c>
      <c r="O32" t="inlineStr">
        <is>
          <t>elf_Commercial mean (peaks per minute)</t>
        </is>
      </c>
      <c r="P32" s="12">
        <f>AVERAGE(H5:H32)</f>
        <v/>
      </c>
      <c r="Q32" s="16" t="inlineStr">
        <is>
          <t>=AVERAGE(H5:H32)</t>
        </is>
      </c>
    </row>
    <row r="33">
      <c r="O33" t="inlineStr">
        <is>
          <t>elf_Commercial SD (peaks per minute)</t>
        </is>
      </c>
      <c r="P33" s="12">
        <f>_xlfn.STDEV.S(H5:H32)</f>
        <v/>
      </c>
      <c r="Q33" s="16" t="inlineStr">
        <is>
          <t>=STDEV.S(H5:H32)</t>
        </is>
      </c>
    </row>
    <row r="34">
      <c r="O34" t="inlineStr">
        <is>
          <t>n pairs</t>
        </is>
      </c>
      <c r="P34" s="11">
        <f>COUNT(I5:I32)</f>
        <v/>
      </c>
      <c r="Q34" s="16" t="inlineStr">
        <is>
          <t>=COUNT(I5:I32)</t>
        </is>
      </c>
    </row>
    <row r="35">
      <c r="O35" t="inlineStr">
        <is>
          <t>Mean difference, elf_Commercial minus Baseline_elf (peaks per minute)</t>
        </is>
      </c>
      <c r="P35" s="12">
        <f>AVERAGE(I5:I32)</f>
        <v/>
      </c>
      <c r="Q35" s="16" t="inlineStr">
        <is>
          <t>=AVERAGE(I5:I32)</t>
        </is>
      </c>
    </row>
    <row r="36">
      <c r="O36" t="inlineStr">
        <is>
          <t>SD of the differences (peaks per minute)</t>
        </is>
      </c>
      <c r="P36" s="12">
        <f>_xlfn.STDEV.S(I5:I32)</f>
        <v/>
      </c>
      <c r="Q36" s="16" t="inlineStr">
        <is>
          <t>=STDEV.S(I5:I32)</t>
        </is>
      </c>
      <c r="R36" s="7" t="inlineStr">
        <is>
          <t>the SD that matters in a paired test</t>
        </is>
      </c>
    </row>
    <row r="37">
      <c r="O37" t="inlineStr">
        <is>
          <t>SE of the mean difference</t>
        </is>
      </c>
      <c r="P37" s="12">
        <f>P36/SQRT(P34)</f>
        <v/>
      </c>
      <c r="Q37" s="16" t="inlineStr">
        <is>
          <t>=P36/SQRT(P34)</t>
        </is>
      </c>
      <c r="R37" s="7" t="inlineStr">
        <is>
          <t>SD of differences / sqrt(n)</t>
        </is>
      </c>
    </row>
    <row r="38">
      <c r="O38" t="inlineStr">
        <is>
          <t>Paired t</t>
        </is>
      </c>
      <c r="P38" s="12">
        <f>P35/P37</f>
        <v/>
      </c>
      <c r="Q38" s="16" t="inlineStr">
        <is>
          <t>=P35/P37</t>
        </is>
      </c>
      <c r="R38" s="7" t="inlineStr">
        <is>
          <t>t = mean difference / SE</t>
        </is>
      </c>
    </row>
    <row r="39">
      <c r="O39" t="inlineStr">
        <is>
          <t>df</t>
        </is>
      </c>
      <c r="P39" s="11">
        <f>P34-1</f>
        <v/>
      </c>
      <c r="Q39" s="16" t="inlineStr">
        <is>
          <t>=P34-1</t>
        </is>
      </c>
      <c r="R39" s="7" t="inlineStr">
        <is>
          <t>n pairs minus 1</t>
        </is>
      </c>
    </row>
    <row r="40">
      <c r="O40" t="inlineStr">
        <is>
          <t>p, two tailed (T.TEST type 1)</t>
        </is>
      </c>
      <c r="P40" s="17">
        <f>_xlfn.T.TEST(G5:G32,H5:H32,2,1)</f>
        <v/>
      </c>
      <c r="Q40" s="16" t="inlineStr">
        <is>
          <t>=T.TEST(G5:G32,H5:H32,2,1)</t>
        </is>
      </c>
      <c r="R40" s="7" t="inlineStr">
        <is>
          <t>tails = 2, type = 1 means paired</t>
        </is>
      </c>
    </row>
    <row r="41">
      <c r="O41" t="inlineStr">
        <is>
          <t>p from the hand computed t</t>
        </is>
      </c>
      <c r="P41" s="17">
        <f>_xlfn.T.DIST.2T(ABS(P38),P39)</f>
        <v/>
      </c>
      <c r="Q41" s="16" t="inlineStr">
        <is>
          <t>=T.DIST.2T(ABS(P38),P39)</t>
        </is>
      </c>
      <c r="R41" s="7" t="inlineStr">
        <is>
          <t>should match the T.TEST cell</t>
        </is>
      </c>
    </row>
    <row r="42">
      <c r="O42" t="inlineStr">
        <is>
          <t>Critical t (95%)</t>
        </is>
      </c>
      <c r="P42" s="12">
        <f>_xlfn.T.INV.2T(0.05,P39)</f>
        <v/>
      </c>
      <c r="Q42" s="16" t="inlineStr">
        <is>
          <t>=T.INV.2T(0.05,P39)</t>
        </is>
      </c>
      <c r="R42" s="7" t="inlineStr">
        <is>
          <t>two tailed, alpha = .05</t>
        </is>
      </c>
    </row>
    <row r="43">
      <c r="O43" t="inlineStr">
        <is>
          <t>Mean difference 95% CI lower</t>
        </is>
      </c>
      <c r="P43" s="12">
        <f>P35-P42*P37</f>
        <v/>
      </c>
      <c r="Q43" s="16" t="inlineStr">
        <is>
          <t>=P35-P42*P37</t>
        </is>
      </c>
    </row>
    <row r="44">
      <c r="O44" t="inlineStr">
        <is>
          <t>Mean difference 95% CI upper</t>
        </is>
      </c>
      <c r="P44" s="12">
        <f>P35+P42*P37</f>
        <v/>
      </c>
      <c r="Q44" s="16" t="inlineStr">
        <is>
          <t>=P35+P42*P37</t>
        </is>
      </c>
    </row>
    <row r="45">
      <c r="O45" t="inlineStr">
        <is>
          <t>Cohen's d_z</t>
        </is>
      </c>
      <c r="P45" s="12">
        <f>P35/P36</f>
        <v/>
      </c>
      <c r="Q45" s="16" t="inlineStr">
        <is>
          <t>=P35/P36</t>
        </is>
      </c>
      <c r="R45" s="7" t="inlineStr">
        <is>
          <t>d_z = mean difference / SD of differences</t>
        </is>
      </c>
    </row>
    <row r="46">
      <c r="O46" t="inlineStr">
        <is>
          <t>SE of d_z (approximation)</t>
        </is>
      </c>
      <c r="P46" s="12">
        <f>SQRT(1/P34+P45^2/(2*P34))</f>
        <v/>
      </c>
      <c r="Q46" s="16" t="inlineStr">
        <is>
          <t>=SQRT(1/P34+P45^2/(2*P34))</t>
        </is>
      </c>
      <c r="R46" s="7" t="inlineStr">
        <is>
          <t>sqrt(1/n + d_z^2 / (2 n))</t>
        </is>
      </c>
    </row>
    <row r="47">
      <c r="O47" t="inlineStr">
        <is>
          <t>d_z 95% CI lower</t>
        </is>
      </c>
      <c r="P47" s="12">
        <f>P45-1.96*P46</f>
        <v/>
      </c>
      <c r="Q47" s="16" t="inlineStr">
        <is>
          <t>=P45-1.96*P46</t>
        </is>
      </c>
      <c r="R47" s="7" t="inlineStr">
        <is>
          <t>large sample approximation; R uses the noncentral t interval</t>
        </is>
      </c>
    </row>
    <row r="48">
      <c r="O48" t="inlineStr">
        <is>
          <t>d_z 95% CI upper</t>
        </is>
      </c>
      <c r="P48" s="12">
        <f>P45+1.96*P46</f>
        <v/>
      </c>
      <c r="Q48" s="16" t="inlineStr">
        <is>
          <t>=P45+1.96*P46</t>
        </is>
      </c>
    </row>
    <row r="49">
      <c r="O49" t="inlineStr">
        <is>
          <t>Correlation of the two columns</t>
        </is>
      </c>
      <c r="P49" s="12">
        <f>CORREL(G5:G32,H5:H32)</f>
        <v/>
      </c>
      <c r="Q49" s="16" t="inlineStr">
        <is>
          <t>=CORREL(G5:G32,H5:H32)</t>
        </is>
      </c>
      <c r="R49" s="7" t="inlineStr">
        <is>
          <t>within respondent correlation</t>
        </is>
      </c>
    </row>
    <row r="52">
      <c r="O52" s="14" t="inlineStr">
        <is>
          <t>Statistic</t>
        </is>
      </c>
      <c r="P52" s="14" t="inlineStr">
        <is>
          <t>Value</t>
        </is>
      </c>
      <c r="Q52" s="14" t="inlineStr">
        <is>
          <t>Formula shown</t>
        </is>
      </c>
      <c r="R52" s="14" t="inlineStr">
        <is>
          <t>Note</t>
        </is>
      </c>
    </row>
    <row r="53">
      <c r="O53" s="15" t="inlineStr">
        <is>
          <t>Sensitivity, Nike: responders only (rows 5 to 29)</t>
        </is>
      </c>
    </row>
    <row r="54">
      <c r="O54" t="inlineStr">
        <is>
          <t>Baseline_Nike mean (peaks per minute)</t>
        </is>
      </c>
      <c r="P54" s="12">
        <f>AVERAGE(D5:D29)</f>
        <v/>
      </c>
      <c r="Q54" s="16" t="inlineStr">
        <is>
          <t>=AVERAGE(D5:D29)</t>
        </is>
      </c>
      <c r="R54" s="7" t="inlineStr">
        <is>
          <t>AVERAGE of the reference column</t>
        </is>
      </c>
    </row>
    <row r="55">
      <c r="O55" t="inlineStr">
        <is>
          <t>Baseline_Nike SD (peaks per minute)</t>
        </is>
      </c>
      <c r="P55" s="12">
        <f>_xlfn.STDEV.S(D5:D29)</f>
        <v/>
      </c>
      <c r="Q55" s="16" t="inlineStr">
        <is>
          <t>=STDEV.S(D5:D29)</t>
        </is>
      </c>
      <c r="R55" s="7" t="inlineStr">
        <is>
          <t>STDEV.S = sample standard deviation</t>
        </is>
      </c>
    </row>
    <row r="56">
      <c r="O56" t="inlineStr">
        <is>
          <t>Nike_Commercial mean (peaks per minute)</t>
        </is>
      </c>
      <c r="P56" s="12">
        <f>AVERAGE(E5:E29)</f>
        <v/>
      </c>
      <c r="Q56" s="16" t="inlineStr">
        <is>
          <t>=AVERAGE(E5:E29)</t>
        </is>
      </c>
    </row>
    <row r="57">
      <c r="O57" t="inlineStr">
        <is>
          <t>Nike_Commercial SD (peaks per minute)</t>
        </is>
      </c>
      <c r="P57" s="12">
        <f>_xlfn.STDEV.S(E5:E29)</f>
        <v/>
      </c>
      <c r="Q57" s="16" t="inlineStr">
        <is>
          <t>=STDEV.S(E5:E29)</t>
        </is>
      </c>
    </row>
    <row r="58">
      <c r="O58" t="inlineStr">
        <is>
          <t>n pairs</t>
        </is>
      </c>
      <c r="P58" s="11">
        <f>COUNT(F5:F29)</f>
        <v/>
      </c>
      <c r="Q58" s="16" t="inlineStr">
        <is>
          <t>=COUNT(F5:F29)</t>
        </is>
      </c>
      <c r="R58" s="7" t="inlineStr">
        <is>
          <t>nonresponders are listed below the responders and left out</t>
        </is>
      </c>
    </row>
    <row r="59">
      <c r="O59" t="inlineStr">
        <is>
          <t>Mean difference, Nike_Commercial minus Baseline_Nike (peaks per minute)</t>
        </is>
      </c>
      <c r="P59" s="12">
        <f>AVERAGE(F5:F29)</f>
        <v/>
      </c>
      <c r="Q59" s="16" t="inlineStr">
        <is>
          <t>=AVERAGE(F5:F29)</t>
        </is>
      </c>
    </row>
    <row r="60">
      <c r="O60" t="inlineStr">
        <is>
          <t>SD of the differences (peaks per minute)</t>
        </is>
      </c>
      <c r="P60" s="12">
        <f>_xlfn.STDEV.S(F5:F29)</f>
        <v/>
      </c>
      <c r="Q60" s="16" t="inlineStr">
        <is>
          <t>=STDEV.S(F5:F29)</t>
        </is>
      </c>
      <c r="R60" s="7" t="inlineStr">
        <is>
          <t>the SD that matters in a paired test</t>
        </is>
      </c>
    </row>
    <row r="61">
      <c r="O61" t="inlineStr">
        <is>
          <t>SE of the mean difference</t>
        </is>
      </c>
      <c r="P61" s="12">
        <f>P60/SQRT(P58)</f>
        <v/>
      </c>
      <c r="Q61" s="16" t="inlineStr">
        <is>
          <t>=P60/SQRT(P58)</t>
        </is>
      </c>
      <c r="R61" s="7" t="inlineStr">
        <is>
          <t>SD of differences / sqrt(n)</t>
        </is>
      </c>
    </row>
    <row r="62">
      <c r="O62" t="inlineStr">
        <is>
          <t>Paired t</t>
        </is>
      </c>
      <c r="P62" s="12">
        <f>P59/P61</f>
        <v/>
      </c>
      <c r="Q62" s="16" t="inlineStr">
        <is>
          <t>=P59/P61</t>
        </is>
      </c>
      <c r="R62" s="7" t="inlineStr">
        <is>
          <t>t = mean difference / SE</t>
        </is>
      </c>
    </row>
    <row r="63">
      <c r="O63" t="inlineStr">
        <is>
          <t>df</t>
        </is>
      </c>
      <c r="P63" s="11">
        <f>P58-1</f>
        <v/>
      </c>
      <c r="Q63" s="16" t="inlineStr">
        <is>
          <t>=P58-1</t>
        </is>
      </c>
      <c r="R63" s="7" t="inlineStr">
        <is>
          <t>n pairs minus 1</t>
        </is>
      </c>
    </row>
    <row r="64">
      <c r="O64" t="inlineStr">
        <is>
          <t>p, two tailed (T.TEST type 1)</t>
        </is>
      </c>
      <c r="P64" s="17">
        <f>_xlfn.T.TEST(D5:D29,E5:E29,2,1)</f>
        <v/>
      </c>
      <c r="Q64" s="16" t="inlineStr">
        <is>
          <t>=T.TEST(D5:D29,E5:E29,2,1)</t>
        </is>
      </c>
      <c r="R64" s="7" t="inlineStr">
        <is>
          <t>tails = 2, type = 1 means paired</t>
        </is>
      </c>
    </row>
    <row r="65">
      <c r="O65" t="inlineStr">
        <is>
          <t>p from the hand computed t</t>
        </is>
      </c>
      <c r="P65" s="17">
        <f>_xlfn.T.DIST.2T(ABS(P62),P63)</f>
        <v/>
      </c>
      <c r="Q65" s="16" t="inlineStr">
        <is>
          <t>=T.DIST.2T(ABS(P62),P63)</t>
        </is>
      </c>
      <c r="R65" s="7" t="inlineStr">
        <is>
          <t>should match the T.TEST cell</t>
        </is>
      </c>
    </row>
    <row r="66">
      <c r="O66" t="inlineStr">
        <is>
          <t>Critical t (95%)</t>
        </is>
      </c>
      <c r="P66" s="12">
        <f>_xlfn.T.INV.2T(0.05,P63)</f>
        <v/>
      </c>
      <c r="Q66" s="16" t="inlineStr">
        <is>
          <t>=T.INV.2T(0.05,P63)</t>
        </is>
      </c>
      <c r="R66" s="7" t="inlineStr">
        <is>
          <t>two tailed, alpha = .05</t>
        </is>
      </c>
    </row>
    <row r="67">
      <c r="O67" t="inlineStr">
        <is>
          <t>Mean difference 95% CI lower</t>
        </is>
      </c>
      <c r="P67" s="12">
        <f>P59-P66*P61</f>
        <v/>
      </c>
      <c r="Q67" s="16" t="inlineStr">
        <is>
          <t>=P59-P66*P61</t>
        </is>
      </c>
    </row>
    <row r="68">
      <c r="O68" t="inlineStr">
        <is>
          <t>Mean difference 95% CI upper</t>
        </is>
      </c>
      <c r="P68" s="12">
        <f>P59+P66*P61</f>
        <v/>
      </c>
      <c r="Q68" s="16" t="inlineStr">
        <is>
          <t>=P59+P66*P61</t>
        </is>
      </c>
    </row>
    <row r="69">
      <c r="O69" t="inlineStr">
        <is>
          <t>Cohen's d_z</t>
        </is>
      </c>
      <c r="P69" s="12">
        <f>P59/P60</f>
        <v/>
      </c>
      <c r="Q69" s="16" t="inlineStr">
        <is>
          <t>=P59/P60</t>
        </is>
      </c>
      <c r="R69" s="7" t="inlineStr">
        <is>
          <t>d_z = mean difference / SD of differences</t>
        </is>
      </c>
    </row>
    <row r="70">
      <c r="O70" t="inlineStr">
        <is>
          <t>SE of d_z (approximation)</t>
        </is>
      </c>
      <c r="P70" s="12">
        <f>SQRT(1/P58+P69^2/(2*P58))</f>
        <v/>
      </c>
      <c r="Q70" s="16" t="inlineStr">
        <is>
          <t>=SQRT(1/P58+P69^2/(2*P58))</t>
        </is>
      </c>
      <c r="R70" s="7" t="inlineStr">
        <is>
          <t>sqrt(1/n + d_z^2 / (2 n))</t>
        </is>
      </c>
    </row>
    <row r="71">
      <c r="O71" t="inlineStr">
        <is>
          <t>d_z 95% CI lower</t>
        </is>
      </c>
      <c r="P71" s="12">
        <f>P69-1.96*P70</f>
        <v/>
      </c>
      <c r="Q71" s="16" t="inlineStr">
        <is>
          <t>=P69-1.96*P70</t>
        </is>
      </c>
      <c r="R71" s="7" t="inlineStr">
        <is>
          <t>large sample approximation; R uses the noncentral t interval</t>
        </is>
      </c>
    </row>
    <row r="72">
      <c r="O72" t="inlineStr">
        <is>
          <t>d_z 95% CI upper</t>
        </is>
      </c>
      <c r="P72" s="12">
        <f>P69+1.96*P70</f>
        <v/>
      </c>
      <c r="Q72" s="16" t="inlineStr">
        <is>
          <t>=P69+1.96*P70</t>
        </is>
      </c>
    </row>
    <row r="73">
      <c r="O73" t="inlineStr">
        <is>
          <t>Correlation of the two columns</t>
        </is>
      </c>
      <c r="P73" s="12">
        <f>CORREL(D5:D29,E5:E29)</f>
        <v/>
      </c>
      <c r="Q73" s="16" t="inlineStr">
        <is>
          <t>=CORREL(D5:D29,E5:E29)</t>
        </is>
      </c>
      <c r="R73" s="7" t="inlineStr">
        <is>
          <t>within respondent correlation</t>
        </is>
      </c>
    </row>
    <row r="76">
      <c r="O76" s="14" t="inlineStr">
        <is>
          <t>Statistic</t>
        </is>
      </c>
      <c r="P76" s="14" t="inlineStr">
        <is>
          <t>Value</t>
        </is>
      </c>
      <c r="Q76" s="14" t="inlineStr">
        <is>
          <t>Formula shown</t>
        </is>
      </c>
      <c r="R76" s="14" t="inlineStr">
        <is>
          <t>Note</t>
        </is>
      </c>
    </row>
    <row r="77">
      <c r="O77" s="15" t="inlineStr">
        <is>
          <t>Sensitivity, e.l.f.: responders only (rows 5 to 29)</t>
        </is>
      </c>
    </row>
    <row r="78">
      <c r="O78" t="inlineStr">
        <is>
          <t>Baseline_elf mean (peaks per minute)</t>
        </is>
      </c>
      <c r="P78" s="12">
        <f>AVERAGE(G5:G29)</f>
        <v/>
      </c>
      <c r="Q78" s="16" t="inlineStr">
        <is>
          <t>=AVERAGE(G5:G29)</t>
        </is>
      </c>
      <c r="R78" s="7" t="inlineStr">
        <is>
          <t>AVERAGE of the reference column</t>
        </is>
      </c>
    </row>
    <row r="79">
      <c r="O79" t="inlineStr">
        <is>
          <t>Baseline_elf SD (peaks per minute)</t>
        </is>
      </c>
      <c r="P79" s="12">
        <f>_xlfn.STDEV.S(G5:G29)</f>
        <v/>
      </c>
      <c r="Q79" s="16" t="inlineStr">
        <is>
          <t>=STDEV.S(G5:G29)</t>
        </is>
      </c>
      <c r="R79" s="7" t="inlineStr">
        <is>
          <t>STDEV.S = sample standard deviation</t>
        </is>
      </c>
    </row>
    <row r="80">
      <c r="O80" t="inlineStr">
        <is>
          <t>elf_Commercial mean (peaks per minute)</t>
        </is>
      </c>
      <c r="P80" s="12">
        <f>AVERAGE(H5:H29)</f>
        <v/>
      </c>
      <c r="Q80" s="16" t="inlineStr">
        <is>
          <t>=AVERAGE(H5:H29)</t>
        </is>
      </c>
    </row>
    <row r="81">
      <c r="O81" t="inlineStr">
        <is>
          <t>elf_Commercial SD (peaks per minute)</t>
        </is>
      </c>
      <c r="P81" s="12">
        <f>_xlfn.STDEV.S(H5:H29)</f>
        <v/>
      </c>
      <c r="Q81" s="16" t="inlineStr">
        <is>
          <t>=STDEV.S(H5:H29)</t>
        </is>
      </c>
    </row>
    <row r="82">
      <c r="O82" t="inlineStr">
        <is>
          <t>n pairs</t>
        </is>
      </c>
      <c r="P82" s="11">
        <f>COUNT(I5:I29)</f>
        <v/>
      </c>
      <c r="Q82" s="16" t="inlineStr">
        <is>
          <t>=COUNT(I5:I29)</t>
        </is>
      </c>
    </row>
    <row r="83">
      <c r="O83" t="inlineStr">
        <is>
          <t>Mean difference, elf_Commercial minus Baseline_elf (peaks per minute)</t>
        </is>
      </c>
      <c r="P83" s="12">
        <f>AVERAGE(I5:I29)</f>
        <v/>
      </c>
      <c r="Q83" s="16" t="inlineStr">
        <is>
          <t>=AVERAGE(I5:I29)</t>
        </is>
      </c>
    </row>
    <row r="84">
      <c r="O84" t="inlineStr">
        <is>
          <t>SD of the differences (peaks per minute)</t>
        </is>
      </c>
      <c r="P84" s="12">
        <f>_xlfn.STDEV.S(I5:I29)</f>
        <v/>
      </c>
      <c r="Q84" s="16" t="inlineStr">
        <is>
          <t>=STDEV.S(I5:I29)</t>
        </is>
      </c>
      <c r="R84" s="7" t="inlineStr">
        <is>
          <t>the SD that matters in a paired test</t>
        </is>
      </c>
    </row>
    <row r="85">
      <c r="O85" t="inlineStr">
        <is>
          <t>SE of the mean difference</t>
        </is>
      </c>
      <c r="P85" s="12">
        <f>P84/SQRT(P82)</f>
        <v/>
      </c>
      <c r="Q85" s="16" t="inlineStr">
        <is>
          <t>=P84/SQRT(P82)</t>
        </is>
      </c>
      <c r="R85" s="7" t="inlineStr">
        <is>
          <t>SD of differences / sqrt(n)</t>
        </is>
      </c>
    </row>
    <row r="86">
      <c r="O86" t="inlineStr">
        <is>
          <t>Paired t</t>
        </is>
      </c>
      <c r="P86" s="12">
        <f>P83/P85</f>
        <v/>
      </c>
      <c r="Q86" s="16" t="inlineStr">
        <is>
          <t>=P83/P85</t>
        </is>
      </c>
      <c r="R86" s="7" t="inlineStr">
        <is>
          <t>t = mean difference / SE</t>
        </is>
      </c>
    </row>
    <row r="87">
      <c r="O87" t="inlineStr">
        <is>
          <t>df</t>
        </is>
      </c>
      <c r="P87" s="11">
        <f>P82-1</f>
        <v/>
      </c>
      <c r="Q87" s="16" t="inlineStr">
        <is>
          <t>=P82-1</t>
        </is>
      </c>
      <c r="R87" s="7" t="inlineStr">
        <is>
          <t>n pairs minus 1</t>
        </is>
      </c>
    </row>
    <row r="88">
      <c r="O88" t="inlineStr">
        <is>
          <t>p, two tailed (T.TEST type 1)</t>
        </is>
      </c>
      <c r="P88" s="17">
        <f>_xlfn.T.TEST(G5:G29,H5:H29,2,1)</f>
        <v/>
      </c>
      <c r="Q88" s="16" t="inlineStr">
        <is>
          <t>=T.TEST(G5:G29,H5:H29,2,1)</t>
        </is>
      </c>
      <c r="R88" s="7" t="inlineStr">
        <is>
          <t>tails = 2, type = 1 means paired</t>
        </is>
      </c>
    </row>
    <row r="89">
      <c r="O89" t="inlineStr">
        <is>
          <t>p from the hand computed t</t>
        </is>
      </c>
      <c r="P89" s="17">
        <f>_xlfn.T.DIST.2T(ABS(P86),P87)</f>
        <v/>
      </c>
      <c r="Q89" s="16" t="inlineStr">
        <is>
          <t>=T.DIST.2T(ABS(P86),P87)</t>
        </is>
      </c>
      <c r="R89" s="7" t="inlineStr">
        <is>
          <t>should match the T.TEST cell</t>
        </is>
      </c>
    </row>
    <row r="90">
      <c r="O90" t="inlineStr">
        <is>
          <t>Critical t (95%)</t>
        </is>
      </c>
      <c r="P90" s="12">
        <f>_xlfn.T.INV.2T(0.05,P87)</f>
        <v/>
      </c>
      <c r="Q90" s="16" t="inlineStr">
        <is>
          <t>=T.INV.2T(0.05,P87)</t>
        </is>
      </c>
      <c r="R90" s="7" t="inlineStr">
        <is>
          <t>two tailed, alpha = .05</t>
        </is>
      </c>
    </row>
    <row r="91">
      <c r="O91" t="inlineStr">
        <is>
          <t>Mean difference 95% CI lower</t>
        </is>
      </c>
      <c r="P91" s="12">
        <f>P83-P90*P85</f>
        <v/>
      </c>
      <c r="Q91" s="16" t="inlineStr">
        <is>
          <t>=P83-P90*P85</t>
        </is>
      </c>
    </row>
    <row r="92">
      <c r="O92" t="inlineStr">
        <is>
          <t>Mean difference 95% CI upper</t>
        </is>
      </c>
      <c r="P92" s="12">
        <f>P83+P90*P85</f>
        <v/>
      </c>
      <c r="Q92" s="16" t="inlineStr">
        <is>
          <t>=P83+P90*P85</t>
        </is>
      </c>
    </row>
    <row r="93">
      <c r="O93" t="inlineStr">
        <is>
          <t>Cohen's d_z</t>
        </is>
      </c>
      <c r="P93" s="12">
        <f>P83/P84</f>
        <v/>
      </c>
      <c r="Q93" s="16" t="inlineStr">
        <is>
          <t>=P83/P84</t>
        </is>
      </c>
      <c r="R93" s="7" t="inlineStr">
        <is>
          <t>d_z = mean difference / SD of differences</t>
        </is>
      </c>
    </row>
    <row r="94">
      <c r="O94" t="inlineStr">
        <is>
          <t>SE of d_z (approximation)</t>
        </is>
      </c>
      <c r="P94" s="12">
        <f>SQRT(1/P82+P93^2/(2*P82))</f>
        <v/>
      </c>
      <c r="Q94" s="16" t="inlineStr">
        <is>
          <t>=SQRT(1/P82+P93^2/(2*P82))</t>
        </is>
      </c>
      <c r="R94" s="7" t="inlineStr">
        <is>
          <t>sqrt(1/n + d_z^2 / (2 n))</t>
        </is>
      </c>
    </row>
    <row r="95">
      <c r="O95" t="inlineStr">
        <is>
          <t>d_z 95% CI lower</t>
        </is>
      </c>
      <c r="P95" s="12">
        <f>P93-1.96*P94</f>
        <v/>
      </c>
      <c r="Q95" s="16" t="inlineStr">
        <is>
          <t>=P93-1.96*P94</t>
        </is>
      </c>
      <c r="R95" s="7" t="inlineStr">
        <is>
          <t>large sample approximation; R uses the noncentral t interval</t>
        </is>
      </c>
    </row>
    <row r="96">
      <c r="O96" t="inlineStr">
        <is>
          <t>d_z 95% CI upper</t>
        </is>
      </c>
      <c r="P96" s="12">
        <f>P93+1.96*P94</f>
        <v/>
      </c>
      <c r="Q96" s="16" t="inlineStr">
        <is>
          <t>=P93+1.96*P94</t>
        </is>
      </c>
    </row>
    <row r="97">
      <c r="O97" t="inlineStr">
        <is>
          <t>Correlation of the two columns</t>
        </is>
      </c>
      <c r="P97" s="12">
        <f>CORREL(G5:G29,H5:H29)</f>
        <v/>
      </c>
      <c r="Q97" s="16" t="inlineStr">
        <is>
          <t>=CORREL(G5:G29,H5:H29)</t>
        </is>
      </c>
      <c r="R97" s="7" t="inlineStr">
        <is>
          <t>within respondent correlation</t>
        </is>
      </c>
    </row>
    <row r="100">
      <c r="O100" s="14" t="inlineStr">
        <is>
          <t>Statistic</t>
        </is>
      </c>
      <c r="P100" s="14" t="inlineStr">
        <is>
          <t>Value</t>
        </is>
      </c>
      <c r="Q100" s="14" t="inlineStr">
        <is>
          <t>Formula shown</t>
        </is>
      </c>
      <c r="R100" s="14" t="inlineStr">
        <is>
          <t>Note</t>
        </is>
      </c>
    </row>
    <row r="101">
      <c r="O101" s="15" t="inlineStr">
        <is>
          <t>Exploratory: Arousal_Nike_1to9 with Nike_Commercial PPM (all kept)</t>
        </is>
      </c>
    </row>
    <row r="102">
      <c r="O102" t="inlineStr">
        <is>
          <t>n</t>
        </is>
      </c>
      <c r="P102" s="11">
        <f>COUNT(J5:J32)</f>
        <v/>
      </c>
      <c r="Q102" s="16" t="inlineStr">
        <is>
          <t>=COUNT(J5:J32)</t>
        </is>
      </c>
    </row>
    <row r="103">
      <c r="O103" t="inlineStr">
        <is>
          <t>Pearson r (CORREL)</t>
        </is>
      </c>
      <c r="P103" s="12">
        <f>CORREL(J5:J32,E5:E32)</f>
        <v/>
      </c>
      <c r="Q103" s="16" t="inlineStr">
        <is>
          <t>=CORREL(J5:J32,E5:E32)</t>
        </is>
      </c>
    </row>
    <row r="104">
      <c r="O104" t="inlineStr">
        <is>
          <t>t for r</t>
        </is>
      </c>
      <c r="P104" s="12">
        <f>P103*SQRT((P102-2)/(1-P103^2))</f>
        <v/>
      </c>
      <c r="Q104" s="16" t="inlineStr">
        <is>
          <t>=P103*SQRT((P102-2)/(1-P103^2))</t>
        </is>
      </c>
      <c r="R104" s="7" t="inlineStr">
        <is>
          <t>t = r sqrt((n - 2) / (1 - r^2))</t>
        </is>
      </c>
    </row>
    <row r="105">
      <c r="O105" t="inlineStr">
        <is>
          <t>p, two tailed</t>
        </is>
      </c>
      <c r="P105" s="17">
        <f>_xlfn.T.DIST.2T(ABS(P104),P102-2)</f>
        <v/>
      </c>
      <c r="Q105" s="16" t="inlineStr">
        <is>
          <t>=T.DIST.2T(ABS(P104),P102-2)</t>
        </is>
      </c>
      <c r="R105" s="7" t="inlineStr">
        <is>
          <t>df = n - 2</t>
        </is>
      </c>
    </row>
    <row r="106">
      <c r="O106" t="inlineStr">
        <is>
          <t>r 95% CI lower (Fisher z)</t>
        </is>
      </c>
      <c r="P106" s="12">
        <f>TANH(ATANH(P103)-_xlfn.NORM.S.INV(0.975)/SQRT(P102-3))</f>
        <v/>
      </c>
      <c r="Q106" s="16" t="inlineStr">
        <is>
          <t>=TANH(ATANH(P103)-NORM.S.INV(0.975)/SQRT(P102-3))</t>
        </is>
      </c>
    </row>
    <row r="107">
      <c r="O107" t="inlineStr">
        <is>
          <t>r 95% CI upper (Fisher z)</t>
        </is>
      </c>
      <c r="P107" s="12">
        <f>TANH(ATANH(P103)+_xlfn.NORM.S.INV(0.975)/SQRT(P102-3))</f>
        <v/>
      </c>
      <c r="Q107" s="16" t="inlineStr">
        <is>
          <t>=TANH(ATANH(P103)+NORM.S.INV(0.975)/SQRT(P102-3))</t>
        </is>
      </c>
    </row>
    <row r="110">
      <c r="O110" s="14" t="inlineStr">
        <is>
          <t>Statistic</t>
        </is>
      </c>
      <c r="P110" s="14" t="inlineStr">
        <is>
          <t>Value</t>
        </is>
      </c>
      <c r="Q110" s="14" t="inlineStr">
        <is>
          <t>Formula shown</t>
        </is>
      </c>
      <c r="R110" s="14" t="inlineStr">
        <is>
          <t>Note</t>
        </is>
      </c>
    </row>
    <row r="111">
      <c r="O111" s="15" t="inlineStr">
        <is>
          <t>Exploratory: Arousal_elf_1to9 with elf_Commercial PPM (all kept)</t>
        </is>
      </c>
    </row>
    <row r="112">
      <c r="O112" t="inlineStr">
        <is>
          <t>n</t>
        </is>
      </c>
      <c r="P112" s="11">
        <f>COUNT(K5:K32)</f>
        <v/>
      </c>
      <c r="Q112" s="16" t="inlineStr">
        <is>
          <t>=COUNT(K5:K32)</t>
        </is>
      </c>
    </row>
    <row r="113">
      <c r="O113" t="inlineStr">
        <is>
          <t>Pearson r (CORREL)</t>
        </is>
      </c>
      <c r="P113" s="12">
        <f>CORREL(K5:K32,H5:H32)</f>
        <v/>
      </c>
      <c r="Q113" s="16" t="inlineStr">
        <is>
          <t>=CORREL(K5:K32,H5:H32)</t>
        </is>
      </c>
    </row>
    <row r="114">
      <c r="O114" t="inlineStr">
        <is>
          <t>t for r</t>
        </is>
      </c>
      <c r="P114" s="12">
        <f>P113*SQRT((P112-2)/(1-P113^2))</f>
        <v/>
      </c>
      <c r="Q114" s="16" t="inlineStr">
        <is>
          <t>=P113*SQRT((P112-2)/(1-P113^2))</t>
        </is>
      </c>
      <c r="R114" s="7" t="inlineStr">
        <is>
          <t>t = r sqrt((n - 2) / (1 - r^2))</t>
        </is>
      </c>
    </row>
    <row r="115">
      <c r="O115" t="inlineStr">
        <is>
          <t>p, two tailed</t>
        </is>
      </c>
      <c r="P115" s="17">
        <f>_xlfn.T.DIST.2T(ABS(P114),P112-2)</f>
        <v/>
      </c>
      <c r="Q115" s="16" t="inlineStr">
        <is>
          <t>=T.DIST.2T(ABS(P114),P112-2)</t>
        </is>
      </c>
      <c r="R115" s="7" t="inlineStr">
        <is>
          <t>df = n - 2</t>
        </is>
      </c>
    </row>
    <row r="116">
      <c r="O116" t="inlineStr">
        <is>
          <t>r 95% CI lower (Fisher z)</t>
        </is>
      </c>
      <c r="P116" s="12">
        <f>TANH(ATANH(P113)-_xlfn.NORM.S.INV(0.975)/SQRT(P112-3))</f>
        <v/>
      </c>
      <c r="Q116" s="16" t="inlineStr">
        <is>
          <t>=TANH(ATANH(P113)-NORM.S.INV(0.975)/SQRT(P112-3))</t>
        </is>
      </c>
    </row>
    <row r="117">
      <c r="O117" t="inlineStr">
        <is>
          <t>r 95% CI upper (Fisher z)</t>
        </is>
      </c>
      <c r="P117" s="12">
        <f>TANH(ATANH(P113)+_xlfn.NORM.S.INV(0.975)/SQRT(P112-3))</f>
        <v/>
      </c>
      <c r="Q117" s="16" t="inlineStr">
        <is>
          <t>=TANH(ATANH(P113)+NORM.S.INV(0.975)/SQRT(P112-3))</t>
        </is>
      </c>
    </row>
    <row r="120">
      <c r="O120" s="14" t="inlineStr">
        <is>
          <t>Statistic</t>
        </is>
      </c>
      <c r="P120" s="14" t="inlineStr">
        <is>
          <t>Value</t>
        </is>
      </c>
      <c r="Q120" s="14" t="inlineStr">
        <is>
          <t>Formula shown</t>
        </is>
      </c>
      <c r="R120" s="14" t="inlineStr">
        <is>
          <t>Note</t>
        </is>
      </c>
    </row>
    <row r="121">
      <c r="O121" s="15" t="inlineStr">
        <is>
          <t>Exploratory: respondent means over the two commercials (all kept)</t>
        </is>
      </c>
    </row>
    <row r="122">
      <c r="O122" t="inlineStr">
        <is>
          <t>n</t>
        </is>
      </c>
      <c r="P122" s="11">
        <f>COUNT(L5:L32)</f>
        <v/>
      </c>
      <c r="Q122" s="16" t="inlineStr">
        <is>
          <t>=COUNT(L5:L32)</t>
        </is>
      </c>
    </row>
    <row r="123">
      <c r="O123" t="inlineStr">
        <is>
          <t>Pearson r (CORREL)</t>
        </is>
      </c>
      <c r="P123" s="12">
        <f>CORREL(L5:L32,M5:M32)</f>
        <v/>
      </c>
      <c r="Q123" s="16" t="inlineStr">
        <is>
          <t>=CORREL(L5:L32,M5:M32)</t>
        </is>
      </c>
    </row>
    <row r="124">
      <c r="O124" t="inlineStr">
        <is>
          <t>t for r</t>
        </is>
      </c>
      <c r="P124" s="12">
        <f>P123*SQRT((P122-2)/(1-P123^2))</f>
        <v/>
      </c>
      <c r="Q124" s="16" t="inlineStr">
        <is>
          <t>=P123*SQRT((P122-2)/(1-P123^2))</t>
        </is>
      </c>
      <c r="R124" s="7" t="inlineStr">
        <is>
          <t>t = r sqrt((n - 2) / (1 - r^2))</t>
        </is>
      </c>
    </row>
    <row r="125">
      <c r="O125" t="inlineStr">
        <is>
          <t>p, two tailed</t>
        </is>
      </c>
      <c r="P125" s="17">
        <f>_xlfn.T.DIST.2T(ABS(P124),P122-2)</f>
        <v/>
      </c>
      <c r="Q125" s="16" t="inlineStr">
        <is>
          <t>=T.DIST.2T(ABS(P124),P122-2)</t>
        </is>
      </c>
      <c r="R125" s="7" t="inlineStr">
        <is>
          <t>df = n - 2</t>
        </is>
      </c>
    </row>
    <row r="126">
      <c r="O126" t="inlineStr">
        <is>
          <t>r 95% CI lower (Fisher z)</t>
        </is>
      </c>
      <c r="P126" s="12">
        <f>TANH(ATANH(P123)-_xlfn.NORM.S.INV(0.975)/SQRT(P122-3))</f>
        <v/>
      </c>
      <c r="Q126" s="16" t="inlineStr">
        <is>
          <t>=TANH(ATANH(P123)-NORM.S.INV(0.975)/SQRT(P122-3))</t>
        </is>
      </c>
    </row>
    <row r="127">
      <c r="O127" t="inlineStr">
        <is>
          <t>r 95% CI upper (Fisher z)</t>
        </is>
      </c>
      <c r="P127" s="12">
        <f>TANH(ATANH(P123)+_xlfn.NORM.S.INV(0.975)/SQRT(P122-3))</f>
        <v/>
      </c>
      <c r="Q127" s="16" t="inlineStr">
        <is>
          <t>=TANH(ATANH(P123)+NORM.S.INV(0.975)/SQRT(P122-3))</t>
        </is>
      </c>
    </row>
    <row r="130">
      <c r="O130" s="14" t="inlineStr">
        <is>
          <t>Statistic</t>
        </is>
      </c>
      <c r="P130" s="14" t="inlineStr">
        <is>
          <t>Value</t>
        </is>
      </c>
      <c r="Q130" s="14" t="inlineStr">
        <is>
          <t>Formula shown</t>
        </is>
      </c>
      <c r="R130" s="14" t="inlineStr">
        <is>
          <t>Note</t>
        </is>
      </c>
    </row>
    <row r="131">
      <c r="O131" s="15" t="inlineStr">
        <is>
          <t>Sensitivity: Arousal_Nike_1to9 with Nike_Commercial PPM (responders only)</t>
        </is>
      </c>
    </row>
    <row r="132">
      <c r="O132" t="inlineStr">
        <is>
          <t>n</t>
        </is>
      </c>
      <c r="P132" s="11">
        <f>COUNT(J5:J29)</f>
        <v/>
      </c>
      <c r="Q132" s="16" t="inlineStr">
        <is>
          <t>=COUNT(J5:J29)</t>
        </is>
      </c>
    </row>
    <row r="133">
      <c r="O133" t="inlineStr">
        <is>
          <t>Pearson r (CORREL)</t>
        </is>
      </c>
      <c r="P133" s="12">
        <f>CORREL(J5:J29,E5:E29)</f>
        <v/>
      </c>
      <c r="Q133" s="16" t="inlineStr">
        <is>
          <t>=CORREL(J5:J29,E5:E29)</t>
        </is>
      </c>
    </row>
    <row r="134">
      <c r="O134" t="inlineStr">
        <is>
          <t>t for r</t>
        </is>
      </c>
      <c r="P134" s="12">
        <f>P133*SQRT((P132-2)/(1-P133^2))</f>
        <v/>
      </c>
      <c r="Q134" s="16" t="inlineStr">
        <is>
          <t>=P133*SQRT((P132-2)/(1-P133^2))</t>
        </is>
      </c>
      <c r="R134" s="7" t="inlineStr">
        <is>
          <t>t = r sqrt((n - 2) / (1 - r^2))</t>
        </is>
      </c>
    </row>
    <row r="135">
      <c r="O135" t="inlineStr">
        <is>
          <t>p, two tailed</t>
        </is>
      </c>
      <c r="P135" s="17">
        <f>_xlfn.T.DIST.2T(ABS(P134),P132-2)</f>
        <v/>
      </c>
      <c r="Q135" s="16" t="inlineStr">
        <is>
          <t>=T.DIST.2T(ABS(P134),P132-2)</t>
        </is>
      </c>
      <c r="R135" s="7" t="inlineStr">
        <is>
          <t>df = n - 2</t>
        </is>
      </c>
    </row>
    <row r="136">
      <c r="O136" t="inlineStr">
        <is>
          <t>r 95% CI lower (Fisher z)</t>
        </is>
      </c>
      <c r="P136" s="12">
        <f>TANH(ATANH(P133)-_xlfn.NORM.S.INV(0.975)/SQRT(P132-3))</f>
        <v/>
      </c>
      <c r="Q136" s="16" t="inlineStr">
        <is>
          <t>=TANH(ATANH(P133)-NORM.S.INV(0.975)/SQRT(P132-3))</t>
        </is>
      </c>
    </row>
    <row r="137">
      <c r="O137" t="inlineStr">
        <is>
          <t>r 95% CI upper (Fisher z)</t>
        </is>
      </c>
      <c r="P137" s="12">
        <f>TANH(ATANH(P133)+_xlfn.NORM.S.INV(0.975)/SQRT(P132-3))</f>
        <v/>
      </c>
      <c r="Q137" s="16" t="inlineStr">
        <is>
          <t>=TANH(ATANH(P133)+NORM.S.INV(0.975)/SQRT(P132-3))</t>
        </is>
      </c>
    </row>
    <row r="140">
      <c r="O140" s="14" t="inlineStr">
        <is>
          <t>Statistic</t>
        </is>
      </c>
      <c r="P140" s="14" t="inlineStr">
        <is>
          <t>Value</t>
        </is>
      </c>
      <c r="Q140" s="14" t="inlineStr">
        <is>
          <t>Formula shown</t>
        </is>
      </c>
      <c r="R140" s="14" t="inlineStr">
        <is>
          <t>Note</t>
        </is>
      </c>
    </row>
    <row r="141">
      <c r="O141" s="15" t="inlineStr">
        <is>
          <t>Sensitivity: Arousal_elf_1to9 with elf_Commercial PPM (responders only)</t>
        </is>
      </c>
    </row>
    <row r="142">
      <c r="O142" t="inlineStr">
        <is>
          <t>n</t>
        </is>
      </c>
      <c r="P142" s="11">
        <f>COUNT(K5:K29)</f>
        <v/>
      </c>
      <c r="Q142" s="16" t="inlineStr">
        <is>
          <t>=COUNT(K5:K29)</t>
        </is>
      </c>
    </row>
    <row r="143">
      <c r="O143" t="inlineStr">
        <is>
          <t>Pearson r (CORREL)</t>
        </is>
      </c>
      <c r="P143" s="12">
        <f>CORREL(K5:K29,H5:H29)</f>
        <v/>
      </c>
      <c r="Q143" s="16" t="inlineStr">
        <is>
          <t>=CORREL(K5:K29,H5:H29)</t>
        </is>
      </c>
    </row>
    <row r="144">
      <c r="O144" t="inlineStr">
        <is>
          <t>t for r</t>
        </is>
      </c>
      <c r="P144" s="12">
        <f>P143*SQRT((P142-2)/(1-P143^2))</f>
        <v/>
      </c>
      <c r="Q144" s="16" t="inlineStr">
        <is>
          <t>=P143*SQRT((P142-2)/(1-P143^2))</t>
        </is>
      </c>
      <c r="R144" s="7" t="inlineStr">
        <is>
          <t>t = r sqrt((n - 2) / (1 - r^2))</t>
        </is>
      </c>
    </row>
    <row r="145">
      <c r="O145" t="inlineStr">
        <is>
          <t>p, two tailed</t>
        </is>
      </c>
      <c r="P145" s="17">
        <f>_xlfn.T.DIST.2T(ABS(P144),P142-2)</f>
        <v/>
      </c>
      <c r="Q145" s="16" t="inlineStr">
        <is>
          <t>=T.DIST.2T(ABS(P144),P142-2)</t>
        </is>
      </c>
      <c r="R145" s="7" t="inlineStr">
        <is>
          <t>df = n - 2</t>
        </is>
      </c>
    </row>
    <row r="146">
      <c r="O146" t="inlineStr">
        <is>
          <t>r 95% CI lower (Fisher z)</t>
        </is>
      </c>
      <c r="P146" s="12">
        <f>TANH(ATANH(P143)-_xlfn.NORM.S.INV(0.975)/SQRT(P142-3))</f>
        <v/>
      </c>
      <c r="Q146" s="16" t="inlineStr">
        <is>
          <t>=TANH(ATANH(P143)-NORM.S.INV(0.975)/SQRT(P142-3))</t>
        </is>
      </c>
    </row>
    <row r="147">
      <c r="O147" t="inlineStr">
        <is>
          <t>r 95% CI upper (Fisher z)</t>
        </is>
      </c>
      <c r="P147" s="12">
        <f>TANH(ATANH(P143)+_xlfn.NORM.S.INV(0.975)/SQRT(P142-3))</f>
        <v/>
      </c>
      <c r="Q147" s="16" t="inlineStr">
        <is>
          <t>=TANH(ATANH(P143)+NORM.S.INV(0.975)/SQRT(P142-3))</t>
        </is>
      </c>
    </row>
    <row r="150">
      <c r="O150" s="14" t="inlineStr">
        <is>
          <t>Statistic</t>
        </is>
      </c>
      <c r="P150" s="14" t="inlineStr">
        <is>
          <t>Value</t>
        </is>
      </c>
      <c r="Q150" s="14" t="inlineStr">
        <is>
          <t>Formula shown</t>
        </is>
      </c>
      <c r="R150" s="14" t="inlineStr">
        <is>
          <t>Note</t>
        </is>
      </c>
    </row>
    <row r="151">
      <c r="O151" s="15" t="inlineStr">
        <is>
          <t>Checks</t>
        </is>
      </c>
    </row>
    <row r="152">
      <c r="O152" t="inlineStr">
        <is>
          <t>Kept respondents with a Nike_Commercial row in Data (Keep = Yes)</t>
        </is>
      </c>
      <c r="P152" s="11">
        <f>COUNTIFS(Data!$G$2:$G$181,"Nike_Commercial",Data!$X$2:$X$181,"Yes")</f>
        <v/>
      </c>
      <c r="Q152" s="16" t="inlineStr">
        <is>
          <t>=COUNTIFS(Data!$G$2:$G$181,"Nike_Commercial",Data!$X$2:$X$181,"Yes")</t>
        </is>
      </c>
      <c r="R152" s="7" t="inlineStr">
        <is>
          <t>must equal n pairs</t>
        </is>
      </c>
    </row>
    <row r="153">
      <c r="O153" t="inlineStr">
        <is>
          <t>Kept responders with a Nike_Commercial row in Data (Nonresponder = 0)</t>
        </is>
      </c>
      <c r="P153" s="11">
        <f>COUNTIFS(Data!$G$2:$G$181,"Nike_Commercial",Data!$X$2:$X$181,"Yes",Data!$Y$2:$Y$181,0)</f>
        <v/>
      </c>
      <c r="Q153" s="16" t="inlineStr">
        <is>
          <t>=COUNTIFS(Data!$G$2:$G$181,"Nike_Commercial",Data!$X$2:$X$181,"Yes",Data!$Y$2:$Y$181,0)</t>
        </is>
      </c>
      <c r="R153" s="7" t="inlineStr">
        <is>
          <t>must equal the n pairs of the sensitivity block (rows 5 to 29)</t>
        </is>
      </c>
    </row>
    <row r="154">
      <c r="O154" t="inlineStr">
        <is>
          <t>Nonresponders listed in rows below the responders (column C = 1)</t>
        </is>
      </c>
      <c r="P154" s="11">
        <f>SUM(C5:C32)</f>
        <v/>
      </c>
      <c r="Q154" s="16" t="inlineStr">
        <is>
          <t>=SUM(C5:C32)</t>
        </is>
      </c>
      <c r="R154" s="7" t="inlineStr">
        <is>
          <t>all nonresponders must sit below row 29; this sum counts them</t>
        </is>
      </c>
    </row>
    <row r="155">
      <c r="O155" t="inlineStr">
        <is>
          <t>Nonresponders inside the responder rows</t>
        </is>
      </c>
      <c r="P155" s="11">
        <f>SUM(C5:C29)</f>
        <v/>
      </c>
      <c r="Q155" s="16" t="inlineStr">
        <is>
          <t>=SUM(C5:C29)</t>
        </is>
      </c>
      <c r="R155" s="7" t="inlineStr">
        <is>
          <t>must be 0</t>
        </is>
      </c>
    </row>
    <row r="158">
      <c r="O158" s="10" t="inlineStr">
        <is>
          <t>Chart table: mean Peaks Per Minute with 95% CI half width</t>
        </is>
      </c>
    </row>
    <row r="159">
      <c r="O159" t="inlineStr">
        <is>
          <t>Stimulus</t>
        </is>
      </c>
      <c r="P159" t="inlineStr">
        <is>
          <t>Mean PPM</t>
        </is>
      </c>
      <c r="Q159" t="inlineStr">
        <is>
          <t>CI half width</t>
        </is>
      </c>
    </row>
    <row r="160">
      <c r="O160" t="inlineStr">
        <is>
          <t>Baseline_Nike</t>
        </is>
      </c>
      <c r="P160" s="13">
        <f>P6</f>
        <v/>
      </c>
      <c r="Q160" s="13">
        <f>_xlfn.CONFIDENCE.T(0.05,P7,P10)</f>
        <v/>
      </c>
    </row>
    <row r="161">
      <c r="O161" t="inlineStr">
        <is>
          <t>Nike_Commercial</t>
        </is>
      </c>
      <c r="P161" s="13">
        <f>P8</f>
        <v/>
      </c>
      <c r="Q161" s="13">
        <f>_xlfn.CONFIDENCE.T(0.05,P9,P10)</f>
        <v/>
      </c>
    </row>
    <row r="162">
      <c r="O162" t="inlineStr">
        <is>
          <t>Baseline_elf</t>
        </is>
      </c>
      <c r="P162" s="13">
        <f>P30</f>
        <v/>
      </c>
      <c r="Q162" s="13">
        <f>_xlfn.CONFIDENCE.T(0.05,P31,P34)</f>
        <v/>
      </c>
    </row>
    <row r="163">
      <c r="O163" t="inlineStr">
        <is>
          <t>elf_Commercial</t>
        </is>
      </c>
      <c r="P163" s="13">
        <f>P32</f>
        <v/>
      </c>
      <c r="Q163" s="13">
        <f>_xlfn.CONFIDENCE.T(0.05,P33,P34)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20" customWidth="1" min="4" max="4"/>
    <col width="20" customWidth="1" min="5" max="5"/>
    <col width="26" customWidth="1" min="6" max="6"/>
    <col width="11" customWidth="1" min="7" max="7"/>
    <col width="3" customWidth="1" min="8" max="8"/>
    <col width="58" customWidth="1" min="9" max="9"/>
    <col width="12" customWidth="1" min="10" max="10"/>
    <col width="76" customWidth="1" min="11" max="11"/>
    <col width="62" customWidth="1" min="12" max="12"/>
  </cols>
  <sheetData>
    <row r="1">
      <c r="A1" s="6" t="inlineStr">
        <is>
          <t>H2. Peaks Per Minute in the commercials, Nike versus e.l.f., kept respondents. SIMULATED data.</t>
        </is>
      </c>
    </row>
    <row r="2">
      <c r="A2" s="7" t="inlineStr">
        <is>
          <t>Same roster order as H1 (responders in rows 5 to 29, nonresponders below). Difference is Nike MINUS e.l.f. Group A saw Nike first, Group B saw e.l.f. first, so the simple order estimate is half the gap between the two group means.</t>
        </is>
      </c>
    </row>
    <row r="4" ht="36" customHeight="1">
      <c r="A4" s="2" t="inlineStr">
        <is>
          <t>Respondent Name</t>
        </is>
      </c>
      <c r="B4" s="2" t="inlineStr">
        <is>
          <t>Group (order)</t>
        </is>
      </c>
      <c r="C4" s="2" t="inlineStr">
        <is>
          <t>Nonresponder</t>
        </is>
      </c>
      <c r="D4" s="2" t="inlineStr">
        <is>
          <t>elf_Commercial PPM</t>
        </is>
      </c>
      <c r="E4" s="2" t="inlineStr">
        <is>
          <t>Nike_Commercial PPM</t>
        </is>
      </c>
      <c r="F4" s="2" t="inlineStr">
        <is>
          <t>Difference (Nike minus elf)</t>
        </is>
      </c>
      <c r="G4" s="2" t="inlineStr">
        <is>
          <t>Nike seen</t>
        </is>
      </c>
      <c r="I4" s="14" t="inlineStr">
        <is>
          <t>Statistic</t>
        </is>
      </c>
      <c r="J4" s="14" t="inlineStr">
        <is>
          <t>Value</t>
        </is>
      </c>
      <c r="K4" s="14" t="inlineStr">
        <is>
          <t>Formula shown</t>
        </is>
      </c>
      <c r="L4" s="14" t="inlineStr">
        <is>
          <t>Note</t>
        </is>
      </c>
    </row>
    <row r="5">
      <c r="A5" s="8" t="inlineStr">
        <is>
          <t>P01</t>
        </is>
      </c>
      <c r="B5" s="8">
        <f>INDEX(Data!$E$2:$E$181,MATCH($A5,Data!$B$2:$B$181,0))</f>
        <v/>
      </c>
      <c r="C5" s="8">
        <f>INDEX(Data!$Y$2:$Y$181,MATCH($A5,Data!$B$2:$B$181,0))</f>
        <v/>
      </c>
      <c r="D5" s="9">
        <f>SUMIFS(Data!$N$2:$N$181,Data!$B$2:$B$181,$A5,Data!$G$2:$G$181,"elf_Commercial")</f>
        <v/>
      </c>
      <c r="E5" s="9">
        <f>SUMIFS(Data!$N$2:$N$181,Data!$B$2:$B$181,$A5,Data!$G$2:$G$181,"Nike_Commercial")</f>
        <v/>
      </c>
      <c r="F5" s="9">
        <f>E5-D5</f>
        <v/>
      </c>
      <c r="G5" s="8">
        <f>IF(B5="A","first","second")</f>
        <v/>
      </c>
      <c r="I5" s="15" t="inlineStr">
        <is>
          <t>Paired t test and d_z: Peaks Per Minute in the commercials, all kept respondents</t>
        </is>
      </c>
    </row>
    <row r="6">
      <c r="A6" s="8" t="inlineStr">
        <is>
          <t>P02</t>
        </is>
      </c>
      <c r="B6" s="8">
        <f>INDEX(Data!$E$2:$E$181,MATCH($A6,Data!$B$2:$B$181,0))</f>
        <v/>
      </c>
      <c r="C6" s="8">
        <f>INDEX(Data!$Y$2:$Y$181,MATCH($A6,Data!$B$2:$B$181,0))</f>
        <v/>
      </c>
      <c r="D6" s="9">
        <f>SUMIFS(Data!$N$2:$N$181,Data!$B$2:$B$181,$A6,Data!$G$2:$G$181,"elf_Commercial")</f>
        <v/>
      </c>
      <c r="E6" s="9">
        <f>SUMIFS(Data!$N$2:$N$181,Data!$B$2:$B$181,$A6,Data!$G$2:$G$181,"Nike_Commercial")</f>
        <v/>
      </c>
      <c r="F6" s="9">
        <f>E6-D6</f>
        <v/>
      </c>
      <c r="G6" s="8">
        <f>IF(B6="A","first","second")</f>
        <v/>
      </c>
      <c r="I6" t="inlineStr">
        <is>
          <t>elf_Commercial mean (peaks per minute)</t>
        </is>
      </c>
      <c r="J6" s="12">
        <f>AVERAGE(D5:D32)</f>
        <v/>
      </c>
      <c r="K6" s="16" t="inlineStr">
        <is>
          <t>=AVERAGE(D5:D32)</t>
        </is>
      </c>
      <c r="L6" s="7" t="inlineStr">
        <is>
          <t>AVERAGE of the reference column</t>
        </is>
      </c>
    </row>
    <row r="7">
      <c r="A7" s="8" t="inlineStr">
        <is>
          <t>P04</t>
        </is>
      </c>
      <c r="B7" s="8">
        <f>INDEX(Data!$E$2:$E$181,MATCH($A7,Data!$B$2:$B$181,0))</f>
        <v/>
      </c>
      <c r="C7" s="8">
        <f>INDEX(Data!$Y$2:$Y$181,MATCH($A7,Data!$B$2:$B$181,0))</f>
        <v/>
      </c>
      <c r="D7" s="9">
        <f>SUMIFS(Data!$N$2:$N$181,Data!$B$2:$B$181,$A7,Data!$G$2:$G$181,"elf_Commercial")</f>
        <v/>
      </c>
      <c r="E7" s="9">
        <f>SUMIFS(Data!$N$2:$N$181,Data!$B$2:$B$181,$A7,Data!$G$2:$G$181,"Nike_Commercial")</f>
        <v/>
      </c>
      <c r="F7" s="9">
        <f>E7-D7</f>
        <v/>
      </c>
      <c r="G7" s="8">
        <f>IF(B7="A","first","second")</f>
        <v/>
      </c>
      <c r="I7" t="inlineStr">
        <is>
          <t>elf_Commercial SD (peaks per minute)</t>
        </is>
      </c>
      <c r="J7" s="12">
        <f>_xlfn.STDEV.S(D5:D32)</f>
        <v/>
      </c>
      <c r="K7" s="16" t="inlineStr">
        <is>
          <t>=STDEV.S(D5:D32)</t>
        </is>
      </c>
      <c r="L7" s="7" t="inlineStr">
        <is>
          <t>STDEV.S = sample standard deviation</t>
        </is>
      </c>
    </row>
    <row r="8">
      <c r="A8" s="8" t="inlineStr">
        <is>
          <t>P05</t>
        </is>
      </c>
      <c r="B8" s="8">
        <f>INDEX(Data!$E$2:$E$181,MATCH($A8,Data!$B$2:$B$181,0))</f>
        <v/>
      </c>
      <c r="C8" s="8">
        <f>INDEX(Data!$Y$2:$Y$181,MATCH($A8,Data!$B$2:$B$181,0))</f>
        <v/>
      </c>
      <c r="D8" s="9">
        <f>SUMIFS(Data!$N$2:$N$181,Data!$B$2:$B$181,$A8,Data!$G$2:$G$181,"elf_Commercial")</f>
        <v/>
      </c>
      <c r="E8" s="9">
        <f>SUMIFS(Data!$N$2:$N$181,Data!$B$2:$B$181,$A8,Data!$G$2:$G$181,"Nike_Commercial")</f>
        <v/>
      </c>
      <c r="F8" s="9">
        <f>E8-D8</f>
        <v/>
      </c>
      <c r="G8" s="8">
        <f>IF(B8="A","first","second")</f>
        <v/>
      </c>
      <c r="I8" t="inlineStr">
        <is>
          <t>Nike_Commercial mean (peaks per minute)</t>
        </is>
      </c>
      <c r="J8" s="12">
        <f>AVERAGE(E5:E32)</f>
        <v/>
      </c>
      <c r="K8" s="16" t="inlineStr">
        <is>
          <t>=AVERAGE(E5:E32)</t>
        </is>
      </c>
    </row>
    <row r="9">
      <c r="A9" s="8" t="inlineStr">
        <is>
          <t>P06</t>
        </is>
      </c>
      <c r="B9" s="8">
        <f>INDEX(Data!$E$2:$E$181,MATCH($A9,Data!$B$2:$B$181,0))</f>
        <v/>
      </c>
      <c r="C9" s="8">
        <f>INDEX(Data!$Y$2:$Y$181,MATCH($A9,Data!$B$2:$B$181,0))</f>
        <v/>
      </c>
      <c r="D9" s="9">
        <f>SUMIFS(Data!$N$2:$N$181,Data!$B$2:$B$181,$A9,Data!$G$2:$G$181,"elf_Commercial")</f>
        <v/>
      </c>
      <c r="E9" s="9">
        <f>SUMIFS(Data!$N$2:$N$181,Data!$B$2:$B$181,$A9,Data!$G$2:$G$181,"Nike_Commercial")</f>
        <v/>
      </c>
      <c r="F9" s="9">
        <f>E9-D9</f>
        <v/>
      </c>
      <c r="G9" s="8">
        <f>IF(B9="A","first","second")</f>
        <v/>
      </c>
      <c r="I9" t="inlineStr">
        <is>
          <t>Nike_Commercial SD (peaks per minute)</t>
        </is>
      </c>
      <c r="J9" s="12">
        <f>_xlfn.STDEV.S(E5:E32)</f>
        <v/>
      </c>
      <c r="K9" s="16" t="inlineStr">
        <is>
          <t>=STDEV.S(E5:E32)</t>
        </is>
      </c>
    </row>
    <row r="10">
      <c r="A10" s="8" t="inlineStr">
        <is>
          <t>P07</t>
        </is>
      </c>
      <c r="B10" s="8">
        <f>INDEX(Data!$E$2:$E$181,MATCH($A10,Data!$B$2:$B$181,0))</f>
        <v/>
      </c>
      <c r="C10" s="8">
        <f>INDEX(Data!$Y$2:$Y$181,MATCH($A10,Data!$B$2:$B$181,0))</f>
        <v/>
      </c>
      <c r="D10" s="9">
        <f>SUMIFS(Data!$N$2:$N$181,Data!$B$2:$B$181,$A10,Data!$G$2:$G$181,"elf_Commercial")</f>
        <v/>
      </c>
      <c r="E10" s="9">
        <f>SUMIFS(Data!$N$2:$N$181,Data!$B$2:$B$181,$A10,Data!$G$2:$G$181,"Nike_Commercial")</f>
        <v/>
      </c>
      <c r="F10" s="9">
        <f>E10-D10</f>
        <v/>
      </c>
      <c r="G10" s="8">
        <f>IF(B10="A","first","second")</f>
        <v/>
      </c>
      <c r="I10" t="inlineStr">
        <is>
          <t>n pairs</t>
        </is>
      </c>
      <c r="J10" s="11">
        <f>COUNT(F5:F32)</f>
        <v/>
      </c>
      <c r="K10" s="16" t="inlineStr">
        <is>
          <t>=COUNT(F5:F32)</t>
        </is>
      </c>
      <c r="L10" s="7" t="inlineStr">
        <is>
          <t>COUNT of the difference column; must equal the check below</t>
        </is>
      </c>
    </row>
    <row r="11">
      <c r="A11" s="8" t="inlineStr">
        <is>
          <t>P08</t>
        </is>
      </c>
      <c r="B11" s="8">
        <f>INDEX(Data!$E$2:$E$181,MATCH($A11,Data!$B$2:$B$181,0))</f>
        <v/>
      </c>
      <c r="C11" s="8">
        <f>INDEX(Data!$Y$2:$Y$181,MATCH($A11,Data!$B$2:$B$181,0))</f>
        <v/>
      </c>
      <c r="D11" s="9">
        <f>SUMIFS(Data!$N$2:$N$181,Data!$B$2:$B$181,$A11,Data!$G$2:$G$181,"elf_Commercial")</f>
        <v/>
      </c>
      <c r="E11" s="9">
        <f>SUMIFS(Data!$N$2:$N$181,Data!$B$2:$B$181,$A11,Data!$G$2:$G$181,"Nike_Commercial")</f>
        <v/>
      </c>
      <c r="F11" s="9">
        <f>E11-D11</f>
        <v/>
      </c>
      <c r="G11" s="8">
        <f>IF(B11="A","first","second")</f>
        <v/>
      </c>
      <c r="I11" t="inlineStr">
        <is>
          <t>Mean difference, Nike_Commercial minus elf_Commercial (peaks per minute)</t>
        </is>
      </c>
      <c r="J11" s="12">
        <f>AVERAGE(F5:F32)</f>
        <v/>
      </c>
      <c r="K11" s="16" t="inlineStr">
        <is>
          <t>=AVERAGE(F5:F32)</t>
        </is>
      </c>
    </row>
    <row r="12">
      <c r="A12" s="8" t="inlineStr">
        <is>
          <t>P09</t>
        </is>
      </c>
      <c r="B12" s="8">
        <f>INDEX(Data!$E$2:$E$181,MATCH($A12,Data!$B$2:$B$181,0))</f>
        <v/>
      </c>
      <c r="C12" s="8">
        <f>INDEX(Data!$Y$2:$Y$181,MATCH($A12,Data!$B$2:$B$181,0))</f>
        <v/>
      </c>
      <c r="D12" s="9">
        <f>SUMIFS(Data!$N$2:$N$181,Data!$B$2:$B$181,$A12,Data!$G$2:$G$181,"elf_Commercial")</f>
        <v/>
      </c>
      <c r="E12" s="9">
        <f>SUMIFS(Data!$N$2:$N$181,Data!$B$2:$B$181,$A12,Data!$G$2:$G$181,"Nike_Commercial")</f>
        <v/>
      </c>
      <c r="F12" s="9">
        <f>E12-D12</f>
        <v/>
      </c>
      <c r="G12" s="8">
        <f>IF(B12="A","first","second")</f>
        <v/>
      </c>
      <c r="I12" t="inlineStr">
        <is>
          <t>SD of the differences (peaks per minute)</t>
        </is>
      </c>
      <c r="J12" s="12">
        <f>_xlfn.STDEV.S(F5:F32)</f>
        <v/>
      </c>
      <c r="K12" s="16" t="inlineStr">
        <is>
          <t>=STDEV.S(F5:F32)</t>
        </is>
      </c>
      <c r="L12" s="7" t="inlineStr">
        <is>
          <t>the SD that matters in a paired test</t>
        </is>
      </c>
    </row>
    <row r="13">
      <c r="A13" s="8" t="inlineStr">
        <is>
          <t>P10</t>
        </is>
      </c>
      <c r="B13" s="8">
        <f>INDEX(Data!$E$2:$E$181,MATCH($A13,Data!$B$2:$B$181,0))</f>
        <v/>
      </c>
      <c r="C13" s="8">
        <f>INDEX(Data!$Y$2:$Y$181,MATCH($A13,Data!$B$2:$B$181,0))</f>
        <v/>
      </c>
      <c r="D13" s="9">
        <f>SUMIFS(Data!$N$2:$N$181,Data!$B$2:$B$181,$A13,Data!$G$2:$G$181,"elf_Commercial")</f>
        <v/>
      </c>
      <c r="E13" s="9">
        <f>SUMIFS(Data!$N$2:$N$181,Data!$B$2:$B$181,$A13,Data!$G$2:$G$181,"Nike_Commercial")</f>
        <v/>
      </c>
      <c r="F13" s="9">
        <f>E13-D13</f>
        <v/>
      </c>
      <c r="G13" s="8">
        <f>IF(B13="A","first","second")</f>
        <v/>
      </c>
      <c r="I13" t="inlineStr">
        <is>
          <t>SE of the mean difference</t>
        </is>
      </c>
      <c r="J13" s="12">
        <f>J12/SQRT(J10)</f>
        <v/>
      </c>
      <c r="K13" s="16" t="inlineStr">
        <is>
          <t>=J12/SQRT(J10)</t>
        </is>
      </c>
      <c r="L13" s="7" t="inlineStr">
        <is>
          <t>SD of differences / sqrt(n)</t>
        </is>
      </c>
    </row>
    <row r="14">
      <c r="A14" s="8" t="inlineStr">
        <is>
          <t>P12</t>
        </is>
      </c>
      <c r="B14" s="8">
        <f>INDEX(Data!$E$2:$E$181,MATCH($A14,Data!$B$2:$B$181,0))</f>
        <v/>
      </c>
      <c r="C14" s="8">
        <f>INDEX(Data!$Y$2:$Y$181,MATCH($A14,Data!$B$2:$B$181,0))</f>
        <v/>
      </c>
      <c r="D14" s="9">
        <f>SUMIFS(Data!$N$2:$N$181,Data!$B$2:$B$181,$A14,Data!$G$2:$G$181,"elf_Commercial")</f>
        <v/>
      </c>
      <c r="E14" s="9">
        <f>SUMIFS(Data!$N$2:$N$181,Data!$B$2:$B$181,$A14,Data!$G$2:$G$181,"Nike_Commercial")</f>
        <v/>
      </c>
      <c r="F14" s="9">
        <f>E14-D14</f>
        <v/>
      </c>
      <c r="G14" s="8">
        <f>IF(B14="A","first","second")</f>
        <v/>
      </c>
      <c r="I14" t="inlineStr">
        <is>
          <t>Paired t</t>
        </is>
      </c>
      <c r="J14" s="12">
        <f>J11/J13</f>
        <v/>
      </c>
      <c r="K14" s="16" t="inlineStr">
        <is>
          <t>=J11/J13</t>
        </is>
      </c>
      <c r="L14" s="7" t="inlineStr">
        <is>
          <t>t = mean difference / SE</t>
        </is>
      </c>
    </row>
    <row r="15">
      <c r="A15" s="8" t="inlineStr">
        <is>
          <t>P13</t>
        </is>
      </c>
      <c r="B15" s="8">
        <f>INDEX(Data!$E$2:$E$181,MATCH($A15,Data!$B$2:$B$181,0))</f>
        <v/>
      </c>
      <c r="C15" s="8">
        <f>INDEX(Data!$Y$2:$Y$181,MATCH($A15,Data!$B$2:$B$181,0))</f>
        <v/>
      </c>
      <c r="D15" s="9">
        <f>SUMIFS(Data!$N$2:$N$181,Data!$B$2:$B$181,$A15,Data!$G$2:$G$181,"elf_Commercial")</f>
        <v/>
      </c>
      <c r="E15" s="9">
        <f>SUMIFS(Data!$N$2:$N$181,Data!$B$2:$B$181,$A15,Data!$G$2:$G$181,"Nike_Commercial")</f>
        <v/>
      </c>
      <c r="F15" s="9">
        <f>E15-D15</f>
        <v/>
      </c>
      <c r="G15" s="8">
        <f>IF(B15="A","first","second")</f>
        <v/>
      </c>
      <c r="I15" t="inlineStr">
        <is>
          <t>df</t>
        </is>
      </c>
      <c r="J15" s="11">
        <f>J10-1</f>
        <v/>
      </c>
      <c r="K15" s="16" t="inlineStr">
        <is>
          <t>=J10-1</t>
        </is>
      </c>
      <c r="L15" s="7" t="inlineStr">
        <is>
          <t>n pairs minus 1</t>
        </is>
      </c>
    </row>
    <row r="16">
      <c r="A16" s="8" t="inlineStr">
        <is>
          <t>P14</t>
        </is>
      </c>
      <c r="B16" s="8">
        <f>INDEX(Data!$E$2:$E$181,MATCH($A16,Data!$B$2:$B$181,0))</f>
        <v/>
      </c>
      <c r="C16" s="8">
        <f>INDEX(Data!$Y$2:$Y$181,MATCH($A16,Data!$B$2:$B$181,0))</f>
        <v/>
      </c>
      <c r="D16" s="9">
        <f>SUMIFS(Data!$N$2:$N$181,Data!$B$2:$B$181,$A16,Data!$G$2:$G$181,"elf_Commercial")</f>
        <v/>
      </c>
      <c r="E16" s="9">
        <f>SUMIFS(Data!$N$2:$N$181,Data!$B$2:$B$181,$A16,Data!$G$2:$G$181,"Nike_Commercial")</f>
        <v/>
      </c>
      <c r="F16" s="9">
        <f>E16-D16</f>
        <v/>
      </c>
      <c r="G16" s="8">
        <f>IF(B16="A","first","second")</f>
        <v/>
      </c>
      <c r="I16" t="inlineStr">
        <is>
          <t>p, two tailed (T.TEST type 1)</t>
        </is>
      </c>
      <c r="J16" s="17">
        <f>_xlfn.T.TEST(D5:D32,E5:E32,2,1)</f>
        <v/>
      </c>
      <c r="K16" s="16" t="inlineStr">
        <is>
          <t>=T.TEST(D5:D32,E5:E32,2,1)</t>
        </is>
      </c>
      <c r="L16" s="7" t="inlineStr">
        <is>
          <t>tails = 2, type = 1 means paired</t>
        </is>
      </c>
    </row>
    <row r="17">
      <c r="A17" s="8" t="inlineStr">
        <is>
          <t>P15</t>
        </is>
      </c>
      <c r="B17" s="8">
        <f>INDEX(Data!$E$2:$E$181,MATCH($A17,Data!$B$2:$B$181,0))</f>
        <v/>
      </c>
      <c r="C17" s="8">
        <f>INDEX(Data!$Y$2:$Y$181,MATCH($A17,Data!$B$2:$B$181,0))</f>
        <v/>
      </c>
      <c r="D17" s="9">
        <f>SUMIFS(Data!$N$2:$N$181,Data!$B$2:$B$181,$A17,Data!$G$2:$G$181,"elf_Commercial")</f>
        <v/>
      </c>
      <c r="E17" s="9">
        <f>SUMIFS(Data!$N$2:$N$181,Data!$B$2:$B$181,$A17,Data!$G$2:$G$181,"Nike_Commercial")</f>
        <v/>
      </c>
      <c r="F17" s="9">
        <f>E17-D17</f>
        <v/>
      </c>
      <c r="G17" s="8">
        <f>IF(B17="A","first","second")</f>
        <v/>
      </c>
      <c r="I17" t="inlineStr">
        <is>
          <t>p from the hand computed t</t>
        </is>
      </c>
      <c r="J17" s="17">
        <f>_xlfn.T.DIST.2T(ABS(J14),J15)</f>
        <v/>
      </c>
      <c r="K17" s="16" t="inlineStr">
        <is>
          <t>=T.DIST.2T(ABS(J14),J15)</t>
        </is>
      </c>
      <c r="L17" s="7" t="inlineStr">
        <is>
          <t>should match the T.TEST cell</t>
        </is>
      </c>
    </row>
    <row r="18">
      <c r="A18" s="8" t="inlineStr">
        <is>
          <t>P17</t>
        </is>
      </c>
      <c r="B18" s="8">
        <f>INDEX(Data!$E$2:$E$181,MATCH($A18,Data!$B$2:$B$181,0))</f>
        <v/>
      </c>
      <c r="C18" s="8">
        <f>INDEX(Data!$Y$2:$Y$181,MATCH($A18,Data!$B$2:$B$181,0))</f>
        <v/>
      </c>
      <c r="D18" s="9">
        <f>SUMIFS(Data!$N$2:$N$181,Data!$B$2:$B$181,$A18,Data!$G$2:$G$181,"elf_Commercial")</f>
        <v/>
      </c>
      <c r="E18" s="9">
        <f>SUMIFS(Data!$N$2:$N$181,Data!$B$2:$B$181,$A18,Data!$G$2:$G$181,"Nike_Commercial")</f>
        <v/>
      </c>
      <c r="F18" s="9">
        <f>E18-D18</f>
        <v/>
      </c>
      <c r="G18" s="8">
        <f>IF(B18="A","first","second")</f>
        <v/>
      </c>
      <c r="I18" t="inlineStr">
        <is>
          <t>Critical t (95%)</t>
        </is>
      </c>
      <c r="J18" s="12">
        <f>_xlfn.T.INV.2T(0.05,J15)</f>
        <v/>
      </c>
      <c r="K18" s="16" t="inlineStr">
        <is>
          <t>=T.INV.2T(0.05,J15)</t>
        </is>
      </c>
      <c r="L18" s="7" t="inlineStr">
        <is>
          <t>two tailed, alpha = .05</t>
        </is>
      </c>
    </row>
    <row r="19">
      <c r="A19" s="8" t="inlineStr">
        <is>
          <t>P18</t>
        </is>
      </c>
      <c r="B19" s="8">
        <f>INDEX(Data!$E$2:$E$181,MATCH($A19,Data!$B$2:$B$181,0))</f>
        <v/>
      </c>
      <c r="C19" s="8">
        <f>INDEX(Data!$Y$2:$Y$181,MATCH($A19,Data!$B$2:$B$181,0))</f>
        <v/>
      </c>
      <c r="D19" s="9">
        <f>SUMIFS(Data!$N$2:$N$181,Data!$B$2:$B$181,$A19,Data!$G$2:$G$181,"elf_Commercial")</f>
        <v/>
      </c>
      <c r="E19" s="9">
        <f>SUMIFS(Data!$N$2:$N$181,Data!$B$2:$B$181,$A19,Data!$G$2:$G$181,"Nike_Commercial")</f>
        <v/>
      </c>
      <c r="F19" s="9">
        <f>E19-D19</f>
        <v/>
      </c>
      <c r="G19" s="8">
        <f>IF(B19="A","first","second")</f>
        <v/>
      </c>
      <c r="I19" t="inlineStr">
        <is>
          <t>Mean difference 95% CI lower</t>
        </is>
      </c>
      <c r="J19" s="12">
        <f>J11-J18*J13</f>
        <v/>
      </c>
      <c r="K19" s="16" t="inlineStr">
        <is>
          <t>=J11-J18*J13</t>
        </is>
      </c>
    </row>
    <row r="20">
      <c r="A20" s="8" t="inlineStr">
        <is>
          <t>P19</t>
        </is>
      </c>
      <c r="B20" s="8">
        <f>INDEX(Data!$E$2:$E$181,MATCH($A20,Data!$B$2:$B$181,0))</f>
        <v/>
      </c>
      <c r="C20" s="8">
        <f>INDEX(Data!$Y$2:$Y$181,MATCH($A20,Data!$B$2:$B$181,0))</f>
        <v/>
      </c>
      <c r="D20" s="9">
        <f>SUMIFS(Data!$N$2:$N$181,Data!$B$2:$B$181,$A20,Data!$G$2:$G$181,"elf_Commercial")</f>
        <v/>
      </c>
      <c r="E20" s="9">
        <f>SUMIFS(Data!$N$2:$N$181,Data!$B$2:$B$181,$A20,Data!$G$2:$G$181,"Nike_Commercial")</f>
        <v/>
      </c>
      <c r="F20" s="9">
        <f>E20-D20</f>
        <v/>
      </c>
      <c r="G20" s="8">
        <f>IF(B20="A","first","second")</f>
        <v/>
      </c>
      <c r="I20" t="inlineStr">
        <is>
          <t>Mean difference 95% CI upper</t>
        </is>
      </c>
      <c r="J20" s="12">
        <f>J11+J18*J13</f>
        <v/>
      </c>
      <c r="K20" s="16" t="inlineStr">
        <is>
          <t>=J11+J18*J13</t>
        </is>
      </c>
    </row>
    <row r="21">
      <c r="A21" s="8" t="inlineStr">
        <is>
          <t>P20</t>
        </is>
      </c>
      <c r="B21" s="8">
        <f>INDEX(Data!$E$2:$E$181,MATCH($A21,Data!$B$2:$B$181,0))</f>
        <v/>
      </c>
      <c r="C21" s="8">
        <f>INDEX(Data!$Y$2:$Y$181,MATCH($A21,Data!$B$2:$B$181,0))</f>
        <v/>
      </c>
      <c r="D21" s="9">
        <f>SUMIFS(Data!$N$2:$N$181,Data!$B$2:$B$181,$A21,Data!$G$2:$G$181,"elf_Commercial")</f>
        <v/>
      </c>
      <c r="E21" s="9">
        <f>SUMIFS(Data!$N$2:$N$181,Data!$B$2:$B$181,$A21,Data!$G$2:$G$181,"Nike_Commercial")</f>
        <v/>
      </c>
      <c r="F21" s="9">
        <f>E21-D21</f>
        <v/>
      </c>
      <c r="G21" s="8">
        <f>IF(B21="A","first","second")</f>
        <v/>
      </c>
      <c r="I21" t="inlineStr">
        <is>
          <t>Cohen's d_z</t>
        </is>
      </c>
      <c r="J21" s="12">
        <f>J11/J12</f>
        <v/>
      </c>
      <c r="K21" s="16" t="inlineStr">
        <is>
          <t>=J11/J12</t>
        </is>
      </c>
      <c r="L21" s="7" t="inlineStr">
        <is>
          <t>d_z = mean difference / SD of differences</t>
        </is>
      </c>
    </row>
    <row r="22">
      <c r="A22" s="8" t="inlineStr">
        <is>
          <t>P22</t>
        </is>
      </c>
      <c r="B22" s="8">
        <f>INDEX(Data!$E$2:$E$181,MATCH($A22,Data!$B$2:$B$181,0))</f>
        <v/>
      </c>
      <c r="C22" s="8">
        <f>INDEX(Data!$Y$2:$Y$181,MATCH($A22,Data!$B$2:$B$181,0))</f>
        <v/>
      </c>
      <c r="D22" s="9">
        <f>SUMIFS(Data!$N$2:$N$181,Data!$B$2:$B$181,$A22,Data!$G$2:$G$181,"elf_Commercial")</f>
        <v/>
      </c>
      <c r="E22" s="9">
        <f>SUMIFS(Data!$N$2:$N$181,Data!$B$2:$B$181,$A22,Data!$G$2:$G$181,"Nike_Commercial")</f>
        <v/>
      </c>
      <c r="F22" s="9">
        <f>E22-D22</f>
        <v/>
      </c>
      <c r="G22" s="8">
        <f>IF(B22="A","first","second")</f>
        <v/>
      </c>
      <c r="I22" t="inlineStr">
        <is>
          <t>SE of d_z (approximation)</t>
        </is>
      </c>
      <c r="J22" s="12">
        <f>SQRT(1/J10+J21^2/(2*J10))</f>
        <v/>
      </c>
      <c r="K22" s="16" t="inlineStr">
        <is>
          <t>=SQRT(1/J10+J21^2/(2*J10))</t>
        </is>
      </c>
      <c r="L22" s="7" t="inlineStr">
        <is>
          <t>sqrt(1/n + d_z^2 / (2 n))</t>
        </is>
      </c>
    </row>
    <row r="23">
      <c r="A23" s="8" t="inlineStr">
        <is>
          <t>P23</t>
        </is>
      </c>
      <c r="B23" s="8">
        <f>INDEX(Data!$E$2:$E$181,MATCH($A23,Data!$B$2:$B$181,0))</f>
        <v/>
      </c>
      <c r="C23" s="8">
        <f>INDEX(Data!$Y$2:$Y$181,MATCH($A23,Data!$B$2:$B$181,0))</f>
        <v/>
      </c>
      <c r="D23" s="9">
        <f>SUMIFS(Data!$N$2:$N$181,Data!$B$2:$B$181,$A23,Data!$G$2:$G$181,"elf_Commercial")</f>
        <v/>
      </c>
      <c r="E23" s="9">
        <f>SUMIFS(Data!$N$2:$N$181,Data!$B$2:$B$181,$A23,Data!$G$2:$G$181,"Nike_Commercial")</f>
        <v/>
      </c>
      <c r="F23" s="9">
        <f>E23-D23</f>
        <v/>
      </c>
      <c r="G23" s="8">
        <f>IF(B23="A","first","second")</f>
        <v/>
      </c>
      <c r="I23" t="inlineStr">
        <is>
          <t>d_z 95% CI lower</t>
        </is>
      </c>
      <c r="J23" s="12">
        <f>J21-1.96*J22</f>
        <v/>
      </c>
      <c r="K23" s="16" t="inlineStr">
        <is>
          <t>=J21-1.96*J22</t>
        </is>
      </c>
      <c r="L23" s="7" t="inlineStr">
        <is>
          <t>large sample approximation; R uses the noncentral t interval</t>
        </is>
      </c>
    </row>
    <row r="24">
      <c r="A24" s="8" t="inlineStr">
        <is>
          <t>P25</t>
        </is>
      </c>
      <c r="B24" s="8">
        <f>INDEX(Data!$E$2:$E$181,MATCH($A24,Data!$B$2:$B$181,0))</f>
        <v/>
      </c>
      <c r="C24" s="8">
        <f>INDEX(Data!$Y$2:$Y$181,MATCH($A24,Data!$B$2:$B$181,0))</f>
        <v/>
      </c>
      <c r="D24" s="9">
        <f>SUMIFS(Data!$N$2:$N$181,Data!$B$2:$B$181,$A24,Data!$G$2:$G$181,"elf_Commercial")</f>
        <v/>
      </c>
      <c r="E24" s="9">
        <f>SUMIFS(Data!$N$2:$N$181,Data!$B$2:$B$181,$A24,Data!$G$2:$G$181,"Nike_Commercial")</f>
        <v/>
      </c>
      <c r="F24" s="9">
        <f>E24-D24</f>
        <v/>
      </c>
      <c r="G24" s="8">
        <f>IF(B24="A","first","second")</f>
        <v/>
      </c>
      <c r="I24" t="inlineStr">
        <is>
          <t>d_z 95% CI upper</t>
        </is>
      </c>
      <c r="J24" s="12">
        <f>J21+1.96*J22</f>
        <v/>
      </c>
      <c r="K24" s="16" t="inlineStr">
        <is>
          <t>=J21+1.96*J22</t>
        </is>
      </c>
    </row>
    <row r="25">
      <c r="A25" s="8" t="inlineStr">
        <is>
          <t>P26</t>
        </is>
      </c>
      <c r="B25" s="8">
        <f>INDEX(Data!$E$2:$E$181,MATCH($A25,Data!$B$2:$B$181,0))</f>
        <v/>
      </c>
      <c r="C25" s="8">
        <f>INDEX(Data!$Y$2:$Y$181,MATCH($A25,Data!$B$2:$B$181,0))</f>
        <v/>
      </c>
      <c r="D25" s="9">
        <f>SUMIFS(Data!$N$2:$N$181,Data!$B$2:$B$181,$A25,Data!$G$2:$G$181,"elf_Commercial")</f>
        <v/>
      </c>
      <c r="E25" s="9">
        <f>SUMIFS(Data!$N$2:$N$181,Data!$B$2:$B$181,$A25,Data!$G$2:$G$181,"Nike_Commercial")</f>
        <v/>
      </c>
      <c r="F25" s="9">
        <f>E25-D25</f>
        <v/>
      </c>
      <c r="G25" s="8">
        <f>IF(B25="A","first","second")</f>
        <v/>
      </c>
      <c r="I25" t="inlineStr">
        <is>
          <t>Correlation of the two columns</t>
        </is>
      </c>
      <c r="J25" s="12">
        <f>CORREL(D5:D32,E5:E32)</f>
        <v/>
      </c>
      <c r="K25" s="16" t="inlineStr">
        <is>
          <t>=CORREL(D5:D32,E5:E32)</t>
        </is>
      </c>
      <c r="L25" s="7" t="inlineStr">
        <is>
          <t>within respondent correlation</t>
        </is>
      </c>
    </row>
    <row r="26">
      <c r="A26" s="8" t="inlineStr">
        <is>
          <t>P27</t>
        </is>
      </c>
      <c r="B26" s="8">
        <f>INDEX(Data!$E$2:$E$181,MATCH($A26,Data!$B$2:$B$181,0))</f>
        <v/>
      </c>
      <c r="C26" s="8">
        <f>INDEX(Data!$Y$2:$Y$181,MATCH($A26,Data!$B$2:$B$181,0))</f>
        <v/>
      </c>
      <c r="D26" s="9">
        <f>SUMIFS(Data!$N$2:$N$181,Data!$B$2:$B$181,$A26,Data!$G$2:$G$181,"elf_Commercial")</f>
        <v/>
      </c>
      <c r="E26" s="9">
        <f>SUMIFS(Data!$N$2:$N$181,Data!$B$2:$B$181,$A26,Data!$G$2:$G$181,"Nike_Commercial")</f>
        <v/>
      </c>
      <c r="F26" s="9">
        <f>E26-D26</f>
        <v/>
      </c>
      <c r="G26" s="8">
        <f>IF(B26="A","first","second")</f>
        <v/>
      </c>
    </row>
    <row r="27">
      <c r="A27" s="8" t="inlineStr">
        <is>
          <t>P28</t>
        </is>
      </c>
      <c r="B27" s="8">
        <f>INDEX(Data!$E$2:$E$181,MATCH($A27,Data!$B$2:$B$181,0))</f>
        <v/>
      </c>
      <c r="C27" s="8">
        <f>INDEX(Data!$Y$2:$Y$181,MATCH($A27,Data!$B$2:$B$181,0))</f>
        <v/>
      </c>
      <c r="D27" s="9">
        <f>SUMIFS(Data!$N$2:$N$181,Data!$B$2:$B$181,$A27,Data!$G$2:$G$181,"elf_Commercial")</f>
        <v/>
      </c>
      <c r="E27" s="9">
        <f>SUMIFS(Data!$N$2:$N$181,Data!$B$2:$B$181,$A27,Data!$G$2:$G$181,"Nike_Commercial")</f>
        <v/>
      </c>
      <c r="F27" s="9">
        <f>E27-D27</f>
        <v/>
      </c>
      <c r="G27" s="8">
        <f>IF(B27="A","first","second")</f>
        <v/>
      </c>
      <c r="I27" s="15" t="inlineStr">
        <is>
          <t>Order effect (simple within respondent estimate)</t>
        </is>
      </c>
    </row>
    <row r="28">
      <c r="A28" s="8" t="inlineStr">
        <is>
          <t>P29</t>
        </is>
      </c>
      <c r="B28" s="8">
        <f>INDEX(Data!$E$2:$E$181,MATCH($A28,Data!$B$2:$B$181,0))</f>
        <v/>
      </c>
      <c r="C28" s="8">
        <f>INDEX(Data!$Y$2:$Y$181,MATCH($A28,Data!$B$2:$B$181,0))</f>
        <v/>
      </c>
      <c r="D28" s="9">
        <f>SUMIFS(Data!$N$2:$N$181,Data!$B$2:$B$181,$A28,Data!$G$2:$G$181,"elf_Commercial")</f>
        <v/>
      </c>
      <c r="E28" s="9">
        <f>SUMIFS(Data!$N$2:$N$181,Data!$B$2:$B$181,$A28,Data!$G$2:$G$181,"Nike_Commercial")</f>
        <v/>
      </c>
      <c r="F28" s="9">
        <f>E28-D28</f>
        <v/>
      </c>
      <c r="G28" s="8">
        <f>IF(B28="A","first","second")</f>
        <v/>
      </c>
      <c r="I28" t="inlineStr">
        <is>
          <t>Mean difference, Group A (Nike seen first)</t>
        </is>
      </c>
      <c r="J28" s="12">
        <f>AVERAGEIFS(F5:F32,B5:B32,"A")</f>
        <v/>
      </c>
      <c r="K28" s="16" t="inlineStr">
        <is>
          <t>=AVERAGEIFS(F5:F32,B5:B32,"A")</t>
        </is>
      </c>
      <c r="L28" s="7" t="inlineStr">
        <is>
          <t>difference = commercial effect - order effect</t>
        </is>
      </c>
    </row>
    <row r="29">
      <c r="A29" s="8" t="inlineStr">
        <is>
          <t>P30</t>
        </is>
      </c>
      <c r="B29" s="8">
        <f>INDEX(Data!$E$2:$E$181,MATCH($A29,Data!$B$2:$B$181,0))</f>
        <v/>
      </c>
      <c r="C29" s="8">
        <f>INDEX(Data!$Y$2:$Y$181,MATCH($A29,Data!$B$2:$B$181,0))</f>
        <v/>
      </c>
      <c r="D29" s="9">
        <f>SUMIFS(Data!$N$2:$N$181,Data!$B$2:$B$181,$A29,Data!$G$2:$G$181,"elf_Commercial")</f>
        <v/>
      </c>
      <c r="E29" s="9">
        <f>SUMIFS(Data!$N$2:$N$181,Data!$B$2:$B$181,$A29,Data!$G$2:$G$181,"Nike_Commercial")</f>
        <v/>
      </c>
      <c r="F29" s="9">
        <f>E29-D29</f>
        <v/>
      </c>
      <c r="G29" s="8">
        <f>IF(B29="A","first","second")</f>
        <v/>
      </c>
      <c r="I29" t="inlineStr">
        <is>
          <t>Mean difference, Group B (Nike seen second)</t>
        </is>
      </c>
      <c r="J29" s="12">
        <f>AVERAGEIFS(F5:F32,B5:B32,"B")</f>
        <v/>
      </c>
      <c r="K29" s="16" t="inlineStr">
        <is>
          <t>=AVERAGEIFS(F5:F32,B5:B32,"B")</t>
        </is>
      </c>
      <c r="L29" s="7" t="inlineStr">
        <is>
          <t>difference = commercial effect + order effect</t>
        </is>
      </c>
    </row>
    <row r="30">
      <c r="A30" s="8" t="inlineStr">
        <is>
          <t>P03</t>
        </is>
      </c>
      <c r="B30" s="8">
        <f>INDEX(Data!$E$2:$E$181,MATCH($A30,Data!$B$2:$B$181,0))</f>
        <v/>
      </c>
      <c r="C30" s="8">
        <f>INDEX(Data!$Y$2:$Y$181,MATCH($A30,Data!$B$2:$B$181,0))</f>
        <v/>
      </c>
      <c r="D30" s="9">
        <f>SUMIFS(Data!$N$2:$N$181,Data!$B$2:$B$181,$A30,Data!$G$2:$G$181,"elf_Commercial")</f>
        <v/>
      </c>
      <c r="E30" s="9">
        <f>SUMIFS(Data!$N$2:$N$181,Data!$B$2:$B$181,$A30,Data!$G$2:$G$181,"Nike_Commercial")</f>
        <v/>
      </c>
      <c r="F30" s="9">
        <f>E30-D30</f>
        <v/>
      </c>
      <c r="G30" s="8">
        <f>IF(B30="A","first","second")</f>
        <v/>
      </c>
      <c r="I30" t="inlineStr">
        <is>
          <t>n, Group A</t>
        </is>
      </c>
      <c r="J30" s="11">
        <f>COUNTIF(B5:B32,"A")</f>
        <v/>
      </c>
      <c r="K30" s="16" t="inlineStr">
        <is>
          <t>=COUNTIF(B5:B32,"A")</t>
        </is>
      </c>
    </row>
    <row r="31">
      <c r="A31" s="8" t="inlineStr">
        <is>
          <t>P16</t>
        </is>
      </c>
      <c r="B31" s="8">
        <f>INDEX(Data!$E$2:$E$181,MATCH($A31,Data!$B$2:$B$181,0))</f>
        <v/>
      </c>
      <c r="C31" s="8">
        <f>INDEX(Data!$Y$2:$Y$181,MATCH($A31,Data!$B$2:$B$181,0))</f>
        <v/>
      </c>
      <c r="D31" s="9">
        <f>SUMIFS(Data!$N$2:$N$181,Data!$B$2:$B$181,$A31,Data!$G$2:$G$181,"elf_Commercial")</f>
        <v/>
      </c>
      <c r="E31" s="9">
        <f>SUMIFS(Data!$N$2:$N$181,Data!$B$2:$B$181,$A31,Data!$G$2:$G$181,"Nike_Commercial")</f>
        <v/>
      </c>
      <c r="F31" s="9">
        <f>E31-D31</f>
        <v/>
      </c>
      <c r="G31" s="8">
        <f>IF(B31="A","first","second")</f>
        <v/>
      </c>
      <c r="I31" t="inlineStr">
        <is>
          <t>n, Group B</t>
        </is>
      </c>
      <c r="J31" s="11">
        <f>COUNTIF(B5:B32,"B")</f>
        <v/>
      </c>
      <c r="K31" s="16" t="inlineStr">
        <is>
          <t>=COUNTIF(B5:B32,"B")</t>
        </is>
      </c>
    </row>
    <row r="32">
      <c r="A32" s="8" t="inlineStr">
        <is>
          <t>P21</t>
        </is>
      </c>
      <c r="B32" s="8">
        <f>INDEX(Data!$E$2:$E$181,MATCH($A32,Data!$B$2:$B$181,0))</f>
        <v/>
      </c>
      <c r="C32" s="8">
        <f>INDEX(Data!$Y$2:$Y$181,MATCH($A32,Data!$B$2:$B$181,0))</f>
        <v/>
      </c>
      <c r="D32" s="9">
        <f>SUMIFS(Data!$N$2:$N$181,Data!$B$2:$B$181,$A32,Data!$G$2:$G$181,"elf_Commercial")</f>
        <v/>
      </c>
      <c r="E32" s="9">
        <f>SUMIFS(Data!$N$2:$N$181,Data!$B$2:$B$181,$A32,Data!$G$2:$G$181,"Nike_Commercial")</f>
        <v/>
      </c>
      <c r="F32" s="9">
        <f>E32-D32</f>
        <v/>
      </c>
      <c r="G32" s="8">
        <f>IF(B32="A","first","second")</f>
        <v/>
      </c>
      <c r="I32" t="inlineStr">
        <is>
          <t>Order effect (second minus first)</t>
        </is>
      </c>
      <c r="J32" s="12">
        <f>(J29-J28)/2</f>
        <v/>
      </c>
      <c r="K32" s="16" t="inlineStr">
        <is>
          <t>=(J29-J28)/2</t>
        </is>
      </c>
      <c r="L32" s="7" t="inlineStr">
        <is>
          <t>same as the lmer coefficient for order_position; Excel cannot fit the mixed model</t>
        </is>
      </c>
    </row>
    <row r="33">
      <c r="I33" t="inlineStr">
        <is>
          <t>Commercial effect (Nike minus elf), order adjusted</t>
        </is>
      </c>
      <c r="J33" s="12">
        <f>(J28+J29)/2</f>
        <v/>
      </c>
      <c r="K33" s="16" t="inlineStr">
        <is>
          <t>=(J28+J29)/2</t>
        </is>
      </c>
      <c r="L33" s="7" t="inlineStr">
        <is>
          <t>average of the two group differences</t>
        </is>
      </c>
    </row>
    <row r="35">
      <c r="I35" s="15" t="inlineStr">
        <is>
          <t>Checks</t>
        </is>
      </c>
    </row>
    <row r="36">
      <c r="I36" t="inlineStr">
        <is>
          <t>Kept respondents with a Nike_Commercial row in Data (Keep = Yes)</t>
        </is>
      </c>
      <c r="J36" s="11">
        <f>COUNTIFS(Data!$G$2:$G$181,"Nike_Commercial",Data!$X$2:$X$181,"Yes")</f>
        <v/>
      </c>
      <c r="K36" s="16" t="inlineStr">
        <is>
          <t>=COUNTIFS(Data!$G$2:$G$181,"Nike_Commercial",Data!$X$2:$X$181,"Yes")</t>
        </is>
      </c>
      <c r="L36" s="7" t="inlineStr">
        <is>
          <t>must equal n pairs</t>
        </is>
      </c>
    </row>
    <row r="39">
      <c r="I39" s="14" t="inlineStr">
        <is>
          <t>Statistic</t>
        </is>
      </c>
      <c r="J39" s="14" t="inlineStr">
        <is>
          <t>Value</t>
        </is>
      </c>
      <c r="K39" s="14" t="inlineStr">
        <is>
          <t>Formula shown</t>
        </is>
      </c>
      <c r="L39" s="14" t="inlineStr">
        <is>
          <t>Note</t>
        </is>
      </c>
    </row>
    <row r="40">
      <c r="I40" s="15" t="inlineStr">
        <is>
          <t>Sensitivity: responders only (rows 5 to 29)</t>
        </is>
      </c>
    </row>
    <row r="41">
      <c r="I41" t="inlineStr">
        <is>
          <t>elf_Commercial mean (peaks per minute)</t>
        </is>
      </c>
      <c r="J41" s="12">
        <f>AVERAGE(D5:D29)</f>
        <v/>
      </c>
      <c r="K41" s="16" t="inlineStr">
        <is>
          <t>=AVERAGE(D5:D29)</t>
        </is>
      </c>
      <c r="L41" s="7" t="inlineStr">
        <is>
          <t>AVERAGE of the reference column</t>
        </is>
      </c>
    </row>
    <row r="42">
      <c r="I42" t="inlineStr">
        <is>
          <t>elf_Commercial SD (peaks per minute)</t>
        </is>
      </c>
      <c r="J42" s="12">
        <f>_xlfn.STDEV.S(D5:D29)</f>
        <v/>
      </c>
      <c r="K42" s="16" t="inlineStr">
        <is>
          <t>=STDEV.S(D5:D29)</t>
        </is>
      </c>
      <c r="L42" s="7" t="inlineStr">
        <is>
          <t>STDEV.S = sample standard deviation</t>
        </is>
      </c>
    </row>
    <row r="43">
      <c r="I43" t="inlineStr">
        <is>
          <t>Nike_Commercial mean (peaks per minute)</t>
        </is>
      </c>
      <c r="J43" s="12">
        <f>AVERAGE(E5:E29)</f>
        <v/>
      </c>
      <c r="K43" s="16" t="inlineStr">
        <is>
          <t>=AVERAGE(E5:E29)</t>
        </is>
      </c>
    </row>
    <row r="44">
      <c r="I44" t="inlineStr">
        <is>
          <t>Nike_Commercial SD (peaks per minute)</t>
        </is>
      </c>
      <c r="J44" s="12">
        <f>_xlfn.STDEV.S(E5:E29)</f>
        <v/>
      </c>
      <c r="K44" s="16" t="inlineStr">
        <is>
          <t>=STDEV.S(E5:E29)</t>
        </is>
      </c>
    </row>
    <row r="45">
      <c r="I45" t="inlineStr">
        <is>
          <t>n pairs</t>
        </is>
      </c>
      <c r="J45" s="11">
        <f>COUNT(F5:F29)</f>
        <v/>
      </c>
      <c r="K45" s="16" t="inlineStr">
        <is>
          <t>=COUNT(F5:F29)</t>
        </is>
      </c>
      <c r="L45" s="7" t="inlineStr">
        <is>
          <t>nonresponders are listed below the responders and left out</t>
        </is>
      </c>
    </row>
    <row r="46">
      <c r="I46" t="inlineStr">
        <is>
          <t>Mean difference, Nike_Commercial minus elf_Commercial (peaks per minute)</t>
        </is>
      </c>
      <c r="J46" s="12">
        <f>AVERAGE(F5:F29)</f>
        <v/>
      </c>
      <c r="K46" s="16" t="inlineStr">
        <is>
          <t>=AVERAGE(F5:F29)</t>
        </is>
      </c>
    </row>
    <row r="47">
      <c r="I47" t="inlineStr">
        <is>
          <t>SD of the differences (peaks per minute)</t>
        </is>
      </c>
      <c r="J47" s="12">
        <f>_xlfn.STDEV.S(F5:F29)</f>
        <v/>
      </c>
      <c r="K47" s="16" t="inlineStr">
        <is>
          <t>=STDEV.S(F5:F29)</t>
        </is>
      </c>
      <c r="L47" s="7" t="inlineStr">
        <is>
          <t>the SD that matters in a paired test</t>
        </is>
      </c>
    </row>
    <row r="48">
      <c r="I48" t="inlineStr">
        <is>
          <t>SE of the mean difference</t>
        </is>
      </c>
      <c r="J48" s="12">
        <f>J47/SQRT(J45)</f>
        <v/>
      </c>
      <c r="K48" s="16" t="inlineStr">
        <is>
          <t>=J47/SQRT(J45)</t>
        </is>
      </c>
      <c r="L48" s="7" t="inlineStr">
        <is>
          <t>SD of differences / sqrt(n)</t>
        </is>
      </c>
    </row>
    <row r="49">
      <c r="I49" t="inlineStr">
        <is>
          <t>Paired t</t>
        </is>
      </c>
      <c r="J49" s="12">
        <f>J46/J48</f>
        <v/>
      </c>
      <c r="K49" s="16" t="inlineStr">
        <is>
          <t>=J46/J48</t>
        </is>
      </c>
      <c r="L49" s="7" t="inlineStr">
        <is>
          <t>t = mean difference / SE</t>
        </is>
      </c>
    </row>
    <row r="50">
      <c r="I50" t="inlineStr">
        <is>
          <t>df</t>
        </is>
      </c>
      <c r="J50" s="11">
        <f>J45-1</f>
        <v/>
      </c>
      <c r="K50" s="16" t="inlineStr">
        <is>
          <t>=J45-1</t>
        </is>
      </c>
      <c r="L50" s="7" t="inlineStr">
        <is>
          <t>n pairs minus 1</t>
        </is>
      </c>
    </row>
    <row r="51">
      <c r="I51" t="inlineStr">
        <is>
          <t>p, two tailed (T.TEST type 1)</t>
        </is>
      </c>
      <c r="J51" s="17">
        <f>_xlfn.T.TEST(D5:D29,E5:E29,2,1)</f>
        <v/>
      </c>
      <c r="K51" s="16" t="inlineStr">
        <is>
          <t>=T.TEST(D5:D29,E5:E29,2,1)</t>
        </is>
      </c>
      <c r="L51" s="7" t="inlineStr">
        <is>
          <t>tails = 2, type = 1 means paired</t>
        </is>
      </c>
    </row>
    <row r="52">
      <c r="I52" t="inlineStr">
        <is>
          <t>p from the hand computed t</t>
        </is>
      </c>
      <c r="J52" s="17">
        <f>_xlfn.T.DIST.2T(ABS(J49),J50)</f>
        <v/>
      </c>
      <c r="K52" s="16" t="inlineStr">
        <is>
          <t>=T.DIST.2T(ABS(J49),J50)</t>
        </is>
      </c>
      <c r="L52" s="7" t="inlineStr">
        <is>
          <t>should match the T.TEST cell</t>
        </is>
      </c>
    </row>
    <row r="53">
      <c r="I53" t="inlineStr">
        <is>
          <t>Critical t (95%)</t>
        </is>
      </c>
      <c r="J53" s="12">
        <f>_xlfn.T.INV.2T(0.05,J50)</f>
        <v/>
      </c>
      <c r="K53" s="16" t="inlineStr">
        <is>
          <t>=T.INV.2T(0.05,J50)</t>
        </is>
      </c>
      <c r="L53" s="7" t="inlineStr">
        <is>
          <t>two tailed, alpha = .05</t>
        </is>
      </c>
    </row>
    <row r="54">
      <c r="I54" t="inlineStr">
        <is>
          <t>Mean difference 95% CI lower</t>
        </is>
      </c>
      <c r="J54" s="12">
        <f>J46-J53*J48</f>
        <v/>
      </c>
      <c r="K54" s="16" t="inlineStr">
        <is>
          <t>=J46-J53*J48</t>
        </is>
      </c>
    </row>
    <row r="55">
      <c r="I55" t="inlineStr">
        <is>
          <t>Mean difference 95% CI upper</t>
        </is>
      </c>
      <c r="J55" s="12">
        <f>J46+J53*J48</f>
        <v/>
      </c>
      <c r="K55" s="16" t="inlineStr">
        <is>
          <t>=J46+J53*J48</t>
        </is>
      </c>
    </row>
    <row r="56">
      <c r="I56" t="inlineStr">
        <is>
          <t>Cohen's d_z</t>
        </is>
      </c>
      <c r="J56" s="12">
        <f>J46/J47</f>
        <v/>
      </c>
      <c r="K56" s="16" t="inlineStr">
        <is>
          <t>=J46/J47</t>
        </is>
      </c>
      <c r="L56" s="7" t="inlineStr">
        <is>
          <t>d_z = mean difference / SD of differences</t>
        </is>
      </c>
    </row>
    <row r="57">
      <c r="I57" t="inlineStr">
        <is>
          <t>SE of d_z (approximation)</t>
        </is>
      </c>
      <c r="J57" s="12">
        <f>SQRT(1/J45+J56^2/(2*J45))</f>
        <v/>
      </c>
      <c r="K57" s="16" t="inlineStr">
        <is>
          <t>=SQRT(1/J45+J56^2/(2*J45))</t>
        </is>
      </c>
      <c r="L57" s="7" t="inlineStr">
        <is>
          <t>sqrt(1/n + d_z^2 / (2 n))</t>
        </is>
      </c>
    </row>
    <row r="58">
      <c r="I58" t="inlineStr">
        <is>
          <t>d_z 95% CI lower</t>
        </is>
      </c>
      <c r="J58" s="12">
        <f>J56-1.96*J57</f>
        <v/>
      </c>
      <c r="K58" s="16" t="inlineStr">
        <is>
          <t>=J56-1.96*J57</t>
        </is>
      </c>
      <c r="L58" s="7" t="inlineStr">
        <is>
          <t>large sample approximation; R uses the noncentral t interval</t>
        </is>
      </c>
    </row>
    <row r="59">
      <c r="I59" t="inlineStr">
        <is>
          <t>d_z 95% CI upper</t>
        </is>
      </c>
      <c r="J59" s="12">
        <f>J56+1.96*J57</f>
        <v/>
      </c>
      <c r="K59" s="16" t="inlineStr">
        <is>
          <t>=J56+1.96*J57</t>
        </is>
      </c>
    </row>
    <row r="60">
      <c r="I60" t="inlineStr">
        <is>
          <t>Correlation of the two columns</t>
        </is>
      </c>
      <c r="J60" s="12">
        <f>CORREL(D5:D29,E5:E29)</f>
        <v/>
      </c>
      <c r="K60" s="16" t="inlineStr">
        <is>
          <t>=CORREL(D5:D29,E5:E29)</t>
        </is>
      </c>
      <c r="L60" s="7" t="inlineStr">
        <is>
          <t>within respondent correlation</t>
        </is>
      </c>
    </row>
    <row r="62">
      <c r="I62" s="15" t="inlineStr">
        <is>
          <t>Order effect, responders only</t>
        </is>
      </c>
    </row>
    <row r="63">
      <c r="I63" t="inlineStr">
        <is>
          <t>Mean difference, Group A (responders)</t>
        </is>
      </c>
      <c r="J63" s="12">
        <f>AVERAGEIFS(F5:F29,B5:B29,"A")</f>
        <v/>
      </c>
      <c r="K63" s="16" t="inlineStr">
        <is>
          <t>=AVERAGEIFS(F5:F29,B5:B29,"A")</t>
        </is>
      </c>
    </row>
    <row r="64">
      <c r="I64" t="inlineStr">
        <is>
          <t>Mean difference, Group B (responders)</t>
        </is>
      </c>
      <c r="J64" s="12">
        <f>AVERAGEIFS(F5:F29,B5:B29,"B")</f>
        <v/>
      </c>
      <c r="K64" s="16" t="inlineStr">
        <is>
          <t>=AVERAGEIFS(F5:F29,B5:B29,"B")</t>
        </is>
      </c>
    </row>
    <row r="65">
      <c r="I65" t="inlineStr">
        <is>
          <t>n, Group A (responders)</t>
        </is>
      </c>
      <c r="J65" s="11">
        <f>COUNTIF(B5:B29,"A")</f>
        <v/>
      </c>
      <c r="K65" s="16" t="inlineStr">
        <is>
          <t>=COUNTIF(B5:B29,"A")</t>
        </is>
      </c>
    </row>
    <row r="66">
      <c r="I66" t="inlineStr">
        <is>
          <t>n, Group B (responders)</t>
        </is>
      </c>
      <c r="J66" s="11">
        <f>COUNTIF(B5:B29,"B")</f>
        <v/>
      </c>
      <c r="K66" s="16" t="inlineStr">
        <is>
          <t>=COUNTIF(B5:B29,"B")</t>
        </is>
      </c>
    </row>
    <row r="67">
      <c r="I67" t="inlineStr">
        <is>
          <t>Order effect (second minus first), responders only</t>
        </is>
      </c>
      <c r="J67" s="12">
        <f>(J64-J63)/2</f>
        <v/>
      </c>
      <c r="K67" s="16" t="inlineStr">
        <is>
          <t>=(J64-J63)/2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6" customWidth="1" min="4" max="4"/>
    <col width="18" customWidth="1" min="5" max="5"/>
    <col width="24" customWidth="1" min="6" max="6"/>
    <col width="16" customWidth="1" min="7" max="7"/>
    <col width="18" customWidth="1" min="8" max="8"/>
    <col width="24" customWidth="1" min="9" max="9"/>
    <col width="22" customWidth="1" min="10" max="10"/>
    <col width="3" customWidth="1" min="11" max="11"/>
    <col width="62" customWidth="1" min="12" max="12"/>
    <col width="12" customWidth="1" min="13" max="13"/>
    <col width="76" customWidth="1" min="14" max="14"/>
    <col width="60" customWidth="1" min="15" max="15"/>
  </cols>
  <sheetData>
    <row r="1">
      <c r="A1" s="6" t="inlineStr">
        <is>
          <t>H3. Heart rate (BPM) change from baseline, kept respondents. SIMULATED data. The heart rate column name is MODELED; verify on the lab machine.</t>
        </is>
      </c>
    </row>
    <row r="2">
      <c r="A2" s="7" t="inlineStr">
        <is>
          <t>Mean PPG heart rate per stimulus from the Data sheet (SUMIFS). Change = commercial mean minus the mean of the Baseline that preceded it. The difference of the changes is Nike change minus e.l.f. change. Same roster order as H1.</t>
        </is>
      </c>
    </row>
    <row r="4" ht="48" customHeight="1">
      <c r="A4" s="2" t="inlineStr">
        <is>
          <t>Respondent Name</t>
        </is>
      </c>
      <c r="B4" s="2" t="inlineStr">
        <is>
          <t>Group (order)</t>
        </is>
      </c>
      <c r="C4" s="2" t="inlineStr">
        <is>
          <t>Nonresponder</t>
        </is>
      </c>
      <c r="D4" s="2" t="inlineStr">
        <is>
          <t>Baseline_Nike HR</t>
        </is>
      </c>
      <c r="E4" s="2" t="inlineStr">
        <is>
          <t>Nike_Commercial HR</t>
        </is>
      </c>
      <c r="F4" s="2" t="inlineStr">
        <is>
          <t>Change Nike (commercial minus baseline)</t>
        </is>
      </c>
      <c r="G4" s="2" t="inlineStr">
        <is>
          <t>Baseline_elf HR</t>
        </is>
      </c>
      <c r="H4" s="2" t="inlineStr">
        <is>
          <t>elf_Commercial HR</t>
        </is>
      </c>
      <c r="I4" s="2" t="inlineStr">
        <is>
          <t>Change e.l.f. (commercial minus baseline)</t>
        </is>
      </c>
      <c r="J4" s="2" t="inlineStr">
        <is>
          <t>Difference of changes (Nike minus elf)</t>
        </is>
      </c>
      <c r="L4" s="14" t="inlineStr">
        <is>
          <t>Statistic</t>
        </is>
      </c>
      <c r="M4" s="14" t="inlineStr">
        <is>
          <t>Value</t>
        </is>
      </c>
      <c r="N4" s="14" t="inlineStr">
        <is>
          <t>Formula shown</t>
        </is>
      </c>
      <c r="O4" s="14" t="inlineStr">
        <is>
          <t>Note</t>
        </is>
      </c>
    </row>
    <row r="5">
      <c r="A5" s="8" t="inlineStr">
        <is>
          <t>P01</t>
        </is>
      </c>
      <c r="B5" s="8">
        <f>INDEX(Data!$E$2:$E$181,MATCH($A5,Data!$B$2:$B$181,0))</f>
        <v/>
      </c>
      <c r="C5" s="8">
        <f>INDEX(Data!$Y$2:$Y$181,MATCH($A5,Data!$B$2:$B$181,0))</f>
        <v/>
      </c>
      <c r="D5" s="9">
        <f>SUMIFS(Data!$S$2:$S$181,Data!$B$2:$B$181,$A5,Data!$G$2:$G$181,"Baseline_Nike")</f>
        <v/>
      </c>
      <c r="E5" s="9">
        <f>SUMIFS(Data!$S$2:$S$181,Data!$B$2:$B$181,$A5,Data!$G$2:$G$181,"Nike_Commercial")</f>
        <v/>
      </c>
      <c r="F5" s="9">
        <f>E5-D5</f>
        <v/>
      </c>
      <c r="G5" s="9">
        <f>SUMIFS(Data!$S$2:$S$181,Data!$B$2:$B$181,$A5,Data!$G$2:$G$181,"Baseline_elf")</f>
        <v/>
      </c>
      <c r="H5" s="9">
        <f>SUMIFS(Data!$S$2:$S$181,Data!$B$2:$B$181,$A5,Data!$G$2:$G$181,"elf_Commercial")</f>
        <v/>
      </c>
      <c r="I5" s="9">
        <f>H5-G5</f>
        <v/>
      </c>
      <c r="J5" s="9">
        <f>F5-I5</f>
        <v/>
      </c>
      <c r="L5" s="15" t="inlineStr">
        <is>
          <t>Nike: heart rate in the commercial versus its baseline (change = mean difference)</t>
        </is>
      </c>
    </row>
    <row r="6">
      <c r="A6" s="8" t="inlineStr">
        <is>
          <t>P02</t>
        </is>
      </c>
      <c r="B6" s="8">
        <f>INDEX(Data!$E$2:$E$181,MATCH($A6,Data!$B$2:$B$181,0))</f>
        <v/>
      </c>
      <c r="C6" s="8">
        <f>INDEX(Data!$Y$2:$Y$181,MATCH($A6,Data!$B$2:$B$181,0))</f>
        <v/>
      </c>
      <c r="D6" s="9">
        <f>SUMIFS(Data!$S$2:$S$181,Data!$B$2:$B$181,$A6,Data!$G$2:$G$181,"Baseline_Nike")</f>
        <v/>
      </c>
      <c r="E6" s="9">
        <f>SUMIFS(Data!$S$2:$S$181,Data!$B$2:$B$181,$A6,Data!$G$2:$G$181,"Nike_Commercial")</f>
        <v/>
      </c>
      <c r="F6" s="9">
        <f>E6-D6</f>
        <v/>
      </c>
      <c r="G6" s="9">
        <f>SUMIFS(Data!$S$2:$S$181,Data!$B$2:$B$181,$A6,Data!$G$2:$G$181,"Baseline_elf")</f>
        <v/>
      </c>
      <c r="H6" s="9">
        <f>SUMIFS(Data!$S$2:$S$181,Data!$B$2:$B$181,$A6,Data!$G$2:$G$181,"elf_Commercial")</f>
        <v/>
      </c>
      <c r="I6" s="9">
        <f>H6-G6</f>
        <v/>
      </c>
      <c r="J6" s="9">
        <f>F6-I6</f>
        <v/>
      </c>
      <c r="L6" t="inlineStr">
        <is>
          <t>Baseline_Nike mean (BPM)</t>
        </is>
      </c>
      <c r="M6" s="12">
        <f>AVERAGE(D5:D32)</f>
        <v/>
      </c>
      <c r="N6" s="16" t="inlineStr">
        <is>
          <t>=AVERAGE(D5:D32)</t>
        </is>
      </c>
      <c r="O6" s="7" t="inlineStr">
        <is>
          <t>AVERAGE of the reference column</t>
        </is>
      </c>
    </row>
    <row r="7">
      <c r="A7" s="8" t="inlineStr">
        <is>
          <t>P04</t>
        </is>
      </c>
      <c r="B7" s="8">
        <f>INDEX(Data!$E$2:$E$181,MATCH($A7,Data!$B$2:$B$181,0))</f>
        <v/>
      </c>
      <c r="C7" s="8">
        <f>INDEX(Data!$Y$2:$Y$181,MATCH($A7,Data!$B$2:$B$181,0))</f>
        <v/>
      </c>
      <c r="D7" s="9">
        <f>SUMIFS(Data!$S$2:$S$181,Data!$B$2:$B$181,$A7,Data!$G$2:$G$181,"Baseline_Nike")</f>
        <v/>
      </c>
      <c r="E7" s="9">
        <f>SUMIFS(Data!$S$2:$S$181,Data!$B$2:$B$181,$A7,Data!$G$2:$G$181,"Nike_Commercial")</f>
        <v/>
      </c>
      <c r="F7" s="9">
        <f>E7-D7</f>
        <v/>
      </c>
      <c r="G7" s="9">
        <f>SUMIFS(Data!$S$2:$S$181,Data!$B$2:$B$181,$A7,Data!$G$2:$G$181,"Baseline_elf")</f>
        <v/>
      </c>
      <c r="H7" s="9">
        <f>SUMIFS(Data!$S$2:$S$181,Data!$B$2:$B$181,$A7,Data!$G$2:$G$181,"elf_Commercial")</f>
        <v/>
      </c>
      <c r="I7" s="9">
        <f>H7-G7</f>
        <v/>
      </c>
      <c r="J7" s="9">
        <f>F7-I7</f>
        <v/>
      </c>
      <c r="L7" t="inlineStr">
        <is>
          <t>Baseline_Nike SD (BPM)</t>
        </is>
      </c>
      <c r="M7" s="12">
        <f>_xlfn.STDEV.S(D5:D32)</f>
        <v/>
      </c>
      <c r="N7" s="16" t="inlineStr">
        <is>
          <t>=STDEV.S(D5:D32)</t>
        </is>
      </c>
      <c r="O7" s="7" t="inlineStr">
        <is>
          <t>STDEV.S = sample standard deviation</t>
        </is>
      </c>
    </row>
    <row r="8">
      <c r="A8" s="8" t="inlineStr">
        <is>
          <t>P05</t>
        </is>
      </c>
      <c r="B8" s="8">
        <f>INDEX(Data!$E$2:$E$181,MATCH($A8,Data!$B$2:$B$181,0))</f>
        <v/>
      </c>
      <c r="C8" s="8">
        <f>INDEX(Data!$Y$2:$Y$181,MATCH($A8,Data!$B$2:$B$181,0))</f>
        <v/>
      </c>
      <c r="D8" s="9">
        <f>SUMIFS(Data!$S$2:$S$181,Data!$B$2:$B$181,$A8,Data!$G$2:$G$181,"Baseline_Nike")</f>
        <v/>
      </c>
      <c r="E8" s="9">
        <f>SUMIFS(Data!$S$2:$S$181,Data!$B$2:$B$181,$A8,Data!$G$2:$G$181,"Nike_Commercial")</f>
        <v/>
      </c>
      <c r="F8" s="9">
        <f>E8-D8</f>
        <v/>
      </c>
      <c r="G8" s="9">
        <f>SUMIFS(Data!$S$2:$S$181,Data!$B$2:$B$181,$A8,Data!$G$2:$G$181,"Baseline_elf")</f>
        <v/>
      </c>
      <c r="H8" s="9">
        <f>SUMIFS(Data!$S$2:$S$181,Data!$B$2:$B$181,$A8,Data!$G$2:$G$181,"elf_Commercial")</f>
        <v/>
      </c>
      <c r="I8" s="9">
        <f>H8-G8</f>
        <v/>
      </c>
      <c r="J8" s="9">
        <f>F8-I8</f>
        <v/>
      </c>
      <c r="L8" t="inlineStr">
        <is>
          <t>Nike_Commercial mean (BPM)</t>
        </is>
      </c>
      <c r="M8" s="12">
        <f>AVERAGE(E5:E32)</f>
        <v/>
      </c>
      <c r="N8" s="16" t="inlineStr">
        <is>
          <t>=AVERAGE(E5:E32)</t>
        </is>
      </c>
    </row>
    <row r="9">
      <c r="A9" s="8" t="inlineStr">
        <is>
          <t>P06</t>
        </is>
      </c>
      <c r="B9" s="8">
        <f>INDEX(Data!$E$2:$E$181,MATCH($A9,Data!$B$2:$B$181,0))</f>
        <v/>
      </c>
      <c r="C9" s="8">
        <f>INDEX(Data!$Y$2:$Y$181,MATCH($A9,Data!$B$2:$B$181,0))</f>
        <v/>
      </c>
      <c r="D9" s="9">
        <f>SUMIFS(Data!$S$2:$S$181,Data!$B$2:$B$181,$A9,Data!$G$2:$G$181,"Baseline_Nike")</f>
        <v/>
      </c>
      <c r="E9" s="9">
        <f>SUMIFS(Data!$S$2:$S$181,Data!$B$2:$B$181,$A9,Data!$G$2:$G$181,"Nike_Commercial")</f>
        <v/>
      </c>
      <c r="F9" s="9">
        <f>E9-D9</f>
        <v/>
      </c>
      <c r="G9" s="9">
        <f>SUMIFS(Data!$S$2:$S$181,Data!$B$2:$B$181,$A9,Data!$G$2:$G$181,"Baseline_elf")</f>
        <v/>
      </c>
      <c r="H9" s="9">
        <f>SUMIFS(Data!$S$2:$S$181,Data!$B$2:$B$181,$A9,Data!$G$2:$G$181,"elf_Commercial")</f>
        <v/>
      </c>
      <c r="I9" s="9">
        <f>H9-G9</f>
        <v/>
      </c>
      <c r="J9" s="9">
        <f>F9-I9</f>
        <v/>
      </c>
      <c r="L9" t="inlineStr">
        <is>
          <t>Nike_Commercial SD (BPM)</t>
        </is>
      </c>
      <c r="M9" s="12">
        <f>_xlfn.STDEV.S(E5:E32)</f>
        <v/>
      </c>
      <c r="N9" s="16" t="inlineStr">
        <is>
          <t>=STDEV.S(E5:E32)</t>
        </is>
      </c>
    </row>
    <row r="10">
      <c r="A10" s="8" t="inlineStr">
        <is>
          <t>P07</t>
        </is>
      </c>
      <c r="B10" s="8">
        <f>INDEX(Data!$E$2:$E$181,MATCH($A10,Data!$B$2:$B$181,0))</f>
        <v/>
      </c>
      <c r="C10" s="8">
        <f>INDEX(Data!$Y$2:$Y$181,MATCH($A10,Data!$B$2:$B$181,0))</f>
        <v/>
      </c>
      <c r="D10" s="9">
        <f>SUMIFS(Data!$S$2:$S$181,Data!$B$2:$B$181,$A10,Data!$G$2:$G$181,"Baseline_Nike")</f>
        <v/>
      </c>
      <c r="E10" s="9">
        <f>SUMIFS(Data!$S$2:$S$181,Data!$B$2:$B$181,$A10,Data!$G$2:$G$181,"Nike_Commercial")</f>
        <v/>
      </c>
      <c r="F10" s="9">
        <f>E10-D10</f>
        <v/>
      </c>
      <c r="G10" s="9">
        <f>SUMIFS(Data!$S$2:$S$181,Data!$B$2:$B$181,$A10,Data!$G$2:$G$181,"Baseline_elf")</f>
        <v/>
      </c>
      <c r="H10" s="9">
        <f>SUMIFS(Data!$S$2:$S$181,Data!$B$2:$B$181,$A10,Data!$G$2:$G$181,"elf_Commercial")</f>
        <v/>
      </c>
      <c r="I10" s="9">
        <f>H10-G10</f>
        <v/>
      </c>
      <c r="J10" s="9">
        <f>F10-I10</f>
        <v/>
      </c>
      <c r="L10" t="inlineStr">
        <is>
          <t>n pairs</t>
        </is>
      </c>
      <c r="M10" s="11">
        <f>COUNT(F5:F32)</f>
        <v/>
      </c>
      <c r="N10" s="16" t="inlineStr">
        <is>
          <t>=COUNT(F5:F32)</t>
        </is>
      </c>
      <c r="O10" s="7" t="inlineStr">
        <is>
          <t>COUNT of the change column; must equal the check below</t>
        </is>
      </c>
    </row>
    <row r="11">
      <c r="A11" s="8" t="inlineStr">
        <is>
          <t>P08</t>
        </is>
      </c>
      <c r="B11" s="8">
        <f>INDEX(Data!$E$2:$E$181,MATCH($A11,Data!$B$2:$B$181,0))</f>
        <v/>
      </c>
      <c r="C11" s="8">
        <f>INDEX(Data!$Y$2:$Y$181,MATCH($A11,Data!$B$2:$B$181,0))</f>
        <v/>
      </c>
      <c r="D11" s="9">
        <f>SUMIFS(Data!$S$2:$S$181,Data!$B$2:$B$181,$A11,Data!$G$2:$G$181,"Baseline_Nike")</f>
        <v/>
      </c>
      <c r="E11" s="9">
        <f>SUMIFS(Data!$S$2:$S$181,Data!$B$2:$B$181,$A11,Data!$G$2:$G$181,"Nike_Commercial")</f>
        <v/>
      </c>
      <c r="F11" s="9">
        <f>E11-D11</f>
        <v/>
      </c>
      <c r="G11" s="9">
        <f>SUMIFS(Data!$S$2:$S$181,Data!$B$2:$B$181,$A11,Data!$G$2:$G$181,"Baseline_elf")</f>
        <v/>
      </c>
      <c r="H11" s="9">
        <f>SUMIFS(Data!$S$2:$S$181,Data!$B$2:$B$181,$A11,Data!$G$2:$G$181,"elf_Commercial")</f>
        <v/>
      </c>
      <c r="I11" s="9">
        <f>H11-G11</f>
        <v/>
      </c>
      <c r="J11" s="9">
        <f>F11-I11</f>
        <v/>
      </c>
      <c r="L11" t="inlineStr">
        <is>
          <t>Mean difference, Nike_Commercial minus Baseline_Nike (BPM)</t>
        </is>
      </c>
      <c r="M11" s="12">
        <f>AVERAGE(F5:F32)</f>
        <v/>
      </c>
      <c r="N11" s="16" t="inlineStr">
        <is>
          <t>=AVERAGE(F5:F32)</t>
        </is>
      </c>
    </row>
    <row r="12">
      <c r="A12" s="8" t="inlineStr">
        <is>
          <t>P09</t>
        </is>
      </c>
      <c r="B12" s="8">
        <f>INDEX(Data!$E$2:$E$181,MATCH($A12,Data!$B$2:$B$181,0))</f>
        <v/>
      </c>
      <c r="C12" s="8">
        <f>INDEX(Data!$Y$2:$Y$181,MATCH($A12,Data!$B$2:$B$181,0))</f>
        <v/>
      </c>
      <c r="D12" s="9">
        <f>SUMIFS(Data!$S$2:$S$181,Data!$B$2:$B$181,$A12,Data!$G$2:$G$181,"Baseline_Nike")</f>
        <v/>
      </c>
      <c r="E12" s="9">
        <f>SUMIFS(Data!$S$2:$S$181,Data!$B$2:$B$181,$A12,Data!$G$2:$G$181,"Nike_Commercial")</f>
        <v/>
      </c>
      <c r="F12" s="9">
        <f>E12-D12</f>
        <v/>
      </c>
      <c r="G12" s="9">
        <f>SUMIFS(Data!$S$2:$S$181,Data!$B$2:$B$181,$A12,Data!$G$2:$G$181,"Baseline_elf")</f>
        <v/>
      </c>
      <c r="H12" s="9">
        <f>SUMIFS(Data!$S$2:$S$181,Data!$B$2:$B$181,$A12,Data!$G$2:$G$181,"elf_Commercial")</f>
        <v/>
      </c>
      <c r="I12" s="9">
        <f>H12-G12</f>
        <v/>
      </c>
      <c r="J12" s="9">
        <f>F12-I12</f>
        <v/>
      </c>
      <c r="L12" t="inlineStr">
        <is>
          <t>SD of the differences (BPM)</t>
        </is>
      </c>
      <c r="M12" s="12">
        <f>_xlfn.STDEV.S(F5:F32)</f>
        <v/>
      </c>
      <c r="N12" s="16" t="inlineStr">
        <is>
          <t>=STDEV.S(F5:F32)</t>
        </is>
      </c>
      <c r="O12" s="7" t="inlineStr">
        <is>
          <t>the SD that matters in a paired test</t>
        </is>
      </c>
    </row>
    <row r="13">
      <c r="A13" s="8" t="inlineStr">
        <is>
          <t>P10</t>
        </is>
      </c>
      <c r="B13" s="8">
        <f>INDEX(Data!$E$2:$E$181,MATCH($A13,Data!$B$2:$B$181,0))</f>
        <v/>
      </c>
      <c r="C13" s="8">
        <f>INDEX(Data!$Y$2:$Y$181,MATCH($A13,Data!$B$2:$B$181,0))</f>
        <v/>
      </c>
      <c r="D13" s="9">
        <f>SUMIFS(Data!$S$2:$S$181,Data!$B$2:$B$181,$A13,Data!$G$2:$G$181,"Baseline_Nike")</f>
        <v/>
      </c>
      <c r="E13" s="9">
        <f>SUMIFS(Data!$S$2:$S$181,Data!$B$2:$B$181,$A13,Data!$G$2:$G$181,"Nike_Commercial")</f>
        <v/>
      </c>
      <c r="F13" s="9">
        <f>E13-D13</f>
        <v/>
      </c>
      <c r="G13" s="9">
        <f>SUMIFS(Data!$S$2:$S$181,Data!$B$2:$B$181,$A13,Data!$G$2:$G$181,"Baseline_elf")</f>
        <v/>
      </c>
      <c r="H13" s="9">
        <f>SUMIFS(Data!$S$2:$S$181,Data!$B$2:$B$181,$A13,Data!$G$2:$G$181,"elf_Commercial")</f>
        <v/>
      </c>
      <c r="I13" s="9">
        <f>H13-G13</f>
        <v/>
      </c>
      <c r="J13" s="9">
        <f>F13-I13</f>
        <v/>
      </c>
      <c r="L13" t="inlineStr">
        <is>
          <t>SE of the mean difference</t>
        </is>
      </c>
      <c r="M13" s="12">
        <f>M12/SQRT(M10)</f>
        <v/>
      </c>
      <c r="N13" s="16" t="inlineStr">
        <is>
          <t>=M12/SQRT(M10)</t>
        </is>
      </c>
      <c r="O13" s="7" t="inlineStr">
        <is>
          <t>SD of differences / sqrt(n)</t>
        </is>
      </c>
    </row>
    <row r="14">
      <c r="A14" s="8" t="inlineStr">
        <is>
          <t>P12</t>
        </is>
      </c>
      <c r="B14" s="8">
        <f>INDEX(Data!$E$2:$E$181,MATCH($A14,Data!$B$2:$B$181,0))</f>
        <v/>
      </c>
      <c r="C14" s="8">
        <f>INDEX(Data!$Y$2:$Y$181,MATCH($A14,Data!$B$2:$B$181,0))</f>
        <v/>
      </c>
      <c r="D14" s="9">
        <f>SUMIFS(Data!$S$2:$S$181,Data!$B$2:$B$181,$A14,Data!$G$2:$G$181,"Baseline_Nike")</f>
        <v/>
      </c>
      <c r="E14" s="9">
        <f>SUMIFS(Data!$S$2:$S$181,Data!$B$2:$B$181,$A14,Data!$G$2:$G$181,"Nike_Commercial")</f>
        <v/>
      </c>
      <c r="F14" s="9">
        <f>E14-D14</f>
        <v/>
      </c>
      <c r="G14" s="9">
        <f>SUMIFS(Data!$S$2:$S$181,Data!$B$2:$B$181,$A14,Data!$G$2:$G$181,"Baseline_elf")</f>
        <v/>
      </c>
      <c r="H14" s="9">
        <f>SUMIFS(Data!$S$2:$S$181,Data!$B$2:$B$181,$A14,Data!$G$2:$G$181,"elf_Commercial")</f>
        <v/>
      </c>
      <c r="I14" s="9">
        <f>H14-G14</f>
        <v/>
      </c>
      <c r="J14" s="9">
        <f>F14-I14</f>
        <v/>
      </c>
      <c r="L14" t="inlineStr">
        <is>
          <t>Paired t</t>
        </is>
      </c>
      <c r="M14" s="12">
        <f>M11/M13</f>
        <v/>
      </c>
      <c r="N14" s="16" t="inlineStr">
        <is>
          <t>=M11/M13</t>
        </is>
      </c>
      <c r="O14" s="7" t="inlineStr">
        <is>
          <t>t = mean difference / SE</t>
        </is>
      </c>
    </row>
    <row r="15">
      <c r="A15" s="8" t="inlineStr">
        <is>
          <t>P13</t>
        </is>
      </c>
      <c r="B15" s="8">
        <f>INDEX(Data!$E$2:$E$181,MATCH($A15,Data!$B$2:$B$181,0))</f>
        <v/>
      </c>
      <c r="C15" s="8">
        <f>INDEX(Data!$Y$2:$Y$181,MATCH($A15,Data!$B$2:$B$181,0))</f>
        <v/>
      </c>
      <c r="D15" s="9">
        <f>SUMIFS(Data!$S$2:$S$181,Data!$B$2:$B$181,$A15,Data!$G$2:$G$181,"Baseline_Nike")</f>
        <v/>
      </c>
      <c r="E15" s="9">
        <f>SUMIFS(Data!$S$2:$S$181,Data!$B$2:$B$181,$A15,Data!$G$2:$G$181,"Nike_Commercial")</f>
        <v/>
      </c>
      <c r="F15" s="9">
        <f>E15-D15</f>
        <v/>
      </c>
      <c r="G15" s="9">
        <f>SUMIFS(Data!$S$2:$S$181,Data!$B$2:$B$181,$A15,Data!$G$2:$G$181,"Baseline_elf")</f>
        <v/>
      </c>
      <c r="H15" s="9">
        <f>SUMIFS(Data!$S$2:$S$181,Data!$B$2:$B$181,$A15,Data!$G$2:$G$181,"elf_Commercial")</f>
        <v/>
      </c>
      <c r="I15" s="9">
        <f>H15-G15</f>
        <v/>
      </c>
      <c r="J15" s="9">
        <f>F15-I15</f>
        <v/>
      </c>
      <c r="L15" t="inlineStr">
        <is>
          <t>df</t>
        </is>
      </c>
      <c r="M15" s="11">
        <f>M10-1</f>
        <v/>
      </c>
      <c r="N15" s="16" t="inlineStr">
        <is>
          <t>=M10-1</t>
        </is>
      </c>
      <c r="O15" s="7" t="inlineStr">
        <is>
          <t>n pairs minus 1</t>
        </is>
      </c>
    </row>
    <row r="16">
      <c r="A16" s="8" t="inlineStr">
        <is>
          <t>P14</t>
        </is>
      </c>
      <c r="B16" s="8">
        <f>INDEX(Data!$E$2:$E$181,MATCH($A16,Data!$B$2:$B$181,0))</f>
        <v/>
      </c>
      <c r="C16" s="8">
        <f>INDEX(Data!$Y$2:$Y$181,MATCH($A16,Data!$B$2:$B$181,0))</f>
        <v/>
      </c>
      <c r="D16" s="9">
        <f>SUMIFS(Data!$S$2:$S$181,Data!$B$2:$B$181,$A16,Data!$G$2:$G$181,"Baseline_Nike")</f>
        <v/>
      </c>
      <c r="E16" s="9">
        <f>SUMIFS(Data!$S$2:$S$181,Data!$B$2:$B$181,$A16,Data!$G$2:$G$181,"Nike_Commercial")</f>
        <v/>
      </c>
      <c r="F16" s="9">
        <f>E16-D16</f>
        <v/>
      </c>
      <c r="G16" s="9">
        <f>SUMIFS(Data!$S$2:$S$181,Data!$B$2:$B$181,$A16,Data!$G$2:$G$181,"Baseline_elf")</f>
        <v/>
      </c>
      <c r="H16" s="9">
        <f>SUMIFS(Data!$S$2:$S$181,Data!$B$2:$B$181,$A16,Data!$G$2:$G$181,"elf_Commercial")</f>
        <v/>
      </c>
      <c r="I16" s="9">
        <f>H16-G16</f>
        <v/>
      </c>
      <c r="J16" s="9">
        <f>F16-I16</f>
        <v/>
      </c>
      <c r="L16" t="inlineStr">
        <is>
          <t>p, two tailed (T.TEST type 1)</t>
        </is>
      </c>
      <c r="M16" s="17">
        <f>_xlfn.T.TEST(D5:D32,E5:E32,2,1)</f>
        <v/>
      </c>
      <c r="N16" s="16" t="inlineStr">
        <is>
          <t>=T.TEST(D5:D32,E5:E32,2,1)</t>
        </is>
      </c>
      <c r="O16" s="7" t="inlineStr">
        <is>
          <t>tails = 2, type = 1 means paired</t>
        </is>
      </c>
    </row>
    <row r="17">
      <c r="A17" s="8" t="inlineStr">
        <is>
          <t>P15</t>
        </is>
      </c>
      <c r="B17" s="8">
        <f>INDEX(Data!$E$2:$E$181,MATCH($A17,Data!$B$2:$B$181,0))</f>
        <v/>
      </c>
      <c r="C17" s="8">
        <f>INDEX(Data!$Y$2:$Y$181,MATCH($A17,Data!$B$2:$B$181,0))</f>
        <v/>
      </c>
      <c r="D17" s="9">
        <f>SUMIFS(Data!$S$2:$S$181,Data!$B$2:$B$181,$A17,Data!$G$2:$G$181,"Baseline_Nike")</f>
        <v/>
      </c>
      <c r="E17" s="9">
        <f>SUMIFS(Data!$S$2:$S$181,Data!$B$2:$B$181,$A17,Data!$G$2:$G$181,"Nike_Commercial")</f>
        <v/>
      </c>
      <c r="F17" s="9">
        <f>E17-D17</f>
        <v/>
      </c>
      <c r="G17" s="9">
        <f>SUMIFS(Data!$S$2:$S$181,Data!$B$2:$B$181,$A17,Data!$G$2:$G$181,"Baseline_elf")</f>
        <v/>
      </c>
      <c r="H17" s="9">
        <f>SUMIFS(Data!$S$2:$S$181,Data!$B$2:$B$181,$A17,Data!$G$2:$G$181,"elf_Commercial")</f>
        <v/>
      </c>
      <c r="I17" s="9">
        <f>H17-G17</f>
        <v/>
      </c>
      <c r="J17" s="9">
        <f>F17-I17</f>
        <v/>
      </c>
      <c r="L17" t="inlineStr">
        <is>
          <t>p from the hand computed t</t>
        </is>
      </c>
      <c r="M17" s="17">
        <f>_xlfn.T.DIST.2T(ABS(M14),M15)</f>
        <v/>
      </c>
      <c r="N17" s="16" t="inlineStr">
        <is>
          <t>=T.DIST.2T(ABS(M14),M15)</t>
        </is>
      </c>
      <c r="O17" s="7" t="inlineStr">
        <is>
          <t>should match the T.TEST cell</t>
        </is>
      </c>
    </row>
    <row r="18">
      <c r="A18" s="8" t="inlineStr">
        <is>
          <t>P17</t>
        </is>
      </c>
      <c r="B18" s="8">
        <f>INDEX(Data!$E$2:$E$181,MATCH($A18,Data!$B$2:$B$181,0))</f>
        <v/>
      </c>
      <c r="C18" s="8">
        <f>INDEX(Data!$Y$2:$Y$181,MATCH($A18,Data!$B$2:$B$181,0))</f>
        <v/>
      </c>
      <c r="D18" s="9">
        <f>SUMIFS(Data!$S$2:$S$181,Data!$B$2:$B$181,$A18,Data!$G$2:$G$181,"Baseline_Nike")</f>
        <v/>
      </c>
      <c r="E18" s="9">
        <f>SUMIFS(Data!$S$2:$S$181,Data!$B$2:$B$181,$A18,Data!$G$2:$G$181,"Nike_Commercial")</f>
        <v/>
      </c>
      <c r="F18" s="9">
        <f>E18-D18</f>
        <v/>
      </c>
      <c r="G18" s="9">
        <f>SUMIFS(Data!$S$2:$S$181,Data!$B$2:$B$181,$A18,Data!$G$2:$G$181,"Baseline_elf")</f>
        <v/>
      </c>
      <c r="H18" s="9">
        <f>SUMIFS(Data!$S$2:$S$181,Data!$B$2:$B$181,$A18,Data!$G$2:$G$181,"elf_Commercial")</f>
        <v/>
      </c>
      <c r="I18" s="9">
        <f>H18-G18</f>
        <v/>
      </c>
      <c r="J18" s="9">
        <f>F18-I18</f>
        <v/>
      </c>
      <c r="L18" t="inlineStr">
        <is>
          <t>Critical t (95%)</t>
        </is>
      </c>
      <c r="M18" s="12">
        <f>_xlfn.T.INV.2T(0.05,M15)</f>
        <v/>
      </c>
      <c r="N18" s="16" t="inlineStr">
        <is>
          <t>=T.INV.2T(0.05,M15)</t>
        </is>
      </c>
      <c r="O18" s="7" t="inlineStr">
        <is>
          <t>two tailed, alpha = .05</t>
        </is>
      </c>
    </row>
    <row r="19">
      <c r="A19" s="8" t="inlineStr">
        <is>
          <t>P18</t>
        </is>
      </c>
      <c r="B19" s="8">
        <f>INDEX(Data!$E$2:$E$181,MATCH($A19,Data!$B$2:$B$181,0))</f>
        <v/>
      </c>
      <c r="C19" s="8">
        <f>INDEX(Data!$Y$2:$Y$181,MATCH($A19,Data!$B$2:$B$181,0))</f>
        <v/>
      </c>
      <c r="D19" s="9">
        <f>SUMIFS(Data!$S$2:$S$181,Data!$B$2:$B$181,$A19,Data!$G$2:$G$181,"Baseline_Nike")</f>
        <v/>
      </c>
      <c r="E19" s="9">
        <f>SUMIFS(Data!$S$2:$S$181,Data!$B$2:$B$181,$A19,Data!$G$2:$G$181,"Nike_Commercial")</f>
        <v/>
      </c>
      <c r="F19" s="9">
        <f>E19-D19</f>
        <v/>
      </c>
      <c r="G19" s="9">
        <f>SUMIFS(Data!$S$2:$S$181,Data!$B$2:$B$181,$A19,Data!$G$2:$G$181,"Baseline_elf")</f>
        <v/>
      </c>
      <c r="H19" s="9">
        <f>SUMIFS(Data!$S$2:$S$181,Data!$B$2:$B$181,$A19,Data!$G$2:$G$181,"elf_Commercial")</f>
        <v/>
      </c>
      <c r="I19" s="9">
        <f>H19-G19</f>
        <v/>
      </c>
      <c r="J19" s="9">
        <f>F19-I19</f>
        <v/>
      </c>
      <c r="L19" t="inlineStr">
        <is>
          <t>Mean difference 95% CI lower</t>
        </is>
      </c>
      <c r="M19" s="12">
        <f>M11-M18*M13</f>
        <v/>
      </c>
      <c r="N19" s="16" t="inlineStr">
        <is>
          <t>=M11-M18*M13</t>
        </is>
      </c>
    </row>
    <row r="20">
      <c r="A20" s="8" t="inlineStr">
        <is>
          <t>P19</t>
        </is>
      </c>
      <c r="B20" s="8">
        <f>INDEX(Data!$E$2:$E$181,MATCH($A20,Data!$B$2:$B$181,0))</f>
        <v/>
      </c>
      <c r="C20" s="8">
        <f>INDEX(Data!$Y$2:$Y$181,MATCH($A20,Data!$B$2:$B$181,0))</f>
        <v/>
      </c>
      <c r="D20" s="9">
        <f>SUMIFS(Data!$S$2:$S$181,Data!$B$2:$B$181,$A20,Data!$G$2:$G$181,"Baseline_Nike")</f>
        <v/>
      </c>
      <c r="E20" s="9">
        <f>SUMIFS(Data!$S$2:$S$181,Data!$B$2:$B$181,$A20,Data!$G$2:$G$181,"Nike_Commercial")</f>
        <v/>
      </c>
      <c r="F20" s="9">
        <f>E20-D20</f>
        <v/>
      </c>
      <c r="G20" s="9">
        <f>SUMIFS(Data!$S$2:$S$181,Data!$B$2:$B$181,$A20,Data!$G$2:$G$181,"Baseline_elf")</f>
        <v/>
      </c>
      <c r="H20" s="9">
        <f>SUMIFS(Data!$S$2:$S$181,Data!$B$2:$B$181,$A20,Data!$G$2:$G$181,"elf_Commercial")</f>
        <v/>
      </c>
      <c r="I20" s="9">
        <f>H20-G20</f>
        <v/>
      </c>
      <c r="J20" s="9">
        <f>F20-I20</f>
        <v/>
      </c>
      <c r="L20" t="inlineStr">
        <is>
          <t>Mean difference 95% CI upper</t>
        </is>
      </c>
      <c r="M20" s="12">
        <f>M11+M18*M13</f>
        <v/>
      </c>
      <c r="N20" s="16" t="inlineStr">
        <is>
          <t>=M11+M18*M13</t>
        </is>
      </c>
    </row>
    <row r="21">
      <c r="A21" s="8" t="inlineStr">
        <is>
          <t>P20</t>
        </is>
      </c>
      <c r="B21" s="8">
        <f>INDEX(Data!$E$2:$E$181,MATCH($A21,Data!$B$2:$B$181,0))</f>
        <v/>
      </c>
      <c r="C21" s="8">
        <f>INDEX(Data!$Y$2:$Y$181,MATCH($A21,Data!$B$2:$B$181,0))</f>
        <v/>
      </c>
      <c r="D21" s="9">
        <f>SUMIFS(Data!$S$2:$S$181,Data!$B$2:$B$181,$A21,Data!$G$2:$G$181,"Baseline_Nike")</f>
        <v/>
      </c>
      <c r="E21" s="9">
        <f>SUMIFS(Data!$S$2:$S$181,Data!$B$2:$B$181,$A21,Data!$G$2:$G$181,"Nike_Commercial")</f>
        <v/>
      </c>
      <c r="F21" s="9">
        <f>E21-D21</f>
        <v/>
      </c>
      <c r="G21" s="9">
        <f>SUMIFS(Data!$S$2:$S$181,Data!$B$2:$B$181,$A21,Data!$G$2:$G$181,"Baseline_elf")</f>
        <v/>
      </c>
      <c r="H21" s="9">
        <f>SUMIFS(Data!$S$2:$S$181,Data!$B$2:$B$181,$A21,Data!$G$2:$G$181,"elf_Commercial")</f>
        <v/>
      </c>
      <c r="I21" s="9">
        <f>H21-G21</f>
        <v/>
      </c>
      <c r="J21" s="9">
        <f>F21-I21</f>
        <v/>
      </c>
      <c r="L21" t="inlineStr">
        <is>
          <t>Cohen's d_z</t>
        </is>
      </c>
      <c r="M21" s="12">
        <f>M11/M12</f>
        <v/>
      </c>
      <c r="N21" s="16" t="inlineStr">
        <is>
          <t>=M11/M12</t>
        </is>
      </c>
      <c r="O21" s="7" t="inlineStr">
        <is>
          <t>d_z = mean difference / SD of differences</t>
        </is>
      </c>
    </row>
    <row r="22">
      <c r="A22" s="8" t="inlineStr">
        <is>
          <t>P22</t>
        </is>
      </c>
      <c r="B22" s="8">
        <f>INDEX(Data!$E$2:$E$181,MATCH($A22,Data!$B$2:$B$181,0))</f>
        <v/>
      </c>
      <c r="C22" s="8">
        <f>INDEX(Data!$Y$2:$Y$181,MATCH($A22,Data!$B$2:$B$181,0))</f>
        <v/>
      </c>
      <c r="D22" s="9">
        <f>SUMIFS(Data!$S$2:$S$181,Data!$B$2:$B$181,$A22,Data!$G$2:$G$181,"Baseline_Nike")</f>
        <v/>
      </c>
      <c r="E22" s="9">
        <f>SUMIFS(Data!$S$2:$S$181,Data!$B$2:$B$181,$A22,Data!$G$2:$G$181,"Nike_Commercial")</f>
        <v/>
      </c>
      <c r="F22" s="9">
        <f>E22-D22</f>
        <v/>
      </c>
      <c r="G22" s="9">
        <f>SUMIFS(Data!$S$2:$S$181,Data!$B$2:$B$181,$A22,Data!$G$2:$G$181,"Baseline_elf")</f>
        <v/>
      </c>
      <c r="H22" s="9">
        <f>SUMIFS(Data!$S$2:$S$181,Data!$B$2:$B$181,$A22,Data!$G$2:$G$181,"elf_Commercial")</f>
        <v/>
      </c>
      <c r="I22" s="9">
        <f>H22-G22</f>
        <v/>
      </c>
      <c r="J22" s="9">
        <f>F22-I22</f>
        <v/>
      </c>
      <c r="L22" t="inlineStr">
        <is>
          <t>SE of d_z (approximation)</t>
        </is>
      </c>
      <c r="M22" s="12">
        <f>SQRT(1/M10+M21^2/(2*M10))</f>
        <v/>
      </c>
      <c r="N22" s="16" t="inlineStr">
        <is>
          <t>=SQRT(1/M10+M21^2/(2*M10))</t>
        </is>
      </c>
      <c r="O22" s="7" t="inlineStr">
        <is>
          <t>sqrt(1/n + d_z^2 / (2 n))</t>
        </is>
      </c>
    </row>
    <row r="23">
      <c r="A23" s="8" t="inlineStr">
        <is>
          <t>P23</t>
        </is>
      </c>
      <c r="B23" s="8">
        <f>INDEX(Data!$E$2:$E$181,MATCH($A23,Data!$B$2:$B$181,0))</f>
        <v/>
      </c>
      <c r="C23" s="8">
        <f>INDEX(Data!$Y$2:$Y$181,MATCH($A23,Data!$B$2:$B$181,0))</f>
        <v/>
      </c>
      <c r="D23" s="9">
        <f>SUMIFS(Data!$S$2:$S$181,Data!$B$2:$B$181,$A23,Data!$G$2:$G$181,"Baseline_Nike")</f>
        <v/>
      </c>
      <c r="E23" s="9">
        <f>SUMIFS(Data!$S$2:$S$181,Data!$B$2:$B$181,$A23,Data!$G$2:$G$181,"Nike_Commercial")</f>
        <v/>
      </c>
      <c r="F23" s="9">
        <f>E23-D23</f>
        <v/>
      </c>
      <c r="G23" s="9">
        <f>SUMIFS(Data!$S$2:$S$181,Data!$B$2:$B$181,$A23,Data!$G$2:$G$181,"Baseline_elf")</f>
        <v/>
      </c>
      <c r="H23" s="9">
        <f>SUMIFS(Data!$S$2:$S$181,Data!$B$2:$B$181,$A23,Data!$G$2:$G$181,"elf_Commercial")</f>
        <v/>
      </c>
      <c r="I23" s="9">
        <f>H23-G23</f>
        <v/>
      </c>
      <c r="J23" s="9">
        <f>F23-I23</f>
        <v/>
      </c>
      <c r="L23" t="inlineStr">
        <is>
          <t>d_z 95% CI lower</t>
        </is>
      </c>
      <c r="M23" s="12">
        <f>M21-1.96*M22</f>
        <v/>
      </c>
      <c r="N23" s="16" t="inlineStr">
        <is>
          <t>=M21-1.96*M22</t>
        </is>
      </c>
      <c r="O23" s="7" t="inlineStr">
        <is>
          <t>large sample approximation; R uses the noncentral t interval</t>
        </is>
      </c>
    </row>
    <row r="24">
      <c r="A24" s="8" t="inlineStr">
        <is>
          <t>P25</t>
        </is>
      </c>
      <c r="B24" s="8">
        <f>INDEX(Data!$E$2:$E$181,MATCH($A24,Data!$B$2:$B$181,0))</f>
        <v/>
      </c>
      <c r="C24" s="8">
        <f>INDEX(Data!$Y$2:$Y$181,MATCH($A24,Data!$B$2:$B$181,0))</f>
        <v/>
      </c>
      <c r="D24" s="9">
        <f>SUMIFS(Data!$S$2:$S$181,Data!$B$2:$B$181,$A24,Data!$G$2:$G$181,"Baseline_Nike")</f>
        <v/>
      </c>
      <c r="E24" s="9">
        <f>SUMIFS(Data!$S$2:$S$181,Data!$B$2:$B$181,$A24,Data!$G$2:$G$181,"Nike_Commercial")</f>
        <v/>
      </c>
      <c r="F24" s="9">
        <f>E24-D24</f>
        <v/>
      </c>
      <c r="G24" s="9">
        <f>SUMIFS(Data!$S$2:$S$181,Data!$B$2:$B$181,$A24,Data!$G$2:$G$181,"Baseline_elf")</f>
        <v/>
      </c>
      <c r="H24" s="9">
        <f>SUMIFS(Data!$S$2:$S$181,Data!$B$2:$B$181,$A24,Data!$G$2:$G$181,"elf_Commercial")</f>
        <v/>
      </c>
      <c r="I24" s="9">
        <f>H24-G24</f>
        <v/>
      </c>
      <c r="J24" s="9">
        <f>F24-I24</f>
        <v/>
      </c>
      <c r="L24" t="inlineStr">
        <is>
          <t>d_z 95% CI upper</t>
        </is>
      </c>
      <c r="M24" s="12">
        <f>M21+1.96*M22</f>
        <v/>
      </c>
      <c r="N24" s="16" t="inlineStr">
        <is>
          <t>=M21+1.96*M22</t>
        </is>
      </c>
    </row>
    <row r="25">
      <c r="A25" s="8" t="inlineStr">
        <is>
          <t>P26</t>
        </is>
      </c>
      <c r="B25" s="8">
        <f>INDEX(Data!$E$2:$E$181,MATCH($A25,Data!$B$2:$B$181,0))</f>
        <v/>
      </c>
      <c r="C25" s="8">
        <f>INDEX(Data!$Y$2:$Y$181,MATCH($A25,Data!$B$2:$B$181,0))</f>
        <v/>
      </c>
      <c r="D25" s="9">
        <f>SUMIFS(Data!$S$2:$S$181,Data!$B$2:$B$181,$A25,Data!$G$2:$G$181,"Baseline_Nike")</f>
        <v/>
      </c>
      <c r="E25" s="9">
        <f>SUMIFS(Data!$S$2:$S$181,Data!$B$2:$B$181,$A25,Data!$G$2:$G$181,"Nike_Commercial")</f>
        <v/>
      </c>
      <c r="F25" s="9">
        <f>E25-D25</f>
        <v/>
      </c>
      <c r="G25" s="9">
        <f>SUMIFS(Data!$S$2:$S$181,Data!$B$2:$B$181,$A25,Data!$G$2:$G$181,"Baseline_elf")</f>
        <v/>
      </c>
      <c r="H25" s="9">
        <f>SUMIFS(Data!$S$2:$S$181,Data!$B$2:$B$181,$A25,Data!$G$2:$G$181,"elf_Commercial")</f>
        <v/>
      </c>
      <c r="I25" s="9">
        <f>H25-G25</f>
        <v/>
      </c>
      <c r="J25" s="9">
        <f>F25-I25</f>
        <v/>
      </c>
      <c r="L25" t="inlineStr">
        <is>
          <t>Correlation of the two columns</t>
        </is>
      </c>
      <c r="M25" s="12">
        <f>CORREL(D5:D32,E5:E32)</f>
        <v/>
      </c>
      <c r="N25" s="16" t="inlineStr">
        <is>
          <t>=CORREL(D5:D32,E5:E32)</t>
        </is>
      </c>
      <c r="O25" s="7" t="inlineStr">
        <is>
          <t>within respondent correlation</t>
        </is>
      </c>
    </row>
    <row r="26">
      <c r="A26" s="8" t="inlineStr">
        <is>
          <t>P27</t>
        </is>
      </c>
      <c r="B26" s="8">
        <f>INDEX(Data!$E$2:$E$181,MATCH($A26,Data!$B$2:$B$181,0))</f>
        <v/>
      </c>
      <c r="C26" s="8">
        <f>INDEX(Data!$Y$2:$Y$181,MATCH($A26,Data!$B$2:$B$181,0))</f>
        <v/>
      </c>
      <c r="D26" s="9">
        <f>SUMIFS(Data!$S$2:$S$181,Data!$B$2:$B$181,$A26,Data!$G$2:$G$181,"Baseline_Nike")</f>
        <v/>
      </c>
      <c r="E26" s="9">
        <f>SUMIFS(Data!$S$2:$S$181,Data!$B$2:$B$181,$A26,Data!$G$2:$G$181,"Nike_Commercial")</f>
        <v/>
      </c>
      <c r="F26" s="9">
        <f>E26-D26</f>
        <v/>
      </c>
      <c r="G26" s="9">
        <f>SUMIFS(Data!$S$2:$S$181,Data!$B$2:$B$181,$A26,Data!$G$2:$G$181,"Baseline_elf")</f>
        <v/>
      </c>
      <c r="H26" s="9">
        <f>SUMIFS(Data!$S$2:$S$181,Data!$B$2:$B$181,$A26,Data!$G$2:$G$181,"elf_Commercial")</f>
        <v/>
      </c>
      <c r="I26" s="9">
        <f>H26-G26</f>
        <v/>
      </c>
      <c r="J26" s="9">
        <f>F26-I26</f>
        <v/>
      </c>
    </row>
    <row r="27">
      <c r="A27" s="8" t="inlineStr">
        <is>
          <t>P28</t>
        </is>
      </c>
      <c r="B27" s="8">
        <f>INDEX(Data!$E$2:$E$181,MATCH($A27,Data!$B$2:$B$181,0))</f>
        <v/>
      </c>
      <c r="C27" s="8">
        <f>INDEX(Data!$Y$2:$Y$181,MATCH($A27,Data!$B$2:$B$181,0))</f>
        <v/>
      </c>
      <c r="D27" s="9">
        <f>SUMIFS(Data!$S$2:$S$181,Data!$B$2:$B$181,$A27,Data!$G$2:$G$181,"Baseline_Nike")</f>
        <v/>
      </c>
      <c r="E27" s="9">
        <f>SUMIFS(Data!$S$2:$S$181,Data!$B$2:$B$181,$A27,Data!$G$2:$G$181,"Nike_Commercial")</f>
        <v/>
      </c>
      <c r="F27" s="9">
        <f>E27-D27</f>
        <v/>
      </c>
      <c r="G27" s="9">
        <f>SUMIFS(Data!$S$2:$S$181,Data!$B$2:$B$181,$A27,Data!$G$2:$G$181,"Baseline_elf")</f>
        <v/>
      </c>
      <c r="H27" s="9">
        <f>SUMIFS(Data!$S$2:$S$181,Data!$B$2:$B$181,$A27,Data!$G$2:$G$181,"elf_Commercial")</f>
        <v/>
      </c>
      <c r="I27" s="9">
        <f>H27-G27</f>
        <v/>
      </c>
      <c r="J27" s="9">
        <f>F27-I27</f>
        <v/>
      </c>
    </row>
    <row r="28">
      <c r="A28" s="8" t="inlineStr">
        <is>
          <t>P29</t>
        </is>
      </c>
      <c r="B28" s="8">
        <f>INDEX(Data!$E$2:$E$181,MATCH($A28,Data!$B$2:$B$181,0))</f>
        <v/>
      </c>
      <c r="C28" s="8">
        <f>INDEX(Data!$Y$2:$Y$181,MATCH($A28,Data!$B$2:$B$181,0))</f>
        <v/>
      </c>
      <c r="D28" s="9">
        <f>SUMIFS(Data!$S$2:$S$181,Data!$B$2:$B$181,$A28,Data!$G$2:$G$181,"Baseline_Nike")</f>
        <v/>
      </c>
      <c r="E28" s="9">
        <f>SUMIFS(Data!$S$2:$S$181,Data!$B$2:$B$181,$A28,Data!$G$2:$G$181,"Nike_Commercial")</f>
        <v/>
      </c>
      <c r="F28" s="9">
        <f>E28-D28</f>
        <v/>
      </c>
      <c r="G28" s="9">
        <f>SUMIFS(Data!$S$2:$S$181,Data!$B$2:$B$181,$A28,Data!$G$2:$G$181,"Baseline_elf")</f>
        <v/>
      </c>
      <c r="H28" s="9">
        <f>SUMIFS(Data!$S$2:$S$181,Data!$B$2:$B$181,$A28,Data!$G$2:$G$181,"elf_Commercial")</f>
        <v/>
      </c>
      <c r="I28" s="9">
        <f>H28-G28</f>
        <v/>
      </c>
      <c r="J28" s="9">
        <f>F28-I28</f>
        <v/>
      </c>
      <c r="L28" s="14" t="inlineStr">
        <is>
          <t>Statistic</t>
        </is>
      </c>
      <c r="M28" s="14" t="inlineStr">
        <is>
          <t>Value</t>
        </is>
      </c>
      <c r="N28" s="14" t="inlineStr">
        <is>
          <t>Formula shown</t>
        </is>
      </c>
      <c r="O28" s="14" t="inlineStr">
        <is>
          <t>Note</t>
        </is>
      </c>
    </row>
    <row r="29">
      <c r="A29" s="8" t="inlineStr">
        <is>
          <t>P30</t>
        </is>
      </c>
      <c r="B29" s="8">
        <f>INDEX(Data!$E$2:$E$181,MATCH($A29,Data!$B$2:$B$181,0))</f>
        <v/>
      </c>
      <c r="C29" s="8">
        <f>INDEX(Data!$Y$2:$Y$181,MATCH($A29,Data!$B$2:$B$181,0))</f>
        <v/>
      </c>
      <c r="D29" s="9">
        <f>SUMIFS(Data!$S$2:$S$181,Data!$B$2:$B$181,$A29,Data!$G$2:$G$181,"Baseline_Nike")</f>
        <v/>
      </c>
      <c r="E29" s="9">
        <f>SUMIFS(Data!$S$2:$S$181,Data!$B$2:$B$181,$A29,Data!$G$2:$G$181,"Nike_Commercial")</f>
        <v/>
      </c>
      <c r="F29" s="9">
        <f>E29-D29</f>
        <v/>
      </c>
      <c r="G29" s="9">
        <f>SUMIFS(Data!$S$2:$S$181,Data!$B$2:$B$181,$A29,Data!$G$2:$G$181,"Baseline_elf")</f>
        <v/>
      </c>
      <c r="H29" s="9">
        <f>SUMIFS(Data!$S$2:$S$181,Data!$B$2:$B$181,$A29,Data!$G$2:$G$181,"elf_Commercial")</f>
        <v/>
      </c>
      <c r="I29" s="9">
        <f>H29-G29</f>
        <v/>
      </c>
      <c r="J29" s="9">
        <f>F29-I29</f>
        <v/>
      </c>
      <c r="L29" s="15" t="inlineStr">
        <is>
          <t>e.l.f.: heart rate in the commercial versus its baseline (change = mean difference)</t>
        </is>
      </c>
    </row>
    <row r="30">
      <c r="A30" s="8" t="inlineStr">
        <is>
          <t>P03</t>
        </is>
      </c>
      <c r="B30" s="8">
        <f>INDEX(Data!$E$2:$E$181,MATCH($A30,Data!$B$2:$B$181,0))</f>
        <v/>
      </c>
      <c r="C30" s="8">
        <f>INDEX(Data!$Y$2:$Y$181,MATCH($A30,Data!$B$2:$B$181,0))</f>
        <v/>
      </c>
      <c r="D30" s="9">
        <f>SUMIFS(Data!$S$2:$S$181,Data!$B$2:$B$181,$A30,Data!$G$2:$G$181,"Baseline_Nike")</f>
        <v/>
      </c>
      <c r="E30" s="9">
        <f>SUMIFS(Data!$S$2:$S$181,Data!$B$2:$B$181,$A30,Data!$G$2:$G$181,"Nike_Commercial")</f>
        <v/>
      </c>
      <c r="F30" s="9">
        <f>E30-D30</f>
        <v/>
      </c>
      <c r="G30" s="9">
        <f>SUMIFS(Data!$S$2:$S$181,Data!$B$2:$B$181,$A30,Data!$G$2:$G$181,"Baseline_elf")</f>
        <v/>
      </c>
      <c r="H30" s="9">
        <f>SUMIFS(Data!$S$2:$S$181,Data!$B$2:$B$181,$A30,Data!$G$2:$G$181,"elf_Commercial")</f>
        <v/>
      </c>
      <c r="I30" s="9">
        <f>H30-G30</f>
        <v/>
      </c>
      <c r="J30" s="9">
        <f>F30-I30</f>
        <v/>
      </c>
      <c r="L30" t="inlineStr">
        <is>
          <t>Baseline_elf mean (BPM)</t>
        </is>
      </c>
      <c r="M30" s="12">
        <f>AVERAGE(G5:G32)</f>
        <v/>
      </c>
      <c r="N30" s="16" t="inlineStr">
        <is>
          <t>=AVERAGE(G5:G32)</t>
        </is>
      </c>
      <c r="O30" s="7" t="inlineStr">
        <is>
          <t>AVERAGE of the reference column</t>
        </is>
      </c>
    </row>
    <row r="31">
      <c r="A31" s="8" t="inlineStr">
        <is>
          <t>P16</t>
        </is>
      </c>
      <c r="B31" s="8">
        <f>INDEX(Data!$E$2:$E$181,MATCH($A31,Data!$B$2:$B$181,0))</f>
        <v/>
      </c>
      <c r="C31" s="8">
        <f>INDEX(Data!$Y$2:$Y$181,MATCH($A31,Data!$B$2:$B$181,0))</f>
        <v/>
      </c>
      <c r="D31" s="9">
        <f>SUMIFS(Data!$S$2:$S$181,Data!$B$2:$B$181,$A31,Data!$G$2:$G$181,"Baseline_Nike")</f>
        <v/>
      </c>
      <c r="E31" s="9">
        <f>SUMIFS(Data!$S$2:$S$181,Data!$B$2:$B$181,$A31,Data!$G$2:$G$181,"Nike_Commercial")</f>
        <v/>
      </c>
      <c r="F31" s="9">
        <f>E31-D31</f>
        <v/>
      </c>
      <c r="G31" s="9">
        <f>SUMIFS(Data!$S$2:$S$181,Data!$B$2:$B$181,$A31,Data!$G$2:$G$181,"Baseline_elf")</f>
        <v/>
      </c>
      <c r="H31" s="9">
        <f>SUMIFS(Data!$S$2:$S$181,Data!$B$2:$B$181,$A31,Data!$G$2:$G$181,"elf_Commercial")</f>
        <v/>
      </c>
      <c r="I31" s="9">
        <f>H31-G31</f>
        <v/>
      </c>
      <c r="J31" s="9">
        <f>F31-I31</f>
        <v/>
      </c>
      <c r="L31" t="inlineStr">
        <is>
          <t>Baseline_elf SD (BPM)</t>
        </is>
      </c>
      <c r="M31" s="12">
        <f>_xlfn.STDEV.S(G5:G32)</f>
        <v/>
      </c>
      <c r="N31" s="16" t="inlineStr">
        <is>
          <t>=STDEV.S(G5:G32)</t>
        </is>
      </c>
      <c r="O31" s="7" t="inlineStr">
        <is>
          <t>STDEV.S = sample standard deviation</t>
        </is>
      </c>
    </row>
    <row r="32">
      <c r="A32" s="8" t="inlineStr">
        <is>
          <t>P21</t>
        </is>
      </c>
      <c r="B32" s="8">
        <f>INDEX(Data!$E$2:$E$181,MATCH($A32,Data!$B$2:$B$181,0))</f>
        <v/>
      </c>
      <c r="C32" s="8">
        <f>INDEX(Data!$Y$2:$Y$181,MATCH($A32,Data!$B$2:$B$181,0))</f>
        <v/>
      </c>
      <c r="D32" s="9">
        <f>SUMIFS(Data!$S$2:$S$181,Data!$B$2:$B$181,$A32,Data!$G$2:$G$181,"Baseline_Nike")</f>
        <v/>
      </c>
      <c r="E32" s="9">
        <f>SUMIFS(Data!$S$2:$S$181,Data!$B$2:$B$181,$A32,Data!$G$2:$G$181,"Nike_Commercial")</f>
        <v/>
      </c>
      <c r="F32" s="9">
        <f>E32-D32</f>
        <v/>
      </c>
      <c r="G32" s="9">
        <f>SUMIFS(Data!$S$2:$S$181,Data!$B$2:$B$181,$A32,Data!$G$2:$G$181,"Baseline_elf")</f>
        <v/>
      </c>
      <c r="H32" s="9">
        <f>SUMIFS(Data!$S$2:$S$181,Data!$B$2:$B$181,$A32,Data!$G$2:$G$181,"elf_Commercial")</f>
        <v/>
      </c>
      <c r="I32" s="9">
        <f>H32-G32</f>
        <v/>
      </c>
      <c r="J32" s="9">
        <f>F32-I32</f>
        <v/>
      </c>
      <c r="L32" t="inlineStr">
        <is>
          <t>elf_Commercial mean (BPM)</t>
        </is>
      </c>
      <c r="M32" s="12">
        <f>AVERAGE(H5:H32)</f>
        <v/>
      </c>
      <c r="N32" s="16" t="inlineStr">
        <is>
          <t>=AVERAGE(H5:H32)</t>
        </is>
      </c>
    </row>
    <row r="33">
      <c r="L33" t="inlineStr">
        <is>
          <t>elf_Commercial SD (BPM)</t>
        </is>
      </c>
      <c r="M33" s="12">
        <f>_xlfn.STDEV.S(H5:H32)</f>
        <v/>
      </c>
      <c r="N33" s="16" t="inlineStr">
        <is>
          <t>=STDEV.S(H5:H32)</t>
        </is>
      </c>
    </row>
    <row r="34">
      <c r="L34" t="inlineStr">
        <is>
          <t>n pairs</t>
        </is>
      </c>
      <c r="M34" s="11">
        <f>COUNT(I5:I32)</f>
        <v/>
      </c>
      <c r="N34" s="16" t="inlineStr">
        <is>
          <t>=COUNT(I5:I32)</t>
        </is>
      </c>
    </row>
    <row r="35">
      <c r="L35" t="inlineStr">
        <is>
          <t>Mean difference, elf_Commercial minus Baseline_elf (BPM)</t>
        </is>
      </c>
      <c r="M35" s="12">
        <f>AVERAGE(I5:I32)</f>
        <v/>
      </c>
      <c r="N35" s="16" t="inlineStr">
        <is>
          <t>=AVERAGE(I5:I32)</t>
        </is>
      </c>
    </row>
    <row r="36">
      <c r="L36" t="inlineStr">
        <is>
          <t>SD of the differences (BPM)</t>
        </is>
      </c>
      <c r="M36" s="12">
        <f>_xlfn.STDEV.S(I5:I32)</f>
        <v/>
      </c>
      <c r="N36" s="16" t="inlineStr">
        <is>
          <t>=STDEV.S(I5:I32)</t>
        </is>
      </c>
      <c r="O36" s="7" t="inlineStr">
        <is>
          <t>the SD that matters in a paired test</t>
        </is>
      </c>
    </row>
    <row r="37">
      <c r="L37" t="inlineStr">
        <is>
          <t>SE of the mean difference</t>
        </is>
      </c>
      <c r="M37" s="12">
        <f>M36/SQRT(M34)</f>
        <v/>
      </c>
      <c r="N37" s="16" t="inlineStr">
        <is>
          <t>=M36/SQRT(M34)</t>
        </is>
      </c>
      <c r="O37" s="7" t="inlineStr">
        <is>
          <t>SD of differences / sqrt(n)</t>
        </is>
      </c>
    </row>
    <row r="38">
      <c r="L38" t="inlineStr">
        <is>
          <t>Paired t</t>
        </is>
      </c>
      <c r="M38" s="12">
        <f>M35/M37</f>
        <v/>
      </c>
      <c r="N38" s="16" t="inlineStr">
        <is>
          <t>=M35/M37</t>
        </is>
      </c>
      <c r="O38" s="7" t="inlineStr">
        <is>
          <t>t = mean difference / SE</t>
        </is>
      </c>
    </row>
    <row r="39">
      <c r="L39" t="inlineStr">
        <is>
          <t>df</t>
        </is>
      </c>
      <c r="M39" s="11">
        <f>M34-1</f>
        <v/>
      </c>
      <c r="N39" s="16" t="inlineStr">
        <is>
          <t>=M34-1</t>
        </is>
      </c>
      <c r="O39" s="7" t="inlineStr">
        <is>
          <t>n pairs minus 1</t>
        </is>
      </c>
    </row>
    <row r="40">
      <c r="L40" t="inlineStr">
        <is>
          <t>p, two tailed (T.TEST type 1)</t>
        </is>
      </c>
      <c r="M40" s="17">
        <f>_xlfn.T.TEST(G5:G32,H5:H32,2,1)</f>
        <v/>
      </c>
      <c r="N40" s="16" t="inlineStr">
        <is>
          <t>=T.TEST(G5:G32,H5:H32,2,1)</t>
        </is>
      </c>
      <c r="O40" s="7" t="inlineStr">
        <is>
          <t>tails = 2, type = 1 means paired</t>
        </is>
      </c>
    </row>
    <row r="41">
      <c r="L41" t="inlineStr">
        <is>
          <t>p from the hand computed t</t>
        </is>
      </c>
      <c r="M41" s="17">
        <f>_xlfn.T.DIST.2T(ABS(M38),M39)</f>
        <v/>
      </c>
      <c r="N41" s="16" t="inlineStr">
        <is>
          <t>=T.DIST.2T(ABS(M38),M39)</t>
        </is>
      </c>
      <c r="O41" s="7" t="inlineStr">
        <is>
          <t>should match the T.TEST cell</t>
        </is>
      </c>
    </row>
    <row r="42">
      <c r="L42" t="inlineStr">
        <is>
          <t>Critical t (95%)</t>
        </is>
      </c>
      <c r="M42" s="12">
        <f>_xlfn.T.INV.2T(0.05,M39)</f>
        <v/>
      </c>
      <c r="N42" s="16" t="inlineStr">
        <is>
          <t>=T.INV.2T(0.05,M39)</t>
        </is>
      </c>
      <c r="O42" s="7" t="inlineStr">
        <is>
          <t>two tailed, alpha = .05</t>
        </is>
      </c>
    </row>
    <row r="43">
      <c r="L43" t="inlineStr">
        <is>
          <t>Mean difference 95% CI lower</t>
        </is>
      </c>
      <c r="M43" s="12">
        <f>M35-M42*M37</f>
        <v/>
      </c>
      <c r="N43" s="16" t="inlineStr">
        <is>
          <t>=M35-M42*M37</t>
        </is>
      </c>
    </row>
    <row r="44">
      <c r="L44" t="inlineStr">
        <is>
          <t>Mean difference 95% CI upper</t>
        </is>
      </c>
      <c r="M44" s="12">
        <f>M35+M42*M37</f>
        <v/>
      </c>
      <c r="N44" s="16" t="inlineStr">
        <is>
          <t>=M35+M42*M37</t>
        </is>
      </c>
    </row>
    <row r="45">
      <c r="L45" t="inlineStr">
        <is>
          <t>Cohen's d_z</t>
        </is>
      </c>
      <c r="M45" s="12">
        <f>M35/M36</f>
        <v/>
      </c>
      <c r="N45" s="16" t="inlineStr">
        <is>
          <t>=M35/M36</t>
        </is>
      </c>
      <c r="O45" s="7" t="inlineStr">
        <is>
          <t>d_z = mean difference / SD of differences</t>
        </is>
      </c>
    </row>
    <row r="46">
      <c r="L46" t="inlineStr">
        <is>
          <t>SE of d_z (approximation)</t>
        </is>
      </c>
      <c r="M46" s="12">
        <f>SQRT(1/M34+M45^2/(2*M34))</f>
        <v/>
      </c>
      <c r="N46" s="16" t="inlineStr">
        <is>
          <t>=SQRT(1/M34+M45^2/(2*M34))</t>
        </is>
      </c>
      <c r="O46" s="7" t="inlineStr">
        <is>
          <t>sqrt(1/n + d_z^2 / (2 n))</t>
        </is>
      </c>
    </row>
    <row r="47">
      <c r="L47" t="inlineStr">
        <is>
          <t>d_z 95% CI lower</t>
        </is>
      </c>
      <c r="M47" s="12">
        <f>M45-1.96*M46</f>
        <v/>
      </c>
      <c r="N47" s="16" t="inlineStr">
        <is>
          <t>=M45-1.96*M46</t>
        </is>
      </c>
      <c r="O47" s="7" t="inlineStr">
        <is>
          <t>large sample approximation; R uses the noncentral t interval</t>
        </is>
      </c>
    </row>
    <row r="48">
      <c r="L48" t="inlineStr">
        <is>
          <t>d_z 95% CI upper</t>
        </is>
      </c>
      <c r="M48" s="12">
        <f>M45+1.96*M46</f>
        <v/>
      </c>
      <c r="N48" s="16" t="inlineStr">
        <is>
          <t>=M45+1.96*M46</t>
        </is>
      </c>
    </row>
    <row r="49">
      <c r="L49" t="inlineStr">
        <is>
          <t>Correlation of the two columns</t>
        </is>
      </c>
      <c r="M49" s="12">
        <f>CORREL(G5:G32,H5:H32)</f>
        <v/>
      </c>
      <c r="N49" s="16" t="inlineStr">
        <is>
          <t>=CORREL(G5:G32,H5:H32)</t>
        </is>
      </c>
      <c r="O49" s="7" t="inlineStr">
        <is>
          <t>within respondent correlation</t>
        </is>
      </c>
    </row>
    <row r="52">
      <c r="L52" s="14" t="inlineStr">
        <is>
          <t>Statistic</t>
        </is>
      </c>
      <c r="M52" s="14" t="inlineStr">
        <is>
          <t>Value</t>
        </is>
      </c>
      <c r="N52" s="14" t="inlineStr">
        <is>
          <t>Formula shown</t>
        </is>
      </c>
      <c r="O52" s="14" t="inlineStr">
        <is>
          <t>Note</t>
        </is>
      </c>
    </row>
    <row r="53">
      <c r="L53" s="15" t="inlineStr">
        <is>
          <t>Difference between the changes (Nike change minus e.l.f. change)</t>
        </is>
      </c>
    </row>
    <row r="54">
      <c r="L54" t="inlineStr">
        <is>
          <t>Change_elf mean (BPM)</t>
        </is>
      </c>
      <c r="M54" s="12">
        <f>AVERAGE(I5:I32)</f>
        <v/>
      </c>
      <c r="N54" s="16" t="inlineStr">
        <is>
          <t>=AVERAGE(I5:I32)</t>
        </is>
      </c>
      <c r="O54" s="7" t="inlineStr">
        <is>
          <t>AVERAGE of the reference column</t>
        </is>
      </c>
    </row>
    <row r="55">
      <c r="L55" t="inlineStr">
        <is>
          <t>Change_elf SD (BPM)</t>
        </is>
      </c>
      <c r="M55" s="12">
        <f>_xlfn.STDEV.S(I5:I32)</f>
        <v/>
      </c>
      <c r="N55" s="16" t="inlineStr">
        <is>
          <t>=STDEV.S(I5:I32)</t>
        </is>
      </c>
      <c r="O55" s="7" t="inlineStr">
        <is>
          <t>STDEV.S = sample standard deviation</t>
        </is>
      </c>
    </row>
    <row r="56">
      <c r="L56" t="inlineStr">
        <is>
          <t>Change_Nike mean (BPM)</t>
        </is>
      </c>
      <c r="M56" s="12">
        <f>AVERAGE(F5:F32)</f>
        <v/>
      </c>
      <c r="N56" s="16" t="inlineStr">
        <is>
          <t>=AVERAGE(F5:F32)</t>
        </is>
      </c>
    </row>
    <row r="57">
      <c r="L57" t="inlineStr">
        <is>
          <t>Change_Nike SD (BPM)</t>
        </is>
      </c>
      <c r="M57" s="12">
        <f>_xlfn.STDEV.S(F5:F32)</f>
        <v/>
      </c>
      <c r="N57" s="16" t="inlineStr">
        <is>
          <t>=STDEV.S(F5:F32)</t>
        </is>
      </c>
    </row>
    <row r="58">
      <c r="L58" t="inlineStr">
        <is>
          <t>n pairs</t>
        </is>
      </c>
      <c r="M58" s="11">
        <f>COUNT(J5:J32)</f>
        <v/>
      </c>
      <c r="N58" s="16" t="inlineStr">
        <is>
          <t>=COUNT(J5:J32)</t>
        </is>
      </c>
      <c r="O58" s="7" t="inlineStr">
        <is>
          <t>the paired test on the two change columns</t>
        </is>
      </c>
    </row>
    <row r="59">
      <c r="L59" t="inlineStr">
        <is>
          <t>Mean difference, Change_Nike minus Change_elf (BPM)</t>
        </is>
      </c>
      <c r="M59" s="12">
        <f>AVERAGE(J5:J32)</f>
        <v/>
      </c>
      <c r="N59" s="16" t="inlineStr">
        <is>
          <t>=AVERAGE(J5:J32)</t>
        </is>
      </c>
    </row>
    <row r="60">
      <c r="L60" t="inlineStr">
        <is>
          <t>SD of the differences (BPM)</t>
        </is>
      </c>
      <c r="M60" s="12">
        <f>_xlfn.STDEV.S(J5:J32)</f>
        <v/>
      </c>
      <c r="N60" s="16" t="inlineStr">
        <is>
          <t>=STDEV.S(J5:J32)</t>
        </is>
      </c>
      <c r="O60" s="7" t="inlineStr">
        <is>
          <t>the SD that matters in a paired test</t>
        </is>
      </c>
    </row>
    <row r="61">
      <c r="L61" t="inlineStr">
        <is>
          <t>SE of the mean difference</t>
        </is>
      </c>
      <c r="M61" s="12">
        <f>M60/SQRT(M58)</f>
        <v/>
      </c>
      <c r="N61" s="16" t="inlineStr">
        <is>
          <t>=M60/SQRT(M58)</t>
        </is>
      </c>
      <c r="O61" s="7" t="inlineStr">
        <is>
          <t>SD of differences / sqrt(n)</t>
        </is>
      </c>
    </row>
    <row r="62">
      <c r="L62" t="inlineStr">
        <is>
          <t>Paired t</t>
        </is>
      </c>
      <c r="M62" s="12">
        <f>M59/M61</f>
        <v/>
      </c>
      <c r="N62" s="16" t="inlineStr">
        <is>
          <t>=M59/M61</t>
        </is>
      </c>
      <c r="O62" s="7" t="inlineStr">
        <is>
          <t>t = mean difference / SE</t>
        </is>
      </c>
    </row>
    <row r="63">
      <c r="L63" t="inlineStr">
        <is>
          <t>df</t>
        </is>
      </c>
      <c r="M63" s="11">
        <f>M58-1</f>
        <v/>
      </c>
      <c r="N63" s="16" t="inlineStr">
        <is>
          <t>=M58-1</t>
        </is>
      </c>
      <c r="O63" s="7" t="inlineStr">
        <is>
          <t>n pairs minus 1</t>
        </is>
      </c>
    </row>
    <row r="64">
      <c r="L64" t="inlineStr">
        <is>
          <t>p, two tailed (T.TEST type 1)</t>
        </is>
      </c>
      <c r="M64" s="17">
        <f>_xlfn.T.TEST(I5:I32,F5:F32,2,1)</f>
        <v/>
      </c>
      <c r="N64" s="16" t="inlineStr">
        <is>
          <t>=T.TEST(I5:I32,F5:F32,2,1)</t>
        </is>
      </c>
      <c r="O64" s="7" t="inlineStr">
        <is>
          <t>tails = 2, type = 1 means paired</t>
        </is>
      </c>
    </row>
    <row r="65">
      <c r="L65" t="inlineStr">
        <is>
          <t>p from the hand computed t</t>
        </is>
      </c>
      <c r="M65" s="17">
        <f>_xlfn.T.DIST.2T(ABS(M62),M63)</f>
        <v/>
      </c>
      <c r="N65" s="16" t="inlineStr">
        <is>
          <t>=T.DIST.2T(ABS(M62),M63)</t>
        </is>
      </c>
      <c r="O65" s="7" t="inlineStr">
        <is>
          <t>should match the T.TEST cell</t>
        </is>
      </c>
    </row>
    <row r="66">
      <c r="L66" t="inlineStr">
        <is>
          <t>Critical t (95%)</t>
        </is>
      </c>
      <c r="M66" s="12">
        <f>_xlfn.T.INV.2T(0.05,M63)</f>
        <v/>
      </c>
      <c r="N66" s="16" t="inlineStr">
        <is>
          <t>=T.INV.2T(0.05,M63)</t>
        </is>
      </c>
      <c r="O66" s="7" t="inlineStr">
        <is>
          <t>two tailed, alpha = .05</t>
        </is>
      </c>
    </row>
    <row r="67">
      <c r="L67" t="inlineStr">
        <is>
          <t>Mean difference 95% CI lower</t>
        </is>
      </c>
      <c r="M67" s="12">
        <f>M59-M66*M61</f>
        <v/>
      </c>
      <c r="N67" s="16" t="inlineStr">
        <is>
          <t>=M59-M66*M61</t>
        </is>
      </c>
    </row>
    <row r="68">
      <c r="L68" t="inlineStr">
        <is>
          <t>Mean difference 95% CI upper</t>
        </is>
      </c>
      <c r="M68" s="12">
        <f>M59+M66*M61</f>
        <v/>
      </c>
      <c r="N68" s="16" t="inlineStr">
        <is>
          <t>=M59+M66*M61</t>
        </is>
      </c>
    </row>
    <row r="69">
      <c r="L69" t="inlineStr">
        <is>
          <t>Cohen's d_z</t>
        </is>
      </c>
      <c r="M69" s="12">
        <f>M59/M60</f>
        <v/>
      </c>
      <c r="N69" s="16" t="inlineStr">
        <is>
          <t>=M59/M60</t>
        </is>
      </c>
      <c r="O69" s="7" t="inlineStr">
        <is>
          <t>d_z = mean difference / SD of differences</t>
        </is>
      </c>
    </row>
    <row r="70">
      <c r="L70" t="inlineStr">
        <is>
          <t>SE of d_z (approximation)</t>
        </is>
      </c>
      <c r="M70" s="12">
        <f>SQRT(1/M58+M69^2/(2*M58))</f>
        <v/>
      </c>
      <c r="N70" s="16" t="inlineStr">
        <is>
          <t>=SQRT(1/M58+M69^2/(2*M58))</t>
        </is>
      </c>
      <c r="O70" s="7" t="inlineStr">
        <is>
          <t>sqrt(1/n + d_z^2 / (2 n))</t>
        </is>
      </c>
    </row>
    <row r="71">
      <c r="L71" t="inlineStr">
        <is>
          <t>d_z 95% CI lower</t>
        </is>
      </c>
      <c r="M71" s="12">
        <f>M69-1.96*M70</f>
        <v/>
      </c>
      <c r="N71" s="16" t="inlineStr">
        <is>
          <t>=M69-1.96*M70</t>
        </is>
      </c>
      <c r="O71" s="7" t="inlineStr">
        <is>
          <t>large sample approximation; R uses the noncentral t interval</t>
        </is>
      </c>
    </row>
    <row r="72">
      <c r="L72" t="inlineStr">
        <is>
          <t>d_z 95% CI upper</t>
        </is>
      </c>
      <c r="M72" s="12">
        <f>M69+1.96*M70</f>
        <v/>
      </c>
      <c r="N72" s="16" t="inlineStr">
        <is>
          <t>=M69+1.96*M70</t>
        </is>
      </c>
    </row>
    <row r="73">
      <c r="L73" t="inlineStr">
        <is>
          <t>Correlation of the two columns</t>
        </is>
      </c>
      <c r="M73" s="12">
        <f>CORREL(I5:I32,F5:F32)</f>
        <v/>
      </c>
      <c r="N73" s="16" t="inlineStr">
        <is>
          <t>=CORREL(I5:I32,F5:F32)</t>
        </is>
      </c>
      <c r="O73" s="7" t="inlineStr">
        <is>
          <t>within respondent correlation</t>
        </is>
      </c>
    </row>
    <row r="76">
      <c r="L76" s="14" t="inlineStr">
        <is>
          <t>Statistic</t>
        </is>
      </c>
      <c r="M76" s="14" t="inlineStr">
        <is>
          <t>Value</t>
        </is>
      </c>
      <c r="N76" s="14" t="inlineStr">
        <is>
          <t>Formula shown</t>
        </is>
      </c>
      <c r="O76" s="14" t="inlineStr">
        <is>
          <t>Note</t>
        </is>
      </c>
    </row>
    <row r="77">
      <c r="L77" s="15" t="inlineStr">
        <is>
          <t>Checks</t>
        </is>
      </c>
    </row>
    <row r="78">
      <c r="L78" t="inlineStr">
        <is>
          <t>Kept respondents with a Nike_Commercial row in Data (Keep = Yes)</t>
        </is>
      </c>
      <c r="M78" s="11">
        <f>COUNTIFS(Data!$G$2:$G$181,"Nike_Commercial",Data!$X$2:$X$181,"Yes")</f>
        <v/>
      </c>
      <c r="N78" s="16" t="inlineStr">
        <is>
          <t>=COUNTIFS(Data!$G$2:$G$181,"Nike_Commercial",Data!$X$2:$X$181,"Yes")</t>
        </is>
      </c>
      <c r="O78" s="7" t="inlineStr">
        <is>
          <t>must equal n pairs</t>
        </is>
      </c>
    </row>
    <row r="79">
      <c r="L79" t="inlineStr">
        <is>
          <t>Respondents whose heart rate fell during the Nike commercial</t>
        </is>
      </c>
      <c r="M79" s="11">
        <f>COUNTIF(F5:F32,"&lt;0")</f>
        <v/>
      </c>
      <c r="N79" s="16" t="inlineStr">
        <is>
          <t>=COUNTIF(F5:F32,"&lt;0")</t>
        </is>
      </c>
    </row>
    <row r="80">
      <c r="L80" t="inlineStr">
        <is>
          <t>Respondents whose heart rate fell during the e.l.f. commercial</t>
        </is>
      </c>
      <c r="M80" s="11">
        <f>COUNTIF(I5:I32,"&lt;0")</f>
        <v/>
      </c>
      <c r="N80" s="16" t="inlineStr">
        <is>
          <t>=COUNTIF(I5:I32,"&lt;0")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34" customWidth="1" min="7" max="7"/>
    <col width="23" customWidth="1" min="8" max="8"/>
    <col width="21" customWidth="1" min="9" max="9"/>
    <col width="20" customWidth="1" min="10" max="10"/>
    <col width="8" customWidth="1" min="11" max="11"/>
    <col width="24" customWidth="1" min="12" max="12"/>
    <col width="22" customWidth="1" min="13" max="13"/>
    <col width="21" customWidth="1" min="14" max="14"/>
    <col width="22" customWidth="1" min="15" max="15"/>
    <col width="13" customWidth="1" min="16" max="16"/>
    <col width="24" customWidth="1" min="17" max="17"/>
    <col width="22" customWidth="1" min="18" max="18"/>
    <col width="20" customWidth="1" min="19" max="19"/>
  </cols>
  <sheetData>
    <row r="1">
      <c r="A1" s="6" t="inlineStr">
        <is>
          <t>Live Excel results next to the values analysis.R produced (SIMULATED data). Status is OK when they agree within the tolerance.</t>
        </is>
      </c>
    </row>
    <row r="2"/>
    <row r="3">
      <c r="A3" s="2" t="inlineStr">
        <is>
          <t>Quantity</t>
        </is>
      </c>
      <c r="B3" s="2" t="inlineStr">
        <is>
          <t>Excel (live formula)</t>
        </is>
      </c>
      <c r="C3" s="2" t="inlineStr">
        <is>
          <t>analysis.R</t>
        </is>
      </c>
      <c r="D3" s="2" t="inlineStr">
        <is>
          <t>Difference</t>
        </is>
      </c>
      <c r="E3" s="2" t="inlineStr">
        <is>
          <t>Tolerance</t>
        </is>
      </c>
      <c r="F3" s="2" t="inlineStr">
        <is>
          <t>Status</t>
        </is>
      </c>
    </row>
    <row r="4">
      <c r="A4" t="inlineStr">
        <is>
          <t>H1 Nike PPM: mean, reference</t>
        </is>
      </c>
      <c r="B4" s="17">
        <f>H1!P6</f>
        <v/>
      </c>
      <c r="C4" s="17" t="n">
        <v>2.295678571428571</v>
      </c>
      <c r="D4" s="17">
        <f>B4-C4</f>
        <v/>
      </c>
      <c r="E4" s="12" t="n">
        <v>0.0001</v>
      </c>
      <c r="F4">
        <f>IF(ABS(D4)&lt;=E4,"OK","CHECK")</f>
        <v/>
      </c>
    </row>
    <row r="5">
      <c r="A5" t="inlineStr">
        <is>
          <t>H1 Nike PPM: mean, comparison</t>
        </is>
      </c>
      <c r="B5" s="17">
        <f>H1!P8</f>
        <v/>
      </c>
      <c r="C5" s="17" t="n">
        <v>4.657678571428572</v>
      </c>
      <c r="D5" s="17">
        <f>B5-C5</f>
        <v/>
      </c>
      <c r="E5" s="12" t="n">
        <v>0.0001</v>
      </c>
      <c r="F5">
        <f>IF(ABS(D5)&lt;=E5,"OK","CHECK")</f>
        <v/>
      </c>
    </row>
    <row r="6">
      <c r="A6" t="inlineStr">
        <is>
          <t>H1 Nike PPM: mean difference</t>
        </is>
      </c>
      <c r="B6" s="17">
        <f>H1!P11</f>
        <v/>
      </c>
      <c r="C6" s="17" t="n">
        <v>2.362</v>
      </c>
      <c r="D6" s="17">
        <f>B6-C6</f>
        <v/>
      </c>
      <c r="E6" s="12" t="n">
        <v>0.0001</v>
      </c>
      <c r="F6">
        <f>IF(ABS(D6)&lt;=E6,"OK","CHECK")</f>
        <v/>
      </c>
    </row>
    <row r="7">
      <c r="A7" t="inlineStr">
        <is>
          <t>H1 Nike PPM: SD of differences</t>
        </is>
      </c>
      <c r="B7" s="17">
        <f>H1!P12</f>
        <v/>
      </c>
      <c r="C7" s="17" t="n">
        <v>1.769356798806131</v>
      </c>
      <c r="D7" s="17">
        <f>B7-C7</f>
        <v/>
      </c>
      <c r="E7" s="12" t="n">
        <v>0.0001</v>
      </c>
      <c r="F7">
        <f>IF(ABS(D7)&lt;=E7,"OK","CHECK")</f>
        <v/>
      </c>
    </row>
    <row r="8">
      <c r="A8" t="inlineStr">
        <is>
          <t>H1 Nike PPM: paired t</t>
        </is>
      </c>
      <c r="B8" s="17">
        <f>H1!P14</f>
        <v/>
      </c>
      <c r="C8" s="17" t="n">
        <v>7.063882876479449</v>
      </c>
      <c r="D8" s="17">
        <f>B8-C8</f>
        <v/>
      </c>
      <c r="E8" s="12" t="n">
        <v>0.0001</v>
      </c>
      <c r="F8">
        <f>IF(ABS(D8)&lt;=E8,"OK","CHECK")</f>
        <v/>
      </c>
    </row>
    <row r="9">
      <c r="A9" t="inlineStr">
        <is>
          <t>H1 Nike PPM: df</t>
        </is>
      </c>
      <c r="B9" s="17">
        <f>H1!P15</f>
        <v/>
      </c>
      <c r="C9" s="17" t="n">
        <v>27</v>
      </c>
      <c r="D9" s="17">
        <f>B9-C9</f>
        <v/>
      </c>
      <c r="E9" s="12" t="n">
        <v>1e-09</v>
      </c>
      <c r="F9">
        <f>IF(ABS(D9)&lt;=E9,"OK","CHECK")</f>
        <v/>
      </c>
    </row>
    <row r="10">
      <c r="A10" t="inlineStr">
        <is>
          <t>H1 Nike PPM: p (T.TEST type 1)</t>
        </is>
      </c>
      <c r="B10" s="17">
        <f>H1!P16</f>
        <v/>
      </c>
      <c r="C10" s="17" t="n">
        <v>1.35486954870231e-07</v>
      </c>
      <c r="D10" s="17">
        <f>B10-C10</f>
        <v/>
      </c>
      <c r="E10" s="12" t="n">
        <v>1.067743477435116e-09</v>
      </c>
      <c r="F10">
        <f>IF(ABS(D10)&lt;=E10,"OK","CHECK")</f>
        <v/>
      </c>
    </row>
    <row r="11">
      <c r="A11" t="inlineStr">
        <is>
          <t>H1 Nike PPM: mean difference CI lower</t>
        </is>
      </c>
      <c r="B11" s="17">
        <f>H1!P19</f>
        <v/>
      </c>
      <c r="C11" s="17" t="n">
        <v>1.675915057104991</v>
      </c>
      <c r="D11" s="17">
        <f>B11-C11</f>
        <v/>
      </c>
      <c r="E11" s="12" t="n">
        <v>0.0001</v>
      </c>
      <c r="F11">
        <f>IF(ABS(D11)&lt;=E11,"OK","CHECK")</f>
        <v/>
      </c>
    </row>
    <row r="12">
      <c r="A12" t="inlineStr">
        <is>
          <t>H1 Nike PPM: mean difference CI upper</t>
        </is>
      </c>
      <c r="B12" s="17">
        <f>H1!P20</f>
        <v/>
      </c>
      <c r="C12" s="17" t="n">
        <v>3.048084942895009</v>
      </c>
      <c r="D12" s="17">
        <f>B12-C12</f>
        <v/>
      </c>
      <c r="E12" s="12" t="n">
        <v>0.0001</v>
      </c>
      <c r="F12">
        <f>IF(ABS(D12)&lt;=E12,"OK","CHECK")</f>
        <v/>
      </c>
    </row>
    <row r="13">
      <c r="A13" t="inlineStr">
        <is>
          <t>H1 Nike PPM: Cohen's d_z</t>
        </is>
      </c>
      <c r="B13" s="17">
        <f>H1!P21</f>
        <v/>
      </c>
      <c r="C13" s="17" t="n">
        <v>1.33494838440373</v>
      </c>
      <c r="D13" s="17">
        <f>B13-C13</f>
        <v/>
      </c>
      <c r="E13" s="12" t="n">
        <v>0.0001</v>
      </c>
      <c r="F13">
        <f>IF(ABS(D13)&lt;=E13,"OK","CHECK")</f>
        <v/>
      </c>
    </row>
    <row r="14">
      <c r="A14" t="inlineStr">
        <is>
          <t>H1 Nike PPM: d_z CI lower (method differs)</t>
        </is>
      </c>
      <c r="B14" s="17">
        <f>H1!P23</f>
        <v/>
      </c>
      <c r="C14" s="17" t="n">
        <v>0.8158220094577855</v>
      </c>
      <c r="D14" s="17">
        <f>B14-C14</f>
        <v/>
      </c>
      <c r="E14" s="12" t="n">
        <v>0.1</v>
      </c>
      <c r="F14">
        <f>IF(ABS(D14)&lt;=E14,"OK","CHECK")</f>
        <v/>
      </c>
      <c r="G14" s="7" t="inlineStr">
        <is>
          <t>Excel: large sample approximation; R: noncentral t</t>
        </is>
      </c>
    </row>
    <row r="15">
      <c r="A15" t="inlineStr">
        <is>
          <t>H1 Nike PPM: d_z CI upper (method differs)</t>
        </is>
      </c>
      <c r="B15" s="17">
        <f>H1!P24</f>
        <v/>
      </c>
      <c r="C15" s="17" t="n">
        <v>1.840895759386801</v>
      </c>
      <c r="D15" s="17">
        <f>B15-C15</f>
        <v/>
      </c>
      <c r="E15" s="12" t="n">
        <v>0.1</v>
      </c>
      <c r="F15">
        <f>IF(ABS(D15)&lt;=E15,"OK","CHECK")</f>
        <v/>
      </c>
      <c r="G15" s="7" t="inlineStr">
        <is>
          <t>Excel: large sample approximation; R: noncentral t</t>
        </is>
      </c>
    </row>
    <row r="16">
      <c r="A16" t="inlineStr">
        <is>
          <t>H1 e.l.f. PPM: mean, reference</t>
        </is>
      </c>
      <c r="B16" s="17">
        <f>H1!P30</f>
        <v/>
      </c>
      <c r="C16" s="17" t="n">
        <v>2.470642857142857</v>
      </c>
      <c r="D16" s="17">
        <f>B16-C16</f>
        <v/>
      </c>
      <c r="E16" s="12" t="n">
        <v>0.0001</v>
      </c>
      <c r="F16">
        <f>IF(ABS(D16)&lt;=E16,"OK","CHECK")</f>
        <v/>
      </c>
    </row>
    <row r="17">
      <c r="A17" t="inlineStr">
        <is>
          <t>H1 e.l.f. PPM: mean, comparison</t>
        </is>
      </c>
      <c r="B17" s="17">
        <f>H1!P32</f>
        <v/>
      </c>
      <c r="C17" s="17" t="n">
        <v>3.5</v>
      </c>
      <c r="D17" s="17">
        <f>B17-C17</f>
        <v/>
      </c>
      <c r="E17" s="12" t="n">
        <v>0.0001</v>
      </c>
      <c r="F17">
        <f>IF(ABS(D17)&lt;=E17,"OK","CHECK")</f>
        <v/>
      </c>
    </row>
    <row r="18">
      <c r="A18" t="inlineStr">
        <is>
          <t>H1 e.l.f. PPM: mean difference</t>
        </is>
      </c>
      <c r="B18" s="17">
        <f>H1!P35</f>
        <v/>
      </c>
      <c r="C18" s="17" t="n">
        <v>1.029357142857143</v>
      </c>
      <c r="D18" s="17">
        <f>B18-C18</f>
        <v/>
      </c>
      <c r="E18" s="12" t="n">
        <v>0.0001</v>
      </c>
      <c r="F18">
        <f>IF(ABS(D18)&lt;=E18,"OK","CHECK")</f>
        <v/>
      </c>
    </row>
    <row r="19">
      <c r="A19" t="inlineStr">
        <is>
          <t>H1 e.l.f. PPM: SD of differences</t>
        </is>
      </c>
      <c r="B19" s="17">
        <f>H1!P36</f>
        <v/>
      </c>
      <c r="C19" s="17" t="n">
        <v>1.547417830386784</v>
      </c>
      <c r="D19" s="17">
        <f>B19-C19</f>
        <v/>
      </c>
      <c r="E19" s="12" t="n">
        <v>0.0001</v>
      </c>
      <c r="F19">
        <f>IF(ABS(D19)&lt;=E19,"OK","CHECK")</f>
        <v/>
      </c>
    </row>
    <row r="20">
      <c r="A20" t="inlineStr">
        <is>
          <t>H1 e.l.f. PPM: paired t</t>
        </is>
      </c>
      <c r="B20" s="17">
        <f>H1!P38</f>
        <v/>
      </c>
      <c r="C20" s="17" t="n">
        <v>3.519958160992955</v>
      </c>
      <c r="D20" s="17">
        <f>B20-C20</f>
        <v/>
      </c>
      <c r="E20" s="12" t="n">
        <v>0.0001</v>
      </c>
      <c r="F20">
        <f>IF(ABS(D20)&lt;=E20,"OK","CHECK")</f>
        <v/>
      </c>
    </row>
    <row r="21">
      <c r="A21" t="inlineStr">
        <is>
          <t>H1 e.l.f. PPM: df</t>
        </is>
      </c>
      <c r="B21" s="17">
        <f>H1!P39</f>
        <v/>
      </c>
      <c r="C21" s="17" t="n">
        <v>27</v>
      </c>
      <c r="D21" s="17">
        <f>B21-C21</f>
        <v/>
      </c>
      <c r="E21" s="12" t="n">
        <v>1e-09</v>
      </c>
      <c r="F21">
        <f>IF(ABS(D21)&lt;=E21,"OK","CHECK")</f>
        <v/>
      </c>
    </row>
    <row r="22">
      <c r="A22" t="inlineStr">
        <is>
          <t>H1 e.l.f. PPM: p (T.TEST type 1)</t>
        </is>
      </c>
      <c r="B22" s="17">
        <f>H1!P40</f>
        <v/>
      </c>
      <c r="C22" s="17" t="n">
        <v>0.001551718778574108</v>
      </c>
      <c r="D22" s="17">
        <f>B22-C22</f>
        <v/>
      </c>
      <c r="E22" s="12" t="n">
        <v>7.768593892870541e-07</v>
      </c>
      <c r="F22">
        <f>IF(ABS(D22)&lt;=E22,"OK","CHECK")</f>
        <v/>
      </c>
    </row>
    <row r="23">
      <c r="A23" t="inlineStr">
        <is>
          <t>H1 e.l.f. PPM: mean difference CI lower</t>
        </is>
      </c>
      <c r="B23" s="17">
        <f>H1!P43</f>
        <v/>
      </c>
      <c r="C23" s="17" t="n">
        <v>0.4293311478108145</v>
      </c>
      <c r="D23" s="17">
        <f>B23-C23</f>
        <v/>
      </c>
      <c r="E23" s="12" t="n">
        <v>0.0001</v>
      </c>
      <c r="F23">
        <f>IF(ABS(D23)&lt;=E23,"OK","CHECK")</f>
        <v/>
      </c>
    </row>
    <row r="24">
      <c r="A24" t="inlineStr">
        <is>
          <t>H1 e.l.f. PPM: mean difference CI upper</t>
        </is>
      </c>
      <c r="B24" s="17">
        <f>H1!P44</f>
        <v/>
      </c>
      <c r="C24" s="17" t="n">
        <v>1.629383137903471</v>
      </c>
      <c r="D24" s="17">
        <f>B24-C24</f>
        <v/>
      </c>
      <c r="E24" s="12" t="n">
        <v>0.0001</v>
      </c>
      <c r="F24">
        <f>IF(ABS(D24)&lt;=E24,"OK","CHECK")</f>
        <v/>
      </c>
    </row>
    <row r="25">
      <c r="A25" t="inlineStr">
        <is>
          <t>H1 e.l.f. PPM: Cohen's d_z</t>
        </is>
      </c>
      <c r="B25" s="17">
        <f>H1!P45</f>
        <v/>
      </c>
      <c r="C25" s="17" t="n">
        <v>0.6652095656671155</v>
      </c>
      <c r="D25" s="17">
        <f>B25-C25</f>
        <v/>
      </c>
      <c r="E25" s="12" t="n">
        <v>0.0001</v>
      </c>
      <c r="F25">
        <f>IF(ABS(D25)&lt;=E25,"OK","CHECK")</f>
        <v/>
      </c>
    </row>
    <row r="26">
      <c r="A26" t="inlineStr">
        <is>
          <t>H1 e.l.f. PPM: d_z CI lower (method differs)</t>
        </is>
      </c>
      <c r="B26" s="17">
        <f>H1!P47</f>
        <v/>
      </c>
      <c r="C26" s="17" t="n">
        <v>0.2498467945542296</v>
      </c>
      <c r="D26" s="17">
        <f>B26-C26</f>
        <v/>
      </c>
      <c r="E26" s="12" t="n">
        <v>0.1</v>
      </c>
      <c r="F26">
        <f>IF(ABS(D26)&lt;=E26,"OK","CHECK")</f>
        <v/>
      </c>
      <c r="G26" s="7" t="inlineStr">
        <is>
          <t>Excel: large sample approximation; R: noncentral t</t>
        </is>
      </c>
    </row>
    <row r="27">
      <c r="A27" t="inlineStr">
        <is>
          <t>H1 e.l.f. PPM: d_z CI upper (method differs)</t>
        </is>
      </c>
      <c r="B27" s="17">
        <f>H1!P48</f>
        <v/>
      </c>
      <c r="C27" s="17" t="n">
        <v>1.070515760752715</v>
      </c>
      <c r="D27" s="17">
        <f>B27-C27</f>
        <v/>
      </c>
      <c r="E27" s="12" t="n">
        <v>0.1</v>
      </c>
      <c r="F27">
        <f>IF(ABS(D27)&lt;=E27,"OK","CHECK")</f>
        <v/>
      </c>
      <c r="G27" s="7" t="inlineStr">
        <is>
          <t>Excel: large sample approximation; R: noncentral t</t>
        </is>
      </c>
    </row>
    <row r="28">
      <c r="A28" t="inlineStr">
        <is>
          <t>H2 Nike minus e.l.f. PPM: mean, reference</t>
        </is>
      </c>
      <c r="B28" s="17">
        <f>H2!J6</f>
        <v/>
      </c>
      <c r="C28" s="17" t="n">
        <v>3.5</v>
      </c>
      <c r="D28" s="17">
        <f>B28-C28</f>
        <v/>
      </c>
      <c r="E28" s="12" t="n">
        <v>0.0001</v>
      </c>
      <c r="F28">
        <f>IF(ABS(D28)&lt;=E28,"OK","CHECK")</f>
        <v/>
      </c>
    </row>
    <row r="29">
      <c r="A29" t="inlineStr">
        <is>
          <t>H2 Nike minus e.l.f. PPM: mean, comparison</t>
        </is>
      </c>
      <c r="B29" s="17">
        <f>H2!J8</f>
        <v/>
      </c>
      <c r="C29" s="17" t="n">
        <v>4.657678571428572</v>
      </c>
      <c r="D29" s="17">
        <f>B29-C29</f>
        <v/>
      </c>
      <c r="E29" s="12" t="n">
        <v>0.0001</v>
      </c>
      <c r="F29">
        <f>IF(ABS(D29)&lt;=E29,"OK","CHECK")</f>
        <v/>
      </c>
    </row>
    <row r="30">
      <c r="A30" t="inlineStr">
        <is>
          <t>H2 Nike minus e.l.f. PPM: mean difference</t>
        </is>
      </c>
      <c r="B30" s="17">
        <f>H2!J11</f>
        <v/>
      </c>
      <c r="C30" s="17" t="n">
        <v>1.157678571428571</v>
      </c>
      <c r="D30" s="17">
        <f>B30-C30</f>
        <v/>
      </c>
      <c r="E30" s="12" t="n">
        <v>0.0001</v>
      </c>
      <c r="F30">
        <f>IF(ABS(D30)&lt;=E30,"OK","CHECK")</f>
        <v/>
      </c>
    </row>
    <row r="31">
      <c r="A31" t="inlineStr">
        <is>
          <t>H2 Nike minus e.l.f. PPM: SD of differences</t>
        </is>
      </c>
      <c r="B31" s="17">
        <f>H2!J12</f>
        <v/>
      </c>
      <c r="C31" s="17" t="n">
        <v>1.99514293655908</v>
      </c>
      <c r="D31" s="17">
        <f>B31-C31</f>
        <v/>
      </c>
      <c r="E31" s="12" t="n">
        <v>0.0001</v>
      </c>
      <c r="F31">
        <f>IF(ABS(D31)&lt;=E31,"OK","CHECK")</f>
        <v/>
      </c>
    </row>
    <row r="32">
      <c r="A32" t="inlineStr">
        <is>
          <t>H2 Nike minus e.l.f. PPM: paired t</t>
        </is>
      </c>
      <c r="B32" s="17">
        <f>H2!J14</f>
        <v/>
      </c>
      <c r="C32" s="17" t="n">
        <v>3.070386128255053</v>
      </c>
      <c r="D32" s="17">
        <f>B32-C32</f>
        <v/>
      </c>
      <c r="E32" s="12" t="n">
        <v>0.0001</v>
      </c>
      <c r="F32">
        <f>IF(ABS(D32)&lt;=E32,"OK","CHECK")</f>
        <v/>
      </c>
    </row>
    <row r="33">
      <c r="A33" t="inlineStr">
        <is>
          <t>H2 Nike minus e.l.f. PPM: df</t>
        </is>
      </c>
      <c r="B33" s="17">
        <f>H2!J15</f>
        <v/>
      </c>
      <c r="C33" s="17" t="n">
        <v>27</v>
      </c>
      <c r="D33" s="17">
        <f>B33-C33</f>
        <v/>
      </c>
      <c r="E33" s="12" t="n">
        <v>1e-09</v>
      </c>
      <c r="F33">
        <f>IF(ABS(D33)&lt;=E33,"OK","CHECK")</f>
        <v/>
      </c>
    </row>
    <row r="34">
      <c r="A34" t="inlineStr">
        <is>
          <t>H2 Nike minus e.l.f. PPM: p (T.TEST type 1)</t>
        </is>
      </c>
      <c r="B34" s="17">
        <f>H2!J16</f>
        <v/>
      </c>
      <c r="C34" s="17" t="n">
        <v>0.00483168935801146</v>
      </c>
      <c r="D34" s="17">
        <f>B34-C34</f>
        <v/>
      </c>
      <c r="E34" s="12" t="n">
        <v>2.41684467900573e-06</v>
      </c>
      <c r="F34">
        <f>IF(ABS(D34)&lt;=E34,"OK","CHECK")</f>
        <v/>
      </c>
    </row>
    <row r="35">
      <c r="A35" t="inlineStr">
        <is>
          <t>H2 Nike minus e.l.f. PPM: mean difference CI lower</t>
        </is>
      </c>
      <c r="B35" s="17">
        <f>H2!J19</f>
        <v/>
      </c>
      <c r="C35" s="17" t="n">
        <v>0.3840429041509846</v>
      </c>
      <c r="D35" s="17">
        <f>B35-C35</f>
        <v/>
      </c>
      <c r="E35" s="12" t="n">
        <v>0.0001</v>
      </c>
      <c r="F35">
        <f>IF(ABS(D35)&lt;=E35,"OK","CHECK")</f>
        <v/>
      </c>
    </row>
    <row r="36">
      <c r="A36" t="inlineStr">
        <is>
          <t>H2 Nike minus e.l.f. PPM: mean difference CI upper</t>
        </is>
      </c>
      <c r="B36" s="17">
        <f>H2!J20</f>
        <v/>
      </c>
      <c r="C36" s="17" t="n">
        <v>1.931314238706158</v>
      </c>
      <c r="D36" s="17">
        <f>B36-C36</f>
        <v/>
      </c>
      <c r="E36" s="12" t="n">
        <v>0.0001</v>
      </c>
      <c r="F36">
        <f>IF(ABS(D36)&lt;=E36,"OK","CHECK")</f>
        <v/>
      </c>
    </row>
    <row r="37">
      <c r="A37" t="inlineStr">
        <is>
          <t>H2 Nike minus e.l.f. PPM: Cohen's d_z</t>
        </is>
      </c>
      <c r="B37" s="17">
        <f>H2!J21</f>
        <v/>
      </c>
      <c r="C37" s="17" t="n">
        <v>0.5802484374503813</v>
      </c>
      <c r="D37" s="17">
        <f>B37-C37</f>
        <v/>
      </c>
      <c r="E37" s="12" t="n">
        <v>0.0001</v>
      </c>
      <c r="F37">
        <f>IF(ABS(D37)&lt;=E37,"OK","CHECK")</f>
        <v/>
      </c>
    </row>
    <row r="38">
      <c r="A38" t="inlineStr">
        <is>
          <t>H2 Nike minus e.l.f. PPM: d_z CI lower (method differs)</t>
        </is>
      </c>
      <c r="B38" s="17">
        <f>H2!J23</f>
        <v/>
      </c>
      <c r="C38" s="17" t="n">
        <v>0.1745188649554185</v>
      </c>
      <c r="D38" s="17">
        <f>B38-C38</f>
        <v/>
      </c>
      <c r="E38" s="12" t="n">
        <v>0.1</v>
      </c>
      <c r="F38">
        <f>IF(ABS(D38)&lt;=E38,"OK","CHECK")</f>
        <v/>
      </c>
      <c r="G38" s="7" t="inlineStr">
        <is>
          <t>Excel: large sample approximation; R: noncentral t</t>
        </is>
      </c>
    </row>
    <row r="39">
      <c r="A39" t="inlineStr">
        <is>
          <t>H2 Nike minus e.l.f. PPM: d_z CI upper (method differs)</t>
        </is>
      </c>
      <c r="B39" s="17">
        <f>H2!J24</f>
        <v/>
      </c>
      <c r="C39" s="17" t="n">
        <v>0.9768139778545124</v>
      </c>
      <c r="D39" s="17">
        <f>B39-C39</f>
        <v/>
      </c>
      <c r="E39" s="12" t="n">
        <v>0.1</v>
      </c>
      <c r="F39">
        <f>IF(ABS(D39)&lt;=E39,"OK","CHECK")</f>
        <v/>
      </c>
      <c r="G39" s="7" t="inlineStr">
        <is>
          <t>Excel: large sample approximation; R: noncentral t</t>
        </is>
      </c>
    </row>
    <row r="40">
      <c r="A40" t="inlineStr">
        <is>
          <t>H3 Nike HR: mean, reference</t>
        </is>
      </c>
      <c r="B40" s="17">
        <f>H3!M6</f>
        <v/>
      </c>
      <c r="C40" s="17" t="n">
        <v>76.17142857142856</v>
      </c>
      <c r="D40" s="17">
        <f>B40-C40</f>
        <v/>
      </c>
      <c r="E40" s="12" t="n">
        <v>0.0001</v>
      </c>
      <c r="F40">
        <f>IF(ABS(D40)&lt;=E40,"OK","CHECK")</f>
        <v/>
      </c>
    </row>
    <row r="41">
      <c r="A41" t="inlineStr">
        <is>
          <t>H3 Nike HR: mean, comparison</t>
        </is>
      </c>
      <c r="B41" s="17">
        <f>H3!M8</f>
        <v/>
      </c>
      <c r="C41" s="17" t="n">
        <v>74.66428571428571</v>
      </c>
      <c r="D41" s="17">
        <f>B41-C41</f>
        <v/>
      </c>
      <c r="E41" s="12" t="n">
        <v>0.0001</v>
      </c>
      <c r="F41">
        <f>IF(ABS(D41)&lt;=E41,"OK","CHECK")</f>
        <v/>
      </c>
    </row>
    <row r="42">
      <c r="A42" t="inlineStr">
        <is>
          <t>H3 Nike HR: mean difference</t>
        </is>
      </c>
      <c r="B42" s="17">
        <f>H3!M11</f>
        <v/>
      </c>
      <c r="C42" s="17" t="n">
        <v>-1.507142857142855</v>
      </c>
      <c r="D42" s="17">
        <f>B42-C42</f>
        <v/>
      </c>
      <c r="E42" s="12" t="n">
        <v>0.0001</v>
      </c>
      <c r="F42">
        <f>IF(ABS(D42)&lt;=E42,"OK","CHECK")</f>
        <v/>
      </c>
    </row>
    <row r="43">
      <c r="A43" t="inlineStr">
        <is>
          <t>H3 Nike HR: SD of differences</t>
        </is>
      </c>
      <c r="B43" s="17">
        <f>H3!M12</f>
        <v/>
      </c>
      <c r="C43" s="17" t="n">
        <v>1.915420574922379</v>
      </c>
      <c r="D43" s="17">
        <f>B43-C43</f>
        <v/>
      </c>
      <c r="E43" s="12" t="n">
        <v>0.0001</v>
      </c>
      <c r="F43">
        <f>IF(ABS(D43)&lt;=E43,"OK","CHECK")</f>
        <v/>
      </c>
    </row>
    <row r="44">
      <c r="A44" t="inlineStr">
        <is>
          <t>H3 Nike HR: paired t</t>
        </is>
      </c>
      <c r="B44" s="17">
        <f>H3!M14</f>
        <v/>
      </c>
      <c r="C44" s="17" t="n">
        <v>-4.163602753832727</v>
      </c>
      <c r="D44" s="17">
        <f>B44-C44</f>
        <v/>
      </c>
      <c r="E44" s="12" t="n">
        <v>0.0001</v>
      </c>
      <c r="F44">
        <f>IF(ABS(D44)&lt;=E44,"OK","CHECK")</f>
        <v/>
      </c>
    </row>
    <row r="45">
      <c r="A45" t="inlineStr">
        <is>
          <t>H3 Nike HR: df</t>
        </is>
      </c>
      <c r="B45" s="17">
        <f>H3!M15</f>
        <v/>
      </c>
      <c r="C45" s="17" t="n">
        <v>27</v>
      </c>
      <c r="D45" s="17">
        <f>B45-C45</f>
        <v/>
      </c>
      <c r="E45" s="12" t="n">
        <v>1e-09</v>
      </c>
      <c r="F45">
        <f>IF(ABS(D45)&lt;=E45,"OK","CHECK")</f>
        <v/>
      </c>
    </row>
    <row r="46">
      <c r="A46" t="inlineStr">
        <is>
          <t>H3 Nike HR: p (T.TEST type 1)</t>
        </is>
      </c>
      <c r="B46" s="17">
        <f>H3!M16</f>
        <v/>
      </c>
      <c r="C46" s="17" t="n">
        <v>0.0002867155784231603</v>
      </c>
      <c r="D46" s="17">
        <f>B46-C46</f>
        <v/>
      </c>
      <c r="E46" s="12" t="n">
        <v>1.443577892115802e-07</v>
      </c>
      <c r="F46">
        <f>IF(ABS(D46)&lt;=E46,"OK","CHECK")</f>
        <v/>
      </c>
    </row>
    <row r="47">
      <c r="A47" t="inlineStr">
        <is>
          <t>H3 Nike HR: mean difference CI lower</t>
        </is>
      </c>
      <c r="B47" s="17">
        <f>H3!M19</f>
        <v/>
      </c>
      <c r="C47" s="17" t="n">
        <v>-2.249865419744281</v>
      </c>
      <c r="D47" s="17">
        <f>B47-C47</f>
        <v/>
      </c>
      <c r="E47" s="12" t="n">
        <v>0.0001</v>
      </c>
      <c r="F47">
        <f>IF(ABS(D47)&lt;=E47,"OK","CHECK")</f>
        <v/>
      </c>
    </row>
    <row r="48">
      <c r="A48" t="inlineStr">
        <is>
          <t>H3 Nike HR: mean difference CI upper</t>
        </is>
      </c>
      <c r="B48" s="17">
        <f>H3!M20</f>
        <v/>
      </c>
      <c r="C48" s="17" t="n">
        <v>-0.7644202945414291</v>
      </c>
      <c r="D48" s="17">
        <f>B48-C48</f>
        <v/>
      </c>
      <c r="E48" s="12" t="n">
        <v>0.0001</v>
      </c>
      <c r="F48">
        <f>IF(ABS(D48)&lt;=E48,"OK","CHECK")</f>
        <v/>
      </c>
    </row>
    <row r="49">
      <c r="A49" t="inlineStr">
        <is>
          <t>H3 Nike HR: Cohen's d_z</t>
        </is>
      </c>
      <c r="B49" s="17">
        <f>H3!M21</f>
        <v/>
      </c>
      <c r="C49" s="17" t="n">
        <v>-0.786846960336077</v>
      </c>
      <c r="D49" s="17">
        <f>B49-C49</f>
        <v/>
      </c>
      <c r="E49" s="12" t="n">
        <v>0.0001</v>
      </c>
      <c r="F49">
        <f>IF(ABS(D49)&lt;=E49,"OK","CHECK")</f>
        <v/>
      </c>
    </row>
    <row r="50">
      <c r="A50" t="inlineStr">
        <is>
          <t>H3 Nike HR: d_z CI lower (method differs)</t>
        </is>
      </c>
      <c r="B50" s="17">
        <f>H3!M23</f>
        <v/>
      </c>
      <c r="C50" s="17" t="n">
        <v>-1.206519674568406</v>
      </c>
      <c r="D50" s="17">
        <f>B50-C50</f>
        <v/>
      </c>
      <c r="E50" s="12" t="n">
        <v>0.1</v>
      </c>
      <c r="F50">
        <f>IF(ABS(D50)&lt;=E50,"OK","CHECK")</f>
        <v/>
      </c>
      <c r="G50" s="7" t="inlineStr">
        <is>
          <t>Excel: large sample approximation; R: noncentral t</t>
        </is>
      </c>
    </row>
    <row r="51">
      <c r="A51" t="inlineStr">
        <is>
          <t>H3 Nike HR: d_z CI upper (method differs)</t>
        </is>
      </c>
      <c r="B51" s="17">
        <f>H3!M24</f>
        <v/>
      </c>
      <c r="C51" s="17" t="n">
        <v>-0.3560685851084305</v>
      </c>
      <c r="D51" s="17">
        <f>B51-C51</f>
        <v/>
      </c>
      <c r="E51" s="12" t="n">
        <v>0.1</v>
      </c>
      <c r="F51">
        <f>IF(ABS(D51)&lt;=E51,"OK","CHECK")</f>
        <v/>
      </c>
      <c r="G51" s="7" t="inlineStr">
        <is>
          <t>Excel: large sample approximation; R: noncentral t</t>
        </is>
      </c>
    </row>
    <row r="52">
      <c r="A52" t="inlineStr">
        <is>
          <t>H3 e.l.f. HR: mean, reference</t>
        </is>
      </c>
      <c r="B52" s="17">
        <f>H3!M30</f>
        <v/>
      </c>
      <c r="C52" s="17" t="n">
        <v>75.43214285714286</v>
      </c>
      <c r="D52" s="17">
        <f>B52-C52</f>
        <v/>
      </c>
      <c r="E52" s="12" t="n">
        <v>0.0001</v>
      </c>
      <c r="F52">
        <f>IF(ABS(D52)&lt;=E52,"OK","CHECK")</f>
        <v/>
      </c>
    </row>
    <row r="53">
      <c r="A53" t="inlineStr">
        <is>
          <t>H3 e.l.f. HR: mean, comparison</t>
        </is>
      </c>
      <c r="B53" s="17">
        <f>H3!M32</f>
        <v/>
      </c>
      <c r="C53" s="17" t="n">
        <v>74.45714285714286</v>
      </c>
      <c r="D53" s="17">
        <f>B53-C53</f>
        <v/>
      </c>
      <c r="E53" s="12" t="n">
        <v>0.0001</v>
      </c>
      <c r="F53">
        <f>IF(ABS(D53)&lt;=E53,"OK","CHECK")</f>
        <v/>
      </c>
    </row>
    <row r="54">
      <c r="A54" t="inlineStr">
        <is>
          <t>H3 e.l.f. HR: mean difference</t>
        </is>
      </c>
      <c r="B54" s="17">
        <f>H3!M35</f>
        <v/>
      </c>
      <c r="C54" s="17" t="n">
        <v>-0.9750000000000004</v>
      </c>
      <c r="D54" s="17">
        <f>B54-C54</f>
        <v/>
      </c>
      <c r="E54" s="12" t="n">
        <v>0.0001</v>
      </c>
      <c r="F54">
        <f>IF(ABS(D54)&lt;=E54,"OK","CHECK")</f>
        <v/>
      </c>
    </row>
    <row r="55">
      <c r="A55" t="inlineStr">
        <is>
          <t>H3 e.l.f. HR: SD of differences</t>
        </is>
      </c>
      <c r="B55" s="17">
        <f>H3!M36</f>
        <v/>
      </c>
      <c r="C55" s="17" t="n">
        <v>1.829718658802594</v>
      </c>
      <c r="D55" s="17">
        <f>B55-C55</f>
        <v/>
      </c>
      <c r="E55" s="12" t="n">
        <v>0.0001</v>
      </c>
      <c r="F55">
        <f>IF(ABS(D55)&lt;=E55,"OK","CHECK")</f>
        <v/>
      </c>
    </row>
    <row r="56">
      <c r="A56" t="inlineStr">
        <is>
          <t>H3 e.l.f. HR: paired t</t>
        </is>
      </c>
      <c r="B56" s="17">
        <f>H3!M38</f>
        <v/>
      </c>
      <c r="C56" s="17" t="n">
        <v>-2.81967669278306</v>
      </c>
      <c r="D56" s="17">
        <f>B56-C56</f>
        <v/>
      </c>
      <c r="E56" s="12" t="n">
        <v>0.0001</v>
      </c>
      <c r="F56">
        <f>IF(ABS(D56)&lt;=E56,"OK","CHECK")</f>
        <v/>
      </c>
    </row>
    <row r="57">
      <c r="A57" t="inlineStr">
        <is>
          <t>H3 e.l.f. HR: df</t>
        </is>
      </c>
      <c r="B57" s="17">
        <f>H3!M39</f>
        <v/>
      </c>
      <c r="C57" s="17" t="n">
        <v>27</v>
      </c>
      <c r="D57" s="17">
        <f>B57-C57</f>
        <v/>
      </c>
      <c r="E57" s="12" t="n">
        <v>1e-09</v>
      </c>
      <c r="F57">
        <f>IF(ABS(D57)&lt;=E57,"OK","CHECK")</f>
        <v/>
      </c>
    </row>
    <row r="58">
      <c r="A58" t="inlineStr">
        <is>
          <t>H3 e.l.f. HR: p (T.TEST type 1)</t>
        </is>
      </c>
      <c r="B58" s="17">
        <f>H3!M40</f>
        <v/>
      </c>
      <c r="C58" s="17" t="n">
        <v>0.008896003617039334</v>
      </c>
      <c r="D58" s="17">
        <f>B58-C58</f>
        <v/>
      </c>
      <c r="E58" s="12" t="n">
        <v>4.449001808519666e-06</v>
      </c>
      <c r="F58">
        <f>IF(ABS(D58)&lt;=E58,"OK","CHECK")</f>
        <v/>
      </c>
    </row>
    <row r="59">
      <c r="A59" t="inlineStr">
        <is>
          <t>H3 e.l.f. HR: mean difference CI lower</t>
        </is>
      </c>
      <c r="B59" s="17">
        <f>H3!M43</f>
        <v/>
      </c>
      <c r="C59" s="17" t="n">
        <v>-1.684490828749492</v>
      </c>
      <c r="D59" s="17">
        <f>B59-C59</f>
        <v/>
      </c>
      <c r="E59" s="12" t="n">
        <v>0.0001</v>
      </c>
      <c r="F59">
        <f>IF(ABS(D59)&lt;=E59,"OK","CHECK")</f>
        <v/>
      </c>
    </row>
    <row r="60">
      <c r="A60" t="inlineStr">
        <is>
          <t>H3 e.l.f. HR: mean difference CI upper</t>
        </is>
      </c>
      <c r="B60" s="17">
        <f>H3!M44</f>
        <v/>
      </c>
      <c r="C60" s="17" t="n">
        <v>-0.2655091712505089</v>
      </c>
      <c r="D60" s="17">
        <f>B60-C60</f>
        <v/>
      </c>
      <c r="E60" s="12" t="n">
        <v>0.0001</v>
      </c>
      <c r="F60">
        <f>IF(ABS(D60)&lt;=E60,"OK","CHECK")</f>
        <v/>
      </c>
    </row>
    <row r="61">
      <c r="A61" t="inlineStr">
        <is>
          <t>H3 e.l.f. HR: Cohen's d_z</t>
        </is>
      </c>
      <c r="B61" s="17">
        <f>H3!M45</f>
        <v/>
      </c>
      <c r="C61" s="17" t="n">
        <v>-0.532868807622075</v>
      </c>
      <c r="D61" s="17">
        <f>B61-C61</f>
        <v/>
      </c>
      <c r="E61" s="12" t="n">
        <v>0.0001</v>
      </c>
      <c r="F61">
        <f>IF(ABS(D61)&lt;=E61,"OK","CHECK")</f>
        <v/>
      </c>
    </row>
    <row r="62">
      <c r="A62" t="inlineStr">
        <is>
          <t>H3 e.l.f. HR: d_z CI lower (method differs)</t>
        </is>
      </c>
      <c r="B62" s="17">
        <f>H3!M47</f>
        <v/>
      </c>
      <c r="C62" s="17" t="n">
        <v>-0.9250536975863574</v>
      </c>
      <c r="D62" s="17">
        <f>B62-C62</f>
        <v/>
      </c>
      <c r="E62" s="12" t="n">
        <v>0.1</v>
      </c>
      <c r="F62">
        <f>IF(ABS(D62)&lt;=E62,"OK","CHECK")</f>
        <v/>
      </c>
      <c r="G62" s="7" t="inlineStr">
        <is>
          <t>Excel: large sample approximation; R: noncentral t</t>
        </is>
      </c>
    </row>
    <row r="63">
      <c r="A63" t="inlineStr">
        <is>
          <t>H3 e.l.f. HR: d_z CI upper (method differs)</t>
        </is>
      </c>
      <c r="B63" s="17">
        <f>H3!M48</f>
        <v/>
      </c>
      <c r="C63" s="17" t="n">
        <v>-0.1320759483058308</v>
      </c>
      <c r="D63" s="17">
        <f>B63-C63</f>
        <v/>
      </c>
      <c r="E63" s="12" t="n">
        <v>0.1</v>
      </c>
      <c r="F63">
        <f>IF(ABS(D63)&lt;=E63,"OK","CHECK")</f>
        <v/>
      </c>
      <c r="G63" s="7" t="inlineStr">
        <is>
          <t>Excel: large sample approximation; R: noncentral t</t>
        </is>
      </c>
    </row>
    <row r="64">
      <c r="A64" t="inlineStr">
        <is>
          <t>H3 difference of changes: mean, reference</t>
        </is>
      </c>
      <c r="B64" s="17">
        <f>H3!M54</f>
        <v/>
      </c>
      <c r="C64" s="17" t="n">
        <v>-0.9750000000000004</v>
      </c>
      <c r="D64" s="17">
        <f>B64-C64</f>
        <v/>
      </c>
      <c r="E64" s="12" t="n">
        <v>0.0001</v>
      </c>
      <c r="F64">
        <f>IF(ABS(D64)&lt;=E64,"OK","CHECK")</f>
        <v/>
      </c>
    </row>
    <row r="65">
      <c r="A65" t="inlineStr">
        <is>
          <t>H3 difference of changes: mean, comparison</t>
        </is>
      </c>
      <c r="B65" s="17">
        <f>H3!M56</f>
        <v/>
      </c>
      <c r="C65" s="17" t="n">
        <v>-1.507142857142855</v>
      </c>
      <c r="D65" s="17">
        <f>B65-C65</f>
        <v/>
      </c>
      <c r="E65" s="12" t="n">
        <v>0.0001</v>
      </c>
      <c r="F65">
        <f>IF(ABS(D65)&lt;=E65,"OK","CHECK")</f>
        <v/>
      </c>
    </row>
    <row r="66">
      <c r="A66" t="inlineStr">
        <is>
          <t>H3 difference of changes: mean difference</t>
        </is>
      </c>
      <c r="B66" s="17">
        <f>H3!M59</f>
        <v/>
      </c>
      <c r="C66" s="17" t="n">
        <v>-0.5321428571428548</v>
      </c>
      <c r="D66" s="17">
        <f>B66-C66</f>
        <v/>
      </c>
      <c r="E66" s="12" t="n">
        <v>0.0001</v>
      </c>
      <c r="F66">
        <f>IF(ABS(D66)&lt;=E66,"OK","CHECK")</f>
        <v/>
      </c>
    </row>
    <row r="67">
      <c r="A67" t="inlineStr">
        <is>
          <t>H3 difference of changes: SD of differences</t>
        </is>
      </c>
      <c r="B67" s="17">
        <f>H3!M60</f>
        <v/>
      </c>
      <c r="C67" s="17" t="n">
        <v>2.388096029372067</v>
      </c>
      <c r="D67" s="17">
        <f>B67-C67</f>
        <v/>
      </c>
      <c r="E67" s="12" t="n">
        <v>0.0001</v>
      </c>
      <c r="F67">
        <f>IF(ABS(D67)&lt;=E67,"OK","CHECK")</f>
        <v/>
      </c>
    </row>
    <row r="68">
      <c r="A68" t="inlineStr">
        <is>
          <t>H3 difference of changes: paired t</t>
        </is>
      </c>
      <c r="B68" s="17">
        <f>H3!M62</f>
        <v/>
      </c>
      <c r="C68" s="17" t="n">
        <v>-1.17911310486921</v>
      </c>
      <c r="D68" s="17">
        <f>B68-C68</f>
        <v/>
      </c>
      <c r="E68" s="12" t="n">
        <v>0.0001</v>
      </c>
      <c r="F68">
        <f>IF(ABS(D68)&lt;=E68,"OK","CHECK")</f>
        <v/>
      </c>
    </row>
    <row r="69">
      <c r="A69" t="inlineStr">
        <is>
          <t>H3 difference of changes: df</t>
        </is>
      </c>
      <c r="B69" s="17">
        <f>H3!M63</f>
        <v/>
      </c>
      <c r="C69" s="17" t="n">
        <v>27</v>
      </c>
      <c r="D69" s="17">
        <f>B69-C69</f>
        <v/>
      </c>
      <c r="E69" s="12" t="n">
        <v>1e-09</v>
      </c>
      <c r="F69">
        <f>IF(ABS(D69)&lt;=E69,"OK","CHECK")</f>
        <v/>
      </c>
    </row>
    <row r="70">
      <c r="A70" t="inlineStr">
        <is>
          <t>H3 difference of changes: p (T.TEST type 1)</t>
        </is>
      </c>
      <c r="B70" s="17">
        <f>H3!M64</f>
        <v/>
      </c>
      <c r="C70" s="17" t="n">
        <v>0.2486395493708014</v>
      </c>
      <c r="D70" s="17">
        <f>B70-C70</f>
        <v/>
      </c>
      <c r="E70" s="12" t="n">
        <v>0.0001243207746854007</v>
      </c>
      <c r="F70">
        <f>IF(ABS(D70)&lt;=E70,"OK","CHECK")</f>
        <v/>
      </c>
    </row>
    <row r="71">
      <c r="A71" t="inlineStr">
        <is>
          <t>H3 difference of changes: mean difference CI lower</t>
        </is>
      </c>
      <c r="B71" s="17">
        <f>H3!M67</f>
        <v/>
      </c>
      <c r="C71" s="17" t="n">
        <v>-1.458149827045739</v>
      </c>
      <c r="D71" s="17">
        <f>B71-C71</f>
        <v/>
      </c>
      <c r="E71" s="12" t="n">
        <v>0.0001</v>
      </c>
      <c r="F71">
        <f>IF(ABS(D71)&lt;=E71,"OK","CHECK")</f>
        <v/>
      </c>
    </row>
    <row r="72">
      <c r="A72" t="inlineStr">
        <is>
          <t>H3 difference of changes: mean difference CI upper</t>
        </is>
      </c>
      <c r="B72" s="17">
        <f>H3!M68</f>
        <v/>
      </c>
      <c r="C72" s="17" t="n">
        <v>0.3938641127600289</v>
      </c>
      <c r="D72" s="17">
        <f>B72-C72</f>
        <v/>
      </c>
      <c r="E72" s="12" t="n">
        <v>0.0001</v>
      </c>
      <c r="F72">
        <f>IF(ABS(D72)&lt;=E72,"OK","CHECK")</f>
        <v/>
      </c>
    </row>
    <row r="73">
      <c r="A73" t="inlineStr">
        <is>
          <t>H3 difference of changes: Cohen's d_z</t>
        </is>
      </c>
      <c r="B73" s="17">
        <f>H3!M69</f>
        <v/>
      </c>
      <c r="C73" s="17" t="n">
        <v>-0.2228314316500823</v>
      </c>
      <c r="D73" s="17">
        <f>B73-C73</f>
        <v/>
      </c>
      <c r="E73" s="12" t="n">
        <v>0.0001</v>
      </c>
      <c r="F73">
        <f>IF(ABS(D73)&lt;=E73,"OK","CHECK")</f>
        <v/>
      </c>
    </row>
    <row r="74">
      <c r="A74" t="inlineStr">
        <is>
          <t>H3 difference of changes: d_z CI lower (method differs)</t>
        </is>
      </c>
      <c r="B74" s="17">
        <f>H3!M71</f>
        <v/>
      </c>
      <c r="C74" s="17" t="n">
        <v>-0.5959195728354134</v>
      </c>
      <c r="D74" s="17">
        <f>B74-C74</f>
        <v/>
      </c>
      <c r="E74" s="12" t="n">
        <v>0.1</v>
      </c>
      <c r="F74">
        <f>IF(ABS(D74)&lt;=E74,"OK","CHECK")</f>
        <v/>
      </c>
      <c r="G74" s="7" t="inlineStr">
        <is>
          <t>Excel: large sample approximation; R: noncentral t</t>
        </is>
      </c>
    </row>
    <row r="75">
      <c r="A75" t="inlineStr">
        <is>
          <t>H3 difference of changes: d_z CI upper (method differs)</t>
        </is>
      </c>
      <c r="B75" s="17">
        <f>H3!M72</f>
        <v/>
      </c>
      <c r="C75" s="17" t="n">
        <v>0.1542641979850963</v>
      </c>
      <c r="D75" s="17">
        <f>B75-C75</f>
        <v/>
      </c>
      <c r="E75" s="12" t="n">
        <v>0.1</v>
      </c>
      <c r="F75">
        <f>IF(ABS(D75)&lt;=E75,"OK","CHECK")</f>
        <v/>
      </c>
      <c r="G75" s="7" t="inlineStr">
        <is>
          <t>Excel: large sample approximation; R: noncentral t</t>
        </is>
      </c>
    </row>
    <row r="76">
      <c r="A76" t="inlineStr">
        <is>
          <t>Sensitivity H1 Nike PPM (responders): mean, reference</t>
        </is>
      </c>
      <c r="B76" s="17">
        <f>H1!P54</f>
        <v/>
      </c>
      <c r="C76" s="17" t="n">
        <v>2.49116</v>
      </c>
      <c r="D76" s="17">
        <f>B76-C76</f>
        <v/>
      </c>
      <c r="E76" s="12" t="n">
        <v>0.0001</v>
      </c>
      <c r="F76">
        <f>IF(ABS(D76)&lt;=E76,"OK","CHECK")</f>
        <v/>
      </c>
    </row>
    <row r="77">
      <c r="A77" t="inlineStr">
        <is>
          <t>Sensitivity H1 Nike PPM (responders): mean, comparison</t>
        </is>
      </c>
      <c r="B77" s="17">
        <f>H1!P56</f>
        <v/>
      </c>
      <c r="C77" s="17" t="n">
        <v>5.1366</v>
      </c>
      <c r="D77" s="17">
        <f>B77-C77</f>
        <v/>
      </c>
      <c r="E77" s="12" t="n">
        <v>0.0001</v>
      </c>
      <c r="F77">
        <f>IF(ABS(D77)&lt;=E77,"OK","CHECK")</f>
        <v/>
      </c>
    </row>
    <row r="78">
      <c r="A78" t="inlineStr">
        <is>
          <t>Sensitivity H1 Nike PPM (responders): mean difference</t>
        </is>
      </c>
      <c r="B78" s="17">
        <f>H1!P59</f>
        <v/>
      </c>
      <c r="C78" s="17" t="n">
        <v>2.64544</v>
      </c>
      <c r="D78" s="17">
        <f>B78-C78</f>
        <v/>
      </c>
      <c r="E78" s="12" t="n">
        <v>0.0001</v>
      </c>
      <c r="F78">
        <f>IF(ABS(D78)&lt;=E78,"OK","CHECK")</f>
        <v/>
      </c>
    </row>
    <row r="79">
      <c r="A79" t="inlineStr">
        <is>
          <t>Sensitivity H1 Nike PPM (responders): SD of differences</t>
        </is>
      </c>
      <c r="B79" s="17">
        <f>H1!P60</f>
        <v/>
      </c>
      <c r="C79" s="17" t="n">
        <v>1.630199964217069</v>
      </c>
      <c r="D79" s="17">
        <f>B79-C79</f>
        <v/>
      </c>
      <c r="E79" s="12" t="n">
        <v>0.0001</v>
      </c>
      <c r="F79">
        <f>IF(ABS(D79)&lt;=E79,"OK","CHECK")</f>
        <v/>
      </c>
    </row>
    <row r="80">
      <c r="A80" t="inlineStr">
        <is>
          <t>Sensitivity H1 Nike PPM (responders): paired t</t>
        </is>
      </c>
      <c r="B80" s="17">
        <f>H1!P62</f>
        <v/>
      </c>
      <c r="C80" s="17" t="n">
        <v>8.113851239318722</v>
      </c>
      <c r="D80" s="17">
        <f>B80-C80</f>
        <v/>
      </c>
      <c r="E80" s="12" t="n">
        <v>0.0001</v>
      </c>
      <c r="F80">
        <f>IF(ABS(D80)&lt;=E80,"OK","CHECK")</f>
        <v/>
      </c>
    </row>
    <row r="81">
      <c r="A81" t="inlineStr">
        <is>
          <t>Sensitivity H1 Nike PPM (responders): df</t>
        </is>
      </c>
      <c r="B81" s="17">
        <f>H1!P63</f>
        <v/>
      </c>
      <c r="C81" s="17" t="n">
        <v>24</v>
      </c>
      <c r="D81" s="17">
        <f>B81-C81</f>
        <v/>
      </c>
      <c r="E81" s="12" t="n">
        <v>1e-09</v>
      </c>
      <c r="F81">
        <f>IF(ABS(D81)&lt;=E81,"OK","CHECK")</f>
        <v/>
      </c>
    </row>
    <row r="82">
      <c r="A82" t="inlineStr">
        <is>
          <t>Sensitivity H1 Nike PPM (responders): p (T.TEST type 1)</t>
        </is>
      </c>
      <c r="B82" s="17">
        <f>H1!P64</f>
        <v/>
      </c>
      <c r="C82" s="17" t="n">
        <v>2.455353576916977e-08</v>
      </c>
      <c r="D82" s="17">
        <f>B82-C82</f>
        <v/>
      </c>
      <c r="E82" s="12" t="n">
        <v>1.012276767884585e-09</v>
      </c>
      <c r="F82">
        <f>IF(ABS(D82)&lt;=E82,"OK","CHECK")</f>
        <v/>
      </c>
    </row>
    <row r="83">
      <c r="A83" t="inlineStr">
        <is>
          <t>Sensitivity H1 Nike PPM (responders): mean difference CI lower</t>
        </is>
      </c>
      <c r="B83" s="17">
        <f>H1!P67</f>
        <v/>
      </c>
      <c r="C83" s="17" t="n">
        <v>1.972526527737267</v>
      </c>
      <c r="D83" s="17">
        <f>B83-C83</f>
        <v/>
      </c>
      <c r="E83" s="12" t="n">
        <v>0.0001</v>
      </c>
      <c r="F83">
        <f>IF(ABS(D83)&lt;=E83,"OK","CHECK")</f>
        <v/>
      </c>
    </row>
    <row r="84">
      <c r="A84" t="inlineStr">
        <is>
          <t>Sensitivity H1 Nike PPM (responders): mean difference CI upper</t>
        </is>
      </c>
      <c r="B84" s="17">
        <f>H1!P68</f>
        <v/>
      </c>
      <c r="C84" s="17" t="n">
        <v>3.318353472262733</v>
      </c>
      <c r="D84" s="17">
        <f>B84-C84</f>
        <v/>
      </c>
      <c r="E84" s="12" t="n">
        <v>0.0001</v>
      </c>
      <c r="F84">
        <f>IF(ABS(D84)&lt;=E84,"OK","CHECK")</f>
        <v/>
      </c>
    </row>
    <row r="85">
      <c r="A85" t="inlineStr">
        <is>
          <t>Sensitivity H1 Nike PPM (responders): Cohen's d_z</t>
        </is>
      </c>
      <c r="B85" s="17">
        <f>H1!P69</f>
        <v/>
      </c>
      <c r="C85" s="17" t="n">
        <v>1.622770247863744</v>
      </c>
      <c r="D85" s="17">
        <f>B85-C85</f>
        <v/>
      </c>
      <c r="E85" s="12" t="n">
        <v>0.0001</v>
      </c>
      <c r="F85">
        <f>IF(ABS(D85)&lt;=E85,"OK","CHECK")</f>
        <v/>
      </c>
    </row>
    <row r="86">
      <c r="A86" t="inlineStr">
        <is>
          <t>Sensitivity H1 Nike PPM (responders): d_z CI lower (method differs)</t>
        </is>
      </c>
      <c r="B86" s="17">
        <f>H1!P71</f>
        <v/>
      </c>
      <c r="C86" s="17" t="n">
        <v>1.013775775905003</v>
      </c>
      <c r="D86" s="17">
        <f>B86-C86</f>
        <v/>
      </c>
      <c r="E86" s="12" t="n">
        <v>0.1</v>
      </c>
      <c r="F86">
        <f>IF(ABS(D86)&lt;=E86,"OK","CHECK")</f>
        <v/>
      </c>
      <c r="G86" s="7" t="inlineStr">
        <is>
          <t>Excel: large sample approximation; R: noncentral t</t>
        </is>
      </c>
    </row>
    <row r="87">
      <c r="A87" t="inlineStr">
        <is>
          <t>Sensitivity H1 Nike PPM (responders): d_z CI upper (method differs)</t>
        </is>
      </c>
      <c r="B87" s="17">
        <f>H1!P72</f>
        <v/>
      </c>
      <c r="C87" s="17" t="n">
        <v>2.217018528291143</v>
      </c>
      <c r="D87" s="17">
        <f>B87-C87</f>
        <v/>
      </c>
      <c r="E87" s="12" t="n">
        <v>0.1</v>
      </c>
      <c r="F87">
        <f>IF(ABS(D87)&lt;=E87,"OK","CHECK")</f>
        <v/>
      </c>
      <c r="G87" s="7" t="inlineStr">
        <is>
          <t>Excel: large sample approximation; R: noncentral t</t>
        </is>
      </c>
    </row>
    <row r="88">
      <c r="A88" t="inlineStr">
        <is>
          <t>Sensitivity H1 e.l.f. PPM (responders): mean, reference</t>
        </is>
      </c>
      <c r="B88" s="17">
        <f>H1!P78</f>
        <v/>
      </c>
      <c r="C88" s="17" t="n">
        <v>2.76712</v>
      </c>
      <c r="D88" s="17">
        <f>B88-C88</f>
        <v/>
      </c>
      <c r="E88" s="12" t="n">
        <v>0.0001</v>
      </c>
      <c r="F88">
        <f>IF(ABS(D88)&lt;=E88,"OK","CHECK")</f>
        <v/>
      </c>
    </row>
    <row r="89">
      <c r="A89" t="inlineStr">
        <is>
          <t>Sensitivity H1 e.l.f. PPM (responders): mean, comparison</t>
        </is>
      </c>
      <c r="B89" s="17">
        <f>H1!P80</f>
        <v/>
      </c>
      <c r="C89" s="17" t="n">
        <v>3.92</v>
      </c>
      <c r="D89" s="17">
        <f>B89-C89</f>
        <v/>
      </c>
      <c r="E89" s="12" t="n">
        <v>0.0001</v>
      </c>
      <c r="F89">
        <f>IF(ABS(D89)&lt;=E89,"OK","CHECK")</f>
        <v/>
      </c>
    </row>
    <row r="90">
      <c r="A90" t="inlineStr">
        <is>
          <t>Sensitivity H1 e.l.f. PPM (responders): mean difference</t>
        </is>
      </c>
      <c r="B90" s="17">
        <f>H1!P83</f>
        <v/>
      </c>
      <c r="C90" s="17" t="n">
        <v>1.15288</v>
      </c>
      <c r="D90" s="17">
        <f>B90-C90</f>
        <v/>
      </c>
      <c r="E90" s="12" t="n">
        <v>0.0001</v>
      </c>
      <c r="F90">
        <f>IF(ABS(D90)&lt;=E90,"OK","CHECK")</f>
        <v/>
      </c>
    </row>
    <row r="91">
      <c r="A91" t="inlineStr">
        <is>
          <t>Sensitivity H1 e.l.f. PPM (responders): SD of differences</t>
        </is>
      </c>
      <c r="B91" s="17">
        <f>H1!P84</f>
        <v/>
      </c>
      <c r="C91" s="17" t="n">
        <v>1.5954541756712</v>
      </c>
      <c r="D91" s="17">
        <f>B91-C91</f>
        <v/>
      </c>
      <c r="E91" s="12" t="n">
        <v>0.0001</v>
      </c>
      <c r="F91">
        <f>IF(ABS(D91)&lt;=E91,"OK","CHECK")</f>
        <v/>
      </c>
    </row>
    <row r="92">
      <c r="A92" t="inlineStr">
        <is>
          <t>Sensitivity H1 e.l.f. PPM (responders): paired t</t>
        </is>
      </c>
      <c r="B92" s="17">
        <f>H1!P86</f>
        <v/>
      </c>
      <c r="C92" s="17" t="n">
        <v>3.613015082413724</v>
      </c>
      <c r="D92" s="17">
        <f>B92-C92</f>
        <v/>
      </c>
      <c r="E92" s="12" t="n">
        <v>0.0001</v>
      </c>
      <c r="F92">
        <f>IF(ABS(D92)&lt;=E92,"OK","CHECK")</f>
        <v/>
      </c>
    </row>
    <row r="93">
      <c r="A93" t="inlineStr">
        <is>
          <t>Sensitivity H1 e.l.f. PPM (responders): df</t>
        </is>
      </c>
      <c r="B93" s="17">
        <f>H1!P87</f>
        <v/>
      </c>
      <c r="C93" s="17" t="n">
        <v>24</v>
      </c>
      <c r="D93" s="17">
        <f>B93-C93</f>
        <v/>
      </c>
      <c r="E93" s="12" t="n">
        <v>1e-09</v>
      </c>
      <c r="F93">
        <f>IF(ABS(D93)&lt;=E93,"OK","CHECK")</f>
        <v/>
      </c>
    </row>
    <row r="94">
      <c r="A94" t="inlineStr">
        <is>
          <t>Sensitivity H1 e.l.f. PPM (responders): p (T.TEST type 1)</t>
        </is>
      </c>
      <c r="B94" s="17">
        <f>H1!P88</f>
        <v/>
      </c>
      <c r="C94" s="17" t="n">
        <v>0.001391790588755263</v>
      </c>
      <c r="D94" s="17">
        <f>B94-C94</f>
        <v/>
      </c>
      <c r="E94" s="12" t="n">
        <v>6.968952943776314e-07</v>
      </c>
      <c r="F94">
        <f>IF(ABS(D94)&lt;=E94,"OK","CHECK")</f>
        <v/>
      </c>
    </row>
    <row r="95">
      <c r="A95" t="inlineStr">
        <is>
          <t>Sensitivity H1 e.l.f. PPM (responders): mean difference CI lower</t>
        </is>
      </c>
      <c r="B95" s="17">
        <f>H1!P91</f>
        <v/>
      </c>
      <c r="C95" s="17" t="n">
        <v>0.4943088843377567</v>
      </c>
      <c r="D95" s="17">
        <f>B95-C95</f>
        <v/>
      </c>
      <c r="E95" s="12" t="n">
        <v>0.0001</v>
      </c>
      <c r="F95">
        <f>IF(ABS(D95)&lt;=E95,"OK","CHECK")</f>
        <v/>
      </c>
    </row>
    <row r="96">
      <c r="A96" t="inlineStr">
        <is>
          <t>Sensitivity H1 e.l.f. PPM (responders): mean difference CI upper</t>
        </is>
      </c>
      <c r="B96" s="17">
        <f>H1!P92</f>
        <v/>
      </c>
      <c r="C96" s="17" t="n">
        <v>1.811451115662243</v>
      </c>
      <c r="D96" s="17">
        <f>B96-C96</f>
        <v/>
      </c>
      <c r="E96" s="12" t="n">
        <v>0.0001</v>
      </c>
      <c r="F96">
        <f>IF(ABS(D96)&lt;=E96,"OK","CHECK")</f>
        <v/>
      </c>
    </row>
    <row r="97">
      <c r="A97" t="inlineStr">
        <is>
          <t>Sensitivity H1 e.l.f. PPM (responders): Cohen's d_z</t>
        </is>
      </c>
      <c r="B97" s="17">
        <f>H1!P93</f>
        <v/>
      </c>
      <c r="C97" s="17" t="n">
        <v>0.7226030164827448</v>
      </c>
      <c r="D97" s="17">
        <f>B97-C97</f>
        <v/>
      </c>
      <c r="E97" s="12" t="n">
        <v>0.0001</v>
      </c>
      <c r="F97">
        <f>IF(ABS(D97)&lt;=E97,"OK","CHECK")</f>
        <v/>
      </c>
    </row>
    <row r="98">
      <c r="A98" t="inlineStr">
        <is>
          <t>Sensitivity H1 e.l.f. PPM (responders): d_z CI lower (method differs)</t>
        </is>
      </c>
      <c r="B98" s="17">
        <f>H1!P95</f>
        <v/>
      </c>
      <c r="C98" s="17" t="n">
        <v>0.2750766963257594</v>
      </c>
      <c r="D98" s="17">
        <f>B98-C98</f>
        <v/>
      </c>
      <c r="E98" s="12" t="n">
        <v>0.1</v>
      </c>
      <c r="F98">
        <f>IF(ABS(D98)&lt;=E98,"OK","CHECK")</f>
        <v/>
      </c>
      <c r="G98" s="7" t="inlineStr">
        <is>
          <t>Excel: large sample approximation; R: noncentral t</t>
        </is>
      </c>
    </row>
    <row r="99">
      <c r="A99" t="inlineStr">
        <is>
          <t>Sensitivity H1 e.l.f. PPM (responders): d_z CI upper (method differs)</t>
        </is>
      </c>
      <c r="B99" s="17">
        <f>H1!P96</f>
        <v/>
      </c>
      <c r="C99" s="17" t="n">
        <v>1.158246509876204</v>
      </c>
      <c r="D99" s="17">
        <f>B99-C99</f>
        <v/>
      </c>
      <c r="E99" s="12" t="n">
        <v>0.1</v>
      </c>
      <c r="F99">
        <f>IF(ABS(D99)&lt;=E99,"OK","CHECK")</f>
        <v/>
      </c>
      <c r="G99" s="7" t="inlineStr">
        <is>
          <t>Excel: large sample approximation; R: noncentral t</t>
        </is>
      </c>
    </row>
    <row r="100">
      <c r="A100" t="inlineStr">
        <is>
          <t>Sensitivity H2 PPM (responders): mean, reference</t>
        </is>
      </c>
      <c r="B100" s="17">
        <f>H2!J41</f>
        <v/>
      </c>
      <c r="C100" s="17" t="n">
        <v>3.92</v>
      </c>
      <c r="D100" s="17">
        <f>B100-C100</f>
        <v/>
      </c>
      <c r="E100" s="12" t="n">
        <v>0.0001</v>
      </c>
      <c r="F100">
        <f>IF(ABS(D100)&lt;=E100,"OK","CHECK")</f>
        <v/>
      </c>
    </row>
    <row r="101">
      <c r="A101" t="inlineStr">
        <is>
          <t>Sensitivity H2 PPM (responders): mean, comparison</t>
        </is>
      </c>
      <c r="B101" s="17">
        <f>H2!J43</f>
        <v/>
      </c>
      <c r="C101" s="17" t="n">
        <v>5.1366</v>
      </c>
      <c r="D101" s="17">
        <f>B101-C101</f>
        <v/>
      </c>
      <c r="E101" s="12" t="n">
        <v>0.0001</v>
      </c>
      <c r="F101">
        <f>IF(ABS(D101)&lt;=E101,"OK","CHECK")</f>
        <v/>
      </c>
    </row>
    <row r="102">
      <c r="A102" t="inlineStr">
        <is>
          <t>Sensitivity H2 PPM (responders): mean difference</t>
        </is>
      </c>
      <c r="B102" s="17">
        <f>H2!J46</f>
        <v/>
      </c>
      <c r="C102" s="17" t="n">
        <v>1.2166</v>
      </c>
      <c r="D102" s="17">
        <f>B102-C102</f>
        <v/>
      </c>
      <c r="E102" s="12" t="n">
        <v>0.0001</v>
      </c>
      <c r="F102">
        <f>IF(ABS(D102)&lt;=E102,"OK","CHECK")</f>
        <v/>
      </c>
    </row>
    <row r="103">
      <c r="A103" t="inlineStr">
        <is>
          <t>Sensitivity H2 PPM (responders): SD of differences</t>
        </is>
      </c>
      <c r="B103" s="17">
        <f>H2!J47</f>
        <v/>
      </c>
      <c r="C103" s="17" t="n">
        <v>2.101580119814612</v>
      </c>
      <c r="D103" s="17">
        <f>B103-C103</f>
        <v/>
      </c>
      <c r="E103" s="12" t="n">
        <v>0.0001</v>
      </c>
      <c r="F103">
        <f>IF(ABS(D103)&lt;=E103,"OK","CHECK")</f>
        <v/>
      </c>
    </row>
    <row r="104">
      <c r="A104" t="inlineStr">
        <is>
          <t>Sensitivity H2 PPM (responders): paired t</t>
        </is>
      </c>
      <c r="B104" s="17">
        <f>H2!J49</f>
        <v/>
      </c>
      <c r="C104" s="17" t="n">
        <v>2.894488743325476</v>
      </c>
      <c r="D104" s="17">
        <f>B104-C104</f>
        <v/>
      </c>
      <c r="E104" s="12" t="n">
        <v>0.0001</v>
      </c>
      <c r="F104">
        <f>IF(ABS(D104)&lt;=E104,"OK","CHECK")</f>
        <v/>
      </c>
    </row>
    <row r="105">
      <c r="A105" t="inlineStr">
        <is>
          <t>Sensitivity H2 PPM (responders): df</t>
        </is>
      </c>
      <c r="B105" s="17">
        <f>H2!J50</f>
        <v/>
      </c>
      <c r="C105" s="17" t="n">
        <v>24</v>
      </c>
      <c r="D105" s="17">
        <f>B105-C105</f>
        <v/>
      </c>
      <c r="E105" s="12" t="n">
        <v>1e-09</v>
      </c>
      <c r="F105">
        <f>IF(ABS(D105)&lt;=E105,"OK","CHECK")</f>
        <v/>
      </c>
    </row>
    <row r="106">
      <c r="A106" t="inlineStr">
        <is>
          <t>Sensitivity H2 PPM (responders): p (T.TEST type 1)</t>
        </is>
      </c>
      <c r="B106" s="17">
        <f>H2!J51</f>
        <v/>
      </c>
      <c r="C106" s="17" t="n">
        <v>0.007962624074784874</v>
      </c>
      <c r="D106" s="17">
        <f>B106-C106</f>
        <v/>
      </c>
      <c r="E106" s="12" t="n">
        <v>3.982312037392437e-06</v>
      </c>
      <c r="F106">
        <f>IF(ABS(D106)&lt;=E106,"OK","CHECK")</f>
        <v/>
      </c>
    </row>
    <row r="107">
      <c r="A107" t="inlineStr">
        <is>
          <t>Sensitivity H2 PPM (responders): mean difference CI lower</t>
        </is>
      </c>
      <c r="B107" s="17">
        <f>H2!J54</f>
        <v/>
      </c>
      <c r="C107" s="17" t="n">
        <v>0.3491103627137137</v>
      </c>
      <c r="D107" s="17">
        <f>B107-C107</f>
        <v/>
      </c>
      <c r="E107" s="12" t="n">
        <v>0.0001</v>
      </c>
      <c r="F107">
        <f>IF(ABS(D107)&lt;=E107,"OK","CHECK")</f>
        <v/>
      </c>
    </row>
    <row r="108">
      <c r="A108" t="inlineStr">
        <is>
          <t>Sensitivity H2 PPM (responders): mean difference CI upper</t>
        </is>
      </c>
      <c r="B108" s="17">
        <f>H2!J55</f>
        <v/>
      </c>
      <c r="C108" s="17" t="n">
        <v>2.084089637286286</v>
      </c>
      <c r="D108" s="17">
        <f>B108-C108</f>
        <v/>
      </c>
      <c r="E108" s="12" t="n">
        <v>0.0001</v>
      </c>
      <c r="F108">
        <f>IF(ABS(D108)&lt;=E108,"OK","CHECK")</f>
        <v/>
      </c>
    </row>
    <row r="109">
      <c r="A109" t="inlineStr">
        <is>
          <t>Sensitivity H2 PPM (responders): Cohen's d_z</t>
        </is>
      </c>
      <c r="B109" s="17">
        <f>H2!J56</f>
        <v/>
      </c>
      <c r="C109" s="17" t="n">
        <v>0.5788977486650951</v>
      </c>
      <c r="D109" s="17">
        <f>B109-C109</f>
        <v/>
      </c>
      <c r="E109" s="12" t="n">
        <v>0.0001</v>
      </c>
      <c r="F109">
        <f>IF(ABS(D109)&lt;=E109,"OK","CHECK")</f>
        <v/>
      </c>
    </row>
    <row r="110">
      <c r="A110" t="inlineStr">
        <is>
          <t>Sensitivity H2 PPM (responders): d_z CI lower (method differs)</t>
        </is>
      </c>
      <c r="B110" s="17">
        <f>H2!J58</f>
        <v/>
      </c>
      <c r="C110" s="17" t="n">
        <v>0.1492697108887823</v>
      </c>
      <c r="D110" s="17">
        <f>B110-C110</f>
        <v/>
      </c>
      <c r="E110" s="12" t="n">
        <v>0.1</v>
      </c>
      <c r="F110">
        <f>IF(ABS(D110)&lt;=E110,"OK","CHECK")</f>
        <v/>
      </c>
      <c r="G110" s="7" t="inlineStr">
        <is>
          <t>Excel: large sample approximation; R: noncentral t</t>
        </is>
      </c>
    </row>
    <row r="111">
      <c r="A111" t="inlineStr">
        <is>
          <t>Sensitivity H2 PPM (responders): d_z CI upper (method differs)</t>
        </is>
      </c>
      <c r="B111" s="17">
        <f>H2!J59</f>
        <v/>
      </c>
      <c r="C111" s="17" t="n">
        <v>0.9982497689950152</v>
      </c>
      <c r="D111" s="17">
        <f>B111-C111</f>
        <v/>
      </c>
      <c r="E111" s="12" t="n">
        <v>0.1</v>
      </c>
      <c r="F111">
        <f>IF(ABS(D111)&lt;=E111,"OK","CHECK")</f>
        <v/>
      </c>
      <c r="G111" s="7" t="inlineStr">
        <is>
          <t>Excel: large sample approximation; R: noncentral t</t>
        </is>
      </c>
    </row>
    <row r="112">
      <c r="A112" t="inlineStr">
        <is>
          <t>Order effect: simple estimate versus lmer order_position</t>
        </is>
      </c>
      <c r="B112" s="17">
        <f>H2!J32</f>
        <v/>
      </c>
      <c r="C112" s="17" t="n">
        <v>-0.5481410256410256</v>
      </c>
      <c r="D112" s="17">
        <f>B112-C112</f>
        <v/>
      </c>
      <c r="E112" s="12" t="n">
        <v>0.0001</v>
      </c>
      <c r="F112">
        <f>IF(ABS(D112)&lt;=E112,"OK","CHECK")</f>
        <v/>
      </c>
      <c r="G112" s="7" t="inlineStr">
        <is>
          <t>equal here because each group's mean vector is free in the saturated model</t>
        </is>
      </c>
    </row>
    <row r="113">
      <c r="A113" t="inlineStr">
        <is>
          <t>Commercial effect: simple order adjusted estimate versus lmer</t>
        </is>
      </c>
      <c r="B113" s="17">
        <f>H2!J33</f>
        <v/>
      </c>
      <c r="C113" s="17" t="n">
        <v>1.118525641025641</v>
      </c>
      <c r="D113" s="17">
        <f>B113-C113</f>
        <v/>
      </c>
      <c r="E113" s="12" t="n">
        <v>0.0001</v>
      </c>
      <c r="F113">
        <f>IF(ABS(D113)&lt;=E113,"OK","CHECK")</f>
        <v/>
      </c>
    </row>
    <row r="114">
      <c r="A114" t="inlineStr">
        <is>
          <t>Order effect, responders only: simple estimate</t>
        </is>
      </c>
      <c r="B114" s="17">
        <f>H2!J67</f>
        <v/>
      </c>
      <c r="C114" s="17" t="n">
        <v>-0.5756570512820512</v>
      </c>
      <c r="D114" s="17">
        <f>B114-C114</f>
        <v/>
      </c>
      <c r="E114" s="12" t="n">
        <v>0.0001</v>
      </c>
      <c r="F114">
        <f>IF(ABS(D114)&lt;=E114,"OK","CHECK")</f>
        <v/>
      </c>
    </row>
    <row r="115">
      <c r="A115" t="inlineStr">
        <is>
          <t>r Nike: Pearson r</t>
        </is>
      </c>
      <c r="B115" s="17">
        <f>H1!P103</f>
        <v/>
      </c>
      <c r="C115" s="17" t="n">
        <v>0.3654488141198319</v>
      </c>
      <c r="D115" s="17">
        <f>B115-C115</f>
        <v/>
      </c>
      <c r="E115" s="12" t="n">
        <v>0.0001</v>
      </c>
      <c r="F115">
        <f>IF(ABS(D115)&lt;=E115,"OK","CHECK")</f>
        <v/>
      </c>
    </row>
    <row r="116">
      <c r="A116" t="inlineStr">
        <is>
          <t>r Nike: t</t>
        </is>
      </c>
      <c r="B116" s="17">
        <f>H1!P104</f>
        <v/>
      </c>
      <c r="C116" s="17" t="n">
        <v>2.001899119629833</v>
      </c>
      <c r="D116" s="17">
        <f>B116-C116</f>
        <v/>
      </c>
      <c r="E116" s="12" t="n">
        <v>0.001</v>
      </c>
      <c r="F116">
        <f>IF(ABS(D116)&lt;=E116,"OK","CHECK")</f>
        <v/>
      </c>
    </row>
    <row r="117">
      <c r="A117" t="inlineStr">
        <is>
          <t>r Nike: p</t>
        </is>
      </c>
      <c r="B117" s="17">
        <f>H1!P105</f>
        <v/>
      </c>
      <c r="C117" s="17" t="n">
        <v>0.0558311281774324</v>
      </c>
      <c r="D117" s="17">
        <f>B117-C117</f>
        <v/>
      </c>
      <c r="E117" s="12" t="n">
        <v>2.79165640887162e-05</v>
      </c>
      <c r="F117">
        <f>IF(ABS(D117)&lt;=E117,"OK","CHECK")</f>
        <v/>
      </c>
    </row>
    <row r="118">
      <c r="A118" t="inlineStr">
        <is>
          <t>r Nike: CI lower</t>
        </is>
      </c>
      <c r="B118" s="17">
        <f>H1!P106</f>
        <v/>
      </c>
      <c r="C118" s="17" t="n">
        <v>-0.008832317217063889</v>
      </c>
      <c r="D118" s="17">
        <f>B118-C118</f>
        <v/>
      </c>
      <c r="E118" s="12" t="n">
        <v>0.0001</v>
      </c>
      <c r="F118">
        <f>IF(ABS(D118)&lt;=E118,"OK","CHECK")</f>
        <v/>
      </c>
    </row>
    <row r="119">
      <c r="A119" t="inlineStr">
        <is>
          <t>r Nike: CI upper</t>
        </is>
      </c>
      <c r="B119" s="17">
        <f>H1!P107</f>
        <v/>
      </c>
      <c r="C119" s="17" t="n">
        <v>0.6499158737976626</v>
      </c>
      <c r="D119" s="17">
        <f>B119-C119</f>
        <v/>
      </c>
      <c r="E119" s="12" t="n">
        <v>0.0001</v>
      </c>
      <c r="F119">
        <f>IF(ABS(D119)&lt;=E119,"OK","CHECK")</f>
        <v/>
      </c>
    </row>
    <row r="120">
      <c r="A120" t="inlineStr">
        <is>
          <t>r elf: Pearson r</t>
        </is>
      </c>
      <c r="B120" s="17">
        <f>H1!P113</f>
        <v/>
      </c>
      <c r="C120" s="17" t="n">
        <v>0.3443506013380153</v>
      </c>
      <c r="D120" s="17">
        <f>B120-C120</f>
        <v/>
      </c>
      <c r="E120" s="12" t="n">
        <v>0.0001</v>
      </c>
      <c r="F120">
        <f>IF(ABS(D120)&lt;=E120,"OK","CHECK")</f>
        <v/>
      </c>
    </row>
    <row r="121">
      <c r="A121" t="inlineStr">
        <is>
          <t>r elf: t</t>
        </is>
      </c>
      <c r="B121" s="17">
        <f>H1!P114</f>
        <v/>
      </c>
      <c r="C121" s="17" t="n">
        <v>1.870231696970415</v>
      </c>
      <c r="D121" s="17">
        <f>B121-C121</f>
        <v/>
      </c>
      <c r="E121" s="12" t="n">
        <v>0.001</v>
      </c>
      <c r="F121">
        <f>IF(ABS(D121)&lt;=E121,"OK","CHECK")</f>
        <v/>
      </c>
    </row>
    <row r="122">
      <c r="A122" t="inlineStr">
        <is>
          <t>r elf: p</t>
        </is>
      </c>
      <c r="B122" s="17">
        <f>H1!P115</f>
        <v/>
      </c>
      <c r="C122" s="17" t="n">
        <v>0.07275071371534626</v>
      </c>
      <c r="D122" s="17">
        <f>B122-C122</f>
        <v/>
      </c>
      <c r="E122" s="12" t="n">
        <v>3.637635685767314e-05</v>
      </c>
      <c r="F122">
        <f>IF(ABS(D122)&lt;=E122,"OK","CHECK")</f>
        <v/>
      </c>
    </row>
    <row r="123">
      <c r="A123" t="inlineStr">
        <is>
          <t>r elf: CI lower</t>
        </is>
      </c>
      <c r="B123" s="17">
        <f>H1!P116</f>
        <v/>
      </c>
      <c r="C123" s="17" t="n">
        <v>-0.03296077361762597</v>
      </c>
      <c r="D123" s="17">
        <f>B123-C123</f>
        <v/>
      </c>
      <c r="E123" s="12" t="n">
        <v>0.0001</v>
      </c>
      <c r="F123">
        <f>IF(ABS(D123)&lt;=E123,"OK","CHECK")</f>
        <v/>
      </c>
    </row>
    <row r="124">
      <c r="A124" t="inlineStr">
        <is>
          <t>r elf: CI upper</t>
        </is>
      </c>
      <c r="B124" s="17">
        <f>H1!P117</f>
        <v/>
      </c>
      <c r="C124" s="17" t="n">
        <v>0.6357528311830889</v>
      </c>
      <c r="D124" s="17">
        <f>B124-C124</f>
        <v/>
      </c>
      <c r="E124" s="12" t="n">
        <v>0.0001</v>
      </c>
      <c r="F124">
        <f>IF(ABS(D124)&lt;=E124,"OK","CHECK")</f>
        <v/>
      </c>
    </row>
    <row r="125">
      <c r="A125" t="inlineStr">
        <is>
          <t>r respondent means: Pearson r</t>
        </is>
      </c>
      <c r="B125" s="17">
        <f>H1!P123</f>
        <v/>
      </c>
      <c r="C125" s="17" t="n">
        <v>0.3036376671786949</v>
      </c>
      <c r="D125" s="17">
        <f>B125-C125</f>
        <v/>
      </c>
      <c r="E125" s="12" t="n">
        <v>0.0001</v>
      </c>
      <c r="F125">
        <f>IF(ABS(D125)&lt;=E125,"OK","CHECK")</f>
        <v/>
      </c>
    </row>
    <row r="126">
      <c r="A126" t="inlineStr">
        <is>
          <t>r respondent means: t</t>
        </is>
      </c>
      <c r="B126" s="17">
        <f>H1!P124</f>
        <v/>
      </c>
      <c r="C126" s="17" t="n">
        <v>1.624973317476843</v>
      </c>
      <c r="D126" s="17">
        <f>B126-C126</f>
        <v/>
      </c>
      <c r="E126" s="12" t="n">
        <v>0.001</v>
      </c>
      <c r="F126">
        <f>IF(ABS(D126)&lt;=E126,"OK","CHECK")</f>
        <v/>
      </c>
    </row>
    <row r="127">
      <c r="A127" t="inlineStr">
        <is>
          <t>r respondent means: p</t>
        </is>
      </c>
      <c r="B127" s="17">
        <f>H1!P125</f>
        <v/>
      </c>
      <c r="C127" s="17" t="n">
        <v>0.116230678223306</v>
      </c>
      <c r="D127" s="17">
        <f>B127-C127</f>
        <v/>
      </c>
      <c r="E127" s="12" t="n">
        <v>5.8116339111653e-05</v>
      </c>
      <c r="F127">
        <f>IF(ABS(D127)&lt;=E127,"OK","CHECK")</f>
        <v/>
      </c>
    </row>
    <row r="128">
      <c r="A128" t="inlineStr">
        <is>
          <t>r respondent means: CI lower</t>
        </is>
      </c>
      <c r="B128" s="17">
        <f>H1!P126</f>
        <v/>
      </c>
      <c r="C128" s="17" t="n">
        <v>-0.07831026449887817</v>
      </c>
      <c r="D128" s="17">
        <f>B128-C128</f>
        <v/>
      </c>
      <c r="E128" s="12" t="n">
        <v>0.0001</v>
      </c>
      <c r="F128">
        <f>IF(ABS(D128)&lt;=E128,"OK","CHECK")</f>
        <v/>
      </c>
    </row>
    <row r="129">
      <c r="A129" t="inlineStr">
        <is>
          <t>r respondent means: CI upper</t>
        </is>
      </c>
      <c r="B129" s="17">
        <f>H1!P127</f>
        <v/>
      </c>
      <c r="C129" s="17" t="n">
        <v>0.6078564863998401</v>
      </c>
      <c r="D129" s="17">
        <f>B129-C129</f>
        <v/>
      </c>
      <c r="E129" s="12" t="n">
        <v>0.0001</v>
      </c>
      <c r="F129">
        <f>IF(ABS(D129)&lt;=E129,"OK","CHECK")</f>
        <v/>
      </c>
    </row>
    <row r="130">
      <c r="A130" t="inlineStr">
        <is>
          <t>Responders only, r Nike: Pearson r</t>
        </is>
      </c>
      <c r="B130" s="17">
        <f>H1!P133</f>
        <v/>
      </c>
      <c r="C130" s="17" t="n">
        <v>0.4983546253203635</v>
      </c>
      <c r="D130" s="17">
        <f>B130-C130</f>
        <v/>
      </c>
      <c r="E130" s="12" t="n">
        <v>0.0001</v>
      </c>
      <c r="F130">
        <f>IF(ABS(D130)&lt;=E130,"OK","CHECK")</f>
        <v/>
      </c>
    </row>
    <row r="131">
      <c r="A131" t="inlineStr">
        <is>
          <t>Responders only, r Nike: p</t>
        </is>
      </c>
      <c r="B131" s="17">
        <f>H1!P135</f>
        <v/>
      </c>
      <c r="C131" s="17" t="n">
        <v>0.01122974878108162</v>
      </c>
      <c r="D131" s="17">
        <f>B131-C131</f>
        <v/>
      </c>
      <c r="E131" s="12" t="n">
        <v>5.61587439054081e-06</v>
      </c>
      <c r="F131">
        <f>IF(ABS(D131)&lt;=E131,"OK","CHECK")</f>
        <v/>
      </c>
    </row>
    <row r="132">
      <c r="A132" t="inlineStr">
        <is>
          <t>Responders only, r elf: Pearson r</t>
        </is>
      </c>
      <c r="B132" s="17">
        <f>H1!P143</f>
        <v/>
      </c>
      <c r="C132" s="17" t="n">
        <v>0.4516872625062722</v>
      </c>
      <c r="D132" s="17">
        <f>B132-C132</f>
        <v/>
      </c>
      <c r="E132" s="12" t="n">
        <v>0.0001</v>
      </c>
      <c r="F132">
        <f>IF(ABS(D132)&lt;=E132,"OK","CHECK")</f>
        <v/>
      </c>
    </row>
    <row r="133">
      <c r="A133" t="inlineStr">
        <is>
          <t>Responders only, r elf: p</t>
        </is>
      </c>
      <c r="B133" s="17">
        <f>H1!P145</f>
        <v/>
      </c>
      <c r="C133" s="17" t="n">
        <v>0.02341369226010244</v>
      </c>
      <c r="D133" s="17">
        <f>B133-C133</f>
        <v/>
      </c>
      <c r="E133" s="12" t="n">
        <v>1.170784613005122e-05</v>
      </c>
      <c r="F133">
        <f>IF(ABS(D133)&lt;=E133,"OK","CHECK")</f>
        <v/>
      </c>
    </row>
    <row r="134">
      <c r="A134" t="inlineStr">
        <is>
          <t>Summary Baseline_Nike: n</t>
        </is>
      </c>
      <c r="B134" s="17">
        <f>Summary!B5</f>
        <v/>
      </c>
      <c r="C134" s="17" t="n">
        <v>28</v>
      </c>
      <c r="D134" s="17">
        <f>B134-C134</f>
        <v/>
      </c>
      <c r="E134" s="12" t="n">
        <v>1e-09</v>
      </c>
      <c r="F134">
        <f>IF(ABS(D134)&lt;=E134,"OK","CHECK")</f>
        <v/>
      </c>
    </row>
    <row r="135">
      <c r="A135" t="inlineStr">
        <is>
          <t>Summary Baseline_Nike: PPM mean</t>
        </is>
      </c>
      <c r="B135" s="17">
        <f>Summary!C5</f>
        <v/>
      </c>
      <c r="C135" s="17" t="n">
        <v>2.296</v>
      </c>
      <c r="D135" s="17">
        <f>B135-C135</f>
        <v/>
      </c>
      <c r="E135" s="12" t="n">
        <v>0.0005999999999999999</v>
      </c>
      <c r="F135">
        <f>IF(ABS(D135)&lt;=E135,"OK","CHECK")</f>
        <v/>
      </c>
    </row>
    <row r="136">
      <c r="A136" t="inlineStr">
        <is>
          <t>Summary Baseline_Nike: PPM SD</t>
        </is>
      </c>
      <c r="B136" s="17">
        <f>Summary!D5</f>
        <v/>
      </c>
      <c r="C136" s="17" t="n">
        <v>1.092</v>
      </c>
      <c r="D136" s="17">
        <f>B136-C136</f>
        <v/>
      </c>
      <c r="E136" s="12" t="n">
        <v>0.0005999999999999999</v>
      </c>
      <c r="F136">
        <f>IF(ABS(D136)&lt;=E136,"OK","CHECK")</f>
        <v/>
      </c>
    </row>
    <row r="137">
      <c r="A137" t="inlineStr">
        <is>
          <t>Summary Baseline_Nike: Has Peaks (%)</t>
        </is>
      </c>
      <c r="B137" s="17">
        <f>Summary!E5</f>
        <v/>
      </c>
      <c r="C137" s="17" t="n">
        <v>96.40000000000001</v>
      </c>
      <c r="D137" s="17">
        <f>B137-C137</f>
        <v/>
      </c>
      <c r="E137" s="12" t="n">
        <v>0.06</v>
      </c>
      <c r="F137">
        <f>IF(ABS(D137)&lt;=E137,"OK","CHECK")</f>
        <v/>
      </c>
    </row>
    <row r="138">
      <c r="A138" t="inlineStr">
        <is>
          <t>Summary Baseline_Nike: peak amplitude mean</t>
        </is>
      </c>
      <c r="B138" s="17">
        <f>Summary!G5</f>
        <v/>
      </c>
      <c r="C138" s="17" t="n">
        <v>0.182</v>
      </c>
      <c r="D138" s="17">
        <f>B138-C138</f>
        <v/>
      </c>
      <c r="E138" s="12" t="n">
        <v>0.0005999999999999999</v>
      </c>
      <c r="F138">
        <f>IF(ABS(D138)&lt;=E138,"OK","CHECK")</f>
        <v/>
      </c>
    </row>
    <row r="139">
      <c r="A139" t="inlineStr">
        <is>
          <t>Summary Baseline_Nike: heart rate mean</t>
        </is>
      </c>
      <c r="B139" s="17">
        <f>Summary!I5</f>
        <v/>
      </c>
      <c r="C139" s="17" t="n">
        <v>76.17100000000001</v>
      </c>
      <c r="D139" s="17">
        <f>B139-C139</f>
        <v/>
      </c>
      <c r="E139" s="12" t="n">
        <v>0.0005999999999999999</v>
      </c>
      <c r="F139">
        <f>IF(ABS(D139)&lt;=E139,"OK","CHECK")</f>
        <v/>
      </c>
    </row>
    <row r="140">
      <c r="A140" t="inlineStr">
        <is>
          <t>Summary Baseline_Nike: heart rate SD</t>
        </is>
      </c>
      <c r="B140" s="17">
        <f>Summary!J5</f>
        <v/>
      </c>
      <c r="C140" s="17" t="n">
        <v>8.395</v>
      </c>
      <c r="D140" s="17">
        <f>B140-C140</f>
        <v/>
      </c>
      <c r="E140" s="12" t="n">
        <v>0.0005999999999999999</v>
      </c>
      <c r="F140">
        <f>IF(ABS(D140)&lt;=E140,"OK","CHECK")</f>
        <v/>
      </c>
    </row>
    <row r="141">
      <c r="A141" t="inlineStr">
        <is>
          <t>Summary Baseline_Nike: SNR mean</t>
        </is>
      </c>
      <c r="B141" s="17">
        <f>Summary!K5</f>
        <v/>
      </c>
      <c r="C141" s="17" t="n">
        <v>22.664</v>
      </c>
      <c r="D141" s="17">
        <f>B141-C141</f>
        <v/>
      </c>
      <c r="E141" s="12" t="n">
        <v>0.0005999999999999999</v>
      </c>
      <c r="F141">
        <f>IF(ABS(D141)&lt;=E141,"OK","CHECK")</f>
        <v/>
      </c>
    </row>
    <row r="142">
      <c r="A142" t="inlineStr">
        <is>
          <t>Summary Nike_Commercial: n</t>
        </is>
      </c>
      <c r="B142" s="17">
        <f>Summary!B6</f>
        <v/>
      </c>
      <c r="C142" s="17" t="n">
        <v>28</v>
      </c>
      <c r="D142" s="17">
        <f>B142-C142</f>
        <v/>
      </c>
      <c r="E142" s="12" t="n">
        <v>1e-09</v>
      </c>
      <c r="F142">
        <f>IF(ABS(D142)&lt;=E142,"OK","CHECK")</f>
        <v/>
      </c>
    </row>
    <row r="143">
      <c r="A143" t="inlineStr">
        <is>
          <t>Summary Nike_Commercial: PPM mean</t>
        </is>
      </c>
      <c r="B143" s="17">
        <f>Summary!C6</f>
        <v/>
      </c>
      <c r="C143" s="17" t="n">
        <v>4.658</v>
      </c>
      <c r="D143" s="17">
        <f>B143-C143</f>
        <v/>
      </c>
      <c r="E143" s="12" t="n">
        <v>0.0005999999999999999</v>
      </c>
      <c r="F143">
        <f>IF(ABS(D143)&lt;=E143,"OK","CHECK")</f>
        <v/>
      </c>
    </row>
    <row r="144">
      <c r="A144" t="inlineStr">
        <is>
          <t>Summary Nike_Commercial: PPM SD</t>
        </is>
      </c>
      <c r="B144" s="17">
        <f>Summary!D6</f>
        <v/>
      </c>
      <c r="C144" s="17" t="n">
        <v>2.045</v>
      </c>
      <c r="D144" s="17">
        <f>B144-C144</f>
        <v/>
      </c>
      <c r="E144" s="12" t="n">
        <v>0.0005999999999999999</v>
      </c>
      <c r="F144">
        <f>IF(ABS(D144)&lt;=E144,"OK","CHECK")</f>
        <v/>
      </c>
    </row>
    <row r="145">
      <c r="A145" t="inlineStr">
        <is>
          <t>Summary Nike_Commercial: Has Peaks (%)</t>
        </is>
      </c>
      <c r="B145" s="17">
        <f>Summary!E6</f>
        <v/>
      </c>
      <c r="C145" s="17" t="n">
        <v>96.40000000000001</v>
      </c>
      <c r="D145" s="17">
        <f>B145-C145</f>
        <v/>
      </c>
      <c r="E145" s="12" t="n">
        <v>0.06</v>
      </c>
      <c r="F145">
        <f>IF(ABS(D145)&lt;=E145,"OK","CHECK")</f>
        <v/>
      </c>
    </row>
    <row r="146">
      <c r="A146" t="inlineStr">
        <is>
          <t>Summary Nike_Commercial: peak amplitude mean</t>
        </is>
      </c>
      <c r="B146" s="17">
        <f>Summary!G6</f>
        <v/>
      </c>
      <c r="C146" s="17" t="n">
        <v>0.274</v>
      </c>
      <c r="D146" s="17">
        <f>B146-C146</f>
        <v/>
      </c>
      <c r="E146" s="12" t="n">
        <v>0.0005999999999999999</v>
      </c>
      <c r="F146">
        <f>IF(ABS(D146)&lt;=E146,"OK","CHECK")</f>
        <v/>
      </c>
    </row>
    <row r="147">
      <c r="A147" t="inlineStr">
        <is>
          <t>Summary Nike_Commercial: heart rate mean</t>
        </is>
      </c>
      <c r="B147" s="17">
        <f>Summary!I6</f>
        <v/>
      </c>
      <c r="C147" s="17" t="n">
        <v>74.664</v>
      </c>
      <c r="D147" s="17">
        <f>B147-C147</f>
        <v/>
      </c>
      <c r="E147" s="12" t="n">
        <v>0.0005999999999999999</v>
      </c>
      <c r="F147">
        <f>IF(ABS(D147)&lt;=E147,"OK","CHECK")</f>
        <v/>
      </c>
    </row>
    <row r="148">
      <c r="A148" t="inlineStr">
        <is>
          <t>Summary Nike_Commercial: heart rate SD</t>
        </is>
      </c>
      <c r="B148" s="17">
        <f>Summary!J6</f>
        <v/>
      </c>
      <c r="C148" s="17" t="n">
        <v>8.327</v>
      </c>
      <c r="D148" s="17">
        <f>B148-C148</f>
        <v/>
      </c>
      <c r="E148" s="12" t="n">
        <v>0.0005999999999999999</v>
      </c>
      <c r="F148">
        <f>IF(ABS(D148)&lt;=E148,"OK","CHECK")</f>
        <v/>
      </c>
    </row>
    <row r="149">
      <c r="A149" t="inlineStr">
        <is>
          <t>Summary Nike_Commercial: SNR mean</t>
        </is>
      </c>
      <c r="B149" s="17">
        <f>Summary!K6</f>
        <v/>
      </c>
      <c r="C149" s="17" t="n">
        <v>23.557</v>
      </c>
      <c r="D149" s="17">
        <f>B149-C149</f>
        <v/>
      </c>
      <c r="E149" s="12" t="n">
        <v>0.0005999999999999999</v>
      </c>
      <c r="F149">
        <f>IF(ABS(D149)&lt;=E149,"OK","CHECK")</f>
        <v/>
      </c>
    </row>
    <row r="150">
      <c r="A150" t="inlineStr">
        <is>
          <t>Summary Recovery_Nike: n</t>
        </is>
      </c>
      <c r="B150" s="17">
        <f>Summary!B7</f>
        <v/>
      </c>
      <c r="C150" s="17" t="n">
        <v>28</v>
      </c>
      <c r="D150" s="17">
        <f>B150-C150</f>
        <v/>
      </c>
      <c r="E150" s="12" t="n">
        <v>1e-09</v>
      </c>
      <c r="F150">
        <f>IF(ABS(D150)&lt;=E150,"OK","CHECK")</f>
        <v/>
      </c>
    </row>
    <row r="151">
      <c r="A151" t="inlineStr">
        <is>
          <t>Summary Recovery_Nike: PPM mean</t>
        </is>
      </c>
      <c r="B151" s="17">
        <f>Summary!C7</f>
        <v/>
      </c>
      <c r="C151" s="17" t="n">
        <v>3.286</v>
      </c>
      <c r="D151" s="17">
        <f>B151-C151</f>
        <v/>
      </c>
      <c r="E151" s="12" t="n">
        <v>0.0005999999999999999</v>
      </c>
      <c r="F151">
        <f>IF(ABS(D151)&lt;=E151,"OK","CHECK")</f>
        <v/>
      </c>
    </row>
    <row r="152">
      <c r="A152" t="inlineStr">
        <is>
          <t>Summary Recovery_Nike: PPM SD</t>
        </is>
      </c>
      <c r="B152" s="17">
        <f>Summary!D7</f>
        <v/>
      </c>
      <c r="C152" s="17" t="n">
        <v>2.447</v>
      </c>
      <c r="D152" s="17">
        <f>B152-C152</f>
        <v/>
      </c>
      <c r="E152" s="12" t="n">
        <v>0.0005999999999999999</v>
      </c>
      <c r="F152">
        <f>IF(ABS(D152)&lt;=E152,"OK","CHECK")</f>
        <v/>
      </c>
    </row>
    <row r="153">
      <c r="A153" t="inlineStr">
        <is>
          <t>Summary Recovery_Nike: Has Peaks (%)</t>
        </is>
      </c>
      <c r="B153" s="17">
        <f>Summary!E7</f>
        <v/>
      </c>
      <c r="C153" s="17" t="n">
        <v>71.40000000000001</v>
      </c>
      <c r="D153" s="17">
        <f>B153-C153</f>
        <v/>
      </c>
      <c r="E153" s="12" t="n">
        <v>0.06</v>
      </c>
      <c r="F153">
        <f>IF(ABS(D153)&lt;=E153,"OK","CHECK")</f>
        <v/>
      </c>
    </row>
    <row r="154">
      <c r="A154" t="inlineStr">
        <is>
          <t>Summary Recovery_Nike: peak amplitude mean</t>
        </is>
      </c>
      <c r="B154" s="17">
        <f>Summary!G7</f>
        <v/>
      </c>
      <c r="C154" s="17" t="n">
        <v>0.2</v>
      </c>
      <c r="D154" s="17">
        <f>B154-C154</f>
        <v/>
      </c>
      <c r="E154" s="12" t="n">
        <v>0.0005999999999999999</v>
      </c>
      <c r="F154">
        <f>IF(ABS(D154)&lt;=E154,"OK","CHECK")</f>
        <v/>
      </c>
    </row>
    <row r="155">
      <c r="A155" t="inlineStr">
        <is>
          <t>Summary Recovery_Nike: heart rate mean</t>
        </is>
      </c>
      <c r="B155" s="17">
        <f>Summary!I7</f>
        <v/>
      </c>
      <c r="C155" s="17" t="n">
        <v>75.554</v>
      </c>
      <c r="D155" s="17">
        <f>B155-C155</f>
        <v/>
      </c>
      <c r="E155" s="12" t="n">
        <v>0.0005999999999999999</v>
      </c>
      <c r="F155">
        <f>IF(ABS(D155)&lt;=E155,"OK","CHECK")</f>
        <v/>
      </c>
    </row>
    <row r="156">
      <c r="A156" t="inlineStr">
        <is>
          <t>Summary Recovery_Nike: heart rate SD</t>
        </is>
      </c>
      <c r="B156" s="17">
        <f>Summary!J7</f>
        <v/>
      </c>
      <c r="C156" s="17" t="n">
        <v>8.387</v>
      </c>
      <c r="D156" s="17">
        <f>B156-C156</f>
        <v/>
      </c>
      <c r="E156" s="12" t="n">
        <v>0.0005999999999999999</v>
      </c>
      <c r="F156">
        <f>IF(ABS(D156)&lt;=E156,"OK","CHECK")</f>
        <v/>
      </c>
    </row>
    <row r="157">
      <c r="A157" t="inlineStr">
        <is>
          <t>Summary Recovery_Nike: SNR mean</t>
        </is>
      </c>
      <c r="B157" s="17">
        <f>Summary!K7</f>
        <v/>
      </c>
      <c r="C157" s="17" t="n">
        <v>23.243</v>
      </c>
      <c r="D157" s="17">
        <f>B157-C157</f>
        <v/>
      </c>
      <c r="E157" s="12" t="n">
        <v>0.0005999999999999999</v>
      </c>
      <c r="F157">
        <f>IF(ABS(D157)&lt;=E157,"OK","CHECK")</f>
        <v/>
      </c>
    </row>
    <row r="158">
      <c r="A158" t="inlineStr">
        <is>
          <t>Summary Baseline_elf: n</t>
        </is>
      </c>
      <c r="B158" s="17">
        <f>Summary!B8</f>
        <v/>
      </c>
      <c r="C158" s="17" t="n">
        <v>28</v>
      </c>
      <c r="D158" s="17">
        <f>B158-C158</f>
        <v/>
      </c>
      <c r="E158" s="12" t="n">
        <v>1e-09</v>
      </c>
      <c r="F158">
        <f>IF(ABS(D158)&lt;=E158,"OK","CHECK")</f>
        <v/>
      </c>
    </row>
    <row r="159">
      <c r="A159" t="inlineStr">
        <is>
          <t>Summary Baseline_elf: PPM mean</t>
        </is>
      </c>
      <c r="B159" s="17">
        <f>Summary!C8</f>
        <v/>
      </c>
      <c r="C159" s="17" t="n">
        <v>2.471</v>
      </c>
      <c r="D159" s="17">
        <f>B159-C159</f>
        <v/>
      </c>
      <c r="E159" s="12" t="n">
        <v>0.0005999999999999999</v>
      </c>
      <c r="F159">
        <f>IF(ABS(D159)&lt;=E159,"OK","CHECK")</f>
        <v/>
      </c>
    </row>
    <row r="160">
      <c r="A160" t="inlineStr">
        <is>
          <t>Summary Baseline_elf: PPM SD</t>
        </is>
      </c>
      <c r="B160" s="17">
        <f>Summary!D8</f>
        <v/>
      </c>
      <c r="C160" s="17" t="n">
        <v>1.345</v>
      </c>
      <c r="D160" s="17">
        <f>B160-C160</f>
        <v/>
      </c>
      <c r="E160" s="12" t="n">
        <v>0.0005999999999999999</v>
      </c>
      <c r="F160">
        <f>IF(ABS(D160)&lt;=E160,"OK","CHECK")</f>
        <v/>
      </c>
    </row>
    <row r="161">
      <c r="A161" t="inlineStr">
        <is>
          <t>Summary Baseline_elf: Has Peaks (%)</t>
        </is>
      </c>
      <c r="B161" s="17">
        <f>Summary!E8</f>
        <v/>
      </c>
      <c r="C161" s="17" t="n">
        <v>85.7</v>
      </c>
      <c r="D161" s="17">
        <f>B161-C161</f>
        <v/>
      </c>
      <c r="E161" s="12" t="n">
        <v>0.06</v>
      </c>
      <c r="F161">
        <f>IF(ABS(D161)&lt;=E161,"OK","CHECK")</f>
        <v/>
      </c>
    </row>
    <row r="162">
      <c r="A162" t="inlineStr">
        <is>
          <t>Summary Baseline_elf: peak amplitude mean</t>
        </is>
      </c>
      <c r="B162" s="17">
        <f>Summary!G8</f>
        <v/>
      </c>
      <c r="C162" s="17" t="n">
        <v>0.194</v>
      </c>
      <c r="D162" s="17">
        <f>B162-C162</f>
        <v/>
      </c>
      <c r="E162" s="12" t="n">
        <v>0.0005999999999999999</v>
      </c>
      <c r="F162">
        <f>IF(ABS(D162)&lt;=E162,"OK","CHECK")</f>
        <v/>
      </c>
    </row>
    <row r="163">
      <c r="A163" t="inlineStr">
        <is>
          <t>Summary Baseline_elf: heart rate mean</t>
        </is>
      </c>
      <c r="B163" s="17">
        <f>Summary!I8</f>
        <v/>
      </c>
      <c r="C163" s="17" t="n">
        <v>75.432</v>
      </c>
      <c r="D163" s="17">
        <f>B163-C163</f>
        <v/>
      </c>
      <c r="E163" s="12" t="n">
        <v>0.0005999999999999999</v>
      </c>
      <c r="F163">
        <f>IF(ABS(D163)&lt;=E163,"OK","CHECK")</f>
        <v/>
      </c>
    </row>
    <row r="164">
      <c r="A164" t="inlineStr">
        <is>
          <t>Summary Baseline_elf: heart rate SD</t>
        </is>
      </c>
      <c r="B164" s="17">
        <f>Summary!J8</f>
        <v/>
      </c>
      <c r="C164" s="17" t="n">
        <v>8.808999999999999</v>
      </c>
      <c r="D164" s="17">
        <f>B164-C164</f>
        <v/>
      </c>
      <c r="E164" s="12" t="n">
        <v>0.0005999999999999999</v>
      </c>
      <c r="F164">
        <f>IF(ABS(D164)&lt;=E164,"OK","CHECK")</f>
        <v/>
      </c>
    </row>
    <row r="165">
      <c r="A165" t="inlineStr">
        <is>
          <t>Summary Baseline_elf: SNR mean</t>
        </is>
      </c>
      <c r="B165" s="17">
        <f>Summary!K8</f>
        <v/>
      </c>
      <c r="C165" s="17" t="n">
        <v>22.518</v>
      </c>
      <c r="D165" s="17">
        <f>B165-C165</f>
        <v/>
      </c>
      <c r="E165" s="12" t="n">
        <v>0.0005999999999999999</v>
      </c>
      <c r="F165">
        <f>IF(ABS(D165)&lt;=E165,"OK","CHECK")</f>
        <v/>
      </c>
    </row>
    <row r="166">
      <c r="A166" t="inlineStr">
        <is>
          <t>Summary elf_Commercial: n</t>
        </is>
      </c>
      <c r="B166" s="17">
        <f>Summary!B9</f>
        <v/>
      </c>
      <c r="C166" s="17" t="n">
        <v>28</v>
      </c>
      <c r="D166" s="17">
        <f>B166-C166</f>
        <v/>
      </c>
      <c r="E166" s="12" t="n">
        <v>1e-09</v>
      </c>
      <c r="F166">
        <f>IF(ABS(D166)&lt;=E166,"OK","CHECK")</f>
        <v/>
      </c>
    </row>
    <row r="167">
      <c r="A167" t="inlineStr">
        <is>
          <t>Summary elf_Commercial: PPM mean</t>
        </is>
      </c>
      <c r="B167" s="17">
        <f>Summary!C9</f>
        <v/>
      </c>
      <c r="C167" s="17" t="n">
        <v>3.5</v>
      </c>
      <c r="D167" s="17">
        <f>B167-C167</f>
        <v/>
      </c>
      <c r="E167" s="12" t="n">
        <v>0.0005999999999999999</v>
      </c>
      <c r="F167">
        <f>IF(ABS(D167)&lt;=E167,"OK","CHECK")</f>
        <v/>
      </c>
    </row>
    <row r="168">
      <c r="A168" t="inlineStr">
        <is>
          <t>Summary elf_Commercial: PPM SD</t>
        </is>
      </c>
      <c r="B168" s="17">
        <f>Summary!D9</f>
        <v/>
      </c>
      <c r="C168" s="17" t="n">
        <v>1.856</v>
      </c>
      <c r="D168" s="17">
        <f>B168-C168</f>
        <v/>
      </c>
      <c r="E168" s="12" t="n">
        <v>0.0005999999999999999</v>
      </c>
      <c r="F168">
        <f>IF(ABS(D168)&lt;=E168,"OK","CHECK")</f>
        <v/>
      </c>
    </row>
    <row r="169">
      <c r="A169" t="inlineStr">
        <is>
          <t>Summary elf_Commercial: Has Peaks (%)</t>
        </is>
      </c>
      <c r="B169" s="17">
        <f>Summary!E9</f>
        <v/>
      </c>
      <c r="C169" s="17" t="n">
        <v>89.3</v>
      </c>
      <c r="D169" s="17">
        <f>B169-C169</f>
        <v/>
      </c>
      <c r="E169" s="12" t="n">
        <v>0.06</v>
      </c>
      <c r="F169">
        <f>IF(ABS(D169)&lt;=E169,"OK","CHECK")</f>
        <v/>
      </c>
    </row>
    <row r="170">
      <c r="A170" t="inlineStr">
        <is>
          <t>Summary elf_Commercial: peak amplitude mean</t>
        </is>
      </c>
      <c r="B170" s="17">
        <f>Summary!G9</f>
        <v/>
      </c>
      <c r="C170" s="17" t="n">
        <v>0.254</v>
      </c>
      <c r="D170" s="17">
        <f>B170-C170</f>
        <v/>
      </c>
      <c r="E170" s="12" t="n">
        <v>0.0005999999999999999</v>
      </c>
      <c r="F170">
        <f>IF(ABS(D170)&lt;=E170,"OK","CHECK")</f>
        <v/>
      </c>
    </row>
    <row r="171">
      <c r="A171" t="inlineStr">
        <is>
          <t>Summary elf_Commercial: heart rate mean</t>
        </is>
      </c>
      <c r="B171" s="17">
        <f>Summary!I9</f>
        <v/>
      </c>
      <c r="C171" s="17" t="n">
        <v>74.45699999999999</v>
      </c>
      <c r="D171" s="17">
        <f>B171-C171</f>
        <v/>
      </c>
      <c r="E171" s="12" t="n">
        <v>0.0005999999999999999</v>
      </c>
      <c r="F171">
        <f>IF(ABS(D171)&lt;=E171,"OK","CHECK")</f>
        <v/>
      </c>
    </row>
    <row r="172">
      <c r="A172" t="inlineStr">
        <is>
          <t>Summary elf_Commercial: heart rate SD</t>
        </is>
      </c>
      <c r="B172" s="17">
        <f>Summary!J9</f>
        <v/>
      </c>
      <c r="C172" s="17" t="n">
        <v>8.339</v>
      </c>
      <c r="D172" s="17">
        <f>B172-C172</f>
        <v/>
      </c>
      <c r="E172" s="12" t="n">
        <v>0.0005999999999999999</v>
      </c>
      <c r="F172">
        <f>IF(ABS(D172)&lt;=E172,"OK","CHECK")</f>
        <v/>
      </c>
    </row>
    <row r="173">
      <c r="A173" t="inlineStr">
        <is>
          <t>Summary elf_Commercial: SNR mean</t>
        </is>
      </c>
      <c r="B173" s="17">
        <f>Summary!K9</f>
        <v/>
      </c>
      <c r="C173" s="17" t="n">
        <v>22.721</v>
      </c>
      <c r="D173" s="17">
        <f>B173-C173</f>
        <v/>
      </c>
      <c r="E173" s="12" t="n">
        <v>0.0005999999999999999</v>
      </c>
      <c r="F173">
        <f>IF(ABS(D173)&lt;=E173,"OK","CHECK")</f>
        <v/>
      </c>
    </row>
    <row r="174">
      <c r="A174" t="inlineStr">
        <is>
          <t>Summary Recovery_elf: n</t>
        </is>
      </c>
      <c r="B174" s="17">
        <f>Summary!B10</f>
        <v/>
      </c>
      <c r="C174" s="17" t="n">
        <v>28</v>
      </c>
      <c r="D174" s="17">
        <f>B174-C174</f>
        <v/>
      </c>
      <c r="E174" s="12" t="n">
        <v>1e-09</v>
      </c>
      <c r="F174">
        <f>IF(ABS(D174)&lt;=E174,"OK","CHECK")</f>
        <v/>
      </c>
    </row>
    <row r="175">
      <c r="A175" t="inlineStr">
        <is>
          <t>Summary Recovery_elf: PPM mean</t>
        </is>
      </c>
      <c r="B175" s="17">
        <f>Summary!C10</f>
        <v/>
      </c>
      <c r="C175" s="17" t="n">
        <v>3.286</v>
      </c>
      <c r="D175" s="17">
        <f>B175-C175</f>
        <v/>
      </c>
      <c r="E175" s="12" t="n">
        <v>0.0005999999999999999</v>
      </c>
      <c r="F175">
        <f>IF(ABS(D175)&lt;=E175,"OK","CHECK")</f>
        <v/>
      </c>
    </row>
    <row r="176">
      <c r="A176" t="inlineStr">
        <is>
          <t>Summary Recovery_elf: PPM SD</t>
        </is>
      </c>
      <c r="B176" s="17">
        <f>Summary!D10</f>
        <v/>
      </c>
      <c r="C176" s="17" t="n">
        <v>2.192</v>
      </c>
      <c r="D176" s="17">
        <f>B176-C176</f>
        <v/>
      </c>
      <c r="E176" s="12" t="n">
        <v>0.0005999999999999999</v>
      </c>
      <c r="F176">
        <f>IF(ABS(D176)&lt;=E176,"OK","CHECK")</f>
        <v/>
      </c>
    </row>
    <row r="177">
      <c r="A177" t="inlineStr">
        <is>
          <t>Summary Recovery_elf: Has Peaks (%)</t>
        </is>
      </c>
      <c r="B177" s="17">
        <f>Summary!E10</f>
        <v/>
      </c>
      <c r="C177" s="17" t="n">
        <v>75</v>
      </c>
      <c r="D177" s="17">
        <f>B177-C177</f>
        <v/>
      </c>
      <c r="E177" s="12" t="n">
        <v>0.06</v>
      </c>
      <c r="F177">
        <f>IF(ABS(D177)&lt;=E177,"OK","CHECK")</f>
        <v/>
      </c>
    </row>
    <row r="178">
      <c r="A178" t="inlineStr">
        <is>
          <t>Summary Recovery_elf: peak amplitude mean</t>
        </is>
      </c>
      <c r="B178" s="17">
        <f>Summary!G10</f>
        <v/>
      </c>
      <c r="C178" s="17" t="n">
        <v>0.21</v>
      </c>
      <c r="D178" s="17">
        <f>B178-C178</f>
        <v/>
      </c>
      <c r="E178" s="12" t="n">
        <v>0.0005999999999999999</v>
      </c>
      <c r="F178">
        <f>IF(ABS(D178)&lt;=E178,"OK","CHECK")</f>
        <v/>
      </c>
    </row>
    <row r="179">
      <c r="A179" t="inlineStr">
        <is>
          <t>Summary Recovery_elf: heart rate mean</t>
        </is>
      </c>
      <c r="B179" s="17">
        <f>Summary!I10</f>
        <v/>
      </c>
      <c r="C179" s="17" t="n">
        <v>75.22499999999999</v>
      </c>
      <c r="D179" s="17">
        <f>B179-C179</f>
        <v/>
      </c>
      <c r="E179" s="12" t="n">
        <v>0.0005999999999999999</v>
      </c>
      <c r="F179">
        <f>IF(ABS(D179)&lt;=E179,"OK","CHECK")</f>
        <v/>
      </c>
    </row>
    <row r="180">
      <c r="A180" t="inlineStr">
        <is>
          <t>Summary Recovery_elf: heart rate SD</t>
        </is>
      </c>
      <c r="B180" s="17">
        <f>Summary!J10</f>
        <v/>
      </c>
      <c r="C180" s="17" t="n">
        <v>8.563000000000001</v>
      </c>
      <c r="D180" s="17">
        <f>B180-C180</f>
        <v/>
      </c>
      <c r="E180" s="12" t="n">
        <v>0.0005999999999999999</v>
      </c>
      <c r="F180">
        <f>IF(ABS(D180)&lt;=E180,"OK","CHECK")</f>
        <v/>
      </c>
    </row>
    <row r="181">
      <c r="A181" t="inlineStr">
        <is>
          <t>Summary Recovery_elf: SNR mean</t>
        </is>
      </c>
      <c r="B181" s="17">
        <f>Summary!K10</f>
        <v/>
      </c>
      <c r="C181" s="17" t="n">
        <v>23.193</v>
      </c>
      <c r="D181" s="17">
        <f>B181-C181</f>
        <v/>
      </c>
      <c r="E181" s="12" t="n">
        <v>0.0005999999999999999</v>
      </c>
      <c r="F181">
        <f>IF(ABS(D181)&lt;=E181,"OK","CHECK")</f>
        <v/>
      </c>
    </row>
    <row r="182">
      <c r="A182" t="inlineStr">
        <is>
          <t>Data rows with Keep = No (R: 6 stimuli x excluded respondents)</t>
        </is>
      </c>
      <c r="B182" s="17">
        <f>COUNTIF(Data!$X$2:$X$181,"No")</f>
        <v/>
      </c>
      <c r="C182" s="17" t="n">
        <v>12</v>
      </c>
      <c r="D182" s="17">
        <f>B182-C182</f>
        <v/>
      </c>
      <c r="E182" s="12" t="n">
        <v>1e-09</v>
      </c>
      <c r="F182">
        <f>IF(ABS(D182)&lt;=E182,"OK","CHECK")</f>
        <v/>
      </c>
      <c r="G182" s="7" t="inlineStr">
        <is>
          <t>excluded respondents counted by the rule in R: 30 minus the kept n</t>
        </is>
      </c>
    </row>
    <row r="183">
      <c r="A183" t="inlineStr">
        <is>
          <t>Kept nonresponder rows in Nike_Commercial (R: kept n minus responders n)</t>
        </is>
      </c>
      <c r="B183" s="17">
        <f>COUNTIFS(Data!$G$2:$G$181,"Nike_Commercial",Data!$X$2:$X$181,"Yes",Data!$Y$2:$Y$181,1)</f>
        <v/>
      </c>
      <c r="C183" s="17" t="n">
        <v>3</v>
      </c>
      <c r="D183" s="17">
        <f>B183-C183</f>
        <v/>
      </c>
      <c r="E183" s="12" t="n">
        <v>1e-09</v>
      </c>
      <c r="F183">
        <f>IF(ABS(D183)&lt;=E183,"OK","CHECK")</f>
        <v/>
      </c>
    </row>
    <row r="184">
      <c r="A184" t="inlineStr">
        <is>
          <t>Largest gap between exported and recalculated Peaks Per Minute</t>
        </is>
      </c>
      <c r="B184" s="17">
        <f>Summary!B16</f>
        <v/>
      </c>
      <c r="C184" s="17" t="n">
        <v>0</v>
      </c>
      <c r="D184" s="17">
        <f>B184-C184</f>
        <v/>
      </c>
      <c r="E184" s="12" t="n">
        <v>0.00051</v>
      </c>
      <c r="F184">
        <f>IF(ABS(D184)&lt;=E184,"OK","CHECK")</f>
        <v/>
      </c>
      <c r="G184" s="7" t="inlineStr">
        <is>
          <t>the export rounds Peaks Per Minute to 3 decimals; R reports the same gap in section 2</t>
        </is>
      </c>
    </row>
    <row r="185">
      <c r="A185" t="inlineStr">
        <is>
          <t>Kept rows with Signal Duration shorter than Duration</t>
        </is>
      </c>
      <c r="B185" s="17">
        <f>Summary!B14</f>
        <v/>
      </c>
      <c r="C185" s="17" t="n">
        <v>3</v>
      </c>
      <c r="D185" s="17">
        <f>B185-C185</f>
        <v/>
      </c>
      <c r="E185" s="12" t="n">
        <v>1e-09</v>
      </c>
      <c r="F185">
        <f>IF(ABS(D185)&lt;=E185,"OK","CHECK")</f>
        <v/>
      </c>
      <c r="G185" s="7" t="inlineStr">
        <is>
          <t>analysis_output.txt section 9</t>
        </is>
      </c>
    </row>
    <row r="186">
      <c r="A186" t="inlineStr">
        <is>
          <t>Largest understatement if Duration were used (kept rows)</t>
        </is>
      </c>
      <c r="B186" s="17">
        <f>Summary!B15</f>
        <v/>
      </c>
      <c r="C186" s="17" t="n">
        <v>0.415</v>
      </c>
      <c r="D186" s="17">
        <f>B186-C186</f>
        <v/>
      </c>
      <c r="E186" s="12" t="n">
        <v>0.0011</v>
      </c>
      <c r="F186">
        <f>IF(ABS(D186)&lt;=E186,"OK","CHECK")</f>
        <v/>
      </c>
      <c r="G186" s="7" t="inlineStr">
        <is>
          <t>analysis_output.txt section 9 (rounded to 3 decimals)</t>
        </is>
      </c>
    </row>
    <row r="187">
      <c r="A187" t="inlineStr">
        <is>
          <t>Device Shimmer3-8956: SNR mean</t>
        </is>
      </c>
      <c r="B187" s="17">
        <f>Summary!C19</f>
        <v/>
      </c>
      <c r="C187" s="17" t="n">
        <v>22.9</v>
      </c>
      <c r="D187" s="17">
        <f>B187-C187</f>
        <v/>
      </c>
      <c r="E187" s="12" t="n">
        <v>0.006</v>
      </c>
      <c r="F187">
        <f>IF(ABS(D187)&lt;=E187,"OK","CHECK")</f>
        <v/>
      </c>
      <c r="G187" s="7" t="inlineStr">
        <is>
          <t>analysis_output.txt section 9</t>
        </is>
      </c>
    </row>
    <row r="188">
      <c r="A188" t="inlineStr">
        <is>
          <t>Device Shimmer3-8956: PPM mean (baselines and commercials)</t>
        </is>
      </c>
      <c r="B188" s="17">
        <f>Summary!D19</f>
        <v/>
      </c>
      <c r="C188" s="17" t="n">
        <v>3.34</v>
      </c>
      <c r="D188" s="17">
        <f>B188-C188</f>
        <v/>
      </c>
      <c r="E188" s="12" t="n">
        <v>0.006</v>
      </c>
      <c r="F188">
        <f>IF(ABS(D188)&lt;=E188,"OK","CHECK")</f>
        <v/>
      </c>
      <c r="G188" s="7" t="inlineStr">
        <is>
          <t>analysis_output.txt section 9</t>
        </is>
      </c>
    </row>
    <row r="189">
      <c r="A189" t="inlineStr">
        <is>
          <t>Device Shimmer3-B: SNR mean</t>
        </is>
      </c>
      <c r="B189" s="17">
        <f>Summary!C20</f>
        <v/>
      </c>
      <c r="C189" s="17" t="n">
        <v>23.07</v>
      </c>
      <c r="D189" s="17">
        <f>B189-C189</f>
        <v/>
      </c>
      <c r="E189" s="12" t="n">
        <v>0.006</v>
      </c>
      <c r="F189">
        <f>IF(ABS(D189)&lt;=E189,"OK","CHECK")</f>
        <v/>
      </c>
      <c r="G189" s="7" t="inlineStr">
        <is>
          <t>analysis_output.txt section 9</t>
        </is>
      </c>
    </row>
    <row r="190">
      <c r="A190" t="inlineStr">
        <is>
          <t>Device Shimmer3-B: PPM mean (baselines and commercials)</t>
        </is>
      </c>
      <c r="B190" s="17">
        <f>Summary!D20</f>
        <v/>
      </c>
      <c r="C190" s="17" t="n">
        <v>3.12</v>
      </c>
      <c r="D190" s="17">
        <f>B190-C190</f>
        <v/>
      </c>
      <c r="E190" s="12" t="n">
        <v>0.006</v>
      </c>
      <c r="F190">
        <f>IF(ABS(D190)&lt;=E190,"OK","CHECK")</f>
        <v/>
      </c>
      <c r="G190" s="7" t="inlineStr">
        <is>
          <t>analysis_output.txt section 9</t>
        </is>
      </c>
    </row>
    <row r="191"/>
    <row r="192">
      <c r="A192" s="10" t="inlineStr">
        <is>
          <t>Rows with status CHECK</t>
        </is>
      </c>
      <c r="B192">
        <f>COUNTIF(F4:F190,"CHECK")</f>
        <v/>
      </c>
    </row>
    <row r="193">
      <c r="A193" s="7" t="inlineStr">
        <is>
          <t>Not reproducible in Excel: the Wilcoxon signed rank tests, the Shapiro Wilk tests, the mixed model with its ICC, the noncentral t interval for d_z, the Spearman correlations, and the moment to moment bins (they need the GSR Peak Table). See analysis_output.txt.</t>
        </is>
      </c>
    </row>
    <row r="194"/>
    <row r="195">
      <c r="A195" s="10" t="inlineStr">
        <is>
          <t>analysis.R: paired tests (SIMULATED_test_results.csv)</t>
        </is>
      </c>
    </row>
    <row r="196">
      <c r="A196" s="2" t="inlineStr">
        <is>
          <t>id</t>
        </is>
      </c>
      <c r="B196" s="2" t="inlineStr">
        <is>
          <t>comparison</t>
        </is>
      </c>
      <c r="C196" s="2" t="inlineStr">
        <is>
          <t>n</t>
        </is>
      </c>
      <c r="D196" s="2" t="inlineStr">
        <is>
          <t>m_ref</t>
        </is>
      </c>
      <c r="E196" s="2" t="inlineStr">
        <is>
          <t>m_cmp</t>
        </is>
      </c>
      <c r="F196" s="2" t="inlineStr">
        <is>
          <t>mean_diff</t>
        </is>
      </c>
      <c r="G196" s="2" t="inlineStr">
        <is>
          <t>sd_diff</t>
        </is>
      </c>
      <c r="H196" s="2" t="inlineStr">
        <is>
          <t>diff_ci_low</t>
        </is>
      </c>
      <c r="I196" s="2" t="inlineStr">
        <is>
          <t>diff_ci_high</t>
        </is>
      </c>
      <c r="J196" s="2" t="inlineStr">
        <is>
          <t>t</t>
        </is>
      </c>
      <c r="K196" s="2" t="inlineStr">
        <is>
          <t>df</t>
        </is>
      </c>
      <c r="L196" s="2" t="inlineStr">
        <is>
          <t>p</t>
        </is>
      </c>
      <c r="M196" s="2" t="inlineStr">
        <is>
          <t>dz</t>
        </is>
      </c>
      <c r="N196" s="2" t="inlineStr">
        <is>
          <t>dz_ci_low</t>
        </is>
      </c>
      <c r="O196" s="2" t="inlineStr">
        <is>
          <t>dz_ci_high</t>
        </is>
      </c>
      <c r="P196" s="2" t="inlineStr">
        <is>
          <t>wilcoxon_V</t>
        </is>
      </c>
      <c r="Q196" s="2" t="inlineStr">
        <is>
          <t>wilcoxon_p</t>
        </is>
      </c>
      <c r="R196" s="2" t="inlineStr">
        <is>
          <t>shapiro_p</t>
        </is>
      </c>
    </row>
    <row r="197">
      <c r="A197" t="inlineStr">
        <is>
          <t>H1_Nike</t>
        </is>
      </c>
      <c r="B197" t="inlineStr">
        <is>
          <t>H1 Nike: Peaks Per Minute, Nike_Commercial minus Baseline_Nike</t>
        </is>
      </c>
      <c r="C197" t="n">
        <v>28</v>
      </c>
      <c r="D197" t="n">
        <v>2.295678571428571</v>
      </c>
      <c r="E197" t="n">
        <v>4.657678571428572</v>
      </c>
      <c r="F197" t="n">
        <v>2.362</v>
      </c>
      <c r="G197" t="n">
        <v>1.769356798806131</v>
      </c>
      <c r="H197" t="n">
        <v>1.675915057104991</v>
      </c>
      <c r="I197" t="n">
        <v>3.048084942895009</v>
      </c>
      <c r="J197" t="n">
        <v>7.063882876479449</v>
      </c>
      <c r="K197" t="n">
        <v>27</v>
      </c>
      <c r="L197" t="n">
        <v>1.35486954870231e-07</v>
      </c>
      <c r="M197" t="n">
        <v>1.33494838440373</v>
      </c>
      <c r="N197" t="n">
        <v>0.8158220094577855</v>
      </c>
      <c r="O197" t="n">
        <v>1.840895759386801</v>
      </c>
      <c r="P197" t="n">
        <v>317</v>
      </c>
      <c r="Q197" t="n">
        <v>3.115915124330327e-05</v>
      </c>
      <c r="R197" t="n">
        <v>0.02897997984687484</v>
      </c>
    </row>
    <row r="198">
      <c r="A198" t="inlineStr">
        <is>
          <t>H1_elf</t>
        </is>
      </c>
      <c r="B198" t="inlineStr">
        <is>
          <t>H1 e.l.f.: Peaks Per Minute, elf_Commercial minus Baseline_elf</t>
        </is>
      </c>
      <c r="C198" t="n">
        <v>28</v>
      </c>
      <c r="D198" t="n">
        <v>2.470642857142857</v>
      </c>
      <c r="E198" t="n">
        <v>3.5</v>
      </c>
      <c r="F198" t="n">
        <v>1.029357142857143</v>
      </c>
      <c r="G198" t="n">
        <v>1.547417830386784</v>
      </c>
      <c r="H198" t="n">
        <v>0.4293311478108145</v>
      </c>
      <c r="I198" t="n">
        <v>1.629383137903471</v>
      </c>
      <c r="J198" t="n">
        <v>3.519958160992955</v>
      </c>
      <c r="K198" t="n">
        <v>27</v>
      </c>
      <c r="L198" t="n">
        <v>0.001551718778574108</v>
      </c>
      <c r="M198" t="n">
        <v>0.6652095656671155</v>
      </c>
      <c r="N198" t="n">
        <v>0.2498467945542296</v>
      </c>
      <c r="O198" t="n">
        <v>1.070515760752715</v>
      </c>
      <c r="P198" t="n">
        <v>190</v>
      </c>
      <c r="Q198" t="n">
        <v>0.001398594041000697</v>
      </c>
      <c r="R198" t="n">
        <v>0.01410802186485966</v>
      </c>
    </row>
    <row r="199">
      <c r="A199" t="inlineStr">
        <is>
          <t>H2</t>
        </is>
      </c>
      <c r="B199" t="inlineStr">
        <is>
          <t>H2 Peaks Per Minute, Nike_Commercial minus elf_Commercial</t>
        </is>
      </c>
      <c r="C199" t="n">
        <v>28</v>
      </c>
      <c r="D199" t="n">
        <v>3.5</v>
      </c>
      <c r="E199" t="n">
        <v>4.657678571428572</v>
      </c>
      <c r="F199" t="n">
        <v>1.157678571428571</v>
      </c>
      <c r="G199" t="n">
        <v>1.99514293655908</v>
      </c>
      <c r="H199" t="n">
        <v>0.3840429041509846</v>
      </c>
      <c r="I199" t="n">
        <v>1.931314238706158</v>
      </c>
      <c r="J199" t="n">
        <v>3.070386128255053</v>
      </c>
      <c r="K199" t="n">
        <v>27</v>
      </c>
      <c r="L199" t="n">
        <v>0.00483168935801146</v>
      </c>
      <c r="M199" t="n">
        <v>0.5802484374503813</v>
      </c>
      <c r="N199" t="n">
        <v>0.1745188649554185</v>
      </c>
      <c r="O199" t="n">
        <v>0.9768139778545124</v>
      </c>
      <c r="P199" t="n">
        <v>179</v>
      </c>
      <c r="Q199" t="n">
        <v>0.005607529879931845</v>
      </c>
      <c r="R199" t="n">
        <v>0.1444845503466096</v>
      </c>
    </row>
    <row r="200">
      <c r="A200" t="inlineStr">
        <is>
          <t>H3_Nike</t>
        </is>
      </c>
      <c r="B200" t="inlineStr">
        <is>
          <t>H3 Nike: heart rate (BPM), Nike_Commercial minus Baseline_Nike</t>
        </is>
      </c>
      <c r="C200" t="n">
        <v>28</v>
      </c>
      <c r="D200" t="n">
        <v>76.17142857142856</v>
      </c>
      <c r="E200" t="n">
        <v>74.66428571428571</v>
      </c>
      <c r="F200" t="n">
        <v>-1.507142857142855</v>
      </c>
      <c r="G200" t="n">
        <v>1.915420574922379</v>
      </c>
      <c r="H200" t="n">
        <v>-2.249865419744281</v>
      </c>
      <c r="I200" t="n">
        <v>-0.7644202945414291</v>
      </c>
      <c r="J200" t="n">
        <v>-4.163602753832727</v>
      </c>
      <c r="K200" t="n">
        <v>27</v>
      </c>
      <c r="L200" t="n">
        <v>0.0002867155784231603</v>
      </c>
      <c r="M200" t="n">
        <v>-0.786846960336077</v>
      </c>
      <c r="N200" t="n">
        <v>-1.206519674568406</v>
      </c>
      <c r="O200" t="n">
        <v>-0.3560685851084305</v>
      </c>
      <c r="P200" t="n">
        <v>44.5</v>
      </c>
      <c r="Q200" t="n">
        <v>0.0005399764515420695</v>
      </c>
      <c r="R200" t="n">
        <v>0.1118765257131179</v>
      </c>
    </row>
    <row r="201">
      <c r="A201" t="inlineStr">
        <is>
          <t>H3_elf</t>
        </is>
      </c>
      <c r="B201" t="inlineStr">
        <is>
          <t>H3 e.l.f.: heart rate (BPM), elf_Commercial minus Baseline_elf</t>
        </is>
      </c>
      <c r="C201" t="n">
        <v>28</v>
      </c>
      <c r="D201" t="n">
        <v>75.43214285714286</v>
      </c>
      <c r="E201" t="n">
        <v>74.45714285714286</v>
      </c>
      <c r="F201" t="n">
        <v>-0.9750000000000004</v>
      </c>
      <c r="G201" t="n">
        <v>1.829718658802594</v>
      </c>
      <c r="H201" t="n">
        <v>-1.684490828749492</v>
      </c>
      <c r="I201" t="n">
        <v>-0.2655091712505089</v>
      </c>
      <c r="J201" t="n">
        <v>-2.81967669278306</v>
      </c>
      <c r="K201" t="n">
        <v>27</v>
      </c>
      <c r="L201" t="n">
        <v>0.008896003617039334</v>
      </c>
      <c r="M201" t="n">
        <v>-0.532868807622075</v>
      </c>
      <c r="N201" t="n">
        <v>-0.9250536975863574</v>
      </c>
      <c r="O201" t="n">
        <v>-0.1320759483058308</v>
      </c>
      <c r="P201" t="n">
        <v>95.5</v>
      </c>
      <c r="Q201" t="n">
        <v>0.01478960543859802</v>
      </c>
      <c r="R201" t="n">
        <v>0.3393934642984849</v>
      </c>
    </row>
    <row r="202">
      <c r="A202" t="inlineStr">
        <is>
          <t>H3_diff</t>
        </is>
      </c>
      <c r="B202" t="inlineStr">
        <is>
          <t>H3 difference of heart rate changes (BPM), Nike minus e.l.f.</t>
        </is>
      </c>
      <c r="C202" t="n">
        <v>28</v>
      </c>
      <c r="D202" t="n">
        <v>-0.9750000000000004</v>
      </c>
      <c r="E202" t="n">
        <v>-1.507142857142855</v>
      </c>
      <c r="F202" t="n">
        <v>-0.5321428571428548</v>
      </c>
      <c r="G202" t="n">
        <v>2.388096029372067</v>
      </c>
      <c r="H202" t="n">
        <v>-1.458149827045739</v>
      </c>
      <c r="I202" t="n">
        <v>0.3938641127600289</v>
      </c>
      <c r="J202" t="n">
        <v>-1.17911310486921</v>
      </c>
      <c r="K202" t="n">
        <v>27</v>
      </c>
      <c r="L202" t="n">
        <v>0.2486395493708014</v>
      </c>
      <c r="M202" t="n">
        <v>-0.2228314316500823</v>
      </c>
      <c r="N202" t="n">
        <v>-0.5959195728354134</v>
      </c>
      <c r="O202" t="n">
        <v>0.1542641979850963</v>
      </c>
      <c r="P202" t="n">
        <v>153.5</v>
      </c>
      <c r="Q202" t="n">
        <v>0.2644768958944593</v>
      </c>
      <c r="R202" t="n">
        <v>0.7846880718940221</v>
      </c>
    </row>
    <row r="203">
      <c r="A203" t="inlineStr">
        <is>
          <t>S_H1_Nike</t>
        </is>
      </c>
      <c r="B203" t="inlineStr">
        <is>
          <t>Sensitivity H1 Nike, responders only</t>
        </is>
      </c>
      <c r="C203" t="n">
        <v>25</v>
      </c>
      <c r="D203" t="n">
        <v>2.49116</v>
      </c>
      <c r="E203" t="n">
        <v>5.1366</v>
      </c>
      <c r="F203" t="n">
        <v>2.64544</v>
      </c>
      <c r="G203" t="n">
        <v>1.630199964217069</v>
      </c>
      <c r="H203" t="n">
        <v>1.972526527737267</v>
      </c>
      <c r="I203" t="n">
        <v>3.318353472262733</v>
      </c>
      <c r="J203" t="n">
        <v>8.113851239318722</v>
      </c>
      <c r="K203" t="n">
        <v>24</v>
      </c>
      <c r="L203" t="n">
        <v>2.455353576916977e-08</v>
      </c>
      <c r="M203" t="n">
        <v>1.622770247863744</v>
      </c>
      <c r="N203" t="n">
        <v>1.013775775905003</v>
      </c>
      <c r="O203" t="n">
        <v>2.217018528291143</v>
      </c>
      <c r="P203" t="n">
        <v>272.5</v>
      </c>
      <c r="Q203" t="n">
        <v>4.129832898115555e-05</v>
      </c>
      <c r="R203" t="n">
        <v>0.02727649973675027</v>
      </c>
    </row>
    <row r="204">
      <c r="A204" t="inlineStr">
        <is>
          <t>S_H1_elf</t>
        </is>
      </c>
      <c r="B204" t="inlineStr">
        <is>
          <t>Sensitivity H1 e.l.f., responders only</t>
        </is>
      </c>
      <c r="C204" t="n">
        <v>25</v>
      </c>
      <c r="D204" t="n">
        <v>2.76712</v>
      </c>
      <c r="E204" t="n">
        <v>3.92</v>
      </c>
      <c r="F204" t="n">
        <v>1.15288</v>
      </c>
      <c r="G204" t="n">
        <v>1.5954541756712</v>
      </c>
      <c r="H204" t="n">
        <v>0.4943088843377567</v>
      </c>
      <c r="I204" t="n">
        <v>1.811451115662243</v>
      </c>
      <c r="J204" t="n">
        <v>3.613015082413724</v>
      </c>
      <c r="K204" t="n">
        <v>24</v>
      </c>
      <c r="L204" t="n">
        <v>0.001391790588755263</v>
      </c>
      <c r="M204" t="n">
        <v>0.7226030164827448</v>
      </c>
      <c r="N204" t="n">
        <v>0.2750766963257594</v>
      </c>
      <c r="O204" t="n">
        <v>1.158246509876204</v>
      </c>
      <c r="P204" t="n">
        <v>190</v>
      </c>
      <c r="Q204" t="n">
        <v>0.001398594041000697</v>
      </c>
      <c r="R204" t="n">
        <v>0.02580741799418428</v>
      </c>
    </row>
    <row r="205">
      <c r="A205" t="inlineStr">
        <is>
          <t>S_H2</t>
        </is>
      </c>
      <c r="B205" t="inlineStr">
        <is>
          <t>Sensitivity H2, responders only</t>
        </is>
      </c>
      <c r="C205" t="n">
        <v>25</v>
      </c>
      <c r="D205" t="n">
        <v>3.92</v>
      </c>
      <c r="E205" t="n">
        <v>5.1366</v>
      </c>
      <c r="F205" t="n">
        <v>1.2166</v>
      </c>
      <c r="G205" t="n">
        <v>2.101580119814612</v>
      </c>
      <c r="H205" t="n">
        <v>0.3491103627137137</v>
      </c>
      <c r="I205" t="n">
        <v>2.084089637286286</v>
      </c>
      <c r="J205" t="n">
        <v>2.894488743325476</v>
      </c>
      <c r="K205" t="n">
        <v>24</v>
      </c>
      <c r="L205" t="n">
        <v>0.007962624074784874</v>
      </c>
      <c r="M205" t="n">
        <v>0.5788977486650951</v>
      </c>
      <c r="N205" t="n">
        <v>0.1492697108887823</v>
      </c>
      <c r="O205" t="n">
        <v>0.9982497689950152</v>
      </c>
      <c r="P205" t="n">
        <v>145</v>
      </c>
      <c r="Q205" t="n">
        <v>0.009672539267920499</v>
      </c>
      <c r="R205" t="n">
        <v>0.2353475333193299</v>
      </c>
    </row>
    <row r="206"/>
    <row r="207">
      <c r="A207" s="10" t="inlineStr">
        <is>
          <t>analysis.R: mixed model and correlations (SIMULATED_model_results.csv)</t>
        </is>
      </c>
    </row>
    <row r="208">
      <c r="A208" s="2" t="inlineStr">
        <is>
          <t>analysis</t>
        </is>
      </c>
      <c r="B208" s="2" t="inlineStr">
        <is>
          <t>term</t>
        </is>
      </c>
      <c r="C208" s="2" t="inlineStr">
        <is>
          <t>estimate</t>
        </is>
      </c>
      <c r="D208" s="2" t="inlineStr">
        <is>
          <t>se</t>
        </is>
      </c>
      <c r="E208" s="2" t="inlineStr">
        <is>
          <t>df</t>
        </is>
      </c>
      <c r="F208" s="2" t="inlineStr">
        <is>
          <t>statistic</t>
        </is>
      </c>
      <c r="G208" s="2" t="inlineStr">
        <is>
          <t>p</t>
        </is>
      </c>
      <c r="H208" s="2" t="inlineStr">
        <is>
          <t>ci_low</t>
        </is>
      </c>
      <c r="I208" s="2" t="inlineStr">
        <is>
          <t>ci_high</t>
        </is>
      </c>
    </row>
    <row r="209">
      <c r="A209" t="inlineStr">
        <is>
          <t>Mixed model Peaks Per Minute in the commercials</t>
        </is>
      </c>
      <c r="B209" t="inlineStr">
        <is>
          <t>Intercept (grand mean)</t>
        </is>
      </c>
      <c r="C209" t="n">
        <v>4.113108974358976</v>
      </c>
      <c r="D209" t="n">
        <v>0.3101344193119024</v>
      </c>
      <c r="E209" t="n">
        <v>25.99999964919299</v>
      </c>
      <c r="F209" t="n">
        <v>13.26234277215913</v>
      </c>
      <c r="G209" t="n">
        <v>4.427089969096024e-13</v>
      </c>
      <c r="H209" t="n">
        <v>3.47561854510832</v>
      </c>
      <c r="I209" t="n">
        <v>4.750599403609632</v>
      </c>
    </row>
    <row r="210">
      <c r="A210" t="inlineStr">
        <is>
          <t>Mixed model Peaks Per Minute in the commercials</t>
        </is>
      </c>
      <c r="B210" t="inlineStr">
        <is>
          <t>Commercial (Nike minus elf)</t>
        </is>
      </c>
      <c r="C210" t="n">
        <v>1.118525641025641</v>
      </c>
      <c r="D210" t="n">
        <v>0.3699093889764835</v>
      </c>
      <c r="E210" t="n">
        <v>26.00000022326444</v>
      </c>
      <c r="F210" t="n">
        <v>3.023782781292826</v>
      </c>
      <c r="G210" t="n">
        <v>0.005554827550537106</v>
      </c>
      <c r="H210" t="n">
        <v>0.3581660026718607</v>
      </c>
      <c r="I210" t="n">
        <v>1.878885279379421</v>
      </c>
    </row>
    <row r="211">
      <c r="A211" t="inlineStr">
        <is>
          <t>Mixed model Peaks Per Minute in the commercials</t>
        </is>
      </c>
      <c r="B211" t="inlineStr">
        <is>
          <t>Order position (second minus first)</t>
        </is>
      </c>
      <c r="C211" t="n">
        <v>-0.5481410256410256</v>
      </c>
      <c r="D211" t="n">
        <v>0.3699093889764835</v>
      </c>
      <c r="E211" t="n">
        <v>26.00000022326443</v>
      </c>
      <c r="F211" t="n">
        <v>-1.481825122519053</v>
      </c>
      <c r="G211" t="n">
        <v>0.1504061916930316</v>
      </c>
      <c r="H211" t="n">
        <v>-1.308500663994806</v>
      </c>
      <c r="I211" t="n">
        <v>0.2122186127127544</v>
      </c>
    </row>
    <row r="212">
      <c r="A212" t="inlineStr">
        <is>
          <t>Mixed model Peaks Per Minute in the commercials</t>
        </is>
      </c>
      <c r="B212" t="inlineStr">
        <is>
          <t>Commercial x order position</t>
        </is>
      </c>
      <c r="C212" t="n">
        <v>1.919102564102564</v>
      </c>
      <c r="D212" t="n">
        <v>1.240537677247609</v>
      </c>
      <c r="E212" t="n">
        <v>25.99999964890824</v>
      </c>
      <c r="F212" t="n">
        <v>1.546992565643384</v>
      </c>
      <c r="G212" t="n">
        <v>0.1339519218341842</v>
      </c>
      <c r="H212" t="n">
        <v>-0.6308591529014198</v>
      </c>
      <c r="I212" t="n">
        <v>4.469064281106547</v>
      </c>
    </row>
    <row r="213">
      <c r="A213" t="inlineStr">
        <is>
          <t>Mixed model Peaks Per Minute in the commercials</t>
        </is>
      </c>
      <c r="B213" t="inlineStr">
        <is>
          <t>ICC adjusted (fitted model)</t>
        </is>
      </c>
      <c r="C213" t="n">
        <v>0.475299945919597</v>
      </c>
      <c r="D213" t="inlineStr">
        <is>
          <t>NA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</row>
    <row r="214">
      <c r="A214" t="inlineStr">
        <is>
          <t>Mixed model Peaks Per Minute in the commercials</t>
        </is>
      </c>
      <c r="B214" t="inlineStr">
        <is>
          <t>ICC unconditional (intercept only)</t>
        </is>
      </c>
      <c r="C214" t="n">
        <v>0.3703479436532143</v>
      </c>
      <c r="D214" t="inlineStr">
        <is>
          <t>NA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</row>
    <row r="215">
      <c r="A215" t="inlineStr">
        <is>
          <t>Mixed model Peaks Per Minute in the commercials</t>
        </is>
      </c>
      <c r="B215" t="inlineStr">
        <is>
          <t>Simple order effect estimate ((Group B - Group A) / 2)</t>
        </is>
      </c>
      <c r="C215" t="n">
        <v>-0.5481410256410257</v>
      </c>
      <c r="D215" t="inlineStr">
        <is>
          <t>NA</t>
        </is>
      </c>
      <c r="E215" t="inlineStr">
        <is>
          <t>NA</t>
        </is>
      </c>
      <c r="F215" t="inlineStr">
        <is>
          <t>NA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</row>
    <row r="216">
      <c r="A216" t="inlineStr">
        <is>
          <t>Mixed model Peaks Per Minute in the commercials</t>
        </is>
      </c>
      <c r="B216" t="inlineStr">
        <is>
          <t>Simple commercial effect estimate ((Group A + Group B) / 2)</t>
        </is>
      </c>
      <c r="C216" t="n">
        <v>1.118525641025641</v>
      </c>
      <c r="D216" t="inlineStr">
        <is>
          <t>NA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</row>
    <row r="217">
      <c r="A217" t="inlineStr">
        <is>
          <t>Exploratory: self reported arousal with Peaks Per Minute</t>
        </is>
      </c>
      <c r="B217" t="inlineStr">
        <is>
          <t>r Nike</t>
        </is>
      </c>
      <c r="C217" t="n">
        <v>0.3654488141198319</v>
      </c>
      <c r="D217" t="inlineStr">
        <is>
          <t>NA</t>
        </is>
      </c>
      <c r="E217" t="n">
        <v>26</v>
      </c>
      <c r="F217" t="n">
        <v>2.001899119629833</v>
      </c>
      <c r="G217" t="n">
        <v>0.0558311281774324</v>
      </c>
      <c r="H217" t="n">
        <v>-0.008832317217063889</v>
      </c>
      <c r="I217" t="n">
        <v>0.6499158737976626</v>
      </c>
    </row>
    <row r="218">
      <c r="A218" t="inlineStr">
        <is>
          <t>Exploratory: self reported arousal with Peaks Per Minute</t>
        </is>
      </c>
      <c r="B218" t="inlineStr">
        <is>
          <t>r elf</t>
        </is>
      </c>
      <c r="C218" t="n">
        <v>0.3443506013380153</v>
      </c>
      <c r="D218" t="inlineStr">
        <is>
          <t>NA</t>
        </is>
      </c>
      <c r="E218" t="n">
        <v>26</v>
      </c>
      <c r="F218" t="n">
        <v>1.870231696970415</v>
      </c>
      <c r="G218" t="n">
        <v>0.07275071371534626</v>
      </c>
      <c r="H218" t="n">
        <v>-0.03296077361762597</v>
      </c>
      <c r="I218" t="n">
        <v>0.6357528311830889</v>
      </c>
    </row>
    <row r="219">
      <c r="A219" t="inlineStr">
        <is>
          <t>Exploratory: self reported arousal with Peaks Per Minute</t>
        </is>
      </c>
      <c r="B219" t="inlineStr">
        <is>
          <t>r respondent means</t>
        </is>
      </c>
      <c r="C219" t="n">
        <v>0.3036376671786949</v>
      </c>
      <c r="D219" t="inlineStr">
        <is>
          <t>NA</t>
        </is>
      </c>
      <c r="E219" t="n">
        <v>26</v>
      </c>
      <c r="F219" t="n">
        <v>1.624973317476843</v>
      </c>
      <c r="G219" t="n">
        <v>0.116230678223306</v>
      </c>
      <c r="H219" t="n">
        <v>-0.07831026449887817</v>
      </c>
      <c r="I219" t="n">
        <v>0.6078564863998401</v>
      </c>
    </row>
    <row r="220">
      <c r="A220" t="inlineStr">
        <is>
          <t>Sensitivity: responders only</t>
        </is>
      </c>
      <c r="B220" t="inlineStr">
        <is>
          <t>r Nike</t>
        </is>
      </c>
      <c r="C220" t="n">
        <v>0.4983546253203635</v>
      </c>
      <c r="D220" t="inlineStr">
        <is>
          <t>NA</t>
        </is>
      </c>
      <c r="E220" t="n">
        <v>23</v>
      </c>
      <c r="F220" t="n">
        <v>2.756745655634649</v>
      </c>
      <c r="G220" t="n">
        <v>0.01122974878108162</v>
      </c>
      <c r="H220" t="n">
        <v>0.1285340487359101</v>
      </c>
      <c r="I220" t="n">
        <v>0.7464901784361109</v>
      </c>
    </row>
    <row r="221">
      <c r="A221" t="inlineStr">
        <is>
          <t>Sensitivity: responders only</t>
        </is>
      </c>
      <c r="B221" t="inlineStr">
        <is>
          <t>r elf</t>
        </is>
      </c>
      <c r="C221" t="n">
        <v>0.4516872625062722</v>
      </c>
      <c r="D221" t="inlineStr">
        <is>
          <t>NA</t>
        </is>
      </c>
      <c r="E221" t="n">
        <v>23</v>
      </c>
      <c r="F221" t="n">
        <v>2.428013299133109</v>
      </c>
      <c r="G221" t="n">
        <v>0.02341369226010244</v>
      </c>
      <c r="H221" t="n">
        <v>0.06884319361250756</v>
      </c>
      <c r="I221" t="n">
        <v>0.7185708092618168</v>
      </c>
    </row>
    <row r="222">
      <c r="A222" t="inlineStr">
        <is>
          <t>Sensitivity: responders only</t>
        </is>
      </c>
      <c r="B222" t="inlineStr">
        <is>
          <t>Simple order effect estimate ((Group B - Group A) / 2)</t>
        </is>
      </c>
      <c r="C222" t="n">
        <v>-0.5756570512820512</v>
      </c>
      <c r="D222" t="inlineStr">
        <is>
          <t>NA</t>
        </is>
      </c>
      <c r="E222" t="inlineStr">
        <is>
          <t>NA</t>
        </is>
      </c>
      <c r="F222" t="inlineStr">
        <is>
          <t>NA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</row>
    <row r="223"/>
    <row r="224">
      <c r="A224" s="10" t="inlineStr">
        <is>
          <t>analysis.R: descriptives (SIMULATED_descriptives_by_stimulus.csv)</t>
        </is>
      </c>
    </row>
    <row r="225">
      <c r="A225" s="2" t="inlineStr">
        <is>
          <t>stimulus</t>
        </is>
      </c>
      <c r="B225" s="2" t="inlineStr">
        <is>
          <t>duration_s</t>
        </is>
      </c>
      <c r="C225" s="2" t="inlineStr">
        <is>
          <t>n</t>
        </is>
      </c>
      <c r="D225" s="2" t="inlineStr">
        <is>
          <t>ppm_mean</t>
        </is>
      </c>
      <c r="E225" s="2" t="inlineStr">
        <is>
          <t>ppm_sd</t>
        </is>
      </c>
      <c r="F225" s="2" t="inlineStr">
        <is>
          <t>ppm_median</t>
        </is>
      </c>
      <c r="G225" s="2" t="inlineStr">
        <is>
          <t>ppm_min</t>
        </is>
      </c>
      <c r="H225" s="2" t="inlineStr">
        <is>
          <t>ppm_max</t>
        </is>
      </c>
      <c r="I225" s="2" t="inlineStr">
        <is>
          <t>pct_has_peaks</t>
        </is>
      </c>
      <c r="J225" s="2" t="inlineStr">
        <is>
          <t>peak_count_mean</t>
        </is>
      </c>
      <c r="K225" s="2" t="inlineStr">
        <is>
          <t>n_amp</t>
        </is>
      </c>
      <c r="L225" s="2" t="inlineStr">
        <is>
          <t>amp_mean</t>
        </is>
      </c>
      <c r="M225" s="2" t="inlineStr">
        <is>
          <t>amp_sd</t>
        </is>
      </c>
      <c r="N225" s="2" t="inlineStr">
        <is>
          <t>hr_mean_bpm</t>
        </is>
      </c>
      <c r="O225" s="2" t="inlineStr">
        <is>
          <t>hr_sd_bpm</t>
        </is>
      </c>
      <c r="P225" s="2" t="inlineStr">
        <is>
          <t>snr_mean_db</t>
        </is>
      </c>
      <c r="Q225" s="2" t="inlineStr">
        <is>
          <t>snr_sd_db</t>
        </is>
      </c>
      <c r="R225" s="2" t="inlineStr">
        <is>
          <t>missing_mean_pct</t>
        </is>
      </c>
      <c r="S225" s="2" t="inlineStr">
        <is>
          <t>signal_dur_mean_ms</t>
        </is>
      </c>
    </row>
    <row r="226">
      <c r="A226" t="inlineStr">
        <is>
          <t>Baseline_Nike</t>
        </is>
      </c>
      <c r="B226" t="n">
        <v>60</v>
      </c>
      <c r="C226" t="n">
        <v>28</v>
      </c>
      <c r="D226" t="n">
        <v>2.296</v>
      </c>
      <c r="E226" t="n">
        <v>1.092</v>
      </c>
      <c r="F226" t="n">
        <v>2</v>
      </c>
      <c r="G226" t="n">
        <v>0</v>
      </c>
      <c r="H226" t="n">
        <v>5</v>
      </c>
      <c r="I226" t="n">
        <v>96.40000000000001</v>
      </c>
      <c r="J226" t="n">
        <v>2.286</v>
      </c>
      <c r="K226" t="n">
        <v>27</v>
      </c>
      <c r="L226" t="n">
        <v>0.182</v>
      </c>
      <c r="M226" t="n">
        <v>0.061</v>
      </c>
      <c r="N226" t="n">
        <v>76.17100000000001</v>
      </c>
      <c r="O226" t="n">
        <v>8.395</v>
      </c>
      <c r="P226" t="n">
        <v>22.664</v>
      </c>
      <c r="Q226" t="n">
        <v>2.903</v>
      </c>
      <c r="R226" t="n">
        <v>1.018</v>
      </c>
      <c r="S226" t="n">
        <v>59817.857</v>
      </c>
    </row>
    <row r="227">
      <c r="A227" t="inlineStr">
        <is>
          <t>Nike_Commercial</t>
        </is>
      </c>
      <c r="B227" t="n">
        <v>60</v>
      </c>
      <c r="C227" t="n">
        <v>28</v>
      </c>
      <c r="D227" t="n">
        <v>4.658</v>
      </c>
      <c r="E227" t="n">
        <v>2.045</v>
      </c>
      <c r="F227" t="n">
        <v>5</v>
      </c>
      <c r="G227" t="n">
        <v>0</v>
      </c>
      <c r="H227" t="n">
        <v>7</v>
      </c>
      <c r="I227" t="n">
        <v>96.40000000000001</v>
      </c>
      <c r="J227" t="n">
        <v>4.643</v>
      </c>
      <c r="K227" t="n">
        <v>27</v>
      </c>
      <c r="L227" t="n">
        <v>0.274</v>
      </c>
      <c r="M227" t="n">
        <v>0.107</v>
      </c>
      <c r="N227" t="n">
        <v>74.664</v>
      </c>
      <c r="O227" t="n">
        <v>8.327</v>
      </c>
      <c r="P227" t="n">
        <v>23.557</v>
      </c>
      <c r="Q227" t="n">
        <v>2.898</v>
      </c>
      <c r="R227" t="n">
        <v>0.589</v>
      </c>
      <c r="S227" t="n">
        <v>59835.714</v>
      </c>
    </row>
    <row r="228">
      <c r="A228" t="inlineStr">
        <is>
          <t>Recovery_Nike</t>
        </is>
      </c>
      <c r="B228" t="n">
        <v>15</v>
      </c>
      <c r="C228" t="n">
        <v>28</v>
      </c>
      <c r="D228" t="n">
        <v>3.286</v>
      </c>
      <c r="E228" t="n">
        <v>2.447</v>
      </c>
      <c r="F228" t="n">
        <v>4</v>
      </c>
      <c r="G228" t="n">
        <v>0</v>
      </c>
      <c r="H228" t="n">
        <v>8</v>
      </c>
      <c r="I228" t="n">
        <v>71.40000000000001</v>
      </c>
      <c r="J228" t="n">
        <v>0.821</v>
      </c>
      <c r="K228" t="n">
        <v>20</v>
      </c>
      <c r="L228" t="n">
        <v>0.2</v>
      </c>
      <c r="M228" t="n">
        <v>0.08400000000000001</v>
      </c>
      <c r="N228" t="n">
        <v>75.554</v>
      </c>
      <c r="O228" t="n">
        <v>8.387</v>
      </c>
      <c r="P228" t="n">
        <v>23.243</v>
      </c>
      <c r="Q228" t="n">
        <v>3.751</v>
      </c>
      <c r="R228" t="n">
        <v>0.375</v>
      </c>
      <c r="S228" t="n">
        <v>15000</v>
      </c>
    </row>
    <row r="229">
      <c r="A229" t="inlineStr">
        <is>
          <t>Baseline_elf</t>
        </is>
      </c>
      <c r="B229" t="n">
        <v>60</v>
      </c>
      <c r="C229" t="n">
        <v>28</v>
      </c>
      <c r="D229" t="n">
        <v>2.471</v>
      </c>
      <c r="E229" t="n">
        <v>1.345</v>
      </c>
      <c r="F229" t="n">
        <v>3</v>
      </c>
      <c r="G229" t="n">
        <v>0</v>
      </c>
      <c r="H229" t="n">
        <v>5</v>
      </c>
      <c r="I229" t="n">
        <v>85.7</v>
      </c>
      <c r="J229" t="n">
        <v>2.464</v>
      </c>
      <c r="K229" t="n">
        <v>24</v>
      </c>
      <c r="L229" t="n">
        <v>0.194</v>
      </c>
      <c r="M229" t="n">
        <v>0.068</v>
      </c>
      <c r="N229" t="n">
        <v>75.432</v>
      </c>
      <c r="O229" t="n">
        <v>8.808999999999999</v>
      </c>
      <c r="P229" t="n">
        <v>22.518</v>
      </c>
      <c r="Q229" t="n">
        <v>3.312</v>
      </c>
      <c r="R229" t="n">
        <v>0.771</v>
      </c>
      <c r="S229" t="n">
        <v>59825</v>
      </c>
    </row>
    <row r="230">
      <c r="A230" t="inlineStr">
        <is>
          <t>elf_Commercial</t>
        </is>
      </c>
      <c r="B230" t="n">
        <v>30</v>
      </c>
      <c r="C230" t="n">
        <v>28</v>
      </c>
      <c r="D230" t="n">
        <v>3.5</v>
      </c>
      <c r="E230" t="n">
        <v>1.856</v>
      </c>
      <c r="F230" t="n">
        <v>4</v>
      </c>
      <c r="G230" t="n">
        <v>0</v>
      </c>
      <c r="H230" t="n">
        <v>6</v>
      </c>
      <c r="I230" t="n">
        <v>89.3</v>
      </c>
      <c r="J230" t="n">
        <v>1.75</v>
      </c>
      <c r="K230" t="n">
        <v>25</v>
      </c>
      <c r="L230" t="n">
        <v>0.254</v>
      </c>
      <c r="M230" t="n">
        <v>0.095</v>
      </c>
      <c r="N230" t="n">
        <v>74.45699999999999</v>
      </c>
      <c r="O230" t="n">
        <v>8.339</v>
      </c>
      <c r="P230" t="n">
        <v>22.721</v>
      </c>
      <c r="Q230" t="n">
        <v>3.593</v>
      </c>
      <c r="R230" t="n">
        <v>0.304</v>
      </c>
      <c r="S230" t="n">
        <v>30000</v>
      </c>
    </row>
    <row r="231">
      <c r="A231" t="inlineStr">
        <is>
          <t>Recovery_elf</t>
        </is>
      </c>
      <c r="B231" t="n">
        <v>15</v>
      </c>
      <c r="C231" t="n">
        <v>28</v>
      </c>
      <c r="D231" t="n">
        <v>3.286</v>
      </c>
      <c r="E231" t="n">
        <v>2.192</v>
      </c>
      <c r="F231" t="n">
        <v>4</v>
      </c>
      <c r="G231" t="n">
        <v>0</v>
      </c>
      <c r="H231" t="n">
        <v>8</v>
      </c>
      <c r="I231" t="n">
        <v>75</v>
      </c>
      <c r="J231" t="n">
        <v>0.821</v>
      </c>
      <c r="K231" t="n">
        <v>21</v>
      </c>
      <c r="L231" t="n">
        <v>0.21</v>
      </c>
      <c r="M231" t="n">
        <v>0.08799999999999999</v>
      </c>
      <c r="N231" t="n">
        <v>75.22499999999999</v>
      </c>
      <c r="O231" t="n">
        <v>8.563000000000001</v>
      </c>
      <c r="P231" t="n">
        <v>23.193</v>
      </c>
      <c r="Q231" t="n">
        <v>3.518</v>
      </c>
      <c r="R231" t="n">
        <v>0.614</v>
      </c>
      <c r="S231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2026-10-08T23:38:24Z</dcterms:created>
  <dcterms:modified xmlns:dcterms="http://purl.org/dc/terms/" xmlns:xsi="http://www.w3.org/2001/XMLSchema-instance" xsi:type="dcterms:W3CDTF">2026-10-08T23:38:24Z</dcterms:modified>
</cp:coreProperties>
</file>