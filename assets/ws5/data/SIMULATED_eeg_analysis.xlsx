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Default" sheetId="3" state="visible" r:id="rId3"/>
    <sheet xmlns:r="http://schemas.openxmlformats.org/officeDocument/2006/relationships" name="Artifact" sheetId="4" state="visible" r:id="rId4"/>
    <sheet xmlns:r="http://schemas.openxmlformats.org/officeDocument/2006/relationships" name="Log" sheetId="5" state="visible" r:id="rId5"/>
    <sheet xmlns:r="http://schemas.openxmlformats.org/officeDocument/2006/relationships" name="Survey" sheetId="6" state="visible" r:id="rId6"/>
    <sheet xmlns:r="http://schemas.openxmlformats.org/officeDocument/2006/relationships" name="Screening" sheetId="7" state="visible" r:id="rId7"/>
    <sheet xmlns:r="http://schemas.openxmlformats.org/officeDocument/2006/relationships" name="Summary" sheetId="8" state="visible" r:id="rId8"/>
    <sheet xmlns:r="http://schemas.openxmlformats.org/officeDocument/2006/relationships" name="H1" sheetId="9" state="visible" r:id="rId9"/>
    <sheet xmlns:r="http://schemas.openxmlformats.org/officeDocument/2006/relationships" name="H2" sheetId="10" state="visible" r:id="rId10"/>
    <sheet xmlns:r="http://schemas.openxmlformats.org/officeDocument/2006/relationships" name="H3" sheetId="11" state="visible" r:id="rId11"/>
    <sheet xmlns:r="http://schemas.openxmlformats.org/officeDocument/2006/relationships" name="Check" sheetId="12" state="visible" r:id="rId12"/>
  </sheets>
  <definedNames>
    <definedName name="_xlnm._FilterDatabase" localSheetId="1" hidden="1">'Data'!$A$1:$Q$313</definedName>
    <definedName name="_xlnm._FilterDatabase" localSheetId="2" hidden="1">'Default'!$A$1:$Q$313</definedName>
    <definedName name="_xlnm._FilterDatabase" localSheetId="3" hidden="1">'Artifact'!$A$1:$M$385</definedName>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00"/>
  </numFmts>
  <fonts count="7">
    <font>
      <name val="Calibri"/>
      <family val="2"/>
      <color theme="1"/>
      <sz val="11"/>
      <scheme val="minor"/>
    </font>
    <font>
      <b val="1"/>
      <color rgb="001F3864"/>
      <sz val="14"/>
    </font>
    <font>
      <b val="1"/>
      <color rgb="00FFFFFF"/>
    </font>
    <font>
      <b val="1"/>
      <color rgb="001F3864"/>
      <sz val="12"/>
    </font>
    <font>
      <i val="1"/>
      <color rgb="00555555"/>
    </font>
    <font>
      <b val="1"/>
    </font>
    <font>
      <name val="Consolas"/>
      <color rgb="00555555"/>
      <sz val="9"/>
    </font>
  </fonts>
  <fills count="5">
    <fill>
      <patternFill/>
    </fill>
    <fill>
      <patternFill patternType="gray125"/>
    </fill>
    <fill>
      <patternFill patternType="solid">
        <fgColor rgb="001F3864"/>
      </patternFill>
    </fill>
    <fill>
      <patternFill patternType="solid">
        <fgColor rgb="00A6561A"/>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2" fillId="3" borderId="1" applyAlignment="1" pivotButton="0" quotePrefix="0" xfId="0">
      <alignment vertical="center" wrapText="1"/>
    </xf>
    <xf numFmtId="164" fontId="0" fillId="0" borderId="0" pivotButton="0" quotePrefix="0" xfId="0"/>
    <xf numFmtId="2" fontId="0" fillId="0" borderId="0" pivotButton="0" quotePrefix="0" xfId="0"/>
    <xf numFmtId="0" fontId="3" fillId="0" borderId="0" pivotButton="0" quotePrefix="0" xfId="0"/>
    <xf numFmtId="0" fontId="4" fillId="0" borderId="0" pivotButton="0" quotePrefix="0" xfId="0"/>
    <xf numFmtId="0" fontId="0" fillId="0" borderId="1" pivotButton="0" quotePrefix="0" xfId="0"/>
    <xf numFmtId="2" fontId="0" fillId="0" borderId="1" pivotButton="0" quotePrefix="0" xfId="0"/>
    <xf numFmtId="0" fontId="5" fillId="0" borderId="0" pivotButton="0" quotePrefix="0" xfId="0"/>
    <xf numFmtId="164" fontId="0" fillId="0" borderId="1" pivotButton="0" quotePrefix="0" xfId="0"/>
    <xf numFmtId="0" fontId="2" fillId="2" borderId="0" pivotButton="0" quotePrefix="0" xfId="0"/>
    <xf numFmtId="0" fontId="5" fillId="4" borderId="0" pivotButton="0" quotePrefix="0" xfId="0"/>
    <xf numFmtId="0" fontId="6" fillId="0" borderId="0" pivotButton="0" quotePrefix="0" xfId="0"/>
    <xf numFmtId="1"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Mean FA, baseline and key scene, with 95% CI (SIMULATED)</a:t>
            </a:r>
          </a:p>
        </rich>
      </tx>
    </title>
    <plotArea>
      <barChart>
        <barDir val="col"/>
        <grouping val="clustered"/>
        <ser>
          <idx val="0"/>
          <order val="0"/>
          <tx>
            <strRef>
              <f>'H1'!L103</f>
            </strRef>
          </tx>
          <spPr>
            <a:solidFill xmlns:a="http://schemas.openxmlformats.org/drawingml/2006/main">
              <a:srgbClr val="1F3864"/>
            </a:solidFill>
            <a:ln xmlns:a="http://schemas.openxmlformats.org/drawingml/2006/main">
              <a:prstDash val="solid"/>
            </a:ln>
          </spPr>
          <errBars>
            <errDir val="y"/>
            <errBarType val="both"/>
            <errValType val="cust"/>
            <minus>
              <numRef>
                <f>H1!$M$104:$M$105</f>
              </numRef>
            </minus>
            <plus>
              <numRef>
                <f>H1!$M$104:$M$105</f>
              </numRef>
            </plus>
          </errBars>
          <cat>
            <numRef>
              <f>'H1'!$K$104:$K$105</f>
            </numRef>
          </cat>
          <val>
            <numRef>
              <f>'H1'!$L$104:$L$105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 = ln(F4 alpha) - ln(F3 alpha)</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EndScene FA change by version, 95% CI (SIMULATED)</a:t>
            </a:r>
          </a:p>
        </rich>
      </tx>
    </title>
    <plotArea>
      <barChart>
        <barDir val="col"/>
        <grouping val="clustered"/>
        <ser>
          <idx val="0"/>
          <order val="0"/>
          <tx>
            <strRef>
              <f>'H2'!J94</f>
            </strRef>
          </tx>
          <spPr>
            <a:solidFill xmlns:a="http://schemas.openxmlformats.org/drawingml/2006/main">
              <a:srgbClr val="1B7F79"/>
            </a:solidFill>
            <a:ln xmlns:a="http://schemas.openxmlformats.org/drawingml/2006/main">
              <a:prstDash val="solid"/>
            </a:ln>
          </spPr>
          <errBars>
            <errDir val="y"/>
            <errBarType val="both"/>
            <errValType val="cust"/>
            <minus>
              <numRef>
                <f>H2!$K$95:$K$96</f>
              </numRef>
            </minus>
            <plus>
              <numRef>
                <f>H2!$K$95:$K$96</f>
              </numRef>
            </plus>
          </errBars>
          <cat>
            <numRef>
              <f>'H2'!$I$95:$I$96</f>
            </numRef>
          </cat>
          <val>
            <numRef>
              <f>'H2'!$J$95:$J$96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 change from baseline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14</col>
      <colOff>0</colOff>
      <row>101</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12</col>
      <colOff>0</colOff>
      <row>92</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10.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50" customWidth="1" min="1" max="1"/>
  </cols>
  <sheetData>
    <row r="1">
      <c r="A1" s="1" t="inlineStr">
        <is>
          <t>SIMULATED EEG frontal alpha asymmetry workbook (teaching material)</t>
        </is>
      </c>
    </row>
    <row r="2">
      <c r="A2" t="inlineStr"/>
    </row>
    <row r="3">
      <c r="A3" t="inlineStr">
        <is>
          <t>Every number in this workbook is SIMULATED. It was generated by make_simulated_data.py (seed 20267088) in the style of the</t>
        </is>
      </c>
    </row>
    <row r="4">
      <c r="A4" t="inlineStr">
        <is>
          <t>iMotions demo study DEMO - SonyBravia: a commercial with a key scene (Version A, Commercial_1A) against the same commercial with the</t>
        </is>
      </c>
    </row>
    <row r="5">
      <c r="A5" t="inlineStr">
        <is>
          <t>key scene cut (Version B, Commercial_1B), between subjects; a second commercial (Commercial_2) for everyone, within subjects; two</t>
        </is>
      </c>
    </row>
    <row r="6">
      <c r="A6" t="inlineStr">
        <is>
          <t>neutral 1 minute nature videos as baselines; the last 10 s of each commercial (EndScene). Device: Neuroelectrics Enobio 8 through</t>
        </is>
      </c>
    </row>
    <row r="7">
      <c r="A7" t="inlineStr">
        <is>
          <t>NIC2 and Lab Streaming Layer, iMotions device name Enobio EEG, 500 Hz. No real person was recorded.</t>
        </is>
      </c>
    </row>
    <row r="8">
      <c r="A8" t="inlineStr"/>
    </row>
    <row r="9">
      <c r="A9" t="inlineStr">
        <is>
          <t>FA = ln(alpha power at the RIGHT frontal electrode) - ln(alpha power at the LEFT frontal electrode). Higher = relatively more left</t>
        </is>
      </c>
    </row>
    <row r="10">
      <c r="A10" t="inlineStr">
        <is>
          <t>frontal activity, read as approach motivation. ASSUMED channel map (verify in NIC2): Ch5 = F3 (left), Ch6 = F4 (right).</t>
        </is>
      </c>
    </row>
    <row r="11">
      <c r="A11" t="inlineStr"/>
    </row>
    <row r="12">
      <c r="A12" t="inlineStr">
        <is>
          <t>Sheets:</t>
        </is>
      </c>
    </row>
    <row r="13">
      <c r="A13" t="inlineStr">
        <is>
          <t xml:space="preserve">  Data       EEG Frontal Asymmetry Metrics export as exported (columns A to L, rows 2 to 313); helper columns M to Q are live formulas:</t>
        </is>
      </c>
    </row>
    <row r="14">
      <c r="A14" t="inlineStr">
        <is>
          <t xml:space="preserve">             Version, Order, Role (which part of the design the row is), Keep (exclusion rule), Keep15 (stricter sensitivity rule).</t>
        </is>
      </c>
    </row>
    <row r="15">
      <c r="A15" t="inlineStr">
        <is>
          <t xml:space="preserve">  Default    The same export made with the notebook DEFAULT channels (Ch1 = Fz, Ch7 = P3), for the teaching contrast only.</t>
        </is>
      </c>
    </row>
    <row r="16">
      <c r="A16" t="inlineStr">
        <is>
          <t xml:space="preserve">  Artifact   Artifact report (MODELED layout): percent of F3 and F4 samples removed per respondent and stimulus.</t>
        </is>
      </c>
    </row>
    <row r="17">
      <c r="A17" t="inlineStr">
        <is>
          <t xml:space="preserve">  Log        Session log (MODELED layout), including the NIC2 quality status at F3 and F4 before recording.</t>
        </is>
      </c>
    </row>
    <row r="18">
      <c r="A18" t="inlineStr">
        <is>
          <t xml:space="preserve">  Survey     Questionnaire (MODELED layout): liking, key scene recall, brand named correctly.</t>
        </is>
      </c>
    </row>
    <row r="19">
      <c r="A19" t="inlineStr">
        <is>
          <t xml:space="preserve">  Screening  One row per respondent: largest percent removed at F3 and F4, Red status, the decision at 25 and at 15 percent.</t>
        </is>
      </c>
    </row>
    <row r="20">
      <c r="A20" t="inlineStr">
        <is>
          <t xml:space="preserve">  Summary    Raw FA by segment and version (kept respondents).</t>
        </is>
      </c>
    </row>
    <row r="21">
      <c r="A21" t="inlineStr">
        <is>
          <t xml:space="preserve">  H1         Key scene versus the baseline before Commercial_1A (Version A), sensitivity checks, and the default channel contrast.</t>
        </is>
      </c>
    </row>
    <row r="22">
      <c r="A22" t="inlineStr">
        <is>
          <t xml:space="preserve">  H2         End scene of Commercial 1, baseline corrected, Version A versus Version B (Welch t test), sensitivity checks.</t>
        </is>
      </c>
    </row>
    <row r="23">
      <c r="A23" t="inlineStr">
        <is>
          <t xml:space="preserve">  H3         Whole commercial change, Commercial_2 versus Commercial_1 (paired), simple position and version estimates, liking.</t>
        </is>
      </c>
    </row>
    <row r="24">
      <c r="A24" t="inlineStr">
        <is>
          <t xml:space="preserve">  Check      Live Excel results next to the values analysis.R produced, with an OK or CHECK status.</t>
        </is>
      </c>
    </row>
    <row r="25">
      <c r="A25" t="inlineStr"/>
    </row>
    <row r="26">
      <c r="A26" t="inlineStr">
        <is>
          <t>Exclusion rule, written before collection: more than 25 percent of the F3 or F4 samples removed in any baseline or commercial, or</t>
        </is>
      </c>
    </row>
    <row r="27">
      <c r="A27" t="inlineStr">
        <is>
          <t>a Red NIC2 quality status at F3 or F4 that could not be fixed (excluded: P27, P41, P45).</t>
        </is>
      </c>
    </row>
    <row r="28">
      <c r="A28" t="inlineStr">
        <is>
          <t>Each commercial is compared with the baseline that immediately precedes it (Baseline_1 for the first commercial, Baseline_2 for the second).</t>
        </is>
      </c>
    </row>
    <row r="29">
      <c r="A29" t="inlineStr">
        <is>
          <t>A segment is identified by Label AND Parent Stimulus: the Label EndScene appears on all three commercials.</t>
        </is>
      </c>
    </row>
    <row r="30">
      <c r="A30" t="inlineStr">
        <is>
          <t>MODELED, verify on the lab computer: the artifact report, session log, and survey layouts; the Type values; Parent Stimulus on</t>
        </is>
      </c>
    </row>
    <row r="31">
      <c r="A31" t="inlineStr">
        <is>
          <t>stimulus rows; the single Algorithm Device Name column; the channel map.</t>
        </is>
      </c>
    </row>
    <row r="32">
      <c r="A32" t="inlineStr"/>
    </row>
    <row r="33">
      <c r="A33" t="inlineStr">
        <is>
          <t>Companion files: analysis_excel_walkthrough.md (step by step), analysis.R (same analysis in R),</t>
        </is>
      </c>
    </row>
    <row r="34">
      <c r="A34" t="inlineStr">
        <is>
          <t>analysis_output.txt (its console output), results_text.md (model paragraphs).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7" customWidth="1" min="2" max="2"/>
    <col width="8" customWidth="1" min="3" max="3"/>
    <col width="8" customWidth="1" min="4" max="4"/>
    <col width="11" customWidth="1" min="5" max="5"/>
    <col width="12" customWidth="1" min="6" max="6"/>
    <col width="15" customWidth="1" min="7" max="7"/>
    <col width="12" customWidth="1" min="8" max="8"/>
    <col width="15" customWidth="1" min="9" max="9"/>
    <col width="17" customWidth="1" min="10" max="10"/>
    <col width="22" customWidth="1" min="11" max="11"/>
    <col width="22" customWidth="1" min="12" max="12"/>
    <col width="14" customWidth="1" min="13" max="13"/>
    <col width="14" customWidth="1" min="14" max="14"/>
    <col width="14" customWidth="1" min="15" max="15"/>
    <col width="14" customWidth="1" min="16" max="16"/>
    <col width="14" customWidth="1" min="17" max="17"/>
  </cols>
  <sheetData>
    <row r="1">
      <c r="A1" s="2" t="inlineStr">
        <is>
          <t>Study Name</t>
        </is>
      </c>
      <c r="B1" s="2" t="inlineStr">
        <is>
          <t>Respondent Name</t>
        </is>
      </c>
      <c r="C1" s="2" t="inlineStr">
        <is>
          <t>Gender</t>
        </is>
      </c>
      <c r="D1" s="2" t="inlineStr">
        <is>
          <t>Age</t>
        </is>
      </c>
      <c r="E1" s="2" t="inlineStr">
        <is>
          <t>Group</t>
        </is>
      </c>
      <c r="F1" s="2" t="inlineStr">
        <is>
          <t>Type</t>
        </is>
      </c>
      <c r="G1" s="2" t="inlineStr">
        <is>
          <t>Label</t>
        </is>
      </c>
      <c r="H1" s="2" t="inlineStr">
        <is>
          <t>Start (ms)</t>
        </is>
      </c>
      <c r="I1" s="2" t="inlineStr">
        <is>
          <t>Duration (ms)</t>
        </is>
      </c>
      <c r="J1" s="2" t="inlineStr">
        <is>
          <t>Parent Stimulus</t>
        </is>
      </c>
      <c r="K1" s="2" t="inlineStr">
        <is>
          <t>Mean Frontal Asymmetry Alpha</t>
        </is>
      </c>
      <c r="L1" s="2" t="inlineStr">
        <is>
          <t>Algorithm Device Name</t>
        </is>
      </c>
      <c r="M1" s="3" t="inlineStr">
        <is>
          <t>Version</t>
        </is>
      </c>
      <c r="N1" s="3" t="inlineStr">
        <is>
          <t>Order</t>
        </is>
      </c>
      <c r="O1" s="3" t="inlineStr">
        <is>
          <t>Role</t>
        </is>
      </c>
      <c r="P1" s="3" t="inlineStr">
        <is>
          <t>Keep</t>
        </is>
      </c>
      <c r="Q1" s="3" t="inlineStr">
        <is>
          <t>Keep15</t>
        </is>
      </c>
    </row>
    <row r="2">
      <c r="A2" t="inlineStr">
        <is>
          <t>SIMULATED Commercial FA Study</t>
        </is>
      </c>
      <c r="B2" t="inlineStr">
        <is>
          <t>P01</t>
        </is>
      </c>
      <c r="C2" t="inlineStr">
        <is>
          <t>F</t>
        </is>
      </c>
      <c r="D2" t="n">
        <v>22</v>
      </c>
      <c r="E2" t="inlineStr">
        <is>
          <t>B_C2first</t>
        </is>
      </c>
      <c r="F2" t="inlineStr">
        <is>
          <t>Stimulus</t>
        </is>
      </c>
      <c r="G2" t="inlineStr">
        <is>
          <t>Baseline_1</t>
        </is>
      </c>
      <c r="H2" t="n">
        <v>35000</v>
      </c>
      <c r="I2" t="n">
        <v>60000</v>
      </c>
      <c r="J2" t="inlineStr">
        <is>
          <t>Baseline_1</t>
        </is>
      </c>
      <c r="K2" s="4" t="n">
        <v>-0.0603</v>
      </c>
      <c r="L2" t="inlineStr">
        <is>
          <t>Frontal Asymmetry (Enobio EEG)</t>
        </is>
      </c>
      <c r="M2">
        <f>LEFT(E2,1)</f>
        <v/>
      </c>
      <c r="N2">
        <f>MID(E2,3,10)</f>
        <v/>
      </c>
      <c r="O2">
        <f>IF(F2="Stimulus",IF(LEFT(G2,8)="Baseline",G2,IF(LEFT(G2,12)="Commercial_1","C1","C2")),IF(G2="KeyScene","KeyScene",IF(LEFT(J2,12)="Commercial_1","EndScene_C1","EndScene_C2")))</f>
        <v/>
      </c>
      <c r="P2">
        <f>IF(COUNTIFS(Artifact!$B$2:$B$385,B2,Artifact!$K$2:$K$385,"&gt;25")+COUNTIFS(Log!$A$2:$A$49,B2,Log!$H$2:$H$49,"Red")+COUNTIFS(Log!$A$2:$A$49,B2,Log!$I$2:$I$49,"Red")&gt;0,"No","Yes")</f>
        <v/>
      </c>
      <c r="Q2">
        <f>IF(COUNTIFS(Artifact!$B$2:$B$385,B2,Artifact!$K$2:$K$385,"&gt;15")+COUNTIFS(Log!$A$2:$A$49,B2,Log!$H$2:$H$49,"Red")+COUNTIFS(Log!$A$2:$A$49,B2,Log!$I$2:$I$49,"Red")&gt;0,"No","Yes")</f>
        <v/>
      </c>
    </row>
    <row r="3">
      <c r="A3" t="inlineStr">
        <is>
          <t>SIMULATED Commercial FA Study</t>
        </is>
      </c>
      <c r="B3" t="inlineStr">
        <is>
          <t>P01</t>
        </is>
      </c>
      <c r="C3" t="inlineStr">
        <is>
          <t>F</t>
        </is>
      </c>
      <c r="D3" t="n">
        <v>22</v>
      </c>
      <c r="E3" t="inlineStr">
        <is>
          <t>B_C2first</t>
        </is>
      </c>
      <c r="F3" t="inlineStr">
        <is>
          <t>Stimulus</t>
        </is>
      </c>
      <c r="G3" t="inlineStr">
        <is>
          <t>Commercial_2</t>
        </is>
      </c>
      <c r="H3" t="n">
        <v>95000</v>
      </c>
      <c r="I3" t="n">
        <v>60000</v>
      </c>
      <c r="J3" t="inlineStr">
        <is>
          <t>Commercial_2</t>
        </is>
      </c>
      <c r="K3" s="4" t="n">
        <v>0.0166</v>
      </c>
      <c r="L3" t="inlineStr">
        <is>
          <t>Frontal Asymmetry (Enobio EEG)</t>
        </is>
      </c>
      <c r="M3">
        <f>LEFT(E3,1)</f>
        <v/>
      </c>
      <c r="N3">
        <f>MID(E3,3,10)</f>
        <v/>
      </c>
      <c r="O3">
        <f>IF(F3="Stimulus",IF(LEFT(G3,8)="Baseline",G3,IF(LEFT(G3,12)="Commercial_1","C1","C2")),IF(G3="KeyScene","KeyScene",IF(LEFT(J3,12)="Commercial_1","EndScene_C1","EndScene_C2")))</f>
        <v/>
      </c>
      <c r="P3">
        <f>IF(COUNTIFS(Artifact!$B$2:$B$385,B3,Artifact!$K$2:$K$385,"&gt;25")+COUNTIFS(Log!$A$2:$A$49,B3,Log!$H$2:$H$49,"Red")+COUNTIFS(Log!$A$2:$A$49,B3,Log!$I$2:$I$49,"Red")&gt;0,"No","Yes")</f>
        <v/>
      </c>
      <c r="Q3">
        <f>IF(COUNTIFS(Artifact!$B$2:$B$385,B3,Artifact!$K$2:$K$385,"&gt;15")+COUNTIFS(Log!$A$2:$A$49,B3,Log!$H$2:$H$49,"Red")+COUNTIFS(Log!$A$2:$A$49,B3,Log!$I$2:$I$49,"Red")&gt;0,"No","Yes")</f>
        <v/>
      </c>
    </row>
    <row r="4">
      <c r="A4" t="inlineStr">
        <is>
          <t>SIMULATED Commercial FA Study</t>
        </is>
      </c>
      <c r="B4" t="inlineStr">
        <is>
          <t>P01</t>
        </is>
      </c>
      <c r="C4" t="inlineStr">
        <is>
          <t>F</t>
        </is>
      </c>
      <c r="D4" t="n">
        <v>22</v>
      </c>
      <c r="E4" t="inlineStr">
        <is>
          <t>B_C2first</t>
        </is>
      </c>
      <c r="F4" t="inlineStr">
        <is>
          <t>Stimulus</t>
        </is>
      </c>
      <c r="G4" t="inlineStr">
        <is>
          <t>Baseline_2</t>
        </is>
      </c>
      <c r="H4" t="n">
        <v>203000</v>
      </c>
      <c r="I4" t="n">
        <v>60000</v>
      </c>
      <c r="J4" t="inlineStr">
        <is>
          <t>Baseline_2</t>
        </is>
      </c>
      <c r="K4" s="4" t="n">
        <v>0.07870000000000001</v>
      </c>
      <c r="L4" t="inlineStr">
        <is>
          <t>Frontal Asymmetry (Enobio EEG)</t>
        </is>
      </c>
      <c r="M4">
        <f>LEFT(E4,1)</f>
        <v/>
      </c>
      <c r="N4">
        <f>MID(E4,3,10)</f>
        <v/>
      </c>
      <c r="O4">
        <f>IF(F4="Stimulus",IF(LEFT(G4,8)="Baseline",G4,IF(LEFT(G4,12)="Commercial_1","C1","C2")),IF(G4="KeyScene","KeyScene",IF(LEFT(J4,12)="Commercial_1","EndScene_C1","EndScene_C2")))</f>
        <v/>
      </c>
      <c r="P4">
        <f>IF(COUNTIFS(Artifact!$B$2:$B$385,B4,Artifact!$K$2:$K$385,"&gt;25")+COUNTIFS(Log!$A$2:$A$49,B4,Log!$H$2:$H$49,"Red")+COUNTIFS(Log!$A$2:$A$49,B4,Log!$I$2:$I$49,"Red")&gt;0,"No","Yes")</f>
        <v/>
      </c>
      <c r="Q4">
        <f>IF(COUNTIFS(Artifact!$B$2:$B$385,B4,Artifact!$K$2:$K$385,"&gt;15")+COUNTIFS(Log!$A$2:$A$49,B4,Log!$H$2:$H$49,"Red")+COUNTIFS(Log!$A$2:$A$49,B4,Log!$I$2:$I$49,"Red")&gt;0,"No","Yes")</f>
        <v/>
      </c>
    </row>
    <row r="5">
      <c r="A5" t="inlineStr">
        <is>
          <t>SIMULATED Commercial FA Study</t>
        </is>
      </c>
      <c r="B5" t="inlineStr">
        <is>
          <t>P01</t>
        </is>
      </c>
      <c r="C5" t="inlineStr">
        <is>
          <t>F</t>
        </is>
      </c>
      <c r="D5" t="n">
        <v>22</v>
      </c>
      <c r="E5" t="inlineStr">
        <is>
          <t>B_C2first</t>
        </is>
      </c>
      <c r="F5" t="inlineStr">
        <is>
          <t>Stimulus</t>
        </is>
      </c>
      <c r="G5" t="inlineStr">
        <is>
          <t>Commercial_1B</t>
        </is>
      </c>
      <c r="H5" t="n">
        <v>263000</v>
      </c>
      <c r="I5" t="n">
        <v>54000</v>
      </c>
      <c r="J5" t="inlineStr">
        <is>
          <t>Commercial_1B</t>
        </is>
      </c>
      <c r="K5" s="4" t="n">
        <v>0.0081</v>
      </c>
      <c r="L5" t="inlineStr">
        <is>
          <t>Frontal Asymmetry (Enobio EEG)</t>
        </is>
      </c>
      <c r="M5">
        <f>LEFT(E5,1)</f>
        <v/>
      </c>
      <c r="N5">
        <f>MID(E5,3,10)</f>
        <v/>
      </c>
      <c r="O5">
        <f>IF(F5="Stimulus",IF(LEFT(G5,8)="Baseline",G5,IF(LEFT(G5,12)="Commercial_1","C1","C2")),IF(G5="KeyScene","KeyScene",IF(LEFT(J5,12)="Commercial_1","EndScene_C1","EndScene_C2")))</f>
        <v/>
      </c>
      <c r="P5">
        <f>IF(COUNTIFS(Artifact!$B$2:$B$385,B5,Artifact!$K$2:$K$385,"&gt;25")+COUNTIFS(Log!$A$2:$A$49,B5,Log!$H$2:$H$49,"Red")+COUNTIFS(Log!$A$2:$A$49,B5,Log!$I$2:$I$49,"Red")&gt;0,"No","Yes")</f>
        <v/>
      </c>
      <c r="Q5">
        <f>IF(COUNTIFS(Artifact!$B$2:$B$385,B5,Artifact!$K$2:$K$385,"&gt;15")+COUNTIFS(Log!$A$2:$A$49,B5,Log!$H$2:$H$49,"Red")+COUNTIFS(Log!$A$2:$A$49,B5,Log!$I$2:$I$49,"Red")&gt;0,"No","Yes")</f>
        <v/>
      </c>
    </row>
    <row r="6">
      <c r="A6" t="inlineStr">
        <is>
          <t>SIMULATED Commercial FA Study</t>
        </is>
      </c>
      <c r="B6" t="inlineStr">
        <is>
          <t>P01</t>
        </is>
      </c>
      <c r="C6" t="inlineStr">
        <is>
          <t>F</t>
        </is>
      </c>
      <c r="D6" t="n">
        <v>22</v>
      </c>
      <c r="E6" t="inlineStr">
        <is>
          <t>B_C2first</t>
        </is>
      </c>
      <c r="F6" t="inlineStr">
        <is>
          <t>Annotation</t>
        </is>
      </c>
      <c r="G6" t="inlineStr">
        <is>
          <t>EndScene</t>
        </is>
      </c>
      <c r="H6" t="n">
        <v>145000</v>
      </c>
      <c r="I6" t="n">
        <v>10000</v>
      </c>
      <c r="J6" t="inlineStr">
        <is>
          <t>Commercial_2</t>
        </is>
      </c>
      <c r="K6" s="4" t="n">
        <v>0.0379</v>
      </c>
      <c r="L6" t="inlineStr">
        <is>
          <t>Frontal Asymmetry (Enobio EEG)</t>
        </is>
      </c>
      <c r="M6">
        <f>LEFT(E6,1)</f>
        <v/>
      </c>
      <c r="N6">
        <f>MID(E6,3,10)</f>
        <v/>
      </c>
      <c r="O6">
        <f>IF(F6="Stimulus",IF(LEFT(G6,8)="Baseline",G6,IF(LEFT(G6,12)="Commercial_1","C1","C2")),IF(G6="KeyScene","KeyScene",IF(LEFT(J6,12)="Commercial_1","EndScene_C1","EndScene_C2")))</f>
        <v/>
      </c>
      <c r="P6">
        <f>IF(COUNTIFS(Artifact!$B$2:$B$385,B6,Artifact!$K$2:$K$385,"&gt;25")+COUNTIFS(Log!$A$2:$A$49,B6,Log!$H$2:$H$49,"Red")+COUNTIFS(Log!$A$2:$A$49,B6,Log!$I$2:$I$49,"Red")&gt;0,"No","Yes")</f>
        <v/>
      </c>
      <c r="Q6">
        <f>IF(COUNTIFS(Artifact!$B$2:$B$385,B6,Artifact!$K$2:$K$385,"&gt;15")+COUNTIFS(Log!$A$2:$A$49,B6,Log!$H$2:$H$49,"Red")+COUNTIFS(Log!$A$2:$A$49,B6,Log!$I$2:$I$49,"Red")&gt;0,"No","Yes")</f>
        <v/>
      </c>
    </row>
    <row r="7">
      <c r="A7" t="inlineStr">
        <is>
          <t>SIMULATED Commercial FA Study</t>
        </is>
      </c>
      <c r="B7" t="inlineStr">
        <is>
          <t>P01</t>
        </is>
      </c>
      <c r="C7" t="inlineStr">
        <is>
          <t>F</t>
        </is>
      </c>
      <c r="D7" t="n">
        <v>22</v>
      </c>
      <c r="E7" t="inlineStr">
        <is>
          <t>B_C2first</t>
        </is>
      </c>
      <c r="F7" t="inlineStr">
        <is>
          <t>Annotation</t>
        </is>
      </c>
      <c r="G7" t="inlineStr">
        <is>
          <t>EndScene</t>
        </is>
      </c>
      <c r="H7" t="n">
        <v>307000</v>
      </c>
      <c r="I7" t="n">
        <v>10000</v>
      </c>
      <c r="J7" t="inlineStr">
        <is>
          <t>Commercial_1B</t>
        </is>
      </c>
      <c r="K7" s="4" t="n">
        <v>-0.08690000000000001</v>
      </c>
      <c r="L7" t="inlineStr">
        <is>
          <t>Frontal Asymmetry (Enobio EEG)</t>
        </is>
      </c>
      <c r="M7">
        <f>LEFT(E7,1)</f>
        <v/>
      </c>
      <c r="N7">
        <f>MID(E7,3,10)</f>
        <v/>
      </c>
      <c r="O7">
        <f>IF(F7="Stimulus",IF(LEFT(G7,8)="Baseline",G7,IF(LEFT(G7,12)="Commercial_1","C1","C2")),IF(G7="KeyScene","KeyScene",IF(LEFT(J7,12)="Commercial_1","EndScene_C1","EndScene_C2")))</f>
        <v/>
      </c>
      <c r="P7">
        <f>IF(COUNTIFS(Artifact!$B$2:$B$385,B7,Artifact!$K$2:$K$385,"&gt;25")+COUNTIFS(Log!$A$2:$A$49,B7,Log!$H$2:$H$49,"Red")+COUNTIFS(Log!$A$2:$A$49,B7,Log!$I$2:$I$49,"Red")&gt;0,"No","Yes")</f>
        <v/>
      </c>
      <c r="Q7">
        <f>IF(COUNTIFS(Artifact!$B$2:$B$385,B7,Artifact!$K$2:$K$385,"&gt;15")+COUNTIFS(Log!$A$2:$A$49,B7,Log!$H$2:$H$49,"Red")+COUNTIFS(Log!$A$2:$A$49,B7,Log!$I$2:$I$49,"Red")&gt;0,"No","Yes")</f>
        <v/>
      </c>
    </row>
    <row r="8">
      <c r="A8" t="inlineStr">
        <is>
          <t>SIMULATED Commercial FA Study</t>
        </is>
      </c>
      <c r="B8" t="inlineStr">
        <is>
          <t>P02</t>
        </is>
      </c>
      <c r="C8" t="inlineStr">
        <is>
          <t>F</t>
        </is>
      </c>
      <c r="D8" t="n">
        <v>22</v>
      </c>
      <c r="E8" t="inlineStr">
        <is>
          <t>A_C2first</t>
        </is>
      </c>
      <c r="F8" t="inlineStr">
        <is>
          <t>Stimulus</t>
        </is>
      </c>
      <c r="G8" t="inlineStr">
        <is>
          <t>Baseline_1</t>
        </is>
      </c>
      <c r="H8" t="n">
        <v>35000</v>
      </c>
      <c r="I8" t="n">
        <v>60000</v>
      </c>
      <c r="J8" t="inlineStr">
        <is>
          <t>Baseline_1</t>
        </is>
      </c>
      <c r="K8" s="4" t="n">
        <v>-0.1065</v>
      </c>
      <c r="L8" t="inlineStr">
        <is>
          <t>Frontal Asymmetry (Enobio EEG)</t>
        </is>
      </c>
      <c r="M8">
        <f>LEFT(E8,1)</f>
        <v/>
      </c>
      <c r="N8">
        <f>MID(E8,3,10)</f>
        <v/>
      </c>
      <c r="O8">
        <f>IF(F8="Stimulus",IF(LEFT(G8,8)="Baseline",G8,IF(LEFT(G8,12)="Commercial_1","C1","C2")),IF(G8="KeyScene","KeyScene",IF(LEFT(J8,12)="Commercial_1","EndScene_C1","EndScene_C2")))</f>
        <v/>
      </c>
      <c r="P8">
        <f>IF(COUNTIFS(Artifact!$B$2:$B$385,B8,Artifact!$K$2:$K$385,"&gt;25")+COUNTIFS(Log!$A$2:$A$49,B8,Log!$H$2:$H$49,"Red")+COUNTIFS(Log!$A$2:$A$49,B8,Log!$I$2:$I$49,"Red")&gt;0,"No","Yes")</f>
        <v/>
      </c>
      <c r="Q8">
        <f>IF(COUNTIFS(Artifact!$B$2:$B$385,B8,Artifact!$K$2:$K$385,"&gt;15")+COUNTIFS(Log!$A$2:$A$49,B8,Log!$H$2:$H$49,"Red")+COUNTIFS(Log!$A$2:$A$49,B8,Log!$I$2:$I$49,"Red")&gt;0,"No","Yes")</f>
        <v/>
      </c>
    </row>
    <row r="9">
      <c r="A9" t="inlineStr">
        <is>
          <t>SIMULATED Commercial FA Study</t>
        </is>
      </c>
      <c r="B9" t="inlineStr">
        <is>
          <t>P02</t>
        </is>
      </c>
      <c r="C9" t="inlineStr">
        <is>
          <t>F</t>
        </is>
      </c>
      <c r="D9" t="n">
        <v>22</v>
      </c>
      <c r="E9" t="inlineStr">
        <is>
          <t>A_C2first</t>
        </is>
      </c>
      <c r="F9" t="inlineStr">
        <is>
          <t>Stimulus</t>
        </is>
      </c>
      <c r="G9" t="inlineStr">
        <is>
          <t>Commercial_2</t>
        </is>
      </c>
      <c r="H9" t="n">
        <v>95000</v>
      </c>
      <c r="I9" t="n">
        <v>60000</v>
      </c>
      <c r="J9" t="inlineStr">
        <is>
          <t>Commercial_2</t>
        </is>
      </c>
      <c r="K9" s="4" t="n">
        <v>-0.1198</v>
      </c>
      <c r="L9" t="inlineStr">
        <is>
          <t>Frontal Asymmetry (Enobio EEG)</t>
        </is>
      </c>
      <c r="M9">
        <f>LEFT(E9,1)</f>
        <v/>
      </c>
      <c r="N9">
        <f>MID(E9,3,10)</f>
        <v/>
      </c>
      <c r="O9">
        <f>IF(F9="Stimulus",IF(LEFT(G9,8)="Baseline",G9,IF(LEFT(G9,12)="Commercial_1","C1","C2")),IF(G9="KeyScene","KeyScene",IF(LEFT(J9,12)="Commercial_1","EndScene_C1","EndScene_C2")))</f>
        <v/>
      </c>
      <c r="P9">
        <f>IF(COUNTIFS(Artifact!$B$2:$B$385,B9,Artifact!$K$2:$K$385,"&gt;25")+COUNTIFS(Log!$A$2:$A$49,B9,Log!$H$2:$H$49,"Red")+COUNTIFS(Log!$A$2:$A$49,B9,Log!$I$2:$I$49,"Red")&gt;0,"No","Yes")</f>
        <v/>
      </c>
      <c r="Q9">
        <f>IF(COUNTIFS(Artifact!$B$2:$B$385,B9,Artifact!$K$2:$K$385,"&gt;15")+COUNTIFS(Log!$A$2:$A$49,B9,Log!$H$2:$H$49,"Red")+COUNTIFS(Log!$A$2:$A$49,B9,Log!$I$2:$I$49,"Red")&gt;0,"No","Yes")</f>
        <v/>
      </c>
    </row>
    <row r="10">
      <c r="A10" t="inlineStr">
        <is>
          <t>SIMULATED Commercial FA Study</t>
        </is>
      </c>
      <c r="B10" t="inlineStr">
        <is>
          <t>P02</t>
        </is>
      </c>
      <c r="C10" t="inlineStr">
        <is>
          <t>F</t>
        </is>
      </c>
      <c r="D10" t="n">
        <v>22</v>
      </c>
      <c r="E10" t="inlineStr">
        <is>
          <t>A_C2first</t>
        </is>
      </c>
      <c r="F10" t="inlineStr">
        <is>
          <t>Stimulus</t>
        </is>
      </c>
      <c r="G10" t="inlineStr">
        <is>
          <t>Baseline_2</t>
        </is>
      </c>
      <c r="H10" t="n">
        <v>197000</v>
      </c>
      <c r="I10" t="n">
        <v>60000</v>
      </c>
      <c r="J10" t="inlineStr">
        <is>
          <t>Baseline_2</t>
        </is>
      </c>
      <c r="K10" s="4" t="n">
        <v>-0.177</v>
      </c>
      <c r="L10" t="inlineStr">
        <is>
          <t>Frontal Asymmetry (Enobio EEG)</t>
        </is>
      </c>
      <c r="M10">
        <f>LEFT(E10,1)</f>
        <v/>
      </c>
      <c r="N10">
        <f>MID(E10,3,10)</f>
        <v/>
      </c>
      <c r="O10">
        <f>IF(F10="Stimulus",IF(LEFT(G10,8)="Baseline",G10,IF(LEFT(G10,12)="Commercial_1","C1","C2")),IF(G10="KeyScene","KeyScene",IF(LEFT(J10,12)="Commercial_1","EndScene_C1","EndScene_C2")))</f>
        <v/>
      </c>
      <c r="P10">
        <f>IF(COUNTIFS(Artifact!$B$2:$B$385,B10,Artifact!$K$2:$K$385,"&gt;25")+COUNTIFS(Log!$A$2:$A$49,B10,Log!$H$2:$H$49,"Red")+COUNTIFS(Log!$A$2:$A$49,B10,Log!$I$2:$I$49,"Red")&gt;0,"No","Yes")</f>
        <v/>
      </c>
      <c r="Q10">
        <f>IF(COUNTIFS(Artifact!$B$2:$B$385,B10,Artifact!$K$2:$K$385,"&gt;15")+COUNTIFS(Log!$A$2:$A$49,B10,Log!$H$2:$H$49,"Red")+COUNTIFS(Log!$A$2:$A$49,B10,Log!$I$2:$I$49,"Red")&gt;0,"No","Yes")</f>
        <v/>
      </c>
    </row>
    <row r="11">
      <c r="A11" t="inlineStr">
        <is>
          <t>SIMULATED Commercial FA Study</t>
        </is>
      </c>
      <c r="B11" t="inlineStr">
        <is>
          <t>P02</t>
        </is>
      </c>
      <c r="C11" t="inlineStr">
        <is>
          <t>F</t>
        </is>
      </c>
      <c r="D11" t="n">
        <v>22</v>
      </c>
      <c r="E11" t="inlineStr">
        <is>
          <t>A_C2first</t>
        </is>
      </c>
      <c r="F11" t="inlineStr">
        <is>
          <t>Stimulus</t>
        </is>
      </c>
      <c r="G11" t="inlineStr">
        <is>
          <t>Commercial_1A</t>
        </is>
      </c>
      <c r="H11" t="n">
        <v>257000</v>
      </c>
      <c r="I11" t="n">
        <v>60000</v>
      </c>
      <c r="J11" t="inlineStr">
        <is>
          <t>Commercial_1A</t>
        </is>
      </c>
      <c r="K11" s="4" t="n">
        <v>-0.2164</v>
      </c>
      <c r="L11" t="inlineStr">
        <is>
          <t>Frontal Asymmetry (Enobio EEG)</t>
        </is>
      </c>
      <c r="M11">
        <f>LEFT(E11,1)</f>
        <v/>
      </c>
      <c r="N11">
        <f>MID(E11,3,10)</f>
        <v/>
      </c>
      <c r="O11">
        <f>IF(F11="Stimulus",IF(LEFT(G11,8)="Baseline",G11,IF(LEFT(G11,12)="Commercial_1","C1","C2")),IF(G11="KeyScene","KeyScene",IF(LEFT(J11,12)="Commercial_1","EndScene_C1","EndScene_C2")))</f>
        <v/>
      </c>
      <c r="P11">
        <f>IF(COUNTIFS(Artifact!$B$2:$B$385,B11,Artifact!$K$2:$K$385,"&gt;25")+COUNTIFS(Log!$A$2:$A$49,B11,Log!$H$2:$H$49,"Red")+COUNTIFS(Log!$A$2:$A$49,B11,Log!$I$2:$I$49,"Red")&gt;0,"No","Yes")</f>
        <v/>
      </c>
      <c r="Q11">
        <f>IF(COUNTIFS(Artifact!$B$2:$B$385,B11,Artifact!$K$2:$K$385,"&gt;15")+COUNTIFS(Log!$A$2:$A$49,B11,Log!$H$2:$H$49,"Red")+COUNTIFS(Log!$A$2:$A$49,B11,Log!$I$2:$I$49,"Red")&gt;0,"No","Yes")</f>
        <v/>
      </c>
    </row>
    <row r="12">
      <c r="A12" t="inlineStr">
        <is>
          <t>SIMULATED Commercial FA Study</t>
        </is>
      </c>
      <c r="B12" t="inlineStr">
        <is>
          <t>P02</t>
        </is>
      </c>
      <c r="C12" t="inlineStr">
        <is>
          <t>F</t>
        </is>
      </c>
      <c r="D12" t="n">
        <v>22</v>
      </c>
      <c r="E12" t="inlineStr">
        <is>
          <t>A_C2first</t>
        </is>
      </c>
      <c r="F12" t="inlineStr">
        <is>
          <t>Annotation</t>
        </is>
      </c>
      <c r="G12" t="inlineStr">
        <is>
          <t>EndScene</t>
        </is>
      </c>
      <c r="H12" t="n">
        <v>145000</v>
      </c>
      <c r="I12" t="n">
        <v>10000</v>
      </c>
      <c r="J12" t="inlineStr">
        <is>
          <t>Commercial_2</t>
        </is>
      </c>
      <c r="K12" s="4" t="n">
        <v>-0.1272</v>
      </c>
      <c r="L12" t="inlineStr">
        <is>
          <t>Frontal Asymmetry (Enobio EEG)</t>
        </is>
      </c>
      <c r="M12">
        <f>LEFT(E12,1)</f>
        <v/>
      </c>
      <c r="N12">
        <f>MID(E12,3,10)</f>
        <v/>
      </c>
      <c r="O12">
        <f>IF(F12="Stimulus",IF(LEFT(G12,8)="Baseline",G12,IF(LEFT(G12,12)="Commercial_1","C1","C2")),IF(G12="KeyScene","KeyScene",IF(LEFT(J12,12)="Commercial_1","EndScene_C1","EndScene_C2")))</f>
        <v/>
      </c>
      <c r="P12">
        <f>IF(COUNTIFS(Artifact!$B$2:$B$385,B12,Artifact!$K$2:$K$385,"&gt;25")+COUNTIFS(Log!$A$2:$A$49,B12,Log!$H$2:$H$49,"Red")+COUNTIFS(Log!$A$2:$A$49,B12,Log!$I$2:$I$49,"Red")&gt;0,"No","Yes")</f>
        <v/>
      </c>
      <c r="Q12">
        <f>IF(COUNTIFS(Artifact!$B$2:$B$385,B12,Artifact!$K$2:$K$385,"&gt;15")+COUNTIFS(Log!$A$2:$A$49,B12,Log!$H$2:$H$49,"Red")+COUNTIFS(Log!$A$2:$A$49,B12,Log!$I$2:$I$49,"Red")&gt;0,"No","Yes")</f>
        <v/>
      </c>
    </row>
    <row r="13">
      <c r="A13" t="inlineStr">
        <is>
          <t>SIMULATED Commercial FA Study</t>
        </is>
      </c>
      <c r="B13" t="inlineStr">
        <is>
          <t>P02</t>
        </is>
      </c>
      <c r="C13" t="inlineStr">
        <is>
          <t>F</t>
        </is>
      </c>
      <c r="D13" t="n">
        <v>22</v>
      </c>
      <c r="E13" t="inlineStr">
        <is>
          <t>A_C2first</t>
        </is>
      </c>
      <c r="F13" t="inlineStr">
        <is>
          <t>Annotation</t>
        </is>
      </c>
      <c r="G13" t="inlineStr">
        <is>
          <t>KeyScene</t>
        </is>
      </c>
      <c r="H13" t="n">
        <v>289000</v>
      </c>
      <c r="I13" t="n">
        <v>6000</v>
      </c>
      <c r="J13" t="inlineStr">
        <is>
          <t>Commercial_1A</t>
        </is>
      </c>
      <c r="K13" s="4" t="n">
        <v>-0.1678</v>
      </c>
      <c r="L13" t="inlineStr">
        <is>
          <t>Frontal Asymmetry (Enobio EEG)</t>
        </is>
      </c>
      <c r="M13">
        <f>LEFT(E13,1)</f>
        <v/>
      </c>
      <c r="N13">
        <f>MID(E13,3,10)</f>
        <v/>
      </c>
      <c r="O13">
        <f>IF(F13="Stimulus",IF(LEFT(G13,8)="Baseline",G13,IF(LEFT(G13,12)="Commercial_1","C1","C2")),IF(G13="KeyScene","KeyScene",IF(LEFT(J13,12)="Commercial_1","EndScene_C1","EndScene_C2")))</f>
        <v/>
      </c>
      <c r="P13">
        <f>IF(COUNTIFS(Artifact!$B$2:$B$385,B13,Artifact!$K$2:$K$385,"&gt;25")+COUNTIFS(Log!$A$2:$A$49,B13,Log!$H$2:$H$49,"Red")+COUNTIFS(Log!$A$2:$A$49,B13,Log!$I$2:$I$49,"Red")&gt;0,"No","Yes")</f>
        <v/>
      </c>
      <c r="Q13">
        <f>IF(COUNTIFS(Artifact!$B$2:$B$385,B13,Artifact!$K$2:$K$385,"&gt;15")+COUNTIFS(Log!$A$2:$A$49,B13,Log!$H$2:$H$49,"Red")+COUNTIFS(Log!$A$2:$A$49,B13,Log!$I$2:$I$49,"Red")&gt;0,"No","Yes")</f>
        <v/>
      </c>
    </row>
    <row r="14">
      <c r="A14" t="inlineStr">
        <is>
          <t>SIMULATED Commercial FA Study</t>
        </is>
      </c>
      <c r="B14" t="inlineStr">
        <is>
          <t>P02</t>
        </is>
      </c>
      <c r="C14" t="inlineStr">
        <is>
          <t>F</t>
        </is>
      </c>
      <c r="D14" t="n">
        <v>22</v>
      </c>
      <c r="E14" t="inlineStr">
        <is>
          <t>A_C2first</t>
        </is>
      </c>
      <c r="F14" t="inlineStr">
        <is>
          <t>Annotation</t>
        </is>
      </c>
      <c r="G14" t="inlineStr">
        <is>
          <t>EndScene</t>
        </is>
      </c>
      <c r="H14" t="n">
        <v>307000</v>
      </c>
      <c r="I14" t="n">
        <v>10000</v>
      </c>
      <c r="J14" t="inlineStr">
        <is>
          <t>Commercial_1A</t>
        </is>
      </c>
      <c r="K14" s="4" t="n">
        <v>-0.2023</v>
      </c>
      <c r="L14" t="inlineStr">
        <is>
          <t>Frontal Asymmetry (Enobio EEG)</t>
        </is>
      </c>
      <c r="M14">
        <f>LEFT(E14,1)</f>
        <v/>
      </c>
      <c r="N14">
        <f>MID(E14,3,10)</f>
        <v/>
      </c>
      <c r="O14">
        <f>IF(F14="Stimulus",IF(LEFT(G14,8)="Baseline",G14,IF(LEFT(G14,12)="Commercial_1","C1","C2")),IF(G14="KeyScene","KeyScene",IF(LEFT(J14,12)="Commercial_1","EndScene_C1","EndScene_C2")))</f>
        <v/>
      </c>
      <c r="P14">
        <f>IF(COUNTIFS(Artifact!$B$2:$B$385,B14,Artifact!$K$2:$K$385,"&gt;25")+COUNTIFS(Log!$A$2:$A$49,B14,Log!$H$2:$H$49,"Red")+COUNTIFS(Log!$A$2:$A$49,B14,Log!$I$2:$I$49,"Red")&gt;0,"No","Yes")</f>
        <v/>
      </c>
      <c r="Q14">
        <f>IF(COUNTIFS(Artifact!$B$2:$B$385,B14,Artifact!$K$2:$K$385,"&gt;15")+COUNTIFS(Log!$A$2:$A$49,B14,Log!$H$2:$H$49,"Red")+COUNTIFS(Log!$A$2:$A$49,B14,Log!$I$2:$I$49,"Red")&gt;0,"No","Yes")</f>
        <v/>
      </c>
    </row>
    <row r="15">
      <c r="A15" t="inlineStr">
        <is>
          <t>SIMULATED Commercial FA Study</t>
        </is>
      </c>
      <c r="B15" t="inlineStr">
        <is>
          <t>P03</t>
        </is>
      </c>
      <c r="C15" t="inlineStr">
        <is>
          <t>M</t>
        </is>
      </c>
      <c r="D15" t="n">
        <v>26</v>
      </c>
      <c r="E15" t="inlineStr">
        <is>
          <t>B_C1first</t>
        </is>
      </c>
      <c r="F15" t="inlineStr">
        <is>
          <t>Stimulus</t>
        </is>
      </c>
      <c r="G15" t="inlineStr">
        <is>
          <t>Baseline_1</t>
        </is>
      </c>
      <c r="H15" t="n">
        <v>33000</v>
      </c>
      <c r="I15" t="n">
        <v>60000</v>
      </c>
      <c r="J15" t="inlineStr">
        <is>
          <t>Baseline_1</t>
        </is>
      </c>
      <c r="K15" s="4" t="n">
        <v>0.002</v>
      </c>
      <c r="L15" t="inlineStr">
        <is>
          <t>Frontal Asymmetry (Enobio EEG)</t>
        </is>
      </c>
      <c r="M15">
        <f>LEFT(E15,1)</f>
        <v/>
      </c>
      <c r="N15">
        <f>MID(E15,3,10)</f>
        <v/>
      </c>
      <c r="O15">
        <f>IF(F15="Stimulus",IF(LEFT(G15,8)="Baseline",G15,IF(LEFT(G15,12)="Commercial_1","C1","C2")),IF(G15="KeyScene","KeyScene",IF(LEFT(J15,12)="Commercial_1","EndScene_C1","EndScene_C2")))</f>
        <v/>
      </c>
      <c r="P15">
        <f>IF(COUNTIFS(Artifact!$B$2:$B$385,B15,Artifact!$K$2:$K$385,"&gt;25")+COUNTIFS(Log!$A$2:$A$49,B15,Log!$H$2:$H$49,"Red")+COUNTIFS(Log!$A$2:$A$49,B15,Log!$I$2:$I$49,"Red")&gt;0,"No","Yes")</f>
        <v/>
      </c>
      <c r="Q15">
        <f>IF(COUNTIFS(Artifact!$B$2:$B$385,B15,Artifact!$K$2:$K$385,"&gt;15")+COUNTIFS(Log!$A$2:$A$49,B15,Log!$H$2:$H$49,"Red")+COUNTIFS(Log!$A$2:$A$49,B15,Log!$I$2:$I$49,"Red")&gt;0,"No","Yes")</f>
        <v/>
      </c>
    </row>
    <row r="16">
      <c r="A16" t="inlineStr">
        <is>
          <t>SIMULATED Commercial FA Study</t>
        </is>
      </c>
      <c r="B16" t="inlineStr">
        <is>
          <t>P03</t>
        </is>
      </c>
      <c r="C16" t="inlineStr">
        <is>
          <t>M</t>
        </is>
      </c>
      <c r="D16" t="n">
        <v>26</v>
      </c>
      <c r="E16" t="inlineStr">
        <is>
          <t>B_C1first</t>
        </is>
      </c>
      <c r="F16" t="inlineStr">
        <is>
          <t>Stimulus</t>
        </is>
      </c>
      <c r="G16" t="inlineStr">
        <is>
          <t>Commercial_1B</t>
        </is>
      </c>
      <c r="H16" t="n">
        <v>93000</v>
      </c>
      <c r="I16" t="n">
        <v>54000</v>
      </c>
      <c r="J16" t="inlineStr">
        <is>
          <t>Commercial_1B</t>
        </is>
      </c>
      <c r="K16" s="4" t="n">
        <v>-0.0307</v>
      </c>
      <c r="L16" t="inlineStr">
        <is>
          <t>Frontal Asymmetry (Enobio EEG)</t>
        </is>
      </c>
      <c r="M16">
        <f>LEFT(E16,1)</f>
        <v/>
      </c>
      <c r="N16">
        <f>MID(E16,3,10)</f>
        <v/>
      </c>
      <c r="O16">
        <f>IF(F16="Stimulus",IF(LEFT(G16,8)="Baseline",G16,IF(LEFT(G16,12)="Commercial_1","C1","C2")),IF(G16="KeyScene","KeyScene",IF(LEFT(J16,12)="Commercial_1","EndScene_C1","EndScene_C2")))</f>
        <v/>
      </c>
      <c r="P16">
        <f>IF(COUNTIFS(Artifact!$B$2:$B$385,B16,Artifact!$K$2:$K$385,"&gt;25")+COUNTIFS(Log!$A$2:$A$49,B16,Log!$H$2:$H$49,"Red")+COUNTIFS(Log!$A$2:$A$49,B16,Log!$I$2:$I$49,"Red")&gt;0,"No","Yes")</f>
        <v/>
      </c>
      <c r="Q16">
        <f>IF(COUNTIFS(Artifact!$B$2:$B$385,B16,Artifact!$K$2:$K$385,"&gt;15")+COUNTIFS(Log!$A$2:$A$49,B16,Log!$H$2:$H$49,"Red")+COUNTIFS(Log!$A$2:$A$49,B16,Log!$I$2:$I$49,"Red")&gt;0,"No","Yes")</f>
        <v/>
      </c>
    </row>
    <row r="17">
      <c r="A17" t="inlineStr">
        <is>
          <t>SIMULATED Commercial FA Study</t>
        </is>
      </c>
      <c r="B17" t="inlineStr">
        <is>
          <t>P03</t>
        </is>
      </c>
      <c r="C17" t="inlineStr">
        <is>
          <t>M</t>
        </is>
      </c>
      <c r="D17" t="n">
        <v>26</v>
      </c>
      <c r="E17" t="inlineStr">
        <is>
          <t>B_C1first</t>
        </is>
      </c>
      <c r="F17" t="inlineStr">
        <is>
          <t>Stimulus</t>
        </is>
      </c>
      <c r="G17" t="inlineStr">
        <is>
          <t>Baseline_2</t>
        </is>
      </c>
      <c r="H17" t="n">
        <v>196000</v>
      </c>
      <c r="I17" t="n">
        <v>60000</v>
      </c>
      <c r="J17" t="inlineStr">
        <is>
          <t>Baseline_2</t>
        </is>
      </c>
      <c r="K17" s="4" t="n">
        <v>-0.0252</v>
      </c>
      <c r="L17" t="inlineStr">
        <is>
          <t>Frontal Asymmetry (Enobio EEG)</t>
        </is>
      </c>
      <c r="M17">
        <f>LEFT(E17,1)</f>
        <v/>
      </c>
      <c r="N17">
        <f>MID(E17,3,10)</f>
        <v/>
      </c>
      <c r="O17">
        <f>IF(F17="Stimulus",IF(LEFT(G17,8)="Baseline",G17,IF(LEFT(G17,12)="Commercial_1","C1","C2")),IF(G17="KeyScene","KeyScene",IF(LEFT(J17,12)="Commercial_1","EndScene_C1","EndScene_C2")))</f>
        <v/>
      </c>
      <c r="P17">
        <f>IF(COUNTIFS(Artifact!$B$2:$B$385,B17,Artifact!$K$2:$K$385,"&gt;25")+COUNTIFS(Log!$A$2:$A$49,B17,Log!$H$2:$H$49,"Red")+COUNTIFS(Log!$A$2:$A$49,B17,Log!$I$2:$I$49,"Red")&gt;0,"No","Yes")</f>
        <v/>
      </c>
      <c r="Q17">
        <f>IF(COUNTIFS(Artifact!$B$2:$B$385,B17,Artifact!$K$2:$K$385,"&gt;15")+COUNTIFS(Log!$A$2:$A$49,B17,Log!$H$2:$H$49,"Red")+COUNTIFS(Log!$A$2:$A$49,B17,Log!$I$2:$I$49,"Red")&gt;0,"No","Yes")</f>
        <v/>
      </c>
    </row>
    <row r="18">
      <c r="A18" t="inlineStr">
        <is>
          <t>SIMULATED Commercial FA Study</t>
        </is>
      </c>
      <c r="B18" t="inlineStr">
        <is>
          <t>P03</t>
        </is>
      </c>
      <c r="C18" t="inlineStr">
        <is>
          <t>M</t>
        </is>
      </c>
      <c r="D18" t="n">
        <v>26</v>
      </c>
      <c r="E18" t="inlineStr">
        <is>
          <t>B_C1first</t>
        </is>
      </c>
      <c r="F18" t="inlineStr">
        <is>
          <t>Stimulus</t>
        </is>
      </c>
      <c r="G18" t="inlineStr">
        <is>
          <t>Commercial_2</t>
        </is>
      </c>
      <c r="H18" t="n">
        <v>256000</v>
      </c>
      <c r="I18" t="n">
        <v>60000</v>
      </c>
      <c r="J18" t="inlineStr">
        <is>
          <t>Commercial_2</t>
        </is>
      </c>
      <c r="K18" s="4" t="n">
        <v>0.0425</v>
      </c>
      <c r="L18" t="inlineStr">
        <is>
          <t>Frontal Asymmetry (Enobio EEG)</t>
        </is>
      </c>
      <c r="M18">
        <f>LEFT(E18,1)</f>
        <v/>
      </c>
      <c r="N18">
        <f>MID(E18,3,10)</f>
        <v/>
      </c>
      <c r="O18">
        <f>IF(F18="Stimulus",IF(LEFT(G18,8)="Baseline",G18,IF(LEFT(G18,12)="Commercial_1","C1","C2")),IF(G18="KeyScene","KeyScene",IF(LEFT(J18,12)="Commercial_1","EndScene_C1","EndScene_C2")))</f>
        <v/>
      </c>
      <c r="P18">
        <f>IF(COUNTIFS(Artifact!$B$2:$B$385,B18,Artifact!$K$2:$K$385,"&gt;25")+COUNTIFS(Log!$A$2:$A$49,B18,Log!$H$2:$H$49,"Red")+COUNTIFS(Log!$A$2:$A$49,B18,Log!$I$2:$I$49,"Red")&gt;0,"No","Yes")</f>
        <v/>
      </c>
      <c r="Q18">
        <f>IF(COUNTIFS(Artifact!$B$2:$B$385,B18,Artifact!$K$2:$K$385,"&gt;15")+COUNTIFS(Log!$A$2:$A$49,B18,Log!$H$2:$H$49,"Red")+COUNTIFS(Log!$A$2:$A$49,B18,Log!$I$2:$I$49,"Red")&gt;0,"No","Yes")</f>
        <v/>
      </c>
    </row>
    <row r="19">
      <c r="A19" t="inlineStr">
        <is>
          <t>SIMULATED Commercial FA Study</t>
        </is>
      </c>
      <c r="B19" t="inlineStr">
        <is>
          <t>P03</t>
        </is>
      </c>
      <c r="C19" t="inlineStr">
        <is>
          <t>M</t>
        </is>
      </c>
      <c r="D19" t="n">
        <v>26</v>
      </c>
      <c r="E19" t="inlineStr">
        <is>
          <t>B_C1first</t>
        </is>
      </c>
      <c r="F19" t="inlineStr">
        <is>
          <t>Annotation</t>
        </is>
      </c>
      <c r="G19" t="inlineStr">
        <is>
          <t>EndScene</t>
        </is>
      </c>
      <c r="H19" t="n">
        <v>137000</v>
      </c>
      <c r="I19" t="n">
        <v>10000</v>
      </c>
      <c r="J19" t="inlineStr">
        <is>
          <t>Commercial_1B</t>
        </is>
      </c>
      <c r="K19" s="4" t="n">
        <v>0.1981</v>
      </c>
      <c r="L19" t="inlineStr">
        <is>
          <t>Frontal Asymmetry (Enobio EEG)</t>
        </is>
      </c>
      <c r="M19">
        <f>LEFT(E19,1)</f>
        <v/>
      </c>
      <c r="N19">
        <f>MID(E19,3,10)</f>
        <v/>
      </c>
      <c r="O19">
        <f>IF(F19="Stimulus",IF(LEFT(G19,8)="Baseline",G19,IF(LEFT(G19,12)="Commercial_1","C1","C2")),IF(G19="KeyScene","KeyScene",IF(LEFT(J19,12)="Commercial_1","EndScene_C1","EndScene_C2")))</f>
        <v/>
      </c>
      <c r="P19">
        <f>IF(COUNTIFS(Artifact!$B$2:$B$385,B19,Artifact!$K$2:$K$385,"&gt;25")+COUNTIFS(Log!$A$2:$A$49,B19,Log!$H$2:$H$49,"Red")+COUNTIFS(Log!$A$2:$A$49,B19,Log!$I$2:$I$49,"Red")&gt;0,"No","Yes")</f>
        <v/>
      </c>
      <c r="Q19">
        <f>IF(COUNTIFS(Artifact!$B$2:$B$385,B19,Artifact!$K$2:$K$385,"&gt;15")+COUNTIFS(Log!$A$2:$A$49,B19,Log!$H$2:$H$49,"Red")+COUNTIFS(Log!$A$2:$A$49,B19,Log!$I$2:$I$49,"Red")&gt;0,"No","Yes")</f>
        <v/>
      </c>
    </row>
    <row r="20">
      <c r="A20" t="inlineStr">
        <is>
          <t>SIMULATED Commercial FA Study</t>
        </is>
      </c>
      <c r="B20" t="inlineStr">
        <is>
          <t>P03</t>
        </is>
      </c>
      <c r="C20" t="inlineStr">
        <is>
          <t>M</t>
        </is>
      </c>
      <c r="D20" t="n">
        <v>26</v>
      </c>
      <c r="E20" t="inlineStr">
        <is>
          <t>B_C1first</t>
        </is>
      </c>
      <c r="F20" t="inlineStr">
        <is>
          <t>Annotation</t>
        </is>
      </c>
      <c r="G20" t="inlineStr">
        <is>
          <t>EndScene</t>
        </is>
      </c>
      <c r="H20" t="n">
        <v>306000</v>
      </c>
      <c r="I20" t="n">
        <v>10000</v>
      </c>
      <c r="J20" t="inlineStr">
        <is>
          <t>Commercial_2</t>
        </is>
      </c>
      <c r="K20" s="4" t="n">
        <v>-0</v>
      </c>
      <c r="L20" t="inlineStr">
        <is>
          <t>Frontal Asymmetry (Enobio EEG)</t>
        </is>
      </c>
      <c r="M20">
        <f>LEFT(E20,1)</f>
        <v/>
      </c>
      <c r="N20">
        <f>MID(E20,3,10)</f>
        <v/>
      </c>
      <c r="O20">
        <f>IF(F20="Stimulus",IF(LEFT(G20,8)="Baseline",G20,IF(LEFT(G20,12)="Commercial_1","C1","C2")),IF(G20="KeyScene","KeyScene",IF(LEFT(J20,12)="Commercial_1","EndScene_C1","EndScene_C2")))</f>
        <v/>
      </c>
      <c r="P20">
        <f>IF(COUNTIFS(Artifact!$B$2:$B$385,B20,Artifact!$K$2:$K$385,"&gt;25")+COUNTIFS(Log!$A$2:$A$49,B20,Log!$H$2:$H$49,"Red")+COUNTIFS(Log!$A$2:$A$49,B20,Log!$I$2:$I$49,"Red")&gt;0,"No","Yes")</f>
        <v/>
      </c>
      <c r="Q20">
        <f>IF(COUNTIFS(Artifact!$B$2:$B$385,B20,Artifact!$K$2:$K$385,"&gt;15")+COUNTIFS(Log!$A$2:$A$49,B20,Log!$H$2:$H$49,"Red")+COUNTIFS(Log!$A$2:$A$49,B20,Log!$I$2:$I$49,"Red")&gt;0,"No","Yes")</f>
        <v/>
      </c>
    </row>
    <row r="21">
      <c r="A21" t="inlineStr">
        <is>
          <t>SIMULATED Commercial FA Study</t>
        </is>
      </c>
      <c r="B21" t="inlineStr">
        <is>
          <t>P04</t>
        </is>
      </c>
      <c r="C21" t="inlineStr">
        <is>
          <t>M</t>
        </is>
      </c>
      <c r="D21" t="n">
        <v>22</v>
      </c>
      <c r="E21" t="inlineStr">
        <is>
          <t>A_C1first</t>
        </is>
      </c>
      <c r="F21" t="inlineStr">
        <is>
          <t>Stimulus</t>
        </is>
      </c>
      <c r="G21" t="inlineStr">
        <is>
          <t>Baseline_1</t>
        </is>
      </c>
      <c r="H21" t="n">
        <v>24000</v>
      </c>
      <c r="I21" t="n">
        <v>60000</v>
      </c>
      <c r="J21" t="inlineStr">
        <is>
          <t>Baseline_1</t>
        </is>
      </c>
      <c r="K21" s="4" t="n">
        <v>-0.0115</v>
      </c>
      <c r="L21" t="inlineStr">
        <is>
          <t>Frontal Asymmetry (Enobio EEG)</t>
        </is>
      </c>
      <c r="M21">
        <f>LEFT(E21,1)</f>
        <v/>
      </c>
      <c r="N21">
        <f>MID(E21,3,10)</f>
        <v/>
      </c>
      <c r="O21">
        <f>IF(F21="Stimulus",IF(LEFT(G21,8)="Baseline",G21,IF(LEFT(G21,12)="Commercial_1","C1","C2")),IF(G21="KeyScene","KeyScene",IF(LEFT(J21,12)="Commercial_1","EndScene_C1","EndScene_C2")))</f>
        <v/>
      </c>
      <c r="P21">
        <f>IF(COUNTIFS(Artifact!$B$2:$B$385,B21,Artifact!$K$2:$K$385,"&gt;25")+COUNTIFS(Log!$A$2:$A$49,B21,Log!$H$2:$H$49,"Red")+COUNTIFS(Log!$A$2:$A$49,B21,Log!$I$2:$I$49,"Red")&gt;0,"No","Yes")</f>
        <v/>
      </c>
      <c r="Q21">
        <f>IF(COUNTIFS(Artifact!$B$2:$B$385,B21,Artifact!$K$2:$K$385,"&gt;15")+COUNTIFS(Log!$A$2:$A$49,B21,Log!$H$2:$H$49,"Red")+COUNTIFS(Log!$A$2:$A$49,B21,Log!$I$2:$I$49,"Red")&gt;0,"No","Yes")</f>
        <v/>
      </c>
    </row>
    <row r="22">
      <c r="A22" t="inlineStr">
        <is>
          <t>SIMULATED Commercial FA Study</t>
        </is>
      </c>
      <c r="B22" t="inlineStr">
        <is>
          <t>P04</t>
        </is>
      </c>
      <c r="C22" t="inlineStr">
        <is>
          <t>M</t>
        </is>
      </c>
      <c r="D22" t="n">
        <v>22</v>
      </c>
      <c r="E22" t="inlineStr">
        <is>
          <t>A_C1first</t>
        </is>
      </c>
      <c r="F22" t="inlineStr">
        <is>
          <t>Stimulus</t>
        </is>
      </c>
      <c r="G22" t="inlineStr">
        <is>
          <t>Commercial_1A</t>
        </is>
      </c>
      <c r="H22" t="n">
        <v>84000</v>
      </c>
      <c r="I22" t="n">
        <v>60000</v>
      </c>
      <c r="J22" t="inlineStr">
        <is>
          <t>Commercial_1A</t>
        </is>
      </c>
      <c r="K22" s="4" t="n">
        <v>-0.0362</v>
      </c>
      <c r="L22" t="inlineStr">
        <is>
          <t>Frontal Asymmetry (Enobio EEG)</t>
        </is>
      </c>
      <c r="M22">
        <f>LEFT(E22,1)</f>
        <v/>
      </c>
      <c r="N22">
        <f>MID(E22,3,10)</f>
        <v/>
      </c>
      <c r="O22">
        <f>IF(F22="Stimulus",IF(LEFT(G22,8)="Baseline",G22,IF(LEFT(G22,12)="Commercial_1","C1","C2")),IF(G22="KeyScene","KeyScene",IF(LEFT(J22,12)="Commercial_1","EndScene_C1","EndScene_C2")))</f>
        <v/>
      </c>
      <c r="P22">
        <f>IF(COUNTIFS(Artifact!$B$2:$B$385,B22,Artifact!$K$2:$K$385,"&gt;25")+COUNTIFS(Log!$A$2:$A$49,B22,Log!$H$2:$H$49,"Red")+COUNTIFS(Log!$A$2:$A$49,B22,Log!$I$2:$I$49,"Red")&gt;0,"No","Yes")</f>
        <v/>
      </c>
      <c r="Q22">
        <f>IF(COUNTIFS(Artifact!$B$2:$B$385,B22,Artifact!$K$2:$K$385,"&gt;15")+COUNTIFS(Log!$A$2:$A$49,B22,Log!$H$2:$H$49,"Red")+COUNTIFS(Log!$A$2:$A$49,B22,Log!$I$2:$I$49,"Red")&gt;0,"No","Yes")</f>
        <v/>
      </c>
    </row>
    <row r="23">
      <c r="A23" t="inlineStr">
        <is>
          <t>SIMULATED Commercial FA Study</t>
        </is>
      </c>
      <c r="B23" t="inlineStr">
        <is>
          <t>P04</t>
        </is>
      </c>
      <c r="C23" t="inlineStr">
        <is>
          <t>M</t>
        </is>
      </c>
      <c r="D23" t="n">
        <v>22</v>
      </c>
      <c r="E23" t="inlineStr">
        <is>
          <t>A_C1first</t>
        </is>
      </c>
      <c r="F23" t="inlineStr">
        <is>
          <t>Stimulus</t>
        </is>
      </c>
      <c r="G23" t="inlineStr">
        <is>
          <t>Baseline_2</t>
        </is>
      </c>
      <c r="H23" t="n">
        <v>199000</v>
      </c>
      <c r="I23" t="n">
        <v>60000</v>
      </c>
      <c r="J23" t="inlineStr">
        <is>
          <t>Baseline_2</t>
        </is>
      </c>
      <c r="K23" s="4" t="n">
        <v>-0.0953</v>
      </c>
      <c r="L23" t="inlineStr">
        <is>
          <t>Frontal Asymmetry (Enobio EEG)</t>
        </is>
      </c>
      <c r="M23">
        <f>LEFT(E23,1)</f>
        <v/>
      </c>
      <c r="N23">
        <f>MID(E23,3,10)</f>
        <v/>
      </c>
      <c r="O23">
        <f>IF(F23="Stimulus",IF(LEFT(G23,8)="Baseline",G23,IF(LEFT(G23,12)="Commercial_1","C1","C2")),IF(G23="KeyScene","KeyScene",IF(LEFT(J23,12)="Commercial_1","EndScene_C1","EndScene_C2")))</f>
        <v/>
      </c>
      <c r="P23">
        <f>IF(COUNTIFS(Artifact!$B$2:$B$385,B23,Artifact!$K$2:$K$385,"&gt;25")+COUNTIFS(Log!$A$2:$A$49,B23,Log!$H$2:$H$49,"Red")+COUNTIFS(Log!$A$2:$A$49,B23,Log!$I$2:$I$49,"Red")&gt;0,"No","Yes")</f>
        <v/>
      </c>
      <c r="Q23">
        <f>IF(COUNTIFS(Artifact!$B$2:$B$385,B23,Artifact!$K$2:$K$385,"&gt;15")+COUNTIFS(Log!$A$2:$A$49,B23,Log!$H$2:$H$49,"Red")+COUNTIFS(Log!$A$2:$A$49,B23,Log!$I$2:$I$49,"Red")&gt;0,"No","Yes")</f>
        <v/>
      </c>
    </row>
    <row r="24">
      <c r="A24" t="inlineStr">
        <is>
          <t>SIMULATED Commercial FA Study</t>
        </is>
      </c>
      <c r="B24" t="inlineStr">
        <is>
          <t>P04</t>
        </is>
      </c>
      <c r="C24" t="inlineStr">
        <is>
          <t>M</t>
        </is>
      </c>
      <c r="D24" t="n">
        <v>22</v>
      </c>
      <c r="E24" t="inlineStr">
        <is>
          <t>A_C1first</t>
        </is>
      </c>
      <c r="F24" t="inlineStr">
        <is>
          <t>Stimulus</t>
        </is>
      </c>
      <c r="G24" t="inlineStr">
        <is>
          <t>Commercial_2</t>
        </is>
      </c>
      <c r="H24" t="n">
        <v>259000</v>
      </c>
      <c r="I24" t="n">
        <v>60000</v>
      </c>
      <c r="J24" t="inlineStr">
        <is>
          <t>Commercial_2</t>
        </is>
      </c>
      <c r="K24" s="4" t="n">
        <v>-0.0602</v>
      </c>
      <c r="L24" t="inlineStr">
        <is>
          <t>Frontal Asymmetry (Enobio EEG)</t>
        </is>
      </c>
      <c r="M24">
        <f>LEFT(E24,1)</f>
        <v/>
      </c>
      <c r="N24">
        <f>MID(E24,3,10)</f>
        <v/>
      </c>
      <c r="O24">
        <f>IF(F24="Stimulus",IF(LEFT(G24,8)="Baseline",G24,IF(LEFT(G24,12)="Commercial_1","C1","C2")),IF(G24="KeyScene","KeyScene",IF(LEFT(J24,12)="Commercial_1","EndScene_C1","EndScene_C2")))</f>
        <v/>
      </c>
      <c r="P24">
        <f>IF(COUNTIFS(Artifact!$B$2:$B$385,B24,Artifact!$K$2:$K$385,"&gt;25")+COUNTIFS(Log!$A$2:$A$49,B24,Log!$H$2:$H$49,"Red")+COUNTIFS(Log!$A$2:$A$49,B24,Log!$I$2:$I$49,"Red")&gt;0,"No","Yes")</f>
        <v/>
      </c>
      <c r="Q24">
        <f>IF(COUNTIFS(Artifact!$B$2:$B$385,B24,Artifact!$K$2:$K$385,"&gt;15")+COUNTIFS(Log!$A$2:$A$49,B24,Log!$H$2:$H$49,"Red")+COUNTIFS(Log!$A$2:$A$49,B24,Log!$I$2:$I$49,"Red")&gt;0,"No","Yes")</f>
        <v/>
      </c>
    </row>
    <row r="25">
      <c r="A25" t="inlineStr">
        <is>
          <t>SIMULATED Commercial FA Study</t>
        </is>
      </c>
      <c r="B25" t="inlineStr">
        <is>
          <t>P04</t>
        </is>
      </c>
      <c r="C25" t="inlineStr">
        <is>
          <t>M</t>
        </is>
      </c>
      <c r="D25" t="n">
        <v>22</v>
      </c>
      <c r="E25" t="inlineStr">
        <is>
          <t>A_C1first</t>
        </is>
      </c>
      <c r="F25" t="inlineStr">
        <is>
          <t>Annotation</t>
        </is>
      </c>
      <c r="G25" t="inlineStr">
        <is>
          <t>KeyScene</t>
        </is>
      </c>
      <c r="H25" t="n">
        <v>116000</v>
      </c>
      <c r="I25" t="n">
        <v>6000</v>
      </c>
      <c r="J25" t="inlineStr">
        <is>
          <t>Commercial_1A</t>
        </is>
      </c>
      <c r="K25" s="4" t="n">
        <v>0.131</v>
      </c>
      <c r="L25" t="inlineStr">
        <is>
          <t>Frontal Asymmetry (Enobio EEG)</t>
        </is>
      </c>
      <c r="M25">
        <f>LEFT(E25,1)</f>
        <v/>
      </c>
      <c r="N25">
        <f>MID(E25,3,10)</f>
        <v/>
      </c>
      <c r="O25">
        <f>IF(F25="Stimulus",IF(LEFT(G25,8)="Baseline",G25,IF(LEFT(G25,12)="Commercial_1","C1","C2")),IF(G25="KeyScene","KeyScene",IF(LEFT(J25,12)="Commercial_1","EndScene_C1","EndScene_C2")))</f>
        <v/>
      </c>
      <c r="P25">
        <f>IF(COUNTIFS(Artifact!$B$2:$B$385,B25,Artifact!$K$2:$K$385,"&gt;25")+COUNTIFS(Log!$A$2:$A$49,B25,Log!$H$2:$H$49,"Red")+COUNTIFS(Log!$A$2:$A$49,B25,Log!$I$2:$I$49,"Red")&gt;0,"No","Yes")</f>
        <v/>
      </c>
      <c r="Q25">
        <f>IF(COUNTIFS(Artifact!$B$2:$B$385,B25,Artifact!$K$2:$K$385,"&gt;15")+COUNTIFS(Log!$A$2:$A$49,B25,Log!$H$2:$H$49,"Red")+COUNTIFS(Log!$A$2:$A$49,B25,Log!$I$2:$I$49,"Red")&gt;0,"No","Yes")</f>
        <v/>
      </c>
    </row>
    <row r="26">
      <c r="A26" t="inlineStr">
        <is>
          <t>SIMULATED Commercial FA Study</t>
        </is>
      </c>
      <c r="B26" t="inlineStr">
        <is>
          <t>P04</t>
        </is>
      </c>
      <c r="C26" t="inlineStr">
        <is>
          <t>M</t>
        </is>
      </c>
      <c r="D26" t="n">
        <v>22</v>
      </c>
      <c r="E26" t="inlineStr">
        <is>
          <t>A_C1first</t>
        </is>
      </c>
      <c r="F26" t="inlineStr">
        <is>
          <t>Annotation</t>
        </is>
      </c>
      <c r="G26" t="inlineStr">
        <is>
          <t>EndScene</t>
        </is>
      </c>
      <c r="H26" t="n">
        <v>134000</v>
      </c>
      <c r="I26" t="n">
        <v>10000</v>
      </c>
      <c r="J26" t="inlineStr">
        <is>
          <t>Commercial_1A</t>
        </is>
      </c>
      <c r="K26" s="4" t="n">
        <v>-0.053</v>
      </c>
      <c r="L26" t="inlineStr">
        <is>
          <t>Frontal Asymmetry (Enobio EEG)</t>
        </is>
      </c>
      <c r="M26">
        <f>LEFT(E26,1)</f>
        <v/>
      </c>
      <c r="N26">
        <f>MID(E26,3,10)</f>
        <v/>
      </c>
      <c r="O26">
        <f>IF(F26="Stimulus",IF(LEFT(G26,8)="Baseline",G26,IF(LEFT(G26,12)="Commercial_1","C1","C2")),IF(G26="KeyScene","KeyScene",IF(LEFT(J26,12)="Commercial_1","EndScene_C1","EndScene_C2")))</f>
        <v/>
      </c>
      <c r="P26">
        <f>IF(COUNTIFS(Artifact!$B$2:$B$385,B26,Artifact!$K$2:$K$385,"&gt;25")+COUNTIFS(Log!$A$2:$A$49,B26,Log!$H$2:$H$49,"Red")+COUNTIFS(Log!$A$2:$A$49,B26,Log!$I$2:$I$49,"Red")&gt;0,"No","Yes")</f>
        <v/>
      </c>
      <c r="Q26">
        <f>IF(COUNTIFS(Artifact!$B$2:$B$385,B26,Artifact!$K$2:$K$385,"&gt;15")+COUNTIFS(Log!$A$2:$A$49,B26,Log!$H$2:$H$49,"Red")+COUNTIFS(Log!$A$2:$A$49,B26,Log!$I$2:$I$49,"Red")&gt;0,"No","Yes")</f>
        <v/>
      </c>
    </row>
    <row r="27">
      <c r="A27" t="inlineStr">
        <is>
          <t>SIMULATED Commercial FA Study</t>
        </is>
      </c>
      <c r="B27" t="inlineStr">
        <is>
          <t>P04</t>
        </is>
      </c>
      <c r="C27" t="inlineStr">
        <is>
          <t>M</t>
        </is>
      </c>
      <c r="D27" t="n">
        <v>22</v>
      </c>
      <c r="E27" t="inlineStr">
        <is>
          <t>A_C1first</t>
        </is>
      </c>
      <c r="F27" t="inlineStr">
        <is>
          <t>Annotation</t>
        </is>
      </c>
      <c r="G27" t="inlineStr">
        <is>
          <t>EndScene</t>
        </is>
      </c>
      <c r="H27" t="n">
        <v>309000</v>
      </c>
      <c r="I27" t="n">
        <v>10000</v>
      </c>
      <c r="J27" t="inlineStr">
        <is>
          <t>Commercial_2</t>
        </is>
      </c>
      <c r="K27" s="4" t="n">
        <v>-0.2568</v>
      </c>
      <c r="L27" t="inlineStr">
        <is>
          <t>Frontal Asymmetry (Enobio EEG)</t>
        </is>
      </c>
      <c r="M27">
        <f>LEFT(E27,1)</f>
        <v/>
      </c>
      <c r="N27">
        <f>MID(E27,3,10)</f>
        <v/>
      </c>
      <c r="O27">
        <f>IF(F27="Stimulus",IF(LEFT(G27,8)="Baseline",G27,IF(LEFT(G27,12)="Commercial_1","C1","C2")),IF(G27="KeyScene","KeyScene",IF(LEFT(J27,12)="Commercial_1","EndScene_C1","EndScene_C2")))</f>
        <v/>
      </c>
      <c r="P27">
        <f>IF(COUNTIFS(Artifact!$B$2:$B$385,B27,Artifact!$K$2:$K$385,"&gt;25")+COUNTIFS(Log!$A$2:$A$49,B27,Log!$H$2:$H$49,"Red")+COUNTIFS(Log!$A$2:$A$49,B27,Log!$I$2:$I$49,"Red")&gt;0,"No","Yes")</f>
        <v/>
      </c>
      <c r="Q27">
        <f>IF(COUNTIFS(Artifact!$B$2:$B$385,B27,Artifact!$K$2:$K$385,"&gt;15")+COUNTIFS(Log!$A$2:$A$49,B27,Log!$H$2:$H$49,"Red")+COUNTIFS(Log!$A$2:$A$49,B27,Log!$I$2:$I$49,"Red")&gt;0,"No","Yes")</f>
        <v/>
      </c>
    </row>
    <row r="28">
      <c r="A28" t="inlineStr">
        <is>
          <t>SIMULATED Commercial FA Study</t>
        </is>
      </c>
      <c r="B28" t="inlineStr">
        <is>
          <t>P05</t>
        </is>
      </c>
      <c r="C28" t="inlineStr">
        <is>
          <t>M</t>
        </is>
      </c>
      <c r="D28" t="n">
        <v>19</v>
      </c>
      <c r="E28" t="inlineStr">
        <is>
          <t>A_C1first</t>
        </is>
      </c>
      <c r="F28" t="inlineStr">
        <is>
          <t>Stimulus</t>
        </is>
      </c>
      <c r="G28" t="inlineStr">
        <is>
          <t>Baseline_1</t>
        </is>
      </c>
      <c r="H28" t="n">
        <v>32000</v>
      </c>
      <c r="I28" t="n">
        <v>60000</v>
      </c>
      <c r="J28" t="inlineStr">
        <is>
          <t>Baseline_1</t>
        </is>
      </c>
      <c r="K28" s="4" t="n">
        <v>-0.0577</v>
      </c>
      <c r="L28" t="inlineStr">
        <is>
          <t>Frontal Asymmetry (Enobio EEG)</t>
        </is>
      </c>
      <c r="M28">
        <f>LEFT(E28,1)</f>
        <v/>
      </c>
      <c r="N28">
        <f>MID(E28,3,10)</f>
        <v/>
      </c>
      <c r="O28">
        <f>IF(F28="Stimulus",IF(LEFT(G28,8)="Baseline",G28,IF(LEFT(G28,12)="Commercial_1","C1","C2")),IF(G28="KeyScene","KeyScene",IF(LEFT(J28,12)="Commercial_1","EndScene_C1","EndScene_C2")))</f>
        <v/>
      </c>
      <c r="P28">
        <f>IF(COUNTIFS(Artifact!$B$2:$B$385,B28,Artifact!$K$2:$K$385,"&gt;25")+COUNTIFS(Log!$A$2:$A$49,B28,Log!$H$2:$H$49,"Red")+COUNTIFS(Log!$A$2:$A$49,B28,Log!$I$2:$I$49,"Red")&gt;0,"No","Yes")</f>
        <v/>
      </c>
      <c r="Q28">
        <f>IF(COUNTIFS(Artifact!$B$2:$B$385,B28,Artifact!$K$2:$K$385,"&gt;15")+COUNTIFS(Log!$A$2:$A$49,B28,Log!$H$2:$H$49,"Red")+COUNTIFS(Log!$A$2:$A$49,B28,Log!$I$2:$I$49,"Red")&gt;0,"No","Yes")</f>
        <v/>
      </c>
    </row>
    <row r="29">
      <c r="A29" t="inlineStr">
        <is>
          <t>SIMULATED Commercial FA Study</t>
        </is>
      </c>
      <c r="B29" t="inlineStr">
        <is>
          <t>P05</t>
        </is>
      </c>
      <c r="C29" t="inlineStr">
        <is>
          <t>M</t>
        </is>
      </c>
      <c r="D29" t="n">
        <v>19</v>
      </c>
      <c r="E29" t="inlineStr">
        <is>
          <t>A_C1first</t>
        </is>
      </c>
      <c r="F29" t="inlineStr">
        <is>
          <t>Stimulus</t>
        </is>
      </c>
      <c r="G29" t="inlineStr">
        <is>
          <t>Commercial_1A</t>
        </is>
      </c>
      <c r="H29" t="n">
        <v>92000</v>
      </c>
      <c r="I29" t="n">
        <v>60000</v>
      </c>
      <c r="J29" t="inlineStr">
        <is>
          <t>Commercial_1A</t>
        </is>
      </c>
      <c r="K29" s="4" t="n">
        <v>-0.1296</v>
      </c>
      <c r="L29" t="inlineStr">
        <is>
          <t>Frontal Asymmetry (Enobio EEG)</t>
        </is>
      </c>
      <c r="M29">
        <f>LEFT(E29,1)</f>
        <v/>
      </c>
      <c r="N29">
        <f>MID(E29,3,10)</f>
        <v/>
      </c>
      <c r="O29">
        <f>IF(F29="Stimulus",IF(LEFT(G29,8)="Baseline",G29,IF(LEFT(G29,12)="Commercial_1","C1","C2")),IF(G29="KeyScene","KeyScene",IF(LEFT(J29,12)="Commercial_1","EndScene_C1","EndScene_C2")))</f>
        <v/>
      </c>
      <c r="P29">
        <f>IF(COUNTIFS(Artifact!$B$2:$B$385,B29,Artifact!$K$2:$K$385,"&gt;25")+COUNTIFS(Log!$A$2:$A$49,B29,Log!$H$2:$H$49,"Red")+COUNTIFS(Log!$A$2:$A$49,B29,Log!$I$2:$I$49,"Red")&gt;0,"No","Yes")</f>
        <v/>
      </c>
      <c r="Q29">
        <f>IF(COUNTIFS(Artifact!$B$2:$B$385,B29,Artifact!$K$2:$K$385,"&gt;15")+COUNTIFS(Log!$A$2:$A$49,B29,Log!$H$2:$H$49,"Red")+COUNTIFS(Log!$A$2:$A$49,B29,Log!$I$2:$I$49,"Red")&gt;0,"No","Yes")</f>
        <v/>
      </c>
    </row>
    <row r="30">
      <c r="A30" t="inlineStr">
        <is>
          <t>SIMULATED Commercial FA Study</t>
        </is>
      </c>
      <c r="B30" t="inlineStr">
        <is>
          <t>P05</t>
        </is>
      </c>
      <c r="C30" t="inlineStr">
        <is>
          <t>M</t>
        </is>
      </c>
      <c r="D30" t="n">
        <v>19</v>
      </c>
      <c r="E30" t="inlineStr">
        <is>
          <t>A_C1first</t>
        </is>
      </c>
      <c r="F30" t="inlineStr">
        <is>
          <t>Stimulus</t>
        </is>
      </c>
      <c r="G30" t="inlineStr">
        <is>
          <t>Baseline_2</t>
        </is>
      </c>
      <c r="H30" t="n">
        <v>195000</v>
      </c>
      <c r="I30" t="n">
        <v>60000</v>
      </c>
      <c r="J30" t="inlineStr">
        <is>
          <t>Baseline_2</t>
        </is>
      </c>
      <c r="K30" s="4" t="n">
        <v>-0.1519</v>
      </c>
      <c r="L30" t="inlineStr">
        <is>
          <t>Frontal Asymmetry (Enobio EEG)</t>
        </is>
      </c>
      <c r="M30">
        <f>LEFT(E30,1)</f>
        <v/>
      </c>
      <c r="N30">
        <f>MID(E30,3,10)</f>
        <v/>
      </c>
      <c r="O30">
        <f>IF(F30="Stimulus",IF(LEFT(G30,8)="Baseline",G30,IF(LEFT(G30,12)="Commercial_1","C1","C2")),IF(G30="KeyScene","KeyScene",IF(LEFT(J30,12)="Commercial_1","EndScene_C1","EndScene_C2")))</f>
        <v/>
      </c>
      <c r="P30">
        <f>IF(COUNTIFS(Artifact!$B$2:$B$385,B30,Artifact!$K$2:$K$385,"&gt;25")+COUNTIFS(Log!$A$2:$A$49,B30,Log!$H$2:$H$49,"Red")+COUNTIFS(Log!$A$2:$A$49,B30,Log!$I$2:$I$49,"Red")&gt;0,"No","Yes")</f>
        <v/>
      </c>
      <c r="Q30">
        <f>IF(COUNTIFS(Artifact!$B$2:$B$385,B30,Artifact!$K$2:$K$385,"&gt;15")+COUNTIFS(Log!$A$2:$A$49,B30,Log!$H$2:$H$49,"Red")+COUNTIFS(Log!$A$2:$A$49,B30,Log!$I$2:$I$49,"Red")&gt;0,"No","Yes")</f>
        <v/>
      </c>
    </row>
    <row r="31">
      <c r="A31" t="inlineStr">
        <is>
          <t>SIMULATED Commercial FA Study</t>
        </is>
      </c>
      <c r="B31" t="inlineStr">
        <is>
          <t>P05</t>
        </is>
      </c>
      <c r="C31" t="inlineStr">
        <is>
          <t>M</t>
        </is>
      </c>
      <c r="D31" t="n">
        <v>19</v>
      </c>
      <c r="E31" t="inlineStr">
        <is>
          <t>A_C1first</t>
        </is>
      </c>
      <c r="F31" t="inlineStr">
        <is>
          <t>Stimulus</t>
        </is>
      </c>
      <c r="G31" t="inlineStr">
        <is>
          <t>Commercial_2</t>
        </is>
      </c>
      <c r="H31" t="n">
        <v>255000</v>
      </c>
      <c r="I31" t="n">
        <v>60000</v>
      </c>
      <c r="J31" t="inlineStr">
        <is>
          <t>Commercial_2</t>
        </is>
      </c>
      <c r="K31" s="4" t="n">
        <v>-0.1661</v>
      </c>
      <c r="L31" t="inlineStr">
        <is>
          <t>Frontal Asymmetry (Enobio EEG)</t>
        </is>
      </c>
      <c r="M31">
        <f>LEFT(E31,1)</f>
        <v/>
      </c>
      <c r="N31">
        <f>MID(E31,3,10)</f>
        <v/>
      </c>
      <c r="O31">
        <f>IF(F31="Stimulus",IF(LEFT(G31,8)="Baseline",G31,IF(LEFT(G31,12)="Commercial_1","C1","C2")),IF(G31="KeyScene","KeyScene",IF(LEFT(J31,12)="Commercial_1","EndScene_C1","EndScene_C2")))</f>
        <v/>
      </c>
      <c r="P31">
        <f>IF(COUNTIFS(Artifact!$B$2:$B$385,B31,Artifact!$K$2:$K$385,"&gt;25")+COUNTIFS(Log!$A$2:$A$49,B31,Log!$H$2:$H$49,"Red")+COUNTIFS(Log!$A$2:$A$49,B31,Log!$I$2:$I$49,"Red")&gt;0,"No","Yes")</f>
        <v/>
      </c>
      <c r="Q31">
        <f>IF(COUNTIFS(Artifact!$B$2:$B$385,B31,Artifact!$K$2:$K$385,"&gt;15")+COUNTIFS(Log!$A$2:$A$49,B31,Log!$H$2:$H$49,"Red")+COUNTIFS(Log!$A$2:$A$49,B31,Log!$I$2:$I$49,"Red")&gt;0,"No","Yes")</f>
        <v/>
      </c>
    </row>
    <row r="32">
      <c r="A32" t="inlineStr">
        <is>
          <t>SIMULATED Commercial FA Study</t>
        </is>
      </c>
      <c r="B32" t="inlineStr">
        <is>
          <t>P05</t>
        </is>
      </c>
      <c r="C32" t="inlineStr">
        <is>
          <t>M</t>
        </is>
      </c>
      <c r="D32" t="n">
        <v>19</v>
      </c>
      <c r="E32" t="inlineStr">
        <is>
          <t>A_C1first</t>
        </is>
      </c>
      <c r="F32" t="inlineStr">
        <is>
          <t>Annotation</t>
        </is>
      </c>
      <c r="G32" t="inlineStr">
        <is>
          <t>KeyScene</t>
        </is>
      </c>
      <c r="H32" t="n">
        <v>124000</v>
      </c>
      <c r="I32" t="n">
        <v>6000</v>
      </c>
      <c r="J32" t="inlineStr">
        <is>
          <t>Commercial_1A</t>
        </is>
      </c>
      <c r="K32" s="4" t="n">
        <v>0.0355</v>
      </c>
      <c r="L32" t="inlineStr">
        <is>
          <t>Frontal Asymmetry (Enobio EEG)</t>
        </is>
      </c>
      <c r="M32">
        <f>LEFT(E32,1)</f>
        <v/>
      </c>
      <c r="N32">
        <f>MID(E32,3,10)</f>
        <v/>
      </c>
      <c r="O32">
        <f>IF(F32="Stimulus",IF(LEFT(G32,8)="Baseline",G32,IF(LEFT(G32,12)="Commercial_1","C1","C2")),IF(G32="KeyScene","KeyScene",IF(LEFT(J32,12)="Commercial_1","EndScene_C1","EndScene_C2")))</f>
        <v/>
      </c>
      <c r="P32">
        <f>IF(COUNTIFS(Artifact!$B$2:$B$385,B32,Artifact!$K$2:$K$385,"&gt;25")+COUNTIFS(Log!$A$2:$A$49,B32,Log!$H$2:$H$49,"Red")+COUNTIFS(Log!$A$2:$A$49,B32,Log!$I$2:$I$49,"Red")&gt;0,"No","Yes")</f>
        <v/>
      </c>
      <c r="Q32">
        <f>IF(COUNTIFS(Artifact!$B$2:$B$385,B32,Artifact!$K$2:$K$385,"&gt;15")+COUNTIFS(Log!$A$2:$A$49,B32,Log!$H$2:$H$49,"Red")+COUNTIFS(Log!$A$2:$A$49,B32,Log!$I$2:$I$49,"Red")&gt;0,"No","Yes")</f>
        <v/>
      </c>
    </row>
    <row r="33">
      <c r="A33" t="inlineStr">
        <is>
          <t>SIMULATED Commercial FA Study</t>
        </is>
      </c>
      <c r="B33" t="inlineStr">
        <is>
          <t>P05</t>
        </is>
      </c>
      <c r="C33" t="inlineStr">
        <is>
          <t>M</t>
        </is>
      </c>
      <c r="D33" t="n">
        <v>19</v>
      </c>
      <c r="E33" t="inlineStr">
        <is>
          <t>A_C1first</t>
        </is>
      </c>
      <c r="F33" t="inlineStr">
        <is>
          <t>Annotation</t>
        </is>
      </c>
      <c r="G33" t="inlineStr">
        <is>
          <t>EndScene</t>
        </is>
      </c>
      <c r="H33" t="n">
        <v>142000</v>
      </c>
      <c r="I33" t="n">
        <v>10000</v>
      </c>
      <c r="J33" t="inlineStr">
        <is>
          <t>Commercial_1A</t>
        </is>
      </c>
      <c r="K33" s="4" t="n">
        <v>-0.0635</v>
      </c>
      <c r="L33" t="inlineStr">
        <is>
          <t>Frontal Asymmetry (Enobio EEG)</t>
        </is>
      </c>
      <c r="M33">
        <f>LEFT(E33,1)</f>
        <v/>
      </c>
      <c r="N33">
        <f>MID(E33,3,10)</f>
        <v/>
      </c>
      <c r="O33">
        <f>IF(F33="Stimulus",IF(LEFT(G33,8)="Baseline",G33,IF(LEFT(G33,12)="Commercial_1","C1","C2")),IF(G33="KeyScene","KeyScene",IF(LEFT(J33,12)="Commercial_1","EndScene_C1","EndScene_C2")))</f>
        <v/>
      </c>
      <c r="P33">
        <f>IF(COUNTIFS(Artifact!$B$2:$B$385,B33,Artifact!$K$2:$K$385,"&gt;25")+COUNTIFS(Log!$A$2:$A$49,B33,Log!$H$2:$H$49,"Red")+COUNTIFS(Log!$A$2:$A$49,B33,Log!$I$2:$I$49,"Red")&gt;0,"No","Yes")</f>
        <v/>
      </c>
      <c r="Q33">
        <f>IF(COUNTIFS(Artifact!$B$2:$B$385,B33,Artifact!$K$2:$K$385,"&gt;15")+COUNTIFS(Log!$A$2:$A$49,B33,Log!$H$2:$H$49,"Red")+COUNTIFS(Log!$A$2:$A$49,B33,Log!$I$2:$I$49,"Red")&gt;0,"No","Yes")</f>
        <v/>
      </c>
    </row>
    <row r="34">
      <c r="A34" t="inlineStr">
        <is>
          <t>SIMULATED Commercial FA Study</t>
        </is>
      </c>
      <c r="B34" t="inlineStr">
        <is>
          <t>P05</t>
        </is>
      </c>
      <c r="C34" t="inlineStr">
        <is>
          <t>M</t>
        </is>
      </c>
      <c r="D34" t="n">
        <v>19</v>
      </c>
      <c r="E34" t="inlineStr">
        <is>
          <t>A_C1first</t>
        </is>
      </c>
      <c r="F34" t="inlineStr">
        <is>
          <t>Annotation</t>
        </is>
      </c>
      <c r="G34" t="inlineStr">
        <is>
          <t>EndScene</t>
        </is>
      </c>
      <c r="H34" t="n">
        <v>305000</v>
      </c>
      <c r="I34" t="n">
        <v>10000</v>
      </c>
      <c r="J34" t="inlineStr">
        <is>
          <t>Commercial_2</t>
        </is>
      </c>
      <c r="K34" s="4" t="n">
        <v>-0.1007</v>
      </c>
      <c r="L34" t="inlineStr">
        <is>
          <t>Frontal Asymmetry (Enobio EEG)</t>
        </is>
      </c>
      <c r="M34">
        <f>LEFT(E34,1)</f>
        <v/>
      </c>
      <c r="N34">
        <f>MID(E34,3,10)</f>
        <v/>
      </c>
      <c r="O34">
        <f>IF(F34="Stimulus",IF(LEFT(G34,8)="Baseline",G34,IF(LEFT(G34,12)="Commercial_1","C1","C2")),IF(G34="KeyScene","KeyScene",IF(LEFT(J34,12)="Commercial_1","EndScene_C1","EndScene_C2")))</f>
        <v/>
      </c>
      <c r="P34">
        <f>IF(COUNTIFS(Artifact!$B$2:$B$385,B34,Artifact!$K$2:$K$385,"&gt;25")+COUNTIFS(Log!$A$2:$A$49,B34,Log!$H$2:$H$49,"Red")+COUNTIFS(Log!$A$2:$A$49,B34,Log!$I$2:$I$49,"Red")&gt;0,"No","Yes")</f>
        <v/>
      </c>
      <c r="Q34">
        <f>IF(COUNTIFS(Artifact!$B$2:$B$385,B34,Artifact!$K$2:$K$385,"&gt;15")+COUNTIFS(Log!$A$2:$A$49,B34,Log!$H$2:$H$49,"Red")+COUNTIFS(Log!$A$2:$A$49,B34,Log!$I$2:$I$49,"Red")&gt;0,"No","Yes")</f>
        <v/>
      </c>
    </row>
    <row r="35">
      <c r="A35" t="inlineStr">
        <is>
          <t>SIMULATED Commercial FA Study</t>
        </is>
      </c>
      <c r="B35" t="inlineStr">
        <is>
          <t>P06</t>
        </is>
      </c>
      <c r="C35" t="inlineStr">
        <is>
          <t>M</t>
        </is>
      </c>
      <c r="D35" t="n">
        <v>25</v>
      </c>
      <c r="E35" t="inlineStr">
        <is>
          <t>B_C2first</t>
        </is>
      </c>
      <c r="F35" t="inlineStr">
        <is>
          <t>Stimulus</t>
        </is>
      </c>
      <c r="G35" t="inlineStr">
        <is>
          <t>Baseline_1</t>
        </is>
      </c>
      <c r="H35" t="n">
        <v>25000</v>
      </c>
      <c r="I35" t="n">
        <v>60000</v>
      </c>
      <c r="J35" t="inlineStr">
        <is>
          <t>Baseline_1</t>
        </is>
      </c>
      <c r="K35" s="4" t="n">
        <v>-0.1906</v>
      </c>
      <c r="L35" t="inlineStr">
        <is>
          <t>Frontal Asymmetry (Enobio EEG)</t>
        </is>
      </c>
      <c r="M35">
        <f>LEFT(E35,1)</f>
        <v/>
      </c>
      <c r="N35">
        <f>MID(E35,3,10)</f>
        <v/>
      </c>
      <c r="O35">
        <f>IF(F35="Stimulus",IF(LEFT(G35,8)="Baseline",G35,IF(LEFT(G35,12)="Commercial_1","C1","C2")),IF(G35="KeyScene","KeyScene",IF(LEFT(J35,12)="Commercial_1","EndScene_C1","EndScene_C2")))</f>
        <v/>
      </c>
      <c r="P35">
        <f>IF(COUNTIFS(Artifact!$B$2:$B$385,B35,Artifact!$K$2:$K$385,"&gt;25")+COUNTIFS(Log!$A$2:$A$49,B35,Log!$H$2:$H$49,"Red")+COUNTIFS(Log!$A$2:$A$49,B35,Log!$I$2:$I$49,"Red")&gt;0,"No","Yes")</f>
        <v/>
      </c>
      <c r="Q35">
        <f>IF(COUNTIFS(Artifact!$B$2:$B$385,B35,Artifact!$K$2:$K$385,"&gt;15")+COUNTIFS(Log!$A$2:$A$49,B35,Log!$H$2:$H$49,"Red")+COUNTIFS(Log!$A$2:$A$49,B35,Log!$I$2:$I$49,"Red")&gt;0,"No","Yes")</f>
        <v/>
      </c>
    </row>
    <row r="36">
      <c r="A36" t="inlineStr">
        <is>
          <t>SIMULATED Commercial FA Study</t>
        </is>
      </c>
      <c r="B36" t="inlineStr">
        <is>
          <t>P06</t>
        </is>
      </c>
      <c r="C36" t="inlineStr">
        <is>
          <t>M</t>
        </is>
      </c>
      <c r="D36" t="n">
        <v>25</v>
      </c>
      <c r="E36" t="inlineStr">
        <is>
          <t>B_C2first</t>
        </is>
      </c>
      <c r="F36" t="inlineStr">
        <is>
          <t>Stimulus</t>
        </is>
      </c>
      <c r="G36" t="inlineStr">
        <is>
          <t>Commercial_2</t>
        </is>
      </c>
      <c r="H36" t="n">
        <v>85000</v>
      </c>
      <c r="I36" t="n">
        <v>60000</v>
      </c>
      <c r="J36" t="inlineStr">
        <is>
          <t>Commercial_2</t>
        </is>
      </c>
      <c r="K36" s="4" t="n">
        <v>-0.1708</v>
      </c>
      <c r="L36" t="inlineStr">
        <is>
          <t>Frontal Asymmetry (Enobio EEG)</t>
        </is>
      </c>
      <c r="M36">
        <f>LEFT(E36,1)</f>
        <v/>
      </c>
      <c r="N36">
        <f>MID(E36,3,10)</f>
        <v/>
      </c>
      <c r="O36">
        <f>IF(F36="Stimulus",IF(LEFT(G36,8)="Baseline",G36,IF(LEFT(G36,12)="Commercial_1","C1","C2")),IF(G36="KeyScene","KeyScene",IF(LEFT(J36,12)="Commercial_1","EndScene_C1","EndScene_C2")))</f>
        <v/>
      </c>
      <c r="P36">
        <f>IF(COUNTIFS(Artifact!$B$2:$B$385,B36,Artifact!$K$2:$K$385,"&gt;25")+COUNTIFS(Log!$A$2:$A$49,B36,Log!$H$2:$H$49,"Red")+COUNTIFS(Log!$A$2:$A$49,B36,Log!$I$2:$I$49,"Red")&gt;0,"No","Yes")</f>
        <v/>
      </c>
      <c r="Q36">
        <f>IF(COUNTIFS(Artifact!$B$2:$B$385,B36,Artifact!$K$2:$K$385,"&gt;15")+COUNTIFS(Log!$A$2:$A$49,B36,Log!$H$2:$H$49,"Red")+COUNTIFS(Log!$A$2:$A$49,B36,Log!$I$2:$I$49,"Red")&gt;0,"No","Yes")</f>
        <v/>
      </c>
    </row>
    <row r="37">
      <c r="A37" t="inlineStr">
        <is>
          <t>SIMULATED Commercial FA Study</t>
        </is>
      </c>
      <c r="B37" t="inlineStr">
        <is>
          <t>P06</t>
        </is>
      </c>
      <c r="C37" t="inlineStr">
        <is>
          <t>M</t>
        </is>
      </c>
      <c r="D37" t="n">
        <v>25</v>
      </c>
      <c r="E37" t="inlineStr">
        <is>
          <t>B_C2first</t>
        </is>
      </c>
      <c r="F37" t="inlineStr">
        <is>
          <t>Stimulus</t>
        </is>
      </c>
      <c r="G37" t="inlineStr">
        <is>
          <t>Baseline_2</t>
        </is>
      </c>
      <c r="H37" t="n">
        <v>202000</v>
      </c>
      <c r="I37" t="n">
        <v>60000</v>
      </c>
      <c r="J37" t="inlineStr">
        <is>
          <t>Baseline_2</t>
        </is>
      </c>
      <c r="K37" s="4" t="n">
        <v>-0.203</v>
      </c>
      <c r="L37" t="inlineStr">
        <is>
          <t>Frontal Asymmetry (Enobio EEG)</t>
        </is>
      </c>
      <c r="M37">
        <f>LEFT(E37,1)</f>
        <v/>
      </c>
      <c r="N37">
        <f>MID(E37,3,10)</f>
        <v/>
      </c>
      <c r="O37">
        <f>IF(F37="Stimulus",IF(LEFT(G37,8)="Baseline",G37,IF(LEFT(G37,12)="Commercial_1","C1","C2")),IF(G37="KeyScene","KeyScene",IF(LEFT(J37,12)="Commercial_1","EndScene_C1","EndScene_C2")))</f>
        <v/>
      </c>
      <c r="P37">
        <f>IF(COUNTIFS(Artifact!$B$2:$B$385,B37,Artifact!$K$2:$K$385,"&gt;25")+COUNTIFS(Log!$A$2:$A$49,B37,Log!$H$2:$H$49,"Red")+COUNTIFS(Log!$A$2:$A$49,B37,Log!$I$2:$I$49,"Red")&gt;0,"No","Yes")</f>
        <v/>
      </c>
      <c r="Q37">
        <f>IF(COUNTIFS(Artifact!$B$2:$B$385,B37,Artifact!$K$2:$K$385,"&gt;15")+COUNTIFS(Log!$A$2:$A$49,B37,Log!$H$2:$H$49,"Red")+COUNTIFS(Log!$A$2:$A$49,B37,Log!$I$2:$I$49,"Red")&gt;0,"No","Yes")</f>
        <v/>
      </c>
    </row>
    <row r="38">
      <c r="A38" t="inlineStr">
        <is>
          <t>SIMULATED Commercial FA Study</t>
        </is>
      </c>
      <c r="B38" t="inlineStr">
        <is>
          <t>P06</t>
        </is>
      </c>
      <c r="C38" t="inlineStr">
        <is>
          <t>M</t>
        </is>
      </c>
      <c r="D38" t="n">
        <v>25</v>
      </c>
      <c r="E38" t="inlineStr">
        <is>
          <t>B_C2first</t>
        </is>
      </c>
      <c r="F38" t="inlineStr">
        <is>
          <t>Stimulus</t>
        </is>
      </c>
      <c r="G38" t="inlineStr">
        <is>
          <t>Commercial_1B</t>
        </is>
      </c>
      <c r="H38" t="n">
        <v>262000</v>
      </c>
      <c r="I38" t="n">
        <v>54000</v>
      </c>
      <c r="J38" t="inlineStr">
        <is>
          <t>Commercial_1B</t>
        </is>
      </c>
      <c r="K38" s="4" t="n">
        <v>-0.2083</v>
      </c>
      <c r="L38" t="inlineStr">
        <is>
          <t>Frontal Asymmetry (Enobio EEG)</t>
        </is>
      </c>
      <c r="M38">
        <f>LEFT(E38,1)</f>
        <v/>
      </c>
      <c r="N38">
        <f>MID(E38,3,10)</f>
        <v/>
      </c>
      <c r="O38">
        <f>IF(F38="Stimulus",IF(LEFT(G38,8)="Baseline",G38,IF(LEFT(G38,12)="Commercial_1","C1","C2")),IF(G38="KeyScene","KeyScene",IF(LEFT(J38,12)="Commercial_1","EndScene_C1","EndScene_C2")))</f>
        <v/>
      </c>
      <c r="P38">
        <f>IF(COUNTIFS(Artifact!$B$2:$B$385,B38,Artifact!$K$2:$K$385,"&gt;25")+COUNTIFS(Log!$A$2:$A$49,B38,Log!$H$2:$H$49,"Red")+COUNTIFS(Log!$A$2:$A$49,B38,Log!$I$2:$I$49,"Red")&gt;0,"No","Yes")</f>
        <v/>
      </c>
      <c r="Q38">
        <f>IF(COUNTIFS(Artifact!$B$2:$B$385,B38,Artifact!$K$2:$K$385,"&gt;15")+COUNTIFS(Log!$A$2:$A$49,B38,Log!$H$2:$H$49,"Red")+COUNTIFS(Log!$A$2:$A$49,B38,Log!$I$2:$I$49,"Red")&gt;0,"No","Yes")</f>
        <v/>
      </c>
    </row>
    <row r="39">
      <c r="A39" t="inlineStr">
        <is>
          <t>SIMULATED Commercial FA Study</t>
        </is>
      </c>
      <c r="B39" t="inlineStr">
        <is>
          <t>P06</t>
        </is>
      </c>
      <c r="C39" t="inlineStr">
        <is>
          <t>M</t>
        </is>
      </c>
      <c r="D39" t="n">
        <v>25</v>
      </c>
      <c r="E39" t="inlineStr">
        <is>
          <t>B_C2first</t>
        </is>
      </c>
      <c r="F39" t="inlineStr">
        <is>
          <t>Annotation</t>
        </is>
      </c>
      <c r="G39" t="inlineStr">
        <is>
          <t>EndScene</t>
        </is>
      </c>
      <c r="H39" t="n">
        <v>135000</v>
      </c>
      <c r="I39" t="n">
        <v>10000</v>
      </c>
      <c r="J39" t="inlineStr">
        <is>
          <t>Commercial_2</t>
        </is>
      </c>
      <c r="K39" s="4" t="n">
        <v>-0.1641</v>
      </c>
      <c r="L39" t="inlineStr">
        <is>
          <t>Frontal Asymmetry (Enobio EEG)</t>
        </is>
      </c>
      <c r="M39">
        <f>LEFT(E39,1)</f>
        <v/>
      </c>
      <c r="N39">
        <f>MID(E39,3,10)</f>
        <v/>
      </c>
      <c r="O39">
        <f>IF(F39="Stimulus",IF(LEFT(G39,8)="Baseline",G39,IF(LEFT(G39,12)="Commercial_1","C1","C2")),IF(G39="KeyScene","KeyScene",IF(LEFT(J39,12)="Commercial_1","EndScene_C1","EndScene_C2")))</f>
        <v/>
      </c>
      <c r="P39">
        <f>IF(COUNTIFS(Artifact!$B$2:$B$385,B39,Artifact!$K$2:$K$385,"&gt;25")+COUNTIFS(Log!$A$2:$A$49,B39,Log!$H$2:$H$49,"Red")+COUNTIFS(Log!$A$2:$A$49,B39,Log!$I$2:$I$49,"Red")&gt;0,"No","Yes")</f>
        <v/>
      </c>
      <c r="Q39">
        <f>IF(COUNTIFS(Artifact!$B$2:$B$385,B39,Artifact!$K$2:$K$385,"&gt;15")+COUNTIFS(Log!$A$2:$A$49,B39,Log!$H$2:$H$49,"Red")+COUNTIFS(Log!$A$2:$A$49,B39,Log!$I$2:$I$49,"Red")&gt;0,"No","Yes")</f>
        <v/>
      </c>
    </row>
    <row r="40">
      <c r="A40" t="inlineStr">
        <is>
          <t>SIMULATED Commercial FA Study</t>
        </is>
      </c>
      <c r="B40" t="inlineStr">
        <is>
          <t>P06</t>
        </is>
      </c>
      <c r="C40" t="inlineStr">
        <is>
          <t>M</t>
        </is>
      </c>
      <c r="D40" t="n">
        <v>25</v>
      </c>
      <c r="E40" t="inlineStr">
        <is>
          <t>B_C2first</t>
        </is>
      </c>
      <c r="F40" t="inlineStr">
        <is>
          <t>Annotation</t>
        </is>
      </c>
      <c r="G40" t="inlineStr">
        <is>
          <t>EndScene</t>
        </is>
      </c>
      <c r="H40" t="n">
        <v>306000</v>
      </c>
      <c r="I40" t="n">
        <v>10000</v>
      </c>
      <c r="J40" t="inlineStr">
        <is>
          <t>Commercial_1B</t>
        </is>
      </c>
      <c r="K40" s="4" t="n">
        <v>-0.2823</v>
      </c>
      <c r="L40" t="inlineStr">
        <is>
          <t>Frontal Asymmetry (Enobio EEG)</t>
        </is>
      </c>
      <c r="M40">
        <f>LEFT(E40,1)</f>
        <v/>
      </c>
      <c r="N40">
        <f>MID(E40,3,10)</f>
        <v/>
      </c>
      <c r="O40">
        <f>IF(F40="Stimulus",IF(LEFT(G40,8)="Baseline",G40,IF(LEFT(G40,12)="Commercial_1","C1","C2")),IF(G40="KeyScene","KeyScene",IF(LEFT(J40,12)="Commercial_1","EndScene_C1","EndScene_C2")))</f>
        <v/>
      </c>
      <c r="P40">
        <f>IF(COUNTIFS(Artifact!$B$2:$B$385,B40,Artifact!$K$2:$K$385,"&gt;25")+COUNTIFS(Log!$A$2:$A$49,B40,Log!$H$2:$H$49,"Red")+COUNTIFS(Log!$A$2:$A$49,B40,Log!$I$2:$I$49,"Red")&gt;0,"No","Yes")</f>
        <v/>
      </c>
      <c r="Q40">
        <f>IF(COUNTIFS(Artifact!$B$2:$B$385,B40,Artifact!$K$2:$K$385,"&gt;15")+COUNTIFS(Log!$A$2:$A$49,B40,Log!$H$2:$H$49,"Red")+COUNTIFS(Log!$A$2:$A$49,B40,Log!$I$2:$I$49,"Red")&gt;0,"No","Yes")</f>
        <v/>
      </c>
    </row>
    <row r="41">
      <c r="A41" t="inlineStr">
        <is>
          <t>SIMULATED Commercial FA Study</t>
        </is>
      </c>
      <c r="B41" t="inlineStr">
        <is>
          <t>P07</t>
        </is>
      </c>
      <c r="C41" t="inlineStr">
        <is>
          <t>M</t>
        </is>
      </c>
      <c r="D41" t="n">
        <v>24</v>
      </c>
      <c r="E41" t="inlineStr">
        <is>
          <t>B_C1first</t>
        </is>
      </c>
      <c r="F41" t="inlineStr">
        <is>
          <t>Stimulus</t>
        </is>
      </c>
      <c r="G41" t="inlineStr">
        <is>
          <t>Baseline_1</t>
        </is>
      </c>
      <c r="H41" t="n">
        <v>38000</v>
      </c>
      <c r="I41" t="n">
        <v>60000</v>
      </c>
      <c r="J41" t="inlineStr">
        <is>
          <t>Baseline_1</t>
        </is>
      </c>
      <c r="K41" s="4" t="n">
        <v>-0.1539</v>
      </c>
      <c r="L41" t="inlineStr">
        <is>
          <t>Frontal Asymmetry (Enobio EEG)</t>
        </is>
      </c>
      <c r="M41">
        <f>LEFT(E41,1)</f>
        <v/>
      </c>
      <c r="N41">
        <f>MID(E41,3,10)</f>
        <v/>
      </c>
      <c r="O41">
        <f>IF(F41="Stimulus",IF(LEFT(G41,8)="Baseline",G41,IF(LEFT(G41,12)="Commercial_1","C1","C2")),IF(G41="KeyScene","KeyScene",IF(LEFT(J41,12)="Commercial_1","EndScene_C1","EndScene_C2")))</f>
        <v/>
      </c>
      <c r="P41">
        <f>IF(COUNTIFS(Artifact!$B$2:$B$385,B41,Artifact!$K$2:$K$385,"&gt;25")+COUNTIFS(Log!$A$2:$A$49,B41,Log!$H$2:$H$49,"Red")+COUNTIFS(Log!$A$2:$A$49,B41,Log!$I$2:$I$49,"Red")&gt;0,"No","Yes")</f>
        <v/>
      </c>
      <c r="Q41">
        <f>IF(COUNTIFS(Artifact!$B$2:$B$385,B41,Artifact!$K$2:$K$385,"&gt;15")+COUNTIFS(Log!$A$2:$A$49,B41,Log!$H$2:$H$49,"Red")+COUNTIFS(Log!$A$2:$A$49,B41,Log!$I$2:$I$49,"Red")&gt;0,"No","Yes")</f>
        <v/>
      </c>
    </row>
    <row r="42">
      <c r="A42" t="inlineStr">
        <is>
          <t>SIMULATED Commercial FA Study</t>
        </is>
      </c>
      <c r="B42" t="inlineStr">
        <is>
          <t>P07</t>
        </is>
      </c>
      <c r="C42" t="inlineStr">
        <is>
          <t>M</t>
        </is>
      </c>
      <c r="D42" t="n">
        <v>24</v>
      </c>
      <c r="E42" t="inlineStr">
        <is>
          <t>B_C1first</t>
        </is>
      </c>
      <c r="F42" t="inlineStr">
        <is>
          <t>Stimulus</t>
        </is>
      </c>
      <c r="G42" t="inlineStr">
        <is>
          <t>Commercial_1B</t>
        </is>
      </c>
      <c r="H42" t="n">
        <v>98000</v>
      </c>
      <c r="I42" t="n">
        <v>54000</v>
      </c>
      <c r="J42" t="inlineStr">
        <is>
          <t>Commercial_1B</t>
        </is>
      </c>
      <c r="K42" s="4" t="n">
        <v>-0.1046</v>
      </c>
      <c r="L42" t="inlineStr">
        <is>
          <t>Frontal Asymmetry (Enobio EEG)</t>
        </is>
      </c>
      <c r="M42">
        <f>LEFT(E42,1)</f>
        <v/>
      </c>
      <c r="N42">
        <f>MID(E42,3,10)</f>
        <v/>
      </c>
      <c r="O42">
        <f>IF(F42="Stimulus",IF(LEFT(G42,8)="Baseline",G42,IF(LEFT(G42,12)="Commercial_1","C1","C2")),IF(G42="KeyScene","KeyScene",IF(LEFT(J42,12)="Commercial_1","EndScene_C1","EndScene_C2")))</f>
        <v/>
      </c>
      <c r="P42">
        <f>IF(COUNTIFS(Artifact!$B$2:$B$385,B42,Artifact!$K$2:$K$385,"&gt;25")+COUNTIFS(Log!$A$2:$A$49,B42,Log!$H$2:$H$49,"Red")+COUNTIFS(Log!$A$2:$A$49,B42,Log!$I$2:$I$49,"Red")&gt;0,"No","Yes")</f>
        <v/>
      </c>
      <c r="Q42">
        <f>IF(COUNTIFS(Artifact!$B$2:$B$385,B42,Artifact!$K$2:$K$385,"&gt;15")+COUNTIFS(Log!$A$2:$A$49,B42,Log!$H$2:$H$49,"Red")+COUNTIFS(Log!$A$2:$A$49,B42,Log!$I$2:$I$49,"Red")&gt;0,"No","Yes")</f>
        <v/>
      </c>
    </row>
    <row r="43">
      <c r="A43" t="inlineStr">
        <is>
          <t>SIMULATED Commercial FA Study</t>
        </is>
      </c>
      <c r="B43" t="inlineStr">
        <is>
          <t>P07</t>
        </is>
      </c>
      <c r="C43" t="inlineStr">
        <is>
          <t>M</t>
        </is>
      </c>
      <c r="D43" t="n">
        <v>24</v>
      </c>
      <c r="E43" t="inlineStr">
        <is>
          <t>B_C1first</t>
        </is>
      </c>
      <c r="F43" t="inlineStr">
        <is>
          <t>Stimulus</t>
        </is>
      </c>
      <c r="G43" t="inlineStr">
        <is>
          <t>Baseline_2</t>
        </is>
      </c>
      <c r="H43" t="n">
        <v>183000</v>
      </c>
      <c r="I43" t="n">
        <v>60000</v>
      </c>
      <c r="J43" t="inlineStr">
        <is>
          <t>Baseline_2</t>
        </is>
      </c>
      <c r="K43" s="4" t="n">
        <v>-0.1018</v>
      </c>
      <c r="L43" t="inlineStr">
        <is>
          <t>Frontal Asymmetry (Enobio EEG)</t>
        </is>
      </c>
      <c r="M43">
        <f>LEFT(E43,1)</f>
        <v/>
      </c>
      <c r="N43">
        <f>MID(E43,3,10)</f>
        <v/>
      </c>
      <c r="O43">
        <f>IF(F43="Stimulus",IF(LEFT(G43,8)="Baseline",G43,IF(LEFT(G43,12)="Commercial_1","C1","C2")),IF(G43="KeyScene","KeyScene",IF(LEFT(J43,12)="Commercial_1","EndScene_C1","EndScene_C2")))</f>
        <v/>
      </c>
      <c r="P43">
        <f>IF(COUNTIFS(Artifact!$B$2:$B$385,B43,Artifact!$K$2:$K$385,"&gt;25")+COUNTIFS(Log!$A$2:$A$49,B43,Log!$H$2:$H$49,"Red")+COUNTIFS(Log!$A$2:$A$49,B43,Log!$I$2:$I$49,"Red")&gt;0,"No","Yes")</f>
        <v/>
      </c>
      <c r="Q43">
        <f>IF(COUNTIFS(Artifact!$B$2:$B$385,B43,Artifact!$K$2:$K$385,"&gt;15")+COUNTIFS(Log!$A$2:$A$49,B43,Log!$H$2:$H$49,"Red")+COUNTIFS(Log!$A$2:$A$49,B43,Log!$I$2:$I$49,"Red")&gt;0,"No","Yes")</f>
        <v/>
      </c>
    </row>
    <row r="44">
      <c r="A44" t="inlineStr">
        <is>
          <t>SIMULATED Commercial FA Study</t>
        </is>
      </c>
      <c r="B44" t="inlineStr">
        <is>
          <t>P07</t>
        </is>
      </c>
      <c r="C44" t="inlineStr">
        <is>
          <t>M</t>
        </is>
      </c>
      <c r="D44" t="n">
        <v>24</v>
      </c>
      <c r="E44" t="inlineStr">
        <is>
          <t>B_C1first</t>
        </is>
      </c>
      <c r="F44" t="inlineStr">
        <is>
          <t>Stimulus</t>
        </is>
      </c>
      <c r="G44" t="inlineStr">
        <is>
          <t>Commercial_2</t>
        </is>
      </c>
      <c r="H44" t="n">
        <v>243000</v>
      </c>
      <c r="I44" t="n">
        <v>60000</v>
      </c>
      <c r="J44" t="inlineStr">
        <is>
          <t>Commercial_2</t>
        </is>
      </c>
      <c r="K44" s="4" t="n">
        <v>0.0374</v>
      </c>
      <c r="L44" t="inlineStr">
        <is>
          <t>Frontal Asymmetry (Enobio EEG)</t>
        </is>
      </c>
      <c r="M44">
        <f>LEFT(E44,1)</f>
        <v/>
      </c>
      <c r="N44">
        <f>MID(E44,3,10)</f>
        <v/>
      </c>
      <c r="O44">
        <f>IF(F44="Stimulus",IF(LEFT(G44,8)="Baseline",G44,IF(LEFT(G44,12)="Commercial_1","C1","C2")),IF(G44="KeyScene","KeyScene",IF(LEFT(J44,12)="Commercial_1","EndScene_C1","EndScene_C2")))</f>
        <v/>
      </c>
      <c r="P44">
        <f>IF(COUNTIFS(Artifact!$B$2:$B$385,B44,Artifact!$K$2:$K$385,"&gt;25")+COUNTIFS(Log!$A$2:$A$49,B44,Log!$H$2:$H$49,"Red")+COUNTIFS(Log!$A$2:$A$49,B44,Log!$I$2:$I$49,"Red")&gt;0,"No","Yes")</f>
        <v/>
      </c>
      <c r="Q44">
        <f>IF(COUNTIFS(Artifact!$B$2:$B$385,B44,Artifact!$K$2:$K$385,"&gt;15")+COUNTIFS(Log!$A$2:$A$49,B44,Log!$H$2:$H$49,"Red")+COUNTIFS(Log!$A$2:$A$49,B44,Log!$I$2:$I$49,"Red")&gt;0,"No","Yes")</f>
        <v/>
      </c>
    </row>
    <row r="45">
      <c r="A45" t="inlineStr">
        <is>
          <t>SIMULATED Commercial FA Study</t>
        </is>
      </c>
      <c r="B45" t="inlineStr">
        <is>
          <t>P07</t>
        </is>
      </c>
      <c r="C45" t="inlineStr">
        <is>
          <t>M</t>
        </is>
      </c>
      <c r="D45" t="n">
        <v>24</v>
      </c>
      <c r="E45" t="inlineStr">
        <is>
          <t>B_C1first</t>
        </is>
      </c>
      <c r="F45" t="inlineStr">
        <is>
          <t>Annotation</t>
        </is>
      </c>
      <c r="G45" t="inlineStr">
        <is>
          <t>EndScene</t>
        </is>
      </c>
      <c r="H45" t="n">
        <v>142000</v>
      </c>
      <c r="I45" t="n">
        <v>10000</v>
      </c>
      <c r="J45" t="inlineStr">
        <is>
          <t>Commercial_1B</t>
        </is>
      </c>
      <c r="K45" s="4" t="n">
        <v>-0.0317</v>
      </c>
      <c r="L45" t="inlineStr">
        <is>
          <t>Frontal Asymmetry (Enobio EEG)</t>
        </is>
      </c>
      <c r="M45">
        <f>LEFT(E45,1)</f>
        <v/>
      </c>
      <c r="N45">
        <f>MID(E45,3,10)</f>
        <v/>
      </c>
      <c r="O45">
        <f>IF(F45="Stimulus",IF(LEFT(G45,8)="Baseline",G45,IF(LEFT(G45,12)="Commercial_1","C1","C2")),IF(G45="KeyScene","KeyScene",IF(LEFT(J45,12)="Commercial_1","EndScene_C1","EndScene_C2")))</f>
        <v/>
      </c>
      <c r="P45">
        <f>IF(COUNTIFS(Artifact!$B$2:$B$385,B45,Artifact!$K$2:$K$385,"&gt;25")+COUNTIFS(Log!$A$2:$A$49,B45,Log!$H$2:$H$49,"Red")+COUNTIFS(Log!$A$2:$A$49,B45,Log!$I$2:$I$49,"Red")&gt;0,"No","Yes")</f>
        <v/>
      </c>
      <c r="Q45">
        <f>IF(COUNTIFS(Artifact!$B$2:$B$385,B45,Artifact!$K$2:$K$385,"&gt;15")+COUNTIFS(Log!$A$2:$A$49,B45,Log!$H$2:$H$49,"Red")+COUNTIFS(Log!$A$2:$A$49,B45,Log!$I$2:$I$49,"Red")&gt;0,"No","Yes")</f>
        <v/>
      </c>
    </row>
    <row r="46">
      <c r="A46" t="inlineStr">
        <is>
          <t>SIMULATED Commercial FA Study</t>
        </is>
      </c>
      <c r="B46" t="inlineStr">
        <is>
          <t>P07</t>
        </is>
      </c>
      <c r="C46" t="inlineStr">
        <is>
          <t>M</t>
        </is>
      </c>
      <c r="D46" t="n">
        <v>24</v>
      </c>
      <c r="E46" t="inlineStr">
        <is>
          <t>B_C1first</t>
        </is>
      </c>
      <c r="F46" t="inlineStr">
        <is>
          <t>Annotation</t>
        </is>
      </c>
      <c r="G46" t="inlineStr">
        <is>
          <t>EndScene</t>
        </is>
      </c>
      <c r="H46" t="n">
        <v>293000</v>
      </c>
      <c r="I46" t="n">
        <v>10000</v>
      </c>
      <c r="J46" t="inlineStr">
        <is>
          <t>Commercial_2</t>
        </is>
      </c>
      <c r="K46" s="4" t="n">
        <v>0.1786</v>
      </c>
      <c r="L46" t="inlineStr">
        <is>
          <t>Frontal Asymmetry (Enobio EEG)</t>
        </is>
      </c>
      <c r="M46">
        <f>LEFT(E46,1)</f>
        <v/>
      </c>
      <c r="N46">
        <f>MID(E46,3,10)</f>
        <v/>
      </c>
      <c r="O46">
        <f>IF(F46="Stimulus",IF(LEFT(G46,8)="Baseline",G46,IF(LEFT(G46,12)="Commercial_1","C1","C2")),IF(G46="KeyScene","KeyScene",IF(LEFT(J46,12)="Commercial_1","EndScene_C1","EndScene_C2")))</f>
        <v/>
      </c>
      <c r="P46">
        <f>IF(COUNTIFS(Artifact!$B$2:$B$385,B46,Artifact!$K$2:$K$385,"&gt;25")+COUNTIFS(Log!$A$2:$A$49,B46,Log!$H$2:$H$49,"Red")+COUNTIFS(Log!$A$2:$A$49,B46,Log!$I$2:$I$49,"Red")&gt;0,"No","Yes")</f>
        <v/>
      </c>
      <c r="Q46">
        <f>IF(COUNTIFS(Artifact!$B$2:$B$385,B46,Artifact!$K$2:$K$385,"&gt;15")+COUNTIFS(Log!$A$2:$A$49,B46,Log!$H$2:$H$49,"Red")+COUNTIFS(Log!$A$2:$A$49,B46,Log!$I$2:$I$49,"Red")&gt;0,"No","Yes")</f>
        <v/>
      </c>
    </row>
    <row r="47">
      <c r="A47" t="inlineStr">
        <is>
          <t>SIMULATED Commercial FA Study</t>
        </is>
      </c>
      <c r="B47" t="inlineStr">
        <is>
          <t>P08</t>
        </is>
      </c>
      <c r="C47" t="inlineStr">
        <is>
          <t>F</t>
        </is>
      </c>
      <c r="D47" t="n">
        <v>20</v>
      </c>
      <c r="E47" t="inlineStr">
        <is>
          <t>A_C2first</t>
        </is>
      </c>
      <c r="F47" t="inlineStr">
        <is>
          <t>Stimulus</t>
        </is>
      </c>
      <c r="G47" t="inlineStr">
        <is>
          <t>Baseline_1</t>
        </is>
      </c>
      <c r="H47" t="n">
        <v>27000</v>
      </c>
      <c r="I47" t="n">
        <v>60000</v>
      </c>
      <c r="J47" t="inlineStr">
        <is>
          <t>Baseline_1</t>
        </is>
      </c>
      <c r="K47" s="4" t="n">
        <v>-0.2251</v>
      </c>
      <c r="L47" t="inlineStr">
        <is>
          <t>Frontal Asymmetry (Enobio EEG)</t>
        </is>
      </c>
      <c r="M47">
        <f>LEFT(E47,1)</f>
        <v/>
      </c>
      <c r="N47">
        <f>MID(E47,3,10)</f>
        <v/>
      </c>
      <c r="O47">
        <f>IF(F47="Stimulus",IF(LEFT(G47,8)="Baseline",G47,IF(LEFT(G47,12)="Commercial_1","C1","C2")),IF(G47="KeyScene","KeyScene",IF(LEFT(J47,12)="Commercial_1","EndScene_C1","EndScene_C2")))</f>
        <v/>
      </c>
      <c r="P47">
        <f>IF(COUNTIFS(Artifact!$B$2:$B$385,B47,Artifact!$K$2:$K$385,"&gt;25")+COUNTIFS(Log!$A$2:$A$49,B47,Log!$H$2:$H$49,"Red")+COUNTIFS(Log!$A$2:$A$49,B47,Log!$I$2:$I$49,"Red")&gt;0,"No","Yes")</f>
        <v/>
      </c>
      <c r="Q47">
        <f>IF(COUNTIFS(Artifact!$B$2:$B$385,B47,Artifact!$K$2:$K$385,"&gt;15")+COUNTIFS(Log!$A$2:$A$49,B47,Log!$H$2:$H$49,"Red")+COUNTIFS(Log!$A$2:$A$49,B47,Log!$I$2:$I$49,"Red")&gt;0,"No","Yes")</f>
        <v/>
      </c>
    </row>
    <row r="48">
      <c r="A48" t="inlineStr">
        <is>
          <t>SIMULATED Commercial FA Study</t>
        </is>
      </c>
      <c r="B48" t="inlineStr">
        <is>
          <t>P08</t>
        </is>
      </c>
      <c r="C48" t="inlineStr">
        <is>
          <t>F</t>
        </is>
      </c>
      <c r="D48" t="n">
        <v>20</v>
      </c>
      <c r="E48" t="inlineStr">
        <is>
          <t>A_C2first</t>
        </is>
      </c>
      <c r="F48" t="inlineStr">
        <is>
          <t>Stimulus</t>
        </is>
      </c>
      <c r="G48" t="inlineStr">
        <is>
          <t>Commercial_2</t>
        </is>
      </c>
      <c r="H48" t="n">
        <v>87000</v>
      </c>
      <c r="I48" t="n">
        <v>60000</v>
      </c>
      <c r="J48" t="inlineStr">
        <is>
          <t>Commercial_2</t>
        </is>
      </c>
      <c r="K48" s="4" t="n">
        <v>-0.1436</v>
      </c>
      <c r="L48" t="inlineStr">
        <is>
          <t>Frontal Asymmetry (Enobio EEG)</t>
        </is>
      </c>
      <c r="M48">
        <f>LEFT(E48,1)</f>
        <v/>
      </c>
      <c r="N48">
        <f>MID(E48,3,10)</f>
        <v/>
      </c>
      <c r="O48">
        <f>IF(F48="Stimulus",IF(LEFT(G48,8)="Baseline",G48,IF(LEFT(G48,12)="Commercial_1","C1","C2")),IF(G48="KeyScene","KeyScene",IF(LEFT(J48,12)="Commercial_1","EndScene_C1","EndScene_C2")))</f>
        <v/>
      </c>
      <c r="P48">
        <f>IF(COUNTIFS(Artifact!$B$2:$B$385,B48,Artifact!$K$2:$K$385,"&gt;25")+COUNTIFS(Log!$A$2:$A$49,B48,Log!$H$2:$H$49,"Red")+COUNTIFS(Log!$A$2:$A$49,B48,Log!$I$2:$I$49,"Red")&gt;0,"No","Yes")</f>
        <v/>
      </c>
      <c r="Q48">
        <f>IF(COUNTIFS(Artifact!$B$2:$B$385,B48,Artifact!$K$2:$K$385,"&gt;15")+COUNTIFS(Log!$A$2:$A$49,B48,Log!$H$2:$H$49,"Red")+COUNTIFS(Log!$A$2:$A$49,B48,Log!$I$2:$I$49,"Red")&gt;0,"No","Yes")</f>
        <v/>
      </c>
    </row>
    <row r="49">
      <c r="A49" t="inlineStr">
        <is>
          <t>SIMULATED Commercial FA Study</t>
        </is>
      </c>
      <c r="B49" t="inlineStr">
        <is>
          <t>P08</t>
        </is>
      </c>
      <c r="C49" t="inlineStr">
        <is>
          <t>F</t>
        </is>
      </c>
      <c r="D49" t="n">
        <v>20</v>
      </c>
      <c r="E49" t="inlineStr">
        <is>
          <t>A_C2first</t>
        </is>
      </c>
      <c r="F49" t="inlineStr">
        <is>
          <t>Stimulus</t>
        </is>
      </c>
      <c r="G49" t="inlineStr">
        <is>
          <t>Baseline_2</t>
        </is>
      </c>
      <c r="H49" t="n">
        <v>200000</v>
      </c>
      <c r="I49" t="n">
        <v>60000</v>
      </c>
      <c r="J49" t="inlineStr">
        <is>
          <t>Baseline_2</t>
        </is>
      </c>
      <c r="K49" s="4" t="n">
        <v>-0.2188</v>
      </c>
      <c r="L49" t="inlineStr">
        <is>
          <t>Frontal Asymmetry (Enobio EEG)</t>
        </is>
      </c>
      <c r="M49">
        <f>LEFT(E49,1)</f>
        <v/>
      </c>
      <c r="N49">
        <f>MID(E49,3,10)</f>
        <v/>
      </c>
      <c r="O49">
        <f>IF(F49="Stimulus",IF(LEFT(G49,8)="Baseline",G49,IF(LEFT(G49,12)="Commercial_1","C1","C2")),IF(G49="KeyScene","KeyScene",IF(LEFT(J49,12)="Commercial_1","EndScene_C1","EndScene_C2")))</f>
        <v/>
      </c>
      <c r="P49">
        <f>IF(COUNTIFS(Artifact!$B$2:$B$385,B49,Artifact!$K$2:$K$385,"&gt;25")+COUNTIFS(Log!$A$2:$A$49,B49,Log!$H$2:$H$49,"Red")+COUNTIFS(Log!$A$2:$A$49,B49,Log!$I$2:$I$49,"Red")&gt;0,"No","Yes")</f>
        <v/>
      </c>
      <c r="Q49">
        <f>IF(COUNTIFS(Artifact!$B$2:$B$385,B49,Artifact!$K$2:$K$385,"&gt;15")+COUNTIFS(Log!$A$2:$A$49,B49,Log!$H$2:$H$49,"Red")+COUNTIFS(Log!$A$2:$A$49,B49,Log!$I$2:$I$49,"Red")&gt;0,"No","Yes")</f>
        <v/>
      </c>
    </row>
    <row r="50">
      <c r="A50" t="inlineStr">
        <is>
          <t>SIMULATED Commercial FA Study</t>
        </is>
      </c>
      <c r="B50" t="inlineStr">
        <is>
          <t>P08</t>
        </is>
      </c>
      <c r="C50" t="inlineStr">
        <is>
          <t>F</t>
        </is>
      </c>
      <c r="D50" t="n">
        <v>20</v>
      </c>
      <c r="E50" t="inlineStr">
        <is>
          <t>A_C2first</t>
        </is>
      </c>
      <c r="F50" t="inlineStr">
        <is>
          <t>Stimulus</t>
        </is>
      </c>
      <c r="G50" t="inlineStr">
        <is>
          <t>Commercial_1A</t>
        </is>
      </c>
      <c r="H50" t="n">
        <v>260000</v>
      </c>
      <c r="I50" t="n">
        <v>60000</v>
      </c>
      <c r="J50" t="inlineStr">
        <is>
          <t>Commercial_1A</t>
        </is>
      </c>
      <c r="K50" s="4" t="n">
        <v>-0.0735</v>
      </c>
      <c r="L50" t="inlineStr">
        <is>
          <t>Frontal Asymmetry (Enobio EEG)</t>
        </is>
      </c>
      <c r="M50">
        <f>LEFT(E50,1)</f>
        <v/>
      </c>
      <c r="N50">
        <f>MID(E50,3,10)</f>
        <v/>
      </c>
      <c r="O50">
        <f>IF(F50="Stimulus",IF(LEFT(G50,8)="Baseline",G50,IF(LEFT(G50,12)="Commercial_1","C1","C2")),IF(G50="KeyScene","KeyScene",IF(LEFT(J50,12)="Commercial_1","EndScene_C1","EndScene_C2")))</f>
        <v/>
      </c>
      <c r="P50">
        <f>IF(COUNTIFS(Artifact!$B$2:$B$385,B50,Artifact!$K$2:$K$385,"&gt;25")+COUNTIFS(Log!$A$2:$A$49,B50,Log!$H$2:$H$49,"Red")+COUNTIFS(Log!$A$2:$A$49,B50,Log!$I$2:$I$49,"Red")&gt;0,"No","Yes")</f>
        <v/>
      </c>
      <c r="Q50">
        <f>IF(COUNTIFS(Artifact!$B$2:$B$385,B50,Artifact!$K$2:$K$385,"&gt;15")+COUNTIFS(Log!$A$2:$A$49,B50,Log!$H$2:$H$49,"Red")+COUNTIFS(Log!$A$2:$A$49,B50,Log!$I$2:$I$49,"Red")&gt;0,"No","Yes")</f>
        <v/>
      </c>
    </row>
    <row r="51">
      <c r="A51" t="inlineStr">
        <is>
          <t>SIMULATED Commercial FA Study</t>
        </is>
      </c>
      <c r="B51" t="inlineStr">
        <is>
          <t>P08</t>
        </is>
      </c>
      <c r="C51" t="inlineStr">
        <is>
          <t>F</t>
        </is>
      </c>
      <c r="D51" t="n">
        <v>20</v>
      </c>
      <c r="E51" t="inlineStr">
        <is>
          <t>A_C2first</t>
        </is>
      </c>
      <c r="F51" t="inlineStr">
        <is>
          <t>Annotation</t>
        </is>
      </c>
      <c r="G51" t="inlineStr">
        <is>
          <t>EndScene</t>
        </is>
      </c>
      <c r="H51" t="n">
        <v>137000</v>
      </c>
      <c r="I51" t="n">
        <v>10000</v>
      </c>
      <c r="J51" t="inlineStr">
        <is>
          <t>Commercial_2</t>
        </is>
      </c>
      <c r="K51" s="4" t="n">
        <v>-0.2473</v>
      </c>
      <c r="L51" t="inlineStr">
        <is>
          <t>Frontal Asymmetry (Enobio EEG)</t>
        </is>
      </c>
      <c r="M51">
        <f>LEFT(E51,1)</f>
        <v/>
      </c>
      <c r="N51">
        <f>MID(E51,3,10)</f>
        <v/>
      </c>
      <c r="O51">
        <f>IF(F51="Stimulus",IF(LEFT(G51,8)="Baseline",G51,IF(LEFT(G51,12)="Commercial_1","C1","C2")),IF(G51="KeyScene","KeyScene",IF(LEFT(J51,12)="Commercial_1","EndScene_C1","EndScene_C2")))</f>
        <v/>
      </c>
      <c r="P51">
        <f>IF(COUNTIFS(Artifact!$B$2:$B$385,B51,Artifact!$K$2:$K$385,"&gt;25")+COUNTIFS(Log!$A$2:$A$49,B51,Log!$H$2:$H$49,"Red")+COUNTIFS(Log!$A$2:$A$49,B51,Log!$I$2:$I$49,"Red")&gt;0,"No","Yes")</f>
        <v/>
      </c>
      <c r="Q51">
        <f>IF(COUNTIFS(Artifact!$B$2:$B$385,B51,Artifact!$K$2:$K$385,"&gt;15")+COUNTIFS(Log!$A$2:$A$49,B51,Log!$H$2:$H$49,"Red")+COUNTIFS(Log!$A$2:$A$49,B51,Log!$I$2:$I$49,"Red")&gt;0,"No","Yes")</f>
        <v/>
      </c>
    </row>
    <row r="52">
      <c r="A52" t="inlineStr">
        <is>
          <t>SIMULATED Commercial FA Study</t>
        </is>
      </c>
      <c r="B52" t="inlineStr">
        <is>
          <t>P08</t>
        </is>
      </c>
      <c r="C52" t="inlineStr">
        <is>
          <t>F</t>
        </is>
      </c>
      <c r="D52" t="n">
        <v>20</v>
      </c>
      <c r="E52" t="inlineStr">
        <is>
          <t>A_C2first</t>
        </is>
      </c>
      <c r="F52" t="inlineStr">
        <is>
          <t>Annotation</t>
        </is>
      </c>
      <c r="G52" t="inlineStr">
        <is>
          <t>KeyScene</t>
        </is>
      </c>
      <c r="H52" t="n">
        <v>292000</v>
      </c>
      <c r="I52" t="n">
        <v>6000</v>
      </c>
      <c r="J52" t="inlineStr">
        <is>
          <t>Commercial_1A</t>
        </is>
      </c>
      <c r="K52" s="4" t="n">
        <v>-0.1459</v>
      </c>
      <c r="L52" t="inlineStr">
        <is>
          <t>Frontal Asymmetry (Enobio EEG)</t>
        </is>
      </c>
      <c r="M52">
        <f>LEFT(E52,1)</f>
        <v/>
      </c>
      <c r="N52">
        <f>MID(E52,3,10)</f>
        <v/>
      </c>
      <c r="O52">
        <f>IF(F52="Stimulus",IF(LEFT(G52,8)="Baseline",G52,IF(LEFT(G52,12)="Commercial_1","C1","C2")),IF(G52="KeyScene","KeyScene",IF(LEFT(J52,12)="Commercial_1","EndScene_C1","EndScene_C2")))</f>
        <v/>
      </c>
      <c r="P52">
        <f>IF(COUNTIFS(Artifact!$B$2:$B$385,B52,Artifact!$K$2:$K$385,"&gt;25")+COUNTIFS(Log!$A$2:$A$49,B52,Log!$H$2:$H$49,"Red")+COUNTIFS(Log!$A$2:$A$49,B52,Log!$I$2:$I$49,"Red")&gt;0,"No","Yes")</f>
        <v/>
      </c>
      <c r="Q52">
        <f>IF(COUNTIFS(Artifact!$B$2:$B$385,B52,Artifact!$K$2:$K$385,"&gt;15")+COUNTIFS(Log!$A$2:$A$49,B52,Log!$H$2:$H$49,"Red")+COUNTIFS(Log!$A$2:$A$49,B52,Log!$I$2:$I$49,"Red")&gt;0,"No","Yes")</f>
        <v/>
      </c>
    </row>
    <row r="53">
      <c r="A53" t="inlineStr">
        <is>
          <t>SIMULATED Commercial FA Study</t>
        </is>
      </c>
      <c r="B53" t="inlineStr">
        <is>
          <t>P08</t>
        </is>
      </c>
      <c r="C53" t="inlineStr">
        <is>
          <t>F</t>
        </is>
      </c>
      <c r="D53" t="n">
        <v>20</v>
      </c>
      <c r="E53" t="inlineStr">
        <is>
          <t>A_C2first</t>
        </is>
      </c>
      <c r="F53" t="inlineStr">
        <is>
          <t>Annotation</t>
        </is>
      </c>
      <c r="G53" t="inlineStr">
        <is>
          <t>EndScene</t>
        </is>
      </c>
      <c r="H53" t="n">
        <v>310000</v>
      </c>
      <c r="I53" t="n">
        <v>10000</v>
      </c>
      <c r="J53" t="inlineStr">
        <is>
          <t>Commercial_1A</t>
        </is>
      </c>
      <c r="K53" s="4" t="n">
        <v>0.09030000000000001</v>
      </c>
      <c r="L53" t="inlineStr">
        <is>
          <t>Frontal Asymmetry (Enobio EEG)</t>
        </is>
      </c>
      <c r="M53">
        <f>LEFT(E53,1)</f>
        <v/>
      </c>
      <c r="N53">
        <f>MID(E53,3,10)</f>
        <v/>
      </c>
      <c r="O53">
        <f>IF(F53="Stimulus",IF(LEFT(G53,8)="Baseline",G53,IF(LEFT(G53,12)="Commercial_1","C1","C2")),IF(G53="KeyScene","KeyScene",IF(LEFT(J53,12)="Commercial_1","EndScene_C1","EndScene_C2")))</f>
        <v/>
      </c>
      <c r="P53">
        <f>IF(COUNTIFS(Artifact!$B$2:$B$385,B53,Artifact!$K$2:$K$385,"&gt;25")+COUNTIFS(Log!$A$2:$A$49,B53,Log!$H$2:$H$49,"Red")+COUNTIFS(Log!$A$2:$A$49,B53,Log!$I$2:$I$49,"Red")&gt;0,"No","Yes")</f>
        <v/>
      </c>
      <c r="Q53">
        <f>IF(COUNTIFS(Artifact!$B$2:$B$385,B53,Artifact!$K$2:$K$385,"&gt;15")+COUNTIFS(Log!$A$2:$A$49,B53,Log!$H$2:$H$49,"Red")+COUNTIFS(Log!$A$2:$A$49,B53,Log!$I$2:$I$49,"Red")&gt;0,"No","Yes")</f>
        <v/>
      </c>
    </row>
    <row r="54">
      <c r="A54" t="inlineStr">
        <is>
          <t>SIMULATED Commercial FA Study</t>
        </is>
      </c>
      <c r="B54" t="inlineStr">
        <is>
          <t>P09</t>
        </is>
      </c>
      <c r="C54" t="inlineStr">
        <is>
          <t>F</t>
        </is>
      </c>
      <c r="D54" t="n">
        <v>24</v>
      </c>
      <c r="E54" t="inlineStr">
        <is>
          <t>A_C1first</t>
        </is>
      </c>
      <c r="F54" t="inlineStr">
        <is>
          <t>Stimulus</t>
        </is>
      </c>
      <c r="G54" t="inlineStr">
        <is>
          <t>Baseline_1</t>
        </is>
      </c>
      <c r="H54" t="n">
        <v>30000</v>
      </c>
      <c r="I54" t="n">
        <v>60000</v>
      </c>
      <c r="J54" t="inlineStr">
        <is>
          <t>Baseline_1</t>
        </is>
      </c>
      <c r="K54" s="4" t="n">
        <v>-0.0549</v>
      </c>
      <c r="L54" t="inlineStr">
        <is>
          <t>Frontal Asymmetry (Enobio EEG)</t>
        </is>
      </c>
      <c r="M54">
        <f>LEFT(E54,1)</f>
        <v/>
      </c>
      <c r="N54">
        <f>MID(E54,3,10)</f>
        <v/>
      </c>
      <c r="O54">
        <f>IF(F54="Stimulus",IF(LEFT(G54,8)="Baseline",G54,IF(LEFT(G54,12)="Commercial_1","C1","C2")),IF(G54="KeyScene","KeyScene",IF(LEFT(J54,12)="Commercial_1","EndScene_C1","EndScene_C2")))</f>
        <v/>
      </c>
      <c r="P54">
        <f>IF(COUNTIFS(Artifact!$B$2:$B$385,B54,Artifact!$K$2:$K$385,"&gt;25")+COUNTIFS(Log!$A$2:$A$49,B54,Log!$H$2:$H$49,"Red")+COUNTIFS(Log!$A$2:$A$49,B54,Log!$I$2:$I$49,"Red")&gt;0,"No","Yes")</f>
        <v/>
      </c>
      <c r="Q54">
        <f>IF(COUNTIFS(Artifact!$B$2:$B$385,B54,Artifact!$K$2:$K$385,"&gt;15")+COUNTIFS(Log!$A$2:$A$49,B54,Log!$H$2:$H$49,"Red")+COUNTIFS(Log!$A$2:$A$49,B54,Log!$I$2:$I$49,"Red")&gt;0,"No","Yes")</f>
        <v/>
      </c>
    </row>
    <row r="55">
      <c r="A55" t="inlineStr">
        <is>
          <t>SIMULATED Commercial FA Study</t>
        </is>
      </c>
      <c r="B55" t="inlineStr">
        <is>
          <t>P09</t>
        </is>
      </c>
      <c r="C55" t="inlineStr">
        <is>
          <t>F</t>
        </is>
      </c>
      <c r="D55" t="n">
        <v>24</v>
      </c>
      <c r="E55" t="inlineStr">
        <is>
          <t>A_C1first</t>
        </is>
      </c>
      <c r="F55" t="inlineStr">
        <is>
          <t>Stimulus</t>
        </is>
      </c>
      <c r="G55" t="inlineStr">
        <is>
          <t>Commercial_1A</t>
        </is>
      </c>
      <c r="H55" t="n">
        <v>90000</v>
      </c>
      <c r="I55" t="n">
        <v>60000</v>
      </c>
      <c r="J55" t="inlineStr">
        <is>
          <t>Commercial_1A</t>
        </is>
      </c>
      <c r="K55" s="4" t="n">
        <v>-0.1673</v>
      </c>
      <c r="L55" t="inlineStr">
        <is>
          <t>Frontal Asymmetry (Enobio EEG)</t>
        </is>
      </c>
      <c r="M55">
        <f>LEFT(E55,1)</f>
        <v/>
      </c>
      <c r="N55">
        <f>MID(E55,3,10)</f>
        <v/>
      </c>
      <c r="O55">
        <f>IF(F55="Stimulus",IF(LEFT(G55,8)="Baseline",G55,IF(LEFT(G55,12)="Commercial_1","C1","C2")),IF(G55="KeyScene","KeyScene",IF(LEFT(J55,12)="Commercial_1","EndScene_C1","EndScene_C2")))</f>
        <v/>
      </c>
      <c r="P55">
        <f>IF(COUNTIFS(Artifact!$B$2:$B$385,B55,Artifact!$K$2:$K$385,"&gt;25")+COUNTIFS(Log!$A$2:$A$49,B55,Log!$H$2:$H$49,"Red")+COUNTIFS(Log!$A$2:$A$49,B55,Log!$I$2:$I$49,"Red")&gt;0,"No","Yes")</f>
        <v/>
      </c>
      <c r="Q55">
        <f>IF(COUNTIFS(Artifact!$B$2:$B$385,B55,Artifact!$K$2:$K$385,"&gt;15")+COUNTIFS(Log!$A$2:$A$49,B55,Log!$H$2:$H$49,"Red")+COUNTIFS(Log!$A$2:$A$49,B55,Log!$I$2:$I$49,"Red")&gt;0,"No","Yes")</f>
        <v/>
      </c>
    </row>
    <row r="56">
      <c r="A56" t="inlineStr">
        <is>
          <t>SIMULATED Commercial FA Study</t>
        </is>
      </c>
      <c r="B56" t="inlineStr">
        <is>
          <t>P09</t>
        </is>
      </c>
      <c r="C56" t="inlineStr">
        <is>
          <t>F</t>
        </is>
      </c>
      <c r="D56" t="n">
        <v>24</v>
      </c>
      <c r="E56" t="inlineStr">
        <is>
          <t>A_C1first</t>
        </is>
      </c>
      <c r="F56" t="inlineStr">
        <is>
          <t>Stimulus</t>
        </is>
      </c>
      <c r="G56" t="inlineStr">
        <is>
          <t>Baseline_2</t>
        </is>
      </c>
      <c r="H56" t="n">
        <v>189000</v>
      </c>
      <c r="I56" t="n">
        <v>60000</v>
      </c>
      <c r="J56" t="inlineStr">
        <is>
          <t>Baseline_2</t>
        </is>
      </c>
      <c r="K56" s="4" t="n">
        <v>-0.2238</v>
      </c>
      <c r="L56" t="inlineStr">
        <is>
          <t>Frontal Asymmetry (Enobio EEG)</t>
        </is>
      </c>
      <c r="M56">
        <f>LEFT(E56,1)</f>
        <v/>
      </c>
      <c r="N56">
        <f>MID(E56,3,10)</f>
        <v/>
      </c>
      <c r="O56">
        <f>IF(F56="Stimulus",IF(LEFT(G56,8)="Baseline",G56,IF(LEFT(G56,12)="Commercial_1","C1","C2")),IF(G56="KeyScene","KeyScene",IF(LEFT(J56,12)="Commercial_1","EndScene_C1","EndScene_C2")))</f>
        <v/>
      </c>
      <c r="P56">
        <f>IF(COUNTIFS(Artifact!$B$2:$B$385,B56,Artifact!$K$2:$K$385,"&gt;25")+COUNTIFS(Log!$A$2:$A$49,B56,Log!$H$2:$H$49,"Red")+COUNTIFS(Log!$A$2:$A$49,B56,Log!$I$2:$I$49,"Red")&gt;0,"No","Yes")</f>
        <v/>
      </c>
      <c r="Q56">
        <f>IF(COUNTIFS(Artifact!$B$2:$B$385,B56,Artifact!$K$2:$K$385,"&gt;15")+COUNTIFS(Log!$A$2:$A$49,B56,Log!$H$2:$H$49,"Red")+COUNTIFS(Log!$A$2:$A$49,B56,Log!$I$2:$I$49,"Red")&gt;0,"No","Yes")</f>
        <v/>
      </c>
    </row>
    <row r="57">
      <c r="A57" t="inlineStr">
        <is>
          <t>SIMULATED Commercial FA Study</t>
        </is>
      </c>
      <c r="B57" t="inlineStr">
        <is>
          <t>P09</t>
        </is>
      </c>
      <c r="C57" t="inlineStr">
        <is>
          <t>F</t>
        </is>
      </c>
      <c r="D57" t="n">
        <v>24</v>
      </c>
      <c r="E57" t="inlineStr">
        <is>
          <t>A_C1first</t>
        </is>
      </c>
      <c r="F57" t="inlineStr">
        <is>
          <t>Stimulus</t>
        </is>
      </c>
      <c r="G57" t="inlineStr">
        <is>
          <t>Commercial_2</t>
        </is>
      </c>
      <c r="H57" t="n">
        <v>249000</v>
      </c>
      <c r="I57" t="n">
        <v>60000</v>
      </c>
      <c r="J57" t="inlineStr">
        <is>
          <t>Commercial_2</t>
        </is>
      </c>
      <c r="K57" s="4" t="n">
        <v>-0.0356</v>
      </c>
      <c r="L57" t="inlineStr">
        <is>
          <t>Frontal Asymmetry (Enobio EEG)</t>
        </is>
      </c>
      <c r="M57">
        <f>LEFT(E57,1)</f>
        <v/>
      </c>
      <c r="N57">
        <f>MID(E57,3,10)</f>
        <v/>
      </c>
      <c r="O57">
        <f>IF(F57="Stimulus",IF(LEFT(G57,8)="Baseline",G57,IF(LEFT(G57,12)="Commercial_1","C1","C2")),IF(G57="KeyScene","KeyScene",IF(LEFT(J57,12)="Commercial_1","EndScene_C1","EndScene_C2")))</f>
        <v/>
      </c>
      <c r="P57">
        <f>IF(COUNTIFS(Artifact!$B$2:$B$385,B57,Artifact!$K$2:$K$385,"&gt;25")+COUNTIFS(Log!$A$2:$A$49,B57,Log!$H$2:$H$49,"Red")+COUNTIFS(Log!$A$2:$A$49,B57,Log!$I$2:$I$49,"Red")&gt;0,"No","Yes")</f>
        <v/>
      </c>
      <c r="Q57">
        <f>IF(COUNTIFS(Artifact!$B$2:$B$385,B57,Artifact!$K$2:$K$385,"&gt;15")+COUNTIFS(Log!$A$2:$A$49,B57,Log!$H$2:$H$49,"Red")+COUNTIFS(Log!$A$2:$A$49,B57,Log!$I$2:$I$49,"Red")&gt;0,"No","Yes")</f>
        <v/>
      </c>
    </row>
    <row r="58">
      <c r="A58" t="inlineStr">
        <is>
          <t>SIMULATED Commercial FA Study</t>
        </is>
      </c>
      <c r="B58" t="inlineStr">
        <is>
          <t>P09</t>
        </is>
      </c>
      <c r="C58" t="inlineStr">
        <is>
          <t>F</t>
        </is>
      </c>
      <c r="D58" t="n">
        <v>24</v>
      </c>
      <c r="E58" t="inlineStr">
        <is>
          <t>A_C1first</t>
        </is>
      </c>
      <c r="F58" t="inlineStr">
        <is>
          <t>Annotation</t>
        </is>
      </c>
      <c r="G58" t="inlineStr">
        <is>
          <t>KeyScene</t>
        </is>
      </c>
      <c r="H58" t="n">
        <v>122000</v>
      </c>
      <c r="I58" t="n">
        <v>6000</v>
      </c>
      <c r="J58" t="inlineStr">
        <is>
          <t>Commercial_1A</t>
        </is>
      </c>
      <c r="K58" s="4" t="n">
        <v>0.1649</v>
      </c>
      <c r="L58" t="inlineStr">
        <is>
          <t>Frontal Asymmetry (Enobio EEG)</t>
        </is>
      </c>
      <c r="M58">
        <f>LEFT(E58,1)</f>
        <v/>
      </c>
      <c r="N58">
        <f>MID(E58,3,10)</f>
        <v/>
      </c>
      <c r="O58">
        <f>IF(F58="Stimulus",IF(LEFT(G58,8)="Baseline",G58,IF(LEFT(G58,12)="Commercial_1","C1","C2")),IF(G58="KeyScene","KeyScene",IF(LEFT(J58,12)="Commercial_1","EndScene_C1","EndScene_C2")))</f>
        <v/>
      </c>
      <c r="P58">
        <f>IF(COUNTIFS(Artifact!$B$2:$B$385,B58,Artifact!$K$2:$K$385,"&gt;25")+COUNTIFS(Log!$A$2:$A$49,B58,Log!$H$2:$H$49,"Red")+COUNTIFS(Log!$A$2:$A$49,B58,Log!$I$2:$I$49,"Red")&gt;0,"No","Yes")</f>
        <v/>
      </c>
      <c r="Q58">
        <f>IF(COUNTIFS(Artifact!$B$2:$B$385,B58,Artifact!$K$2:$K$385,"&gt;15")+COUNTIFS(Log!$A$2:$A$49,B58,Log!$H$2:$H$49,"Red")+COUNTIFS(Log!$A$2:$A$49,B58,Log!$I$2:$I$49,"Red")&gt;0,"No","Yes")</f>
        <v/>
      </c>
    </row>
    <row r="59">
      <c r="A59" t="inlineStr">
        <is>
          <t>SIMULATED Commercial FA Study</t>
        </is>
      </c>
      <c r="B59" t="inlineStr">
        <is>
          <t>P09</t>
        </is>
      </c>
      <c r="C59" t="inlineStr">
        <is>
          <t>F</t>
        </is>
      </c>
      <c r="D59" t="n">
        <v>24</v>
      </c>
      <c r="E59" t="inlineStr">
        <is>
          <t>A_C1first</t>
        </is>
      </c>
      <c r="F59" t="inlineStr">
        <is>
          <t>Annotation</t>
        </is>
      </c>
      <c r="G59" t="inlineStr">
        <is>
          <t>EndScene</t>
        </is>
      </c>
      <c r="H59" t="n">
        <v>140000</v>
      </c>
      <c r="I59" t="n">
        <v>10000</v>
      </c>
      <c r="J59" t="inlineStr">
        <is>
          <t>Commercial_1A</t>
        </is>
      </c>
      <c r="K59" s="4" t="n">
        <v>0.0629</v>
      </c>
      <c r="L59" t="inlineStr">
        <is>
          <t>Frontal Asymmetry (Enobio EEG)</t>
        </is>
      </c>
      <c r="M59">
        <f>LEFT(E59,1)</f>
        <v/>
      </c>
      <c r="N59">
        <f>MID(E59,3,10)</f>
        <v/>
      </c>
      <c r="O59">
        <f>IF(F59="Stimulus",IF(LEFT(G59,8)="Baseline",G59,IF(LEFT(G59,12)="Commercial_1","C1","C2")),IF(G59="KeyScene","KeyScene",IF(LEFT(J59,12)="Commercial_1","EndScene_C1","EndScene_C2")))</f>
        <v/>
      </c>
      <c r="P59">
        <f>IF(COUNTIFS(Artifact!$B$2:$B$385,B59,Artifact!$K$2:$K$385,"&gt;25")+COUNTIFS(Log!$A$2:$A$49,B59,Log!$H$2:$H$49,"Red")+COUNTIFS(Log!$A$2:$A$49,B59,Log!$I$2:$I$49,"Red")&gt;0,"No","Yes")</f>
        <v/>
      </c>
      <c r="Q59">
        <f>IF(COUNTIFS(Artifact!$B$2:$B$385,B59,Artifact!$K$2:$K$385,"&gt;15")+COUNTIFS(Log!$A$2:$A$49,B59,Log!$H$2:$H$49,"Red")+COUNTIFS(Log!$A$2:$A$49,B59,Log!$I$2:$I$49,"Red")&gt;0,"No","Yes")</f>
        <v/>
      </c>
    </row>
    <row r="60">
      <c r="A60" t="inlineStr">
        <is>
          <t>SIMULATED Commercial FA Study</t>
        </is>
      </c>
      <c r="B60" t="inlineStr">
        <is>
          <t>P09</t>
        </is>
      </c>
      <c r="C60" t="inlineStr">
        <is>
          <t>F</t>
        </is>
      </c>
      <c r="D60" t="n">
        <v>24</v>
      </c>
      <c r="E60" t="inlineStr">
        <is>
          <t>A_C1first</t>
        </is>
      </c>
      <c r="F60" t="inlineStr">
        <is>
          <t>Annotation</t>
        </is>
      </c>
      <c r="G60" t="inlineStr">
        <is>
          <t>EndScene</t>
        </is>
      </c>
      <c r="H60" t="n">
        <v>299000</v>
      </c>
      <c r="I60" t="n">
        <v>10000</v>
      </c>
      <c r="J60" t="inlineStr">
        <is>
          <t>Commercial_2</t>
        </is>
      </c>
      <c r="K60" s="4" t="n">
        <v>-0.0707</v>
      </c>
      <c r="L60" t="inlineStr">
        <is>
          <t>Frontal Asymmetry (Enobio EEG)</t>
        </is>
      </c>
      <c r="M60">
        <f>LEFT(E60,1)</f>
        <v/>
      </c>
      <c r="N60">
        <f>MID(E60,3,10)</f>
        <v/>
      </c>
      <c r="O60">
        <f>IF(F60="Stimulus",IF(LEFT(G60,8)="Baseline",G60,IF(LEFT(G60,12)="Commercial_1","C1","C2")),IF(G60="KeyScene","KeyScene",IF(LEFT(J60,12)="Commercial_1","EndScene_C1","EndScene_C2")))</f>
        <v/>
      </c>
      <c r="P60">
        <f>IF(COUNTIFS(Artifact!$B$2:$B$385,B60,Artifact!$K$2:$K$385,"&gt;25")+COUNTIFS(Log!$A$2:$A$49,B60,Log!$H$2:$H$49,"Red")+COUNTIFS(Log!$A$2:$A$49,B60,Log!$I$2:$I$49,"Red")&gt;0,"No","Yes")</f>
        <v/>
      </c>
      <c r="Q60">
        <f>IF(COUNTIFS(Artifact!$B$2:$B$385,B60,Artifact!$K$2:$K$385,"&gt;15")+COUNTIFS(Log!$A$2:$A$49,B60,Log!$H$2:$H$49,"Red")+COUNTIFS(Log!$A$2:$A$49,B60,Log!$I$2:$I$49,"Red")&gt;0,"No","Yes")</f>
        <v/>
      </c>
    </row>
    <row r="61">
      <c r="A61" t="inlineStr">
        <is>
          <t>SIMULATED Commercial FA Study</t>
        </is>
      </c>
      <c r="B61" t="inlineStr">
        <is>
          <t>P10</t>
        </is>
      </c>
      <c r="C61" t="inlineStr">
        <is>
          <t>F</t>
        </is>
      </c>
      <c r="D61" t="n">
        <v>20</v>
      </c>
      <c r="E61" t="inlineStr">
        <is>
          <t>B_C1first</t>
        </is>
      </c>
      <c r="F61" t="inlineStr">
        <is>
          <t>Stimulus</t>
        </is>
      </c>
      <c r="G61" t="inlineStr">
        <is>
          <t>Baseline_1</t>
        </is>
      </c>
      <c r="H61" t="n">
        <v>30000</v>
      </c>
      <c r="I61" t="n">
        <v>60000</v>
      </c>
      <c r="J61" t="inlineStr">
        <is>
          <t>Baseline_1</t>
        </is>
      </c>
      <c r="K61" s="4" t="n">
        <v>-0.1125</v>
      </c>
      <c r="L61" t="inlineStr">
        <is>
          <t>Frontal Asymmetry (Enobio EEG)</t>
        </is>
      </c>
      <c r="M61">
        <f>LEFT(E61,1)</f>
        <v/>
      </c>
      <c r="N61">
        <f>MID(E61,3,10)</f>
        <v/>
      </c>
      <c r="O61">
        <f>IF(F61="Stimulus",IF(LEFT(G61,8)="Baseline",G61,IF(LEFT(G61,12)="Commercial_1","C1","C2")),IF(G61="KeyScene","KeyScene",IF(LEFT(J61,12)="Commercial_1","EndScene_C1","EndScene_C2")))</f>
        <v/>
      </c>
      <c r="P61">
        <f>IF(COUNTIFS(Artifact!$B$2:$B$385,B61,Artifact!$K$2:$K$385,"&gt;25")+COUNTIFS(Log!$A$2:$A$49,B61,Log!$H$2:$H$49,"Red")+COUNTIFS(Log!$A$2:$A$49,B61,Log!$I$2:$I$49,"Red")&gt;0,"No","Yes")</f>
        <v/>
      </c>
      <c r="Q61">
        <f>IF(COUNTIFS(Artifact!$B$2:$B$385,B61,Artifact!$K$2:$K$385,"&gt;15")+COUNTIFS(Log!$A$2:$A$49,B61,Log!$H$2:$H$49,"Red")+COUNTIFS(Log!$A$2:$A$49,B61,Log!$I$2:$I$49,"Red")&gt;0,"No","Yes")</f>
        <v/>
      </c>
    </row>
    <row r="62">
      <c r="A62" t="inlineStr">
        <is>
          <t>SIMULATED Commercial FA Study</t>
        </is>
      </c>
      <c r="B62" t="inlineStr">
        <is>
          <t>P10</t>
        </is>
      </c>
      <c r="C62" t="inlineStr">
        <is>
          <t>F</t>
        </is>
      </c>
      <c r="D62" t="n">
        <v>20</v>
      </c>
      <c r="E62" t="inlineStr">
        <is>
          <t>B_C1first</t>
        </is>
      </c>
      <c r="F62" t="inlineStr">
        <is>
          <t>Stimulus</t>
        </is>
      </c>
      <c r="G62" t="inlineStr">
        <is>
          <t>Commercial_1B</t>
        </is>
      </c>
      <c r="H62" t="n">
        <v>90000</v>
      </c>
      <c r="I62" t="n">
        <v>54000</v>
      </c>
      <c r="J62" t="inlineStr">
        <is>
          <t>Commercial_1B</t>
        </is>
      </c>
      <c r="K62" s="4" t="n">
        <v>-0.1799</v>
      </c>
      <c r="L62" t="inlineStr">
        <is>
          <t>Frontal Asymmetry (Enobio EEG)</t>
        </is>
      </c>
      <c r="M62">
        <f>LEFT(E62,1)</f>
        <v/>
      </c>
      <c r="N62">
        <f>MID(E62,3,10)</f>
        <v/>
      </c>
      <c r="O62">
        <f>IF(F62="Stimulus",IF(LEFT(G62,8)="Baseline",G62,IF(LEFT(G62,12)="Commercial_1","C1","C2")),IF(G62="KeyScene","KeyScene",IF(LEFT(J62,12)="Commercial_1","EndScene_C1","EndScene_C2")))</f>
        <v/>
      </c>
      <c r="P62">
        <f>IF(COUNTIFS(Artifact!$B$2:$B$385,B62,Artifact!$K$2:$K$385,"&gt;25")+COUNTIFS(Log!$A$2:$A$49,B62,Log!$H$2:$H$49,"Red")+COUNTIFS(Log!$A$2:$A$49,B62,Log!$I$2:$I$49,"Red")&gt;0,"No","Yes")</f>
        <v/>
      </c>
      <c r="Q62">
        <f>IF(COUNTIFS(Artifact!$B$2:$B$385,B62,Artifact!$K$2:$K$385,"&gt;15")+COUNTIFS(Log!$A$2:$A$49,B62,Log!$H$2:$H$49,"Red")+COUNTIFS(Log!$A$2:$A$49,B62,Log!$I$2:$I$49,"Red")&gt;0,"No","Yes")</f>
        <v/>
      </c>
    </row>
    <row r="63">
      <c r="A63" t="inlineStr">
        <is>
          <t>SIMULATED Commercial FA Study</t>
        </is>
      </c>
      <c r="B63" t="inlineStr">
        <is>
          <t>P10</t>
        </is>
      </c>
      <c r="C63" t="inlineStr">
        <is>
          <t>F</t>
        </is>
      </c>
      <c r="D63" t="n">
        <v>20</v>
      </c>
      <c r="E63" t="inlineStr">
        <is>
          <t>B_C1first</t>
        </is>
      </c>
      <c r="F63" t="inlineStr">
        <is>
          <t>Stimulus</t>
        </is>
      </c>
      <c r="G63" t="inlineStr">
        <is>
          <t>Baseline_2</t>
        </is>
      </c>
      <c r="H63" t="n">
        <v>185000</v>
      </c>
      <c r="I63" t="n">
        <v>60000</v>
      </c>
      <c r="J63" t="inlineStr">
        <is>
          <t>Baseline_2</t>
        </is>
      </c>
      <c r="K63" s="4" t="n">
        <v>-0.0491</v>
      </c>
      <c r="L63" t="inlineStr">
        <is>
          <t>Frontal Asymmetry (Enobio EEG)</t>
        </is>
      </c>
      <c r="M63">
        <f>LEFT(E63,1)</f>
        <v/>
      </c>
      <c r="N63">
        <f>MID(E63,3,10)</f>
        <v/>
      </c>
      <c r="O63">
        <f>IF(F63="Stimulus",IF(LEFT(G63,8)="Baseline",G63,IF(LEFT(G63,12)="Commercial_1","C1","C2")),IF(G63="KeyScene","KeyScene",IF(LEFT(J63,12)="Commercial_1","EndScene_C1","EndScene_C2")))</f>
        <v/>
      </c>
      <c r="P63">
        <f>IF(COUNTIFS(Artifact!$B$2:$B$385,B63,Artifact!$K$2:$K$385,"&gt;25")+COUNTIFS(Log!$A$2:$A$49,B63,Log!$H$2:$H$49,"Red")+COUNTIFS(Log!$A$2:$A$49,B63,Log!$I$2:$I$49,"Red")&gt;0,"No","Yes")</f>
        <v/>
      </c>
      <c r="Q63">
        <f>IF(COUNTIFS(Artifact!$B$2:$B$385,B63,Artifact!$K$2:$K$385,"&gt;15")+COUNTIFS(Log!$A$2:$A$49,B63,Log!$H$2:$H$49,"Red")+COUNTIFS(Log!$A$2:$A$49,B63,Log!$I$2:$I$49,"Red")&gt;0,"No","Yes")</f>
        <v/>
      </c>
    </row>
    <row r="64">
      <c r="A64" t="inlineStr">
        <is>
          <t>SIMULATED Commercial FA Study</t>
        </is>
      </c>
      <c r="B64" t="inlineStr">
        <is>
          <t>P10</t>
        </is>
      </c>
      <c r="C64" t="inlineStr">
        <is>
          <t>F</t>
        </is>
      </c>
      <c r="D64" t="n">
        <v>20</v>
      </c>
      <c r="E64" t="inlineStr">
        <is>
          <t>B_C1first</t>
        </is>
      </c>
      <c r="F64" t="inlineStr">
        <is>
          <t>Stimulus</t>
        </is>
      </c>
      <c r="G64" t="inlineStr">
        <is>
          <t>Commercial_2</t>
        </is>
      </c>
      <c r="H64" t="n">
        <v>245000</v>
      </c>
      <c r="I64" t="n">
        <v>60000</v>
      </c>
      <c r="J64" t="inlineStr">
        <is>
          <t>Commercial_2</t>
        </is>
      </c>
      <c r="K64" s="4" t="n">
        <v>-0.3041</v>
      </c>
      <c r="L64" t="inlineStr">
        <is>
          <t>Frontal Asymmetry (Enobio EEG)</t>
        </is>
      </c>
      <c r="M64">
        <f>LEFT(E64,1)</f>
        <v/>
      </c>
      <c r="N64">
        <f>MID(E64,3,10)</f>
        <v/>
      </c>
      <c r="O64">
        <f>IF(F64="Stimulus",IF(LEFT(G64,8)="Baseline",G64,IF(LEFT(G64,12)="Commercial_1","C1","C2")),IF(G64="KeyScene","KeyScene",IF(LEFT(J64,12)="Commercial_1","EndScene_C1","EndScene_C2")))</f>
        <v/>
      </c>
      <c r="P64">
        <f>IF(COUNTIFS(Artifact!$B$2:$B$385,B64,Artifact!$K$2:$K$385,"&gt;25")+COUNTIFS(Log!$A$2:$A$49,B64,Log!$H$2:$H$49,"Red")+COUNTIFS(Log!$A$2:$A$49,B64,Log!$I$2:$I$49,"Red")&gt;0,"No","Yes")</f>
        <v/>
      </c>
      <c r="Q64">
        <f>IF(COUNTIFS(Artifact!$B$2:$B$385,B64,Artifact!$K$2:$K$385,"&gt;15")+COUNTIFS(Log!$A$2:$A$49,B64,Log!$H$2:$H$49,"Red")+COUNTIFS(Log!$A$2:$A$49,B64,Log!$I$2:$I$49,"Red")&gt;0,"No","Yes")</f>
        <v/>
      </c>
    </row>
    <row r="65">
      <c r="A65" t="inlineStr">
        <is>
          <t>SIMULATED Commercial FA Study</t>
        </is>
      </c>
      <c r="B65" t="inlineStr">
        <is>
          <t>P10</t>
        </is>
      </c>
      <c r="C65" t="inlineStr">
        <is>
          <t>F</t>
        </is>
      </c>
      <c r="D65" t="n">
        <v>20</v>
      </c>
      <c r="E65" t="inlineStr">
        <is>
          <t>B_C1first</t>
        </is>
      </c>
      <c r="F65" t="inlineStr">
        <is>
          <t>Annotation</t>
        </is>
      </c>
      <c r="G65" t="inlineStr">
        <is>
          <t>EndScene</t>
        </is>
      </c>
      <c r="H65" t="n">
        <v>134000</v>
      </c>
      <c r="I65" t="n">
        <v>10000</v>
      </c>
      <c r="J65" t="inlineStr">
        <is>
          <t>Commercial_1B</t>
        </is>
      </c>
      <c r="K65" s="4" t="n">
        <v>-0.2314</v>
      </c>
      <c r="L65" t="inlineStr">
        <is>
          <t>Frontal Asymmetry (Enobio EEG)</t>
        </is>
      </c>
      <c r="M65">
        <f>LEFT(E65,1)</f>
        <v/>
      </c>
      <c r="N65">
        <f>MID(E65,3,10)</f>
        <v/>
      </c>
      <c r="O65">
        <f>IF(F65="Stimulus",IF(LEFT(G65,8)="Baseline",G65,IF(LEFT(G65,12)="Commercial_1","C1","C2")),IF(G65="KeyScene","KeyScene",IF(LEFT(J65,12)="Commercial_1","EndScene_C1","EndScene_C2")))</f>
        <v/>
      </c>
      <c r="P65">
        <f>IF(COUNTIFS(Artifact!$B$2:$B$385,B65,Artifact!$K$2:$K$385,"&gt;25")+COUNTIFS(Log!$A$2:$A$49,B65,Log!$H$2:$H$49,"Red")+COUNTIFS(Log!$A$2:$A$49,B65,Log!$I$2:$I$49,"Red")&gt;0,"No","Yes")</f>
        <v/>
      </c>
      <c r="Q65">
        <f>IF(COUNTIFS(Artifact!$B$2:$B$385,B65,Artifact!$K$2:$K$385,"&gt;15")+COUNTIFS(Log!$A$2:$A$49,B65,Log!$H$2:$H$49,"Red")+COUNTIFS(Log!$A$2:$A$49,B65,Log!$I$2:$I$49,"Red")&gt;0,"No","Yes")</f>
        <v/>
      </c>
    </row>
    <row r="66">
      <c r="A66" t="inlineStr">
        <is>
          <t>SIMULATED Commercial FA Study</t>
        </is>
      </c>
      <c r="B66" t="inlineStr">
        <is>
          <t>P10</t>
        </is>
      </c>
      <c r="C66" t="inlineStr">
        <is>
          <t>F</t>
        </is>
      </c>
      <c r="D66" t="n">
        <v>20</v>
      </c>
      <c r="E66" t="inlineStr">
        <is>
          <t>B_C1first</t>
        </is>
      </c>
      <c r="F66" t="inlineStr">
        <is>
          <t>Annotation</t>
        </is>
      </c>
      <c r="G66" t="inlineStr">
        <is>
          <t>EndScene</t>
        </is>
      </c>
      <c r="H66" t="n">
        <v>295000</v>
      </c>
      <c r="I66" t="n">
        <v>10000</v>
      </c>
      <c r="J66" t="inlineStr">
        <is>
          <t>Commercial_2</t>
        </is>
      </c>
      <c r="K66" s="4" t="n">
        <v>-0.2141</v>
      </c>
      <c r="L66" t="inlineStr">
        <is>
          <t>Frontal Asymmetry (Enobio EEG)</t>
        </is>
      </c>
      <c r="M66">
        <f>LEFT(E66,1)</f>
        <v/>
      </c>
      <c r="N66">
        <f>MID(E66,3,10)</f>
        <v/>
      </c>
      <c r="O66">
        <f>IF(F66="Stimulus",IF(LEFT(G66,8)="Baseline",G66,IF(LEFT(G66,12)="Commercial_1","C1","C2")),IF(G66="KeyScene","KeyScene",IF(LEFT(J66,12)="Commercial_1","EndScene_C1","EndScene_C2")))</f>
        <v/>
      </c>
      <c r="P66">
        <f>IF(COUNTIFS(Artifact!$B$2:$B$385,B66,Artifact!$K$2:$K$385,"&gt;25")+COUNTIFS(Log!$A$2:$A$49,B66,Log!$H$2:$H$49,"Red")+COUNTIFS(Log!$A$2:$A$49,B66,Log!$I$2:$I$49,"Red")&gt;0,"No","Yes")</f>
        <v/>
      </c>
      <c r="Q66">
        <f>IF(COUNTIFS(Artifact!$B$2:$B$385,B66,Artifact!$K$2:$K$385,"&gt;15")+COUNTIFS(Log!$A$2:$A$49,B66,Log!$H$2:$H$49,"Red")+COUNTIFS(Log!$A$2:$A$49,B66,Log!$I$2:$I$49,"Red")&gt;0,"No","Yes")</f>
        <v/>
      </c>
    </row>
    <row r="67">
      <c r="A67" t="inlineStr">
        <is>
          <t>SIMULATED Commercial FA Study</t>
        </is>
      </c>
      <c r="B67" t="inlineStr">
        <is>
          <t>P11</t>
        </is>
      </c>
      <c r="C67" t="inlineStr">
        <is>
          <t>F</t>
        </is>
      </c>
      <c r="D67" t="n">
        <v>21</v>
      </c>
      <c r="E67" t="inlineStr">
        <is>
          <t>A_C2first</t>
        </is>
      </c>
      <c r="F67" t="inlineStr">
        <is>
          <t>Stimulus</t>
        </is>
      </c>
      <c r="G67" t="inlineStr">
        <is>
          <t>Baseline_1</t>
        </is>
      </c>
      <c r="H67" t="n">
        <v>34000</v>
      </c>
      <c r="I67" t="n">
        <v>60000</v>
      </c>
      <c r="J67" t="inlineStr">
        <is>
          <t>Baseline_1</t>
        </is>
      </c>
      <c r="K67" s="4" t="n">
        <v>-0.1903</v>
      </c>
      <c r="L67" t="inlineStr">
        <is>
          <t>Frontal Asymmetry (Enobio EEG)</t>
        </is>
      </c>
      <c r="M67">
        <f>LEFT(E67,1)</f>
        <v/>
      </c>
      <c r="N67">
        <f>MID(E67,3,10)</f>
        <v/>
      </c>
      <c r="O67">
        <f>IF(F67="Stimulus",IF(LEFT(G67,8)="Baseline",G67,IF(LEFT(G67,12)="Commercial_1","C1","C2")),IF(G67="KeyScene","KeyScene",IF(LEFT(J67,12)="Commercial_1","EndScene_C1","EndScene_C2")))</f>
        <v/>
      </c>
      <c r="P67">
        <f>IF(COUNTIFS(Artifact!$B$2:$B$385,B67,Artifact!$K$2:$K$385,"&gt;25")+COUNTIFS(Log!$A$2:$A$49,B67,Log!$H$2:$H$49,"Red")+COUNTIFS(Log!$A$2:$A$49,B67,Log!$I$2:$I$49,"Red")&gt;0,"No","Yes")</f>
        <v/>
      </c>
      <c r="Q67">
        <f>IF(COUNTIFS(Artifact!$B$2:$B$385,B67,Artifact!$K$2:$K$385,"&gt;15")+COUNTIFS(Log!$A$2:$A$49,B67,Log!$H$2:$H$49,"Red")+COUNTIFS(Log!$A$2:$A$49,B67,Log!$I$2:$I$49,"Red")&gt;0,"No","Yes")</f>
        <v/>
      </c>
    </row>
    <row r="68">
      <c r="A68" t="inlineStr">
        <is>
          <t>SIMULATED Commercial FA Study</t>
        </is>
      </c>
      <c r="B68" t="inlineStr">
        <is>
          <t>P11</t>
        </is>
      </c>
      <c r="C68" t="inlineStr">
        <is>
          <t>F</t>
        </is>
      </c>
      <c r="D68" t="n">
        <v>21</v>
      </c>
      <c r="E68" t="inlineStr">
        <is>
          <t>A_C2first</t>
        </is>
      </c>
      <c r="F68" t="inlineStr">
        <is>
          <t>Stimulus</t>
        </is>
      </c>
      <c r="G68" t="inlineStr">
        <is>
          <t>Commercial_2</t>
        </is>
      </c>
      <c r="H68" t="n">
        <v>94000</v>
      </c>
      <c r="I68" t="n">
        <v>60000</v>
      </c>
      <c r="J68" t="inlineStr">
        <is>
          <t>Commercial_2</t>
        </is>
      </c>
      <c r="K68" s="4" t="n">
        <v>-0.2428</v>
      </c>
      <c r="L68" t="inlineStr">
        <is>
          <t>Frontal Asymmetry (Enobio EEG)</t>
        </is>
      </c>
      <c r="M68">
        <f>LEFT(E68,1)</f>
        <v/>
      </c>
      <c r="N68">
        <f>MID(E68,3,10)</f>
        <v/>
      </c>
      <c r="O68">
        <f>IF(F68="Stimulus",IF(LEFT(G68,8)="Baseline",G68,IF(LEFT(G68,12)="Commercial_1","C1","C2")),IF(G68="KeyScene","KeyScene",IF(LEFT(J68,12)="Commercial_1","EndScene_C1","EndScene_C2")))</f>
        <v/>
      </c>
      <c r="P68">
        <f>IF(COUNTIFS(Artifact!$B$2:$B$385,B68,Artifact!$K$2:$K$385,"&gt;25")+COUNTIFS(Log!$A$2:$A$49,B68,Log!$H$2:$H$49,"Red")+COUNTIFS(Log!$A$2:$A$49,B68,Log!$I$2:$I$49,"Red")&gt;0,"No","Yes")</f>
        <v/>
      </c>
      <c r="Q68">
        <f>IF(COUNTIFS(Artifact!$B$2:$B$385,B68,Artifact!$K$2:$K$385,"&gt;15")+COUNTIFS(Log!$A$2:$A$49,B68,Log!$H$2:$H$49,"Red")+COUNTIFS(Log!$A$2:$A$49,B68,Log!$I$2:$I$49,"Red")&gt;0,"No","Yes")</f>
        <v/>
      </c>
    </row>
    <row r="69">
      <c r="A69" t="inlineStr">
        <is>
          <t>SIMULATED Commercial FA Study</t>
        </is>
      </c>
      <c r="B69" t="inlineStr">
        <is>
          <t>P11</t>
        </is>
      </c>
      <c r="C69" t="inlineStr">
        <is>
          <t>F</t>
        </is>
      </c>
      <c r="D69" t="n">
        <v>21</v>
      </c>
      <c r="E69" t="inlineStr">
        <is>
          <t>A_C2first</t>
        </is>
      </c>
      <c r="F69" t="inlineStr">
        <is>
          <t>Stimulus</t>
        </is>
      </c>
      <c r="G69" t="inlineStr">
        <is>
          <t>Baseline_2</t>
        </is>
      </c>
      <c r="H69" t="n">
        <v>181000</v>
      </c>
      <c r="I69" t="n">
        <v>60000</v>
      </c>
      <c r="J69" t="inlineStr">
        <is>
          <t>Baseline_2</t>
        </is>
      </c>
      <c r="K69" s="4" t="n">
        <v>-0.1792</v>
      </c>
      <c r="L69" t="inlineStr">
        <is>
          <t>Frontal Asymmetry (Enobio EEG)</t>
        </is>
      </c>
      <c r="M69">
        <f>LEFT(E69,1)</f>
        <v/>
      </c>
      <c r="N69">
        <f>MID(E69,3,10)</f>
        <v/>
      </c>
      <c r="O69">
        <f>IF(F69="Stimulus",IF(LEFT(G69,8)="Baseline",G69,IF(LEFT(G69,12)="Commercial_1","C1","C2")),IF(G69="KeyScene","KeyScene",IF(LEFT(J69,12)="Commercial_1","EndScene_C1","EndScene_C2")))</f>
        <v/>
      </c>
      <c r="P69">
        <f>IF(COUNTIFS(Artifact!$B$2:$B$385,B69,Artifact!$K$2:$K$385,"&gt;25")+COUNTIFS(Log!$A$2:$A$49,B69,Log!$H$2:$H$49,"Red")+COUNTIFS(Log!$A$2:$A$49,B69,Log!$I$2:$I$49,"Red")&gt;0,"No","Yes")</f>
        <v/>
      </c>
      <c r="Q69">
        <f>IF(COUNTIFS(Artifact!$B$2:$B$385,B69,Artifact!$K$2:$K$385,"&gt;15")+COUNTIFS(Log!$A$2:$A$49,B69,Log!$H$2:$H$49,"Red")+COUNTIFS(Log!$A$2:$A$49,B69,Log!$I$2:$I$49,"Red")&gt;0,"No","Yes")</f>
        <v/>
      </c>
    </row>
    <row r="70">
      <c r="A70" t="inlineStr">
        <is>
          <t>SIMULATED Commercial FA Study</t>
        </is>
      </c>
      <c r="B70" t="inlineStr">
        <is>
          <t>P11</t>
        </is>
      </c>
      <c r="C70" t="inlineStr">
        <is>
          <t>F</t>
        </is>
      </c>
      <c r="D70" t="n">
        <v>21</v>
      </c>
      <c r="E70" t="inlineStr">
        <is>
          <t>A_C2first</t>
        </is>
      </c>
      <c r="F70" t="inlineStr">
        <is>
          <t>Stimulus</t>
        </is>
      </c>
      <c r="G70" t="inlineStr">
        <is>
          <t>Commercial_1A</t>
        </is>
      </c>
      <c r="H70" t="n">
        <v>241000</v>
      </c>
      <c r="I70" t="n">
        <v>60000</v>
      </c>
      <c r="J70" t="inlineStr">
        <is>
          <t>Commercial_1A</t>
        </is>
      </c>
      <c r="K70" s="4" t="n">
        <v>-0.198</v>
      </c>
      <c r="L70" t="inlineStr">
        <is>
          <t>Frontal Asymmetry (Enobio EEG)</t>
        </is>
      </c>
      <c r="M70">
        <f>LEFT(E70,1)</f>
        <v/>
      </c>
      <c r="N70">
        <f>MID(E70,3,10)</f>
        <v/>
      </c>
      <c r="O70">
        <f>IF(F70="Stimulus",IF(LEFT(G70,8)="Baseline",G70,IF(LEFT(G70,12)="Commercial_1","C1","C2")),IF(G70="KeyScene","KeyScene",IF(LEFT(J70,12)="Commercial_1","EndScene_C1","EndScene_C2")))</f>
        <v/>
      </c>
      <c r="P70">
        <f>IF(COUNTIFS(Artifact!$B$2:$B$385,B70,Artifact!$K$2:$K$385,"&gt;25")+COUNTIFS(Log!$A$2:$A$49,B70,Log!$H$2:$H$49,"Red")+COUNTIFS(Log!$A$2:$A$49,B70,Log!$I$2:$I$49,"Red")&gt;0,"No","Yes")</f>
        <v/>
      </c>
      <c r="Q70">
        <f>IF(COUNTIFS(Artifact!$B$2:$B$385,B70,Artifact!$K$2:$K$385,"&gt;15")+COUNTIFS(Log!$A$2:$A$49,B70,Log!$H$2:$H$49,"Red")+COUNTIFS(Log!$A$2:$A$49,B70,Log!$I$2:$I$49,"Red")&gt;0,"No","Yes")</f>
        <v/>
      </c>
    </row>
    <row r="71">
      <c r="A71" t="inlineStr">
        <is>
          <t>SIMULATED Commercial FA Study</t>
        </is>
      </c>
      <c r="B71" t="inlineStr">
        <is>
          <t>P11</t>
        </is>
      </c>
      <c r="C71" t="inlineStr">
        <is>
          <t>F</t>
        </is>
      </c>
      <c r="D71" t="n">
        <v>21</v>
      </c>
      <c r="E71" t="inlineStr">
        <is>
          <t>A_C2first</t>
        </is>
      </c>
      <c r="F71" t="inlineStr">
        <is>
          <t>Annotation</t>
        </is>
      </c>
      <c r="G71" t="inlineStr">
        <is>
          <t>EndScene</t>
        </is>
      </c>
      <c r="H71" t="n">
        <v>144000</v>
      </c>
      <c r="I71" t="n">
        <v>10000</v>
      </c>
      <c r="J71" t="inlineStr">
        <is>
          <t>Commercial_2</t>
        </is>
      </c>
      <c r="K71" s="4" t="n">
        <v>-0.2264</v>
      </c>
      <c r="L71" t="inlineStr">
        <is>
          <t>Frontal Asymmetry (Enobio EEG)</t>
        </is>
      </c>
      <c r="M71">
        <f>LEFT(E71,1)</f>
        <v/>
      </c>
      <c r="N71">
        <f>MID(E71,3,10)</f>
        <v/>
      </c>
      <c r="O71">
        <f>IF(F71="Stimulus",IF(LEFT(G71,8)="Baseline",G71,IF(LEFT(G71,12)="Commercial_1","C1","C2")),IF(G71="KeyScene","KeyScene",IF(LEFT(J71,12)="Commercial_1","EndScene_C1","EndScene_C2")))</f>
        <v/>
      </c>
      <c r="P71">
        <f>IF(COUNTIFS(Artifact!$B$2:$B$385,B71,Artifact!$K$2:$K$385,"&gt;25")+COUNTIFS(Log!$A$2:$A$49,B71,Log!$H$2:$H$49,"Red")+COUNTIFS(Log!$A$2:$A$49,B71,Log!$I$2:$I$49,"Red")&gt;0,"No","Yes")</f>
        <v/>
      </c>
      <c r="Q71">
        <f>IF(COUNTIFS(Artifact!$B$2:$B$385,B71,Artifact!$K$2:$K$385,"&gt;15")+COUNTIFS(Log!$A$2:$A$49,B71,Log!$H$2:$H$49,"Red")+COUNTIFS(Log!$A$2:$A$49,B71,Log!$I$2:$I$49,"Red")&gt;0,"No","Yes")</f>
        <v/>
      </c>
    </row>
    <row r="72">
      <c r="A72" t="inlineStr">
        <is>
          <t>SIMULATED Commercial FA Study</t>
        </is>
      </c>
      <c r="B72" t="inlineStr">
        <is>
          <t>P11</t>
        </is>
      </c>
      <c r="C72" t="inlineStr">
        <is>
          <t>F</t>
        </is>
      </c>
      <c r="D72" t="n">
        <v>21</v>
      </c>
      <c r="E72" t="inlineStr">
        <is>
          <t>A_C2first</t>
        </is>
      </c>
      <c r="F72" t="inlineStr">
        <is>
          <t>Annotation</t>
        </is>
      </c>
      <c r="G72" t="inlineStr">
        <is>
          <t>KeyScene</t>
        </is>
      </c>
      <c r="H72" t="n">
        <v>273000</v>
      </c>
      <c r="I72" t="n">
        <v>6000</v>
      </c>
      <c r="J72" t="inlineStr">
        <is>
          <t>Commercial_1A</t>
        </is>
      </c>
      <c r="K72" s="4" t="n">
        <v>0.0815</v>
      </c>
      <c r="L72" t="inlineStr">
        <is>
          <t>Frontal Asymmetry (Enobio EEG)</t>
        </is>
      </c>
      <c r="M72">
        <f>LEFT(E72,1)</f>
        <v/>
      </c>
      <c r="N72">
        <f>MID(E72,3,10)</f>
        <v/>
      </c>
      <c r="O72">
        <f>IF(F72="Stimulus",IF(LEFT(G72,8)="Baseline",G72,IF(LEFT(G72,12)="Commercial_1","C1","C2")),IF(G72="KeyScene","KeyScene",IF(LEFT(J72,12)="Commercial_1","EndScene_C1","EndScene_C2")))</f>
        <v/>
      </c>
      <c r="P72">
        <f>IF(COUNTIFS(Artifact!$B$2:$B$385,B72,Artifact!$K$2:$K$385,"&gt;25")+COUNTIFS(Log!$A$2:$A$49,B72,Log!$H$2:$H$49,"Red")+COUNTIFS(Log!$A$2:$A$49,B72,Log!$I$2:$I$49,"Red")&gt;0,"No","Yes")</f>
        <v/>
      </c>
      <c r="Q72">
        <f>IF(COUNTIFS(Artifact!$B$2:$B$385,B72,Artifact!$K$2:$K$385,"&gt;15")+COUNTIFS(Log!$A$2:$A$49,B72,Log!$H$2:$H$49,"Red")+COUNTIFS(Log!$A$2:$A$49,B72,Log!$I$2:$I$49,"Red")&gt;0,"No","Yes")</f>
        <v/>
      </c>
    </row>
    <row r="73">
      <c r="A73" t="inlineStr">
        <is>
          <t>SIMULATED Commercial FA Study</t>
        </is>
      </c>
      <c r="B73" t="inlineStr">
        <is>
          <t>P11</t>
        </is>
      </c>
      <c r="C73" t="inlineStr">
        <is>
          <t>F</t>
        </is>
      </c>
      <c r="D73" t="n">
        <v>21</v>
      </c>
      <c r="E73" t="inlineStr">
        <is>
          <t>A_C2first</t>
        </is>
      </c>
      <c r="F73" t="inlineStr">
        <is>
          <t>Annotation</t>
        </is>
      </c>
      <c r="G73" t="inlineStr">
        <is>
          <t>EndScene</t>
        </is>
      </c>
      <c r="H73" t="n">
        <v>291000</v>
      </c>
      <c r="I73" t="n">
        <v>10000</v>
      </c>
      <c r="J73" t="inlineStr">
        <is>
          <t>Commercial_1A</t>
        </is>
      </c>
      <c r="K73" s="4" t="n">
        <v>-0.0745</v>
      </c>
      <c r="L73" t="inlineStr">
        <is>
          <t>Frontal Asymmetry (Enobio EEG)</t>
        </is>
      </c>
      <c r="M73">
        <f>LEFT(E73,1)</f>
        <v/>
      </c>
      <c r="N73">
        <f>MID(E73,3,10)</f>
        <v/>
      </c>
      <c r="O73">
        <f>IF(F73="Stimulus",IF(LEFT(G73,8)="Baseline",G73,IF(LEFT(G73,12)="Commercial_1","C1","C2")),IF(G73="KeyScene","KeyScene",IF(LEFT(J73,12)="Commercial_1","EndScene_C1","EndScene_C2")))</f>
        <v/>
      </c>
      <c r="P73">
        <f>IF(COUNTIFS(Artifact!$B$2:$B$385,B73,Artifact!$K$2:$K$385,"&gt;25")+COUNTIFS(Log!$A$2:$A$49,B73,Log!$H$2:$H$49,"Red")+COUNTIFS(Log!$A$2:$A$49,B73,Log!$I$2:$I$49,"Red")&gt;0,"No","Yes")</f>
        <v/>
      </c>
      <c r="Q73">
        <f>IF(COUNTIFS(Artifact!$B$2:$B$385,B73,Artifact!$K$2:$K$385,"&gt;15")+COUNTIFS(Log!$A$2:$A$49,B73,Log!$H$2:$H$49,"Red")+COUNTIFS(Log!$A$2:$A$49,B73,Log!$I$2:$I$49,"Red")&gt;0,"No","Yes")</f>
        <v/>
      </c>
    </row>
    <row r="74">
      <c r="A74" t="inlineStr">
        <is>
          <t>SIMULATED Commercial FA Study</t>
        </is>
      </c>
      <c r="B74" t="inlineStr">
        <is>
          <t>P12</t>
        </is>
      </c>
      <c r="C74" t="inlineStr">
        <is>
          <t>M</t>
        </is>
      </c>
      <c r="D74" t="n">
        <v>24</v>
      </c>
      <c r="E74" t="inlineStr">
        <is>
          <t>B_C2first</t>
        </is>
      </c>
      <c r="F74" t="inlineStr">
        <is>
          <t>Stimulus</t>
        </is>
      </c>
      <c r="G74" t="inlineStr">
        <is>
          <t>Baseline_1</t>
        </is>
      </c>
      <c r="H74" t="n">
        <v>30000</v>
      </c>
      <c r="I74" t="n">
        <v>60000</v>
      </c>
      <c r="J74" t="inlineStr">
        <is>
          <t>Baseline_1</t>
        </is>
      </c>
      <c r="K74" s="4" t="n">
        <v>0.0177</v>
      </c>
      <c r="L74" t="inlineStr">
        <is>
          <t>Frontal Asymmetry (Enobio EEG)</t>
        </is>
      </c>
      <c r="M74">
        <f>LEFT(E74,1)</f>
        <v/>
      </c>
      <c r="N74">
        <f>MID(E74,3,10)</f>
        <v/>
      </c>
      <c r="O74">
        <f>IF(F74="Stimulus",IF(LEFT(G74,8)="Baseline",G74,IF(LEFT(G74,12)="Commercial_1","C1","C2")),IF(G74="KeyScene","KeyScene",IF(LEFT(J74,12)="Commercial_1","EndScene_C1","EndScene_C2")))</f>
        <v/>
      </c>
      <c r="P74">
        <f>IF(COUNTIFS(Artifact!$B$2:$B$385,B74,Artifact!$K$2:$K$385,"&gt;25")+COUNTIFS(Log!$A$2:$A$49,B74,Log!$H$2:$H$49,"Red")+COUNTIFS(Log!$A$2:$A$49,B74,Log!$I$2:$I$49,"Red")&gt;0,"No","Yes")</f>
        <v/>
      </c>
      <c r="Q74">
        <f>IF(COUNTIFS(Artifact!$B$2:$B$385,B74,Artifact!$K$2:$K$385,"&gt;15")+COUNTIFS(Log!$A$2:$A$49,B74,Log!$H$2:$H$49,"Red")+COUNTIFS(Log!$A$2:$A$49,B74,Log!$I$2:$I$49,"Red")&gt;0,"No","Yes")</f>
        <v/>
      </c>
    </row>
    <row r="75">
      <c r="A75" t="inlineStr">
        <is>
          <t>SIMULATED Commercial FA Study</t>
        </is>
      </c>
      <c r="B75" t="inlineStr">
        <is>
          <t>P12</t>
        </is>
      </c>
      <c r="C75" t="inlineStr">
        <is>
          <t>M</t>
        </is>
      </c>
      <c r="D75" t="n">
        <v>24</v>
      </c>
      <c r="E75" t="inlineStr">
        <is>
          <t>B_C2first</t>
        </is>
      </c>
      <c r="F75" t="inlineStr">
        <is>
          <t>Stimulus</t>
        </is>
      </c>
      <c r="G75" t="inlineStr">
        <is>
          <t>Commercial_2</t>
        </is>
      </c>
      <c r="H75" t="n">
        <v>90000</v>
      </c>
      <c r="I75" t="n">
        <v>60000</v>
      </c>
      <c r="J75" t="inlineStr">
        <is>
          <t>Commercial_2</t>
        </is>
      </c>
      <c r="K75" s="4" t="n">
        <v>0.0173</v>
      </c>
      <c r="L75" t="inlineStr">
        <is>
          <t>Frontal Asymmetry (Enobio EEG)</t>
        </is>
      </c>
      <c r="M75">
        <f>LEFT(E75,1)</f>
        <v/>
      </c>
      <c r="N75">
        <f>MID(E75,3,10)</f>
        <v/>
      </c>
      <c r="O75">
        <f>IF(F75="Stimulus",IF(LEFT(G75,8)="Baseline",G75,IF(LEFT(G75,12)="Commercial_1","C1","C2")),IF(G75="KeyScene","KeyScene",IF(LEFT(J75,12)="Commercial_1","EndScene_C1","EndScene_C2")))</f>
        <v/>
      </c>
      <c r="P75">
        <f>IF(COUNTIFS(Artifact!$B$2:$B$385,B75,Artifact!$K$2:$K$385,"&gt;25")+COUNTIFS(Log!$A$2:$A$49,B75,Log!$H$2:$H$49,"Red")+COUNTIFS(Log!$A$2:$A$49,B75,Log!$I$2:$I$49,"Red")&gt;0,"No","Yes")</f>
        <v/>
      </c>
      <c r="Q75">
        <f>IF(COUNTIFS(Artifact!$B$2:$B$385,B75,Artifact!$K$2:$K$385,"&gt;15")+COUNTIFS(Log!$A$2:$A$49,B75,Log!$H$2:$H$49,"Red")+COUNTIFS(Log!$A$2:$A$49,B75,Log!$I$2:$I$49,"Red")&gt;0,"No","Yes")</f>
        <v/>
      </c>
    </row>
    <row r="76">
      <c r="A76" t="inlineStr">
        <is>
          <t>SIMULATED Commercial FA Study</t>
        </is>
      </c>
      <c r="B76" t="inlineStr">
        <is>
          <t>P12</t>
        </is>
      </c>
      <c r="C76" t="inlineStr">
        <is>
          <t>M</t>
        </is>
      </c>
      <c r="D76" t="n">
        <v>24</v>
      </c>
      <c r="E76" t="inlineStr">
        <is>
          <t>B_C2first</t>
        </is>
      </c>
      <c r="F76" t="inlineStr">
        <is>
          <t>Stimulus</t>
        </is>
      </c>
      <c r="G76" t="inlineStr">
        <is>
          <t>Baseline_2</t>
        </is>
      </c>
      <c r="H76" t="n">
        <v>182000</v>
      </c>
      <c r="I76" t="n">
        <v>60000</v>
      </c>
      <c r="J76" t="inlineStr">
        <is>
          <t>Baseline_2</t>
        </is>
      </c>
      <c r="K76" s="4" t="n">
        <v>0.033</v>
      </c>
      <c r="L76" t="inlineStr">
        <is>
          <t>Frontal Asymmetry (Enobio EEG)</t>
        </is>
      </c>
      <c r="M76">
        <f>LEFT(E76,1)</f>
        <v/>
      </c>
      <c r="N76">
        <f>MID(E76,3,10)</f>
        <v/>
      </c>
      <c r="O76">
        <f>IF(F76="Stimulus",IF(LEFT(G76,8)="Baseline",G76,IF(LEFT(G76,12)="Commercial_1","C1","C2")),IF(G76="KeyScene","KeyScene",IF(LEFT(J76,12)="Commercial_1","EndScene_C1","EndScene_C2")))</f>
        <v/>
      </c>
      <c r="P76">
        <f>IF(COUNTIFS(Artifact!$B$2:$B$385,B76,Artifact!$K$2:$K$385,"&gt;25")+COUNTIFS(Log!$A$2:$A$49,B76,Log!$H$2:$H$49,"Red")+COUNTIFS(Log!$A$2:$A$49,B76,Log!$I$2:$I$49,"Red")&gt;0,"No","Yes")</f>
        <v/>
      </c>
      <c r="Q76">
        <f>IF(COUNTIFS(Artifact!$B$2:$B$385,B76,Artifact!$K$2:$K$385,"&gt;15")+COUNTIFS(Log!$A$2:$A$49,B76,Log!$H$2:$H$49,"Red")+COUNTIFS(Log!$A$2:$A$49,B76,Log!$I$2:$I$49,"Red")&gt;0,"No","Yes")</f>
        <v/>
      </c>
    </row>
    <row r="77">
      <c r="A77" t="inlineStr">
        <is>
          <t>SIMULATED Commercial FA Study</t>
        </is>
      </c>
      <c r="B77" t="inlineStr">
        <is>
          <t>P12</t>
        </is>
      </c>
      <c r="C77" t="inlineStr">
        <is>
          <t>M</t>
        </is>
      </c>
      <c r="D77" t="n">
        <v>24</v>
      </c>
      <c r="E77" t="inlineStr">
        <is>
          <t>B_C2first</t>
        </is>
      </c>
      <c r="F77" t="inlineStr">
        <is>
          <t>Stimulus</t>
        </is>
      </c>
      <c r="G77" t="inlineStr">
        <is>
          <t>Commercial_1B</t>
        </is>
      </c>
      <c r="H77" t="n">
        <v>242000</v>
      </c>
      <c r="I77" t="n">
        <v>54000</v>
      </c>
      <c r="J77" t="inlineStr">
        <is>
          <t>Commercial_1B</t>
        </is>
      </c>
      <c r="K77" s="4" t="n">
        <v>-0.0249</v>
      </c>
      <c r="L77" t="inlineStr">
        <is>
          <t>Frontal Asymmetry (Enobio EEG)</t>
        </is>
      </c>
      <c r="M77">
        <f>LEFT(E77,1)</f>
        <v/>
      </c>
      <c r="N77">
        <f>MID(E77,3,10)</f>
        <v/>
      </c>
      <c r="O77">
        <f>IF(F77="Stimulus",IF(LEFT(G77,8)="Baseline",G77,IF(LEFT(G77,12)="Commercial_1","C1","C2")),IF(G77="KeyScene","KeyScene",IF(LEFT(J77,12)="Commercial_1","EndScene_C1","EndScene_C2")))</f>
        <v/>
      </c>
      <c r="P77">
        <f>IF(COUNTIFS(Artifact!$B$2:$B$385,B77,Artifact!$K$2:$K$385,"&gt;25")+COUNTIFS(Log!$A$2:$A$49,B77,Log!$H$2:$H$49,"Red")+COUNTIFS(Log!$A$2:$A$49,B77,Log!$I$2:$I$49,"Red")&gt;0,"No","Yes")</f>
        <v/>
      </c>
      <c r="Q77">
        <f>IF(COUNTIFS(Artifact!$B$2:$B$385,B77,Artifact!$K$2:$K$385,"&gt;15")+COUNTIFS(Log!$A$2:$A$49,B77,Log!$H$2:$H$49,"Red")+COUNTIFS(Log!$A$2:$A$49,B77,Log!$I$2:$I$49,"Red")&gt;0,"No","Yes")</f>
        <v/>
      </c>
    </row>
    <row r="78">
      <c r="A78" t="inlineStr">
        <is>
          <t>SIMULATED Commercial FA Study</t>
        </is>
      </c>
      <c r="B78" t="inlineStr">
        <is>
          <t>P12</t>
        </is>
      </c>
      <c r="C78" t="inlineStr">
        <is>
          <t>M</t>
        </is>
      </c>
      <c r="D78" t="n">
        <v>24</v>
      </c>
      <c r="E78" t="inlineStr">
        <is>
          <t>B_C2first</t>
        </is>
      </c>
      <c r="F78" t="inlineStr">
        <is>
          <t>Annotation</t>
        </is>
      </c>
      <c r="G78" t="inlineStr">
        <is>
          <t>EndScene</t>
        </is>
      </c>
      <c r="H78" t="n">
        <v>140000</v>
      </c>
      <c r="I78" t="n">
        <v>10000</v>
      </c>
      <c r="J78" t="inlineStr">
        <is>
          <t>Commercial_2</t>
        </is>
      </c>
      <c r="K78" s="4" t="n">
        <v>0.1095</v>
      </c>
      <c r="L78" t="inlineStr">
        <is>
          <t>Frontal Asymmetry (Enobio EEG)</t>
        </is>
      </c>
      <c r="M78">
        <f>LEFT(E78,1)</f>
        <v/>
      </c>
      <c r="N78">
        <f>MID(E78,3,10)</f>
        <v/>
      </c>
      <c r="O78">
        <f>IF(F78="Stimulus",IF(LEFT(G78,8)="Baseline",G78,IF(LEFT(G78,12)="Commercial_1","C1","C2")),IF(G78="KeyScene","KeyScene",IF(LEFT(J78,12)="Commercial_1","EndScene_C1","EndScene_C2")))</f>
        <v/>
      </c>
      <c r="P78">
        <f>IF(COUNTIFS(Artifact!$B$2:$B$385,B78,Artifact!$K$2:$K$385,"&gt;25")+COUNTIFS(Log!$A$2:$A$49,B78,Log!$H$2:$H$49,"Red")+COUNTIFS(Log!$A$2:$A$49,B78,Log!$I$2:$I$49,"Red")&gt;0,"No","Yes")</f>
        <v/>
      </c>
      <c r="Q78">
        <f>IF(COUNTIFS(Artifact!$B$2:$B$385,B78,Artifact!$K$2:$K$385,"&gt;15")+COUNTIFS(Log!$A$2:$A$49,B78,Log!$H$2:$H$49,"Red")+COUNTIFS(Log!$A$2:$A$49,B78,Log!$I$2:$I$49,"Red")&gt;0,"No","Yes")</f>
        <v/>
      </c>
    </row>
    <row r="79">
      <c r="A79" t="inlineStr">
        <is>
          <t>SIMULATED Commercial FA Study</t>
        </is>
      </c>
      <c r="B79" t="inlineStr">
        <is>
          <t>P12</t>
        </is>
      </c>
      <c r="C79" t="inlineStr">
        <is>
          <t>M</t>
        </is>
      </c>
      <c r="D79" t="n">
        <v>24</v>
      </c>
      <c r="E79" t="inlineStr">
        <is>
          <t>B_C2first</t>
        </is>
      </c>
      <c r="F79" t="inlineStr">
        <is>
          <t>Annotation</t>
        </is>
      </c>
      <c r="G79" t="inlineStr">
        <is>
          <t>EndScene</t>
        </is>
      </c>
      <c r="H79" t="n">
        <v>286000</v>
      </c>
      <c r="I79" t="n">
        <v>10000</v>
      </c>
      <c r="J79" t="inlineStr">
        <is>
          <t>Commercial_1B</t>
        </is>
      </c>
      <c r="K79" s="4" t="n">
        <v>-0.0578</v>
      </c>
      <c r="L79" t="inlineStr">
        <is>
          <t>Frontal Asymmetry (Enobio EEG)</t>
        </is>
      </c>
      <c r="M79">
        <f>LEFT(E79,1)</f>
        <v/>
      </c>
      <c r="N79">
        <f>MID(E79,3,10)</f>
        <v/>
      </c>
      <c r="O79">
        <f>IF(F79="Stimulus",IF(LEFT(G79,8)="Baseline",G79,IF(LEFT(G79,12)="Commercial_1","C1","C2")),IF(G79="KeyScene","KeyScene",IF(LEFT(J79,12)="Commercial_1","EndScene_C1","EndScene_C2")))</f>
        <v/>
      </c>
      <c r="P79">
        <f>IF(COUNTIFS(Artifact!$B$2:$B$385,B79,Artifact!$K$2:$K$385,"&gt;25")+COUNTIFS(Log!$A$2:$A$49,B79,Log!$H$2:$H$49,"Red")+COUNTIFS(Log!$A$2:$A$49,B79,Log!$I$2:$I$49,"Red")&gt;0,"No","Yes")</f>
        <v/>
      </c>
      <c r="Q79">
        <f>IF(COUNTIFS(Artifact!$B$2:$B$385,B79,Artifact!$K$2:$K$385,"&gt;15")+COUNTIFS(Log!$A$2:$A$49,B79,Log!$H$2:$H$49,"Red")+COUNTIFS(Log!$A$2:$A$49,B79,Log!$I$2:$I$49,"Red")&gt;0,"No","Yes")</f>
        <v/>
      </c>
    </row>
    <row r="80">
      <c r="A80" t="inlineStr">
        <is>
          <t>SIMULATED Commercial FA Study</t>
        </is>
      </c>
      <c r="B80" t="inlineStr">
        <is>
          <t>P13</t>
        </is>
      </c>
      <c r="C80" t="inlineStr">
        <is>
          <t>M</t>
        </is>
      </c>
      <c r="D80" t="n">
        <v>22</v>
      </c>
      <c r="E80" t="inlineStr">
        <is>
          <t>A_C1first</t>
        </is>
      </c>
      <c r="F80" t="inlineStr">
        <is>
          <t>Stimulus</t>
        </is>
      </c>
      <c r="G80" t="inlineStr">
        <is>
          <t>Baseline_1</t>
        </is>
      </c>
      <c r="H80" t="n">
        <v>36000</v>
      </c>
      <c r="I80" t="n">
        <v>60000</v>
      </c>
      <c r="J80" t="inlineStr">
        <is>
          <t>Baseline_1</t>
        </is>
      </c>
      <c r="K80" s="4" t="n">
        <v>-0.082</v>
      </c>
      <c r="L80" t="inlineStr">
        <is>
          <t>Frontal Asymmetry (Enobio EEG)</t>
        </is>
      </c>
      <c r="M80">
        <f>LEFT(E80,1)</f>
        <v/>
      </c>
      <c r="N80">
        <f>MID(E80,3,10)</f>
        <v/>
      </c>
      <c r="O80">
        <f>IF(F80="Stimulus",IF(LEFT(G80,8)="Baseline",G80,IF(LEFT(G80,12)="Commercial_1","C1","C2")),IF(G80="KeyScene","KeyScene",IF(LEFT(J80,12)="Commercial_1","EndScene_C1","EndScene_C2")))</f>
        <v/>
      </c>
      <c r="P80">
        <f>IF(COUNTIFS(Artifact!$B$2:$B$385,B80,Artifact!$K$2:$K$385,"&gt;25")+COUNTIFS(Log!$A$2:$A$49,B80,Log!$H$2:$H$49,"Red")+COUNTIFS(Log!$A$2:$A$49,B80,Log!$I$2:$I$49,"Red")&gt;0,"No","Yes")</f>
        <v/>
      </c>
      <c r="Q80">
        <f>IF(COUNTIFS(Artifact!$B$2:$B$385,B80,Artifact!$K$2:$K$385,"&gt;15")+COUNTIFS(Log!$A$2:$A$49,B80,Log!$H$2:$H$49,"Red")+COUNTIFS(Log!$A$2:$A$49,B80,Log!$I$2:$I$49,"Red")&gt;0,"No","Yes")</f>
        <v/>
      </c>
    </row>
    <row r="81">
      <c r="A81" t="inlineStr">
        <is>
          <t>SIMULATED Commercial FA Study</t>
        </is>
      </c>
      <c r="B81" t="inlineStr">
        <is>
          <t>P13</t>
        </is>
      </c>
      <c r="C81" t="inlineStr">
        <is>
          <t>M</t>
        </is>
      </c>
      <c r="D81" t="n">
        <v>22</v>
      </c>
      <c r="E81" t="inlineStr">
        <is>
          <t>A_C1first</t>
        </is>
      </c>
      <c r="F81" t="inlineStr">
        <is>
          <t>Stimulus</t>
        </is>
      </c>
      <c r="G81" t="inlineStr">
        <is>
          <t>Commercial_1A</t>
        </is>
      </c>
      <c r="H81" t="n">
        <v>96000</v>
      </c>
      <c r="I81" t="n">
        <v>60000</v>
      </c>
      <c r="J81" t="inlineStr">
        <is>
          <t>Commercial_1A</t>
        </is>
      </c>
      <c r="K81" s="4" t="n">
        <v>-0.2042</v>
      </c>
      <c r="L81" t="inlineStr">
        <is>
          <t>Frontal Asymmetry (Enobio EEG)</t>
        </is>
      </c>
      <c r="M81">
        <f>LEFT(E81,1)</f>
        <v/>
      </c>
      <c r="N81">
        <f>MID(E81,3,10)</f>
        <v/>
      </c>
      <c r="O81">
        <f>IF(F81="Stimulus",IF(LEFT(G81,8)="Baseline",G81,IF(LEFT(G81,12)="Commercial_1","C1","C2")),IF(G81="KeyScene","KeyScene",IF(LEFT(J81,12)="Commercial_1","EndScene_C1","EndScene_C2")))</f>
        <v/>
      </c>
      <c r="P81">
        <f>IF(COUNTIFS(Artifact!$B$2:$B$385,B81,Artifact!$K$2:$K$385,"&gt;25")+COUNTIFS(Log!$A$2:$A$49,B81,Log!$H$2:$H$49,"Red")+COUNTIFS(Log!$A$2:$A$49,B81,Log!$I$2:$I$49,"Red")&gt;0,"No","Yes")</f>
        <v/>
      </c>
      <c r="Q81">
        <f>IF(COUNTIFS(Artifact!$B$2:$B$385,B81,Artifact!$K$2:$K$385,"&gt;15")+COUNTIFS(Log!$A$2:$A$49,B81,Log!$H$2:$H$49,"Red")+COUNTIFS(Log!$A$2:$A$49,B81,Log!$I$2:$I$49,"Red")&gt;0,"No","Yes")</f>
        <v/>
      </c>
    </row>
    <row r="82">
      <c r="A82" t="inlineStr">
        <is>
          <t>SIMULATED Commercial FA Study</t>
        </is>
      </c>
      <c r="B82" t="inlineStr">
        <is>
          <t>P13</t>
        </is>
      </c>
      <c r="C82" t="inlineStr">
        <is>
          <t>M</t>
        </is>
      </c>
      <c r="D82" t="n">
        <v>22</v>
      </c>
      <c r="E82" t="inlineStr">
        <is>
          <t>A_C1first</t>
        </is>
      </c>
      <c r="F82" t="inlineStr">
        <is>
          <t>Stimulus</t>
        </is>
      </c>
      <c r="G82" t="inlineStr">
        <is>
          <t>Baseline_2</t>
        </is>
      </c>
      <c r="H82" t="n">
        <v>191000</v>
      </c>
      <c r="I82" t="n">
        <v>60000</v>
      </c>
      <c r="J82" t="inlineStr">
        <is>
          <t>Baseline_2</t>
        </is>
      </c>
      <c r="K82" s="4" t="n">
        <v>-0.0496</v>
      </c>
      <c r="L82" t="inlineStr">
        <is>
          <t>Frontal Asymmetry (Enobio EEG)</t>
        </is>
      </c>
      <c r="M82">
        <f>LEFT(E82,1)</f>
        <v/>
      </c>
      <c r="N82">
        <f>MID(E82,3,10)</f>
        <v/>
      </c>
      <c r="O82">
        <f>IF(F82="Stimulus",IF(LEFT(G82,8)="Baseline",G82,IF(LEFT(G82,12)="Commercial_1","C1","C2")),IF(G82="KeyScene","KeyScene",IF(LEFT(J82,12)="Commercial_1","EndScene_C1","EndScene_C2")))</f>
        <v/>
      </c>
      <c r="P82">
        <f>IF(COUNTIFS(Artifact!$B$2:$B$385,B82,Artifact!$K$2:$K$385,"&gt;25")+COUNTIFS(Log!$A$2:$A$49,B82,Log!$H$2:$H$49,"Red")+COUNTIFS(Log!$A$2:$A$49,B82,Log!$I$2:$I$49,"Red")&gt;0,"No","Yes")</f>
        <v/>
      </c>
      <c r="Q82">
        <f>IF(COUNTIFS(Artifact!$B$2:$B$385,B82,Artifact!$K$2:$K$385,"&gt;15")+COUNTIFS(Log!$A$2:$A$49,B82,Log!$H$2:$H$49,"Red")+COUNTIFS(Log!$A$2:$A$49,B82,Log!$I$2:$I$49,"Red")&gt;0,"No","Yes")</f>
        <v/>
      </c>
    </row>
    <row r="83">
      <c r="A83" t="inlineStr">
        <is>
          <t>SIMULATED Commercial FA Study</t>
        </is>
      </c>
      <c r="B83" t="inlineStr">
        <is>
          <t>P13</t>
        </is>
      </c>
      <c r="C83" t="inlineStr">
        <is>
          <t>M</t>
        </is>
      </c>
      <c r="D83" t="n">
        <v>22</v>
      </c>
      <c r="E83" t="inlineStr">
        <is>
          <t>A_C1first</t>
        </is>
      </c>
      <c r="F83" t="inlineStr">
        <is>
          <t>Stimulus</t>
        </is>
      </c>
      <c r="G83" t="inlineStr">
        <is>
          <t>Commercial_2</t>
        </is>
      </c>
      <c r="H83" t="n">
        <v>251000</v>
      </c>
      <c r="I83" t="n">
        <v>60000</v>
      </c>
      <c r="J83" t="inlineStr">
        <is>
          <t>Commercial_2</t>
        </is>
      </c>
      <c r="K83" s="4" t="n">
        <v>-0.0679</v>
      </c>
      <c r="L83" t="inlineStr">
        <is>
          <t>Frontal Asymmetry (Enobio EEG)</t>
        </is>
      </c>
      <c r="M83">
        <f>LEFT(E83,1)</f>
        <v/>
      </c>
      <c r="N83">
        <f>MID(E83,3,10)</f>
        <v/>
      </c>
      <c r="O83">
        <f>IF(F83="Stimulus",IF(LEFT(G83,8)="Baseline",G83,IF(LEFT(G83,12)="Commercial_1","C1","C2")),IF(G83="KeyScene","KeyScene",IF(LEFT(J83,12)="Commercial_1","EndScene_C1","EndScene_C2")))</f>
        <v/>
      </c>
      <c r="P83">
        <f>IF(COUNTIFS(Artifact!$B$2:$B$385,B83,Artifact!$K$2:$K$385,"&gt;25")+COUNTIFS(Log!$A$2:$A$49,B83,Log!$H$2:$H$49,"Red")+COUNTIFS(Log!$A$2:$A$49,B83,Log!$I$2:$I$49,"Red")&gt;0,"No","Yes")</f>
        <v/>
      </c>
      <c r="Q83">
        <f>IF(COUNTIFS(Artifact!$B$2:$B$385,B83,Artifact!$K$2:$K$385,"&gt;15")+COUNTIFS(Log!$A$2:$A$49,B83,Log!$H$2:$H$49,"Red")+COUNTIFS(Log!$A$2:$A$49,B83,Log!$I$2:$I$49,"Red")&gt;0,"No","Yes")</f>
        <v/>
      </c>
    </row>
    <row r="84">
      <c r="A84" t="inlineStr">
        <is>
          <t>SIMULATED Commercial FA Study</t>
        </is>
      </c>
      <c r="B84" t="inlineStr">
        <is>
          <t>P13</t>
        </is>
      </c>
      <c r="C84" t="inlineStr">
        <is>
          <t>M</t>
        </is>
      </c>
      <c r="D84" t="n">
        <v>22</v>
      </c>
      <c r="E84" t="inlineStr">
        <is>
          <t>A_C1first</t>
        </is>
      </c>
      <c r="F84" t="inlineStr">
        <is>
          <t>Annotation</t>
        </is>
      </c>
      <c r="G84" t="inlineStr">
        <is>
          <t>KeyScene</t>
        </is>
      </c>
      <c r="H84" t="n">
        <v>128000</v>
      </c>
      <c r="I84" t="n">
        <v>6000</v>
      </c>
      <c r="J84" t="inlineStr">
        <is>
          <t>Commercial_1A</t>
        </is>
      </c>
      <c r="K84" s="4" t="n">
        <v>0.0075</v>
      </c>
      <c r="L84" t="inlineStr">
        <is>
          <t>Frontal Asymmetry (Enobio EEG)</t>
        </is>
      </c>
      <c r="M84">
        <f>LEFT(E84,1)</f>
        <v/>
      </c>
      <c r="N84">
        <f>MID(E84,3,10)</f>
        <v/>
      </c>
      <c r="O84">
        <f>IF(F84="Stimulus",IF(LEFT(G84,8)="Baseline",G84,IF(LEFT(G84,12)="Commercial_1","C1","C2")),IF(G84="KeyScene","KeyScene",IF(LEFT(J84,12)="Commercial_1","EndScene_C1","EndScene_C2")))</f>
        <v/>
      </c>
      <c r="P84">
        <f>IF(COUNTIFS(Artifact!$B$2:$B$385,B84,Artifact!$K$2:$K$385,"&gt;25")+COUNTIFS(Log!$A$2:$A$49,B84,Log!$H$2:$H$49,"Red")+COUNTIFS(Log!$A$2:$A$49,B84,Log!$I$2:$I$49,"Red")&gt;0,"No","Yes")</f>
        <v/>
      </c>
      <c r="Q84">
        <f>IF(COUNTIFS(Artifact!$B$2:$B$385,B84,Artifact!$K$2:$K$385,"&gt;15")+COUNTIFS(Log!$A$2:$A$49,B84,Log!$H$2:$H$49,"Red")+COUNTIFS(Log!$A$2:$A$49,B84,Log!$I$2:$I$49,"Red")&gt;0,"No","Yes")</f>
        <v/>
      </c>
    </row>
    <row r="85">
      <c r="A85" t="inlineStr">
        <is>
          <t>SIMULATED Commercial FA Study</t>
        </is>
      </c>
      <c r="B85" t="inlineStr">
        <is>
          <t>P13</t>
        </is>
      </c>
      <c r="C85" t="inlineStr">
        <is>
          <t>M</t>
        </is>
      </c>
      <c r="D85" t="n">
        <v>22</v>
      </c>
      <c r="E85" t="inlineStr">
        <is>
          <t>A_C1first</t>
        </is>
      </c>
      <c r="F85" t="inlineStr">
        <is>
          <t>Annotation</t>
        </is>
      </c>
      <c r="G85" t="inlineStr">
        <is>
          <t>EndScene</t>
        </is>
      </c>
      <c r="H85" t="n">
        <v>146000</v>
      </c>
      <c r="I85" t="n">
        <v>10000</v>
      </c>
      <c r="J85" t="inlineStr">
        <is>
          <t>Commercial_1A</t>
        </is>
      </c>
      <c r="K85" s="4" t="n">
        <v>-0.1743</v>
      </c>
      <c r="L85" t="inlineStr">
        <is>
          <t>Frontal Asymmetry (Enobio EEG)</t>
        </is>
      </c>
      <c r="M85">
        <f>LEFT(E85,1)</f>
        <v/>
      </c>
      <c r="N85">
        <f>MID(E85,3,10)</f>
        <v/>
      </c>
      <c r="O85">
        <f>IF(F85="Stimulus",IF(LEFT(G85,8)="Baseline",G85,IF(LEFT(G85,12)="Commercial_1","C1","C2")),IF(G85="KeyScene","KeyScene",IF(LEFT(J85,12)="Commercial_1","EndScene_C1","EndScene_C2")))</f>
        <v/>
      </c>
      <c r="P85">
        <f>IF(COUNTIFS(Artifact!$B$2:$B$385,B85,Artifact!$K$2:$K$385,"&gt;25")+COUNTIFS(Log!$A$2:$A$49,B85,Log!$H$2:$H$49,"Red")+COUNTIFS(Log!$A$2:$A$49,B85,Log!$I$2:$I$49,"Red")&gt;0,"No","Yes")</f>
        <v/>
      </c>
      <c r="Q85">
        <f>IF(COUNTIFS(Artifact!$B$2:$B$385,B85,Artifact!$K$2:$K$385,"&gt;15")+COUNTIFS(Log!$A$2:$A$49,B85,Log!$H$2:$H$49,"Red")+COUNTIFS(Log!$A$2:$A$49,B85,Log!$I$2:$I$49,"Red")&gt;0,"No","Yes")</f>
        <v/>
      </c>
    </row>
    <row r="86">
      <c r="A86" t="inlineStr">
        <is>
          <t>SIMULATED Commercial FA Study</t>
        </is>
      </c>
      <c r="B86" t="inlineStr">
        <is>
          <t>P13</t>
        </is>
      </c>
      <c r="C86" t="inlineStr">
        <is>
          <t>M</t>
        </is>
      </c>
      <c r="D86" t="n">
        <v>22</v>
      </c>
      <c r="E86" t="inlineStr">
        <is>
          <t>A_C1first</t>
        </is>
      </c>
      <c r="F86" t="inlineStr">
        <is>
          <t>Annotation</t>
        </is>
      </c>
      <c r="G86" t="inlineStr">
        <is>
          <t>EndScene</t>
        </is>
      </c>
      <c r="H86" t="n">
        <v>301000</v>
      </c>
      <c r="I86" t="n">
        <v>10000</v>
      </c>
      <c r="J86" t="inlineStr">
        <is>
          <t>Commercial_2</t>
        </is>
      </c>
      <c r="K86" s="4" t="n">
        <v>-0.08840000000000001</v>
      </c>
      <c r="L86" t="inlineStr">
        <is>
          <t>Frontal Asymmetry (Enobio EEG)</t>
        </is>
      </c>
      <c r="M86">
        <f>LEFT(E86,1)</f>
        <v/>
      </c>
      <c r="N86">
        <f>MID(E86,3,10)</f>
        <v/>
      </c>
      <c r="O86">
        <f>IF(F86="Stimulus",IF(LEFT(G86,8)="Baseline",G86,IF(LEFT(G86,12)="Commercial_1","C1","C2")),IF(G86="KeyScene","KeyScene",IF(LEFT(J86,12)="Commercial_1","EndScene_C1","EndScene_C2")))</f>
        <v/>
      </c>
      <c r="P86">
        <f>IF(COUNTIFS(Artifact!$B$2:$B$385,B86,Artifact!$K$2:$K$385,"&gt;25")+COUNTIFS(Log!$A$2:$A$49,B86,Log!$H$2:$H$49,"Red")+COUNTIFS(Log!$A$2:$A$49,B86,Log!$I$2:$I$49,"Red")&gt;0,"No","Yes")</f>
        <v/>
      </c>
      <c r="Q86">
        <f>IF(COUNTIFS(Artifact!$B$2:$B$385,B86,Artifact!$K$2:$K$385,"&gt;15")+COUNTIFS(Log!$A$2:$A$49,B86,Log!$H$2:$H$49,"Red")+COUNTIFS(Log!$A$2:$A$49,B86,Log!$I$2:$I$49,"Red")&gt;0,"No","Yes")</f>
        <v/>
      </c>
    </row>
    <row r="87">
      <c r="A87" t="inlineStr">
        <is>
          <t>SIMULATED Commercial FA Study</t>
        </is>
      </c>
      <c r="B87" t="inlineStr">
        <is>
          <t>P14</t>
        </is>
      </c>
      <c r="C87" t="inlineStr">
        <is>
          <t>F</t>
        </is>
      </c>
      <c r="D87" t="n">
        <v>20</v>
      </c>
      <c r="E87" t="inlineStr">
        <is>
          <t>A_C2first</t>
        </is>
      </c>
      <c r="F87" t="inlineStr">
        <is>
          <t>Stimulus</t>
        </is>
      </c>
      <c r="G87" t="inlineStr">
        <is>
          <t>Baseline_1</t>
        </is>
      </c>
      <c r="H87" t="n">
        <v>39000</v>
      </c>
      <c r="I87" t="n">
        <v>60000</v>
      </c>
      <c r="J87" t="inlineStr">
        <is>
          <t>Baseline_1</t>
        </is>
      </c>
      <c r="K87" s="4" t="n">
        <v>0.0682</v>
      </c>
      <c r="L87" t="inlineStr">
        <is>
          <t>Frontal Asymmetry (Enobio EEG)</t>
        </is>
      </c>
      <c r="M87">
        <f>LEFT(E87,1)</f>
        <v/>
      </c>
      <c r="N87">
        <f>MID(E87,3,10)</f>
        <v/>
      </c>
      <c r="O87">
        <f>IF(F87="Stimulus",IF(LEFT(G87,8)="Baseline",G87,IF(LEFT(G87,12)="Commercial_1","C1","C2")),IF(G87="KeyScene","KeyScene",IF(LEFT(J87,12)="Commercial_1","EndScene_C1","EndScene_C2")))</f>
        <v/>
      </c>
      <c r="P87">
        <f>IF(COUNTIFS(Artifact!$B$2:$B$385,B87,Artifact!$K$2:$K$385,"&gt;25")+COUNTIFS(Log!$A$2:$A$49,B87,Log!$H$2:$H$49,"Red")+COUNTIFS(Log!$A$2:$A$49,B87,Log!$I$2:$I$49,"Red")&gt;0,"No","Yes")</f>
        <v/>
      </c>
      <c r="Q87">
        <f>IF(COUNTIFS(Artifact!$B$2:$B$385,B87,Artifact!$K$2:$K$385,"&gt;15")+COUNTIFS(Log!$A$2:$A$49,B87,Log!$H$2:$H$49,"Red")+COUNTIFS(Log!$A$2:$A$49,B87,Log!$I$2:$I$49,"Red")&gt;0,"No","Yes")</f>
        <v/>
      </c>
    </row>
    <row r="88">
      <c r="A88" t="inlineStr">
        <is>
          <t>SIMULATED Commercial FA Study</t>
        </is>
      </c>
      <c r="B88" t="inlineStr">
        <is>
          <t>P14</t>
        </is>
      </c>
      <c r="C88" t="inlineStr">
        <is>
          <t>F</t>
        </is>
      </c>
      <c r="D88" t="n">
        <v>20</v>
      </c>
      <c r="E88" t="inlineStr">
        <is>
          <t>A_C2first</t>
        </is>
      </c>
      <c r="F88" t="inlineStr">
        <is>
          <t>Stimulus</t>
        </is>
      </c>
      <c r="G88" t="inlineStr">
        <is>
          <t>Commercial_2</t>
        </is>
      </c>
      <c r="H88" t="n">
        <v>99000</v>
      </c>
      <c r="I88" t="n">
        <v>60000</v>
      </c>
      <c r="J88" t="inlineStr">
        <is>
          <t>Commercial_2</t>
        </is>
      </c>
      <c r="K88" s="4" t="n">
        <v>0.0541</v>
      </c>
      <c r="L88" t="inlineStr">
        <is>
          <t>Frontal Asymmetry (Enobio EEG)</t>
        </is>
      </c>
      <c r="M88">
        <f>LEFT(E88,1)</f>
        <v/>
      </c>
      <c r="N88">
        <f>MID(E88,3,10)</f>
        <v/>
      </c>
      <c r="O88">
        <f>IF(F88="Stimulus",IF(LEFT(G88,8)="Baseline",G88,IF(LEFT(G88,12)="Commercial_1","C1","C2")),IF(G88="KeyScene","KeyScene",IF(LEFT(J88,12)="Commercial_1","EndScene_C1","EndScene_C2")))</f>
        <v/>
      </c>
      <c r="P88">
        <f>IF(COUNTIFS(Artifact!$B$2:$B$385,B88,Artifact!$K$2:$K$385,"&gt;25")+COUNTIFS(Log!$A$2:$A$49,B88,Log!$H$2:$H$49,"Red")+COUNTIFS(Log!$A$2:$A$49,B88,Log!$I$2:$I$49,"Red")&gt;0,"No","Yes")</f>
        <v/>
      </c>
      <c r="Q88">
        <f>IF(COUNTIFS(Artifact!$B$2:$B$385,B88,Artifact!$K$2:$K$385,"&gt;15")+COUNTIFS(Log!$A$2:$A$49,B88,Log!$H$2:$H$49,"Red")+COUNTIFS(Log!$A$2:$A$49,B88,Log!$I$2:$I$49,"Red")&gt;0,"No","Yes")</f>
        <v/>
      </c>
    </row>
    <row r="89">
      <c r="A89" t="inlineStr">
        <is>
          <t>SIMULATED Commercial FA Study</t>
        </is>
      </c>
      <c r="B89" t="inlineStr">
        <is>
          <t>P14</t>
        </is>
      </c>
      <c r="C89" t="inlineStr">
        <is>
          <t>F</t>
        </is>
      </c>
      <c r="D89" t="n">
        <v>20</v>
      </c>
      <c r="E89" t="inlineStr">
        <is>
          <t>A_C2first</t>
        </is>
      </c>
      <c r="F89" t="inlineStr">
        <is>
          <t>Stimulus</t>
        </is>
      </c>
      <c r="G89" t="inlineStr">
        <is>
          <t>Baseline_2</t>
        </is>
      </c>
      <c r="H89" t="n">
        <v>210000</v>
      </c>
      <c r="I89" t="n">
        <v>60000</v>
      </c>
      <c r="J89" t="inlineStr">
        <is>
          <t>Baseline_2</t>
        </is>
      </c>
      <c r="K89" s="4" t="n">
        <v>-0.0295</v>
      </c>
      <c r="L89" t="inlineStr">
        <is>
          <t>Frontal Asymmetry (Enobio EEG)</t>
        </is>
      </c>
      <c r="M89">
        <f>LEFT(E89,1)</f>
        <v/>
      </c>
      <c r="N89">
        <f>MID(E89,3,10)</f>
        <v/>
      </c>
      <c r="O89">
        <f>IF(F89="Stimulus",IF(LEFT(G89,8)="Baseline",G89,IF(LEFT(G89,12)="Commercial_1","C1","C2")),IF(G89="KeyScene","KeyScene",IF(LEFT(J89,12)="Commercial_1","EndScene_C1","EndScene_C2")))</f>
        <v/>
      </c>
      <c r="P89">
        <f>IF(COUNTIFS(Artifact!$B$2:$B$385,B89,Artifact!$K$2:$K$385,"&gt;25")+COUNTIFS(Log!$A$2:$A$49,B89,Log!$H$2:$H$49,"Red")+COUNTIFS(Log!$A$2:$A$49,B89,Log!$I$2:$I$49,"Red")&gt;0,"No","Yes")</f>
        <v/>
      </c>
      <c r="Q89">
        <f>IF(COUNTIFS(Artifact!$B$2:$B$385,B89,Artifact!$K$2:$K$385,"&gt;15")+COUNTIFS(Log!$A$2:$A$49,B89,Log!$H$2:$H$49,"Red")+COUNTIFS(Log!$A$2:$A$49,B89,Log!$I$2:$I$49,"Red")&gt;0,"No","Yes")</f>
        <v/>
      </c>
    </row>
    <row r="90">
      <c r="A90" t="inlineStr">
        <is>
          <t>SIMULATED Commercial FA Study</t>
        </is>
      </c>
      <c r="B90" t="inlineStr">
        <is>
          <t>P14</t>
        </is>
      </c>
      <c r="C90" t="inlineStr">
        <is>
          <t>F</t>
        </is>
      </c>
      <c r="D90" t="n">
        <v>20</v>
      </c>
      <c r="E90" t="inlineStr">
        <is>
          <t>A_C2first</t>
        </is>
      </c>
      <c r="F90" t="inlineStr">
        <is>
          <t>Stimulus</t>
        </is>
      </c>
      <c r="G90" t="inlineStr">
        <is>
          <t>Commercial_1A</t>
        </is>
      </c>
      <c r="H90" t="n">
        <v>270000</v>
      </c>
      <c r="I90" t="n">
        <v>60000</v>
      </c>
      <c r="J90" t="inlineStr">
        <is>
          <t>Commercial_1A</t>
        </is>
      </c>
      <c r="K90" s="4" t="n">
        <v>0.1561</v>
      </c>
      <c r="L90" t="inlineStr">
        <is>
          <t>Frontal Asymmetry (Enobio EEG)</t>
        </is>
      </c>
      <c r="M90">
        <f>LEFT(E90,1)</f>
        <v/>
      </c>
      <c r="N90">
        <f>MID(E90,3,10)</f>
        <v/>
      </c>
      <c r="O90">
        <f>IF(F90="Stimulus",IF(LEFT(G90,8)="Baseline",G90,IF(LEFT(G90,12)="Commercial_1","C1","C2")),IF(G90="KeyScene","KeyScene",IF(LEFT(J90,12)="Commercial_1","EndScene_C1","EndScene_C2")))</f>
        <v/>
      </c>
      <c r="P90">
        <f>IF(COUNTIFS(Artifact!$B$2:$B$385,B90,Artifact!$K$2:$K$385,"&gt;25")+COUNTIFS(Log!$A$2:$A$49,B90,Log!$H$2:$H$49,"Red")+COUNTIFS(Log!$A$2:$A$49,B90,Log!$I$2:$I$49,"Red")&gt;0,"No","Yes")</f>
        <v/>
      </c>
      <c r="Q90">
        <f>IF(COUNTIFS(Artifact!$B$2:$B$385,B90,Artifact!$K$2:$K$385,"&gt;15")+COUNTIFS(Log!$A$2:$A$49,B90,Log!$H$2:$H$49,"Red")+COUNTIFS(Log!$A$2:$A$49,B90,Log!$I$2:$I$49,"Red")&gt;0,"No","Yes")</f>
        <v/>
      </c>
    </row>
    <row r="91">
      <c r="A91" t="inlineStr">
        <is>
          <t>SIMULATED Commercial FA Study</t>
        </is>
      </c>
      <c r="B91" t="inlineStr">
        <is>
          <t>P14</t>
        </is>
      </c>
      <c r="C91" t="inlineStr">
        <is>
          <t>F</t>
        </is>
      </c>
      <c r="D91" t="n">
        <v>20</v>
      </c>
      <c r="E91" t="inlineStr">
        <is>
          <t>A_C2first</t>
        </is>
      </c>
      <c r="F91" t="inlineStr">
        <is>
          <t>Annotation</t>
        </is>
      </c>
      <c r="G91" t="inlineStr">
        <is>
          <t>EndScene</t>
        </is>
      </c>
      <c r="H91" t="n">
        <v>149000</v>
      </c>
      <c r="I91" t="n">
        <v>10000</v>
      </c>
      <c r="J91" t="inlineStr">
        <is>
          <t>Commercial_2</t>
        </is>
      </c>
      <c r="K91" s="4" t="n">
        <v>0.0143</v>
      </c>
      <c r="L91" t="inlineStr">
        <is>
          <t>Frontal Asymmetry (Enobio EEG)</t>
        </is>
      </c>
      <c r="M91">
        <f>LEFT(E91,1)</f>
        <v/>
      </c>
      <c r="N91">
        <f>MID(E91,3,10)</f>
        <v/>
      </c>
      <c r="O91">
        <f>IF(F91="Stimulus",IF(LEFT(G91,8)="Baseline",G91,IF(LEFT(G91,12)="Commercial_1","C1","C2")),IF(G91="KeyScene","KeyScene",IF(LEFT(J91,12)="Commercial_1","EndScene_C1","EndScene_C2")))</f>
        <v/>
      </c>
      <c r="P91">
        <f>IF(COUNTIFS(Artifact!$B$2:$B$385,B91,Artifact!$K$2:$K$385,"&gt;25")+COUNTIFS(Log!$A$2:$A$49,B91,Log!$H$2:$H$49,"Red")+COUNTIFS(Log!$A$2:$A$49,B91,Log!$I$2:$I$49,"Red")&gt;0,"No","Yes")</f>
        <v/>
      </c>
      <c r="Q91">
        <f>IF(COUNTIFS(Artifact!$B$2:$B$385,B91,Artifact!$K$2:$K$385,"&gt;15")+COUNTIFS(Log!$A$2:$A$49,B91,Log!$H$2:$H$49,"Red")+COUNTIFS(Log!$A$2:$A$49,B91,Log!$I$2:$I$49,"Red")&gt;0,"No","Yes")</f>
        <v/>
      </c>
    </row>
    <row r="92">
      <c r="A92" t="inlineStr">
        <is>
          <t>SIMULATED Commercial FA Study</t>
        </is>
      </c>
      <c r="B92" t="inlineStr">
        <is>
          <t>P14</t>
        </is>
      </c>
      <c r="C92" t="inlineStr">
        <is>
          <t>F</t>
        </is>
      </c>
      <c r="D92" t="n">
        <v>20</v>
      </c>
      <c r="E92" t="inlineStr">
        <is>
          <t>A_C2first</t>
        </is>
      </c>
      <c r="F92" t="inlineStr">
        <is>
          <t>Annotation</t>
        </is>
      </c>
      <c r="G92" t="inlineStr">
        <is>
          <t>KeyScene</t>
        </is>
      </c>
      <c r="H92" t="n">
        <v>302000</v>
      </c>
      <c r="I92" t="n">
        <v>6000</v>
      </c>
      <c r="J92" t="inlineStr">
        <is>
          <t>Commercial_1A</t>
        </is>
      </c>
      <c r="K92" s="4" t="n">
        <v>0.1148</v>
      </c>
      <c r="L92" t="inlineStr">
        <is>
          <t>Frontal Asymmetry (Enobio EEG)</t>
        </is>
      </c>
      <c r="M92">
        <f>LEFT(E92,1)</f>
        <v/>
      </c>
      <c r="N92">
        <f>MID(E92,3,10)</f>
        <v/>
      </c>
      <c r="O92">
        <f>IF(F92="Stimulus",IF(LEFT(G92,8)="Baseline",G92,IF(LEFT(G92,12)="Commercial_1","C1","C2")),IF(G92="KeyScene","KeyScene",IF(LEFT(J92,12)="Commercial_1","EndScene_C1","EndScene_C2")))</f>
        <v/>
      </c>
      <c r="P92">
        <f>IF(COUNTIFS(Artifact!$B$2:$B$385,B92,Artifact!$K$2:$K$385,"&gt;25")+COUNTIFS(Log!$A$2:$A$49,B92,Log!$H$2:$H$49,"Red")+COUNTIFS(Log!$A$2:$A$49,B92,Log!$I$2:$I$49,"Red")&gt;0,"No","Yes")</f>
        <v/>
      </c>
      <c r="Q92">
        <f>IF(COUNTIFS(Artifact!$B$2:$B$385,B92,Artifact!$K$2:$K$385,"&gt;15")+COUNTIFS(Log!$A$2:$A$49,B92,Log!$H$2:$H$49,"Red")+COUNTIFS(Log!$A$2:$A$49,B92,Log!$I$2:$I$49,"Red")&gt;0,"No","Yes")</f>
        <v/>
      </c>
    </row>
    <row r="93">
      <c r="A93" t="inlineStr">
        <is>
          <t>SIMULATED Commercial FA Study</t>
        </is>
      </c>
      <c r="B93" t="inlineStr">
        <is>
          <t>P14</t>
        </is>
      </c>
      <c r="C93" t="inlineStr">
        <is>
          <t>F</t>
        </is>
      </c>
      <c r="D93" t="n">
        <v>20</v>
      </c>
      <c r="E93" t="inlineStr">
        <is>
          <t>A_C2first</t>
        </is>
      </c>
      <c r="F93" t="inlineStr">
        <is>
          <t>Annotation</t>
        </is>
      </c>
      <c r="G93" t="inlineStr">
        <is>
          <t>EndScene</t>
        </is>
      </c>
      <c r="H93" t="n">
        <v>320000</v>
      </c>
      <c r="I93" t="n">
        <v>10000</v>
      </c>
      <c r="J93" t="inlineStr">
        <is>
          <t>Commercial_1A</t>
        </is>
      </c>
      <c r="K93" s="4" t="n">
        <v>0.2143</v>
      </c>
      <c r="L93" t="inlineStr">
        <is>
          <t>Frontal Asymmetry (Enobio EEG)</t>
        </is>
      </c>
      <c r="M93">
        <f>LEFT(E93,1)</f>
        <v/>
      </c>
      <c r="N93">
        <f>MID(E93,3,10)</f>
        <v/>
      </c>
      <c r="O93">
        <f>IF(F93="Stimulus",IF(LEFT(G93,8)="Baseline",G93,IF(LEFT(G93,12)="Commercial_1","C1","C2")),IF(G93="KeyScene","KeyScene",IF(LEFT(J93,12)="Commercial_1","EndScene_C1","EndScene_C2")))</f>
        <v/>
      </c>
      <c r="P93">
        <f>IF(COUNTIFS(Artifact!$B$2:$B$385,B93,Artifact!$K$2:$K$385,"&gt;25")+COUNTIFS(Log!$A$2:$A$49,B93,Log!$H$2:$H$49,"Red")+COUNTIFS(Log!$A$2:$A$49,B93,Log!$I$2:$I$49,"Red")&gt;0,"No","Yes")</f>
        <v/>
      </c>
      <c r="Q93">
        <f>IF(COUNTIFS(Artifact!$B$2:$B$385,B93,Artifact!$K$2:$K$385,"&gt;15")+COUNTIFS(Log!$A$2:$A$49,B93,Log!$H$2:$H$49,"Red")+COUNTIFS(Log!$A$2:$A$49,B93,Log!$I$2:$I$49,"Red")&gt;0,"No","Yes")</f>
        <v/>
      </c>
    </row>
    <row r="94">
      <c r="A94" t="inlineStr">
        <is>
          <t>SIMULATED Commercial FA Study</t>
        </is>
      </c>
      <c r="B94" t="inlineStr">
        <is>
          <t>P15</t>
        </is>
      </c>
      <c r="C94" t="inlineStr">
        <is>
          <t>F</t>
        </is>
      </c>
      <c r="D94" t="n">
        <v>23</v>
      </c>
      <c r="E94" t="inlineStr">
        <is>
          <t>B_C1first</t>
        </is>
      </c>
      <c r="F94" t="inlineStr">
        <is>
          <t>Stimulus</t>
        </is>
      </c>
      <c r="G94" t="inlineStr">
        <is>
          <t>Baseline_1</t>
        </is>
      </c>
      <c r="H94" t="n">
        <v>20000</v>
      </c>
      <c r="I94" t="n">
        <v>60000</v>
      </c>
      <c r="J94" t="inlineStr">
        <is>
          <t>Baseline_1</t>
        </is>
      </c>
      <c r="K94" s="4" t="n">
        <v>0.1755</v>
      </c>
      <c r="L94" t="inlineStr">
        <is>
          <t>Frontal Asymmetry (Enobio EEG)</t>
        </is>
      </c>
      <c r="M94">
        <f>LEFT(E94,1)</f>
        <v/>
      </c>
      <c r="N94">
        <f>MID(E94,3,10)</f>
        <v/>
      </c>
      <c r="O94">
        <f>IF(F94="Stimulus",IF(LEFT(G94,8)="Baseline",G94,IF(LEFT(G94,12)="Commercial_1","C1","C2")),IF(G94="KeyScene","KeyScene",IF(LEFT(J94,12)="Commercial_1","EndScene_C1","EndScene_C2")))</f>
        <v/>
      </c>
      <c r="P94">
        <f>IF(COUNTIFS(Artifact!$B$2:$B$385,B94,Artifact!$K$2:$K$385,"&gt;25")+COUNTIFS(Log!$A$2:$A$49,B94,Log!$H$2:$H$49,"Red")+COUNTIFS(Log!$A$2:$A$49,B94,Log!$I$2:$I$49,"Red")&gt;0,"No","Yes")</f>
        <v/>
      </c>
      <c r="Q94">
        <f>IF(COUNTIFS(Artifact!$B$2:$B$385,B94,Artifact!$K$2:$K$385,"&gt;15")+COUNTIFS(Log!$A$2:$A$49,B94,Log!$H$2:$H$49,"Red")+COUNTIFS(Log!$A$2:$A$49,B94,Log!$I$2:$I$49,"Red")&gt;0,"No","Yes")</f>
        <v/>
      </c>
    </row>
    <row r="95">
      <c r="A95" t="inlineStr">
        <is>
          <t>SIMULATED Commercial FA Study</t>
        </is>
      </c>
      <c r="B95" t="inlineStr">
        <is>
          <t>P15</t>
        </is>
      </c>
      <c r="C95" t="inlineStr">
        <is>
          <t>F</t>
        </is>
      </c>
      <c r="D95" t="n">
        <v>23</v>
      </c>
      <c r="E95" t="inlineStr">
        <is>
          <t>B_C1first</t>
        </is>
      </c>
      <c r="F95" t="inlineStr">
        <is>
          <t>Stimulus</t>
        </is>
      </c>
      <c r="G95" t="inlineStr">
        <is>
          <t>Commercial_1B</t>
        </is>
      </c>
      <c r="H95" t="n">
        <v>80000</v>
      </c>
      <c r="I95" t="n">
        <v>54000</v>
      </c>
      <c r="J95" t="inlineStr">
        <is>
          <t>Commercial_1B</t>
        </is>
      </c>
      <c r="K95" s="4" t="n">
        <v>0.0567</v>
      </c>
      <c r="L95" t="inlineStr">
        <is>
          <t>Frontal Asymmetry (Enobio EEG)</t>
        </is>
      </c>
      <c r="M95">
        <f>LEFT(E95,1)</f>
        <v/>
      </c>
      <c r="N95">
        <f>MID(E95,3,10)</f>
        <v/>
      </c>
      <c r="O95">
        <f>IF(F95="Stimulus",IF(LEFT(G95,8)="Baseline",G95,IF(LEFT(G95,12)="Commercial_1","C1","C2")),IF(G95="KeyScene","KeyScene",IF(LEFT(J95,12)="Commercial_1","EndScene_C1","EndScene_C2")))</f>
        <v/>
      </c>
      <c r="P95">
        <f>IF(COUNTIFS(Artifact!$B$2:$B$385,B95,Artifact!$K$2:$K$385,"&gt;25")+COUNTIFS(Log!$A$2:$A$49,B95,Log!$H$2:$H$49,"Red")+COUNTIFS(Log!$A$2:$A$49,B95,Log!$I$2:$I$49,"Red")&gt;0,"No","Yes")</f>
        <v/>
      </c>
      <c r="Q95">
        <f>IF(COUNTIFS(Artifact!$B$2:$B$385,B95,Artifact!$K$2:$K$385,"&gt;15")+COUNTIFS(Log!$A$2:$A$49,B95,Log!$H$2:$H$49,"Red")+COUNTIFS(Log!$A$2:$A$49,B95,Log!$I$2:$I$49,"Red")&gt;0,"No","Yes")</f>
        <v/>
      </c>
    </row>
    <row r="96">
      <c r="A96" t="inlineStr">
        <is>
          <t>SIMULATED Commercial FA Study</t>
        </is>
      </c>
      <c r="B96" t="inlineStr">
        <is>
          <t>P15</t>
        </is>
      </c>
      <c r="C96" t="inlineStr">
        <is>
          <t>F</t>
        </is>
      </c>
      <c r="D96" t="n">
        <v>23</v>
      </c>
      <c r="E96" t="inlineStr">
        <is>
          <t>B_C1first</t>
        </is>
      </c>
      <c r="F96" t="inlineStr">
        <is>
          <t>Stimulus</t>
        </is>
      </c>
      <c r="G96" t="inlineStr">
        <is>
          <t>Baseline_2</t>
        </is>
      </c>
      <c r="H96" t="n">
        <v>180000</v>
      </c>
      <c r="I96" t="n">
        <v>60000</v>
      </c>
      <c r="J96" t="inlineStr">
        <is>
          <t>Baseline_2</t>
        </is>
      </c>
      <c r="K96" s="4" t="n">
        <v>0.105</v>
      </c>
      <c r="L96" t="inlineStr">
        <is>
          <t>Frontal Asymmetry (Enobio EEG)</t>
        </is>
      </c>
      <c r="M96">
        <f>LEFT(E96,1)</f>
        <v/>
      </c>
      <c r="N96">
        <f>MID(E96,3,10)</f>
        <v/>
      </c>
      <c r="O96">
        <f>IF(F96="Stimulus",IF(LEFT(G96,8)="Baseline",G96,IF(LEFT(G96,12)="Commercial_1","C1","C2")),IF(G96="KeyScene","KeyScene",IF(LEFT(J96,12)="Commercial_1","EndScene_C1","EndScene_C2")))</f>
        <v/>
      </c>
      <c r="P96">
        <f>IF(COUNTIFS(Artifact!$B$2:$B$385,B96,Artifact!$K$2:$K$385,"&gt;25")+COUNTIFS(Log!$A$2:$A$49,B96,Log!$H$2:$H$49,"Red")+COUNTIFS(Log!$A$2:$A$49,B96,Log!$I$2:$I$49,"Red")&gt;0,"No","Yes")</f>
        <v/>
      </c>
      <c r="Q96">
        <f>IF(COUNTIFS(Artifact!$B$2:$B$385,B96,Artifact!$K$2:$K$385,"&gt;15")+COUNTIFS(Log!$A$2:$A$49,B96,Log!$H$2:$H$49,"Red")+COUNTIFS(Log!$A$2:$A$49,B96,Log!$I$2:$I$49,"Red")&gt;0,"No","Yes")</f>
        <v/>
      </c>
    </row>
    <row r="97">
      <c r="A97" t="inlineStr">
        <is>
          <t>SIMULATED Commercial FA Study</t>
        </is>
      </c>
      <c r="B97" t="inlineStr">
        <is>
          <t>P15</t>
        </is>
      </c>
      <c r="C97" t="inlineStr">
        <is>
          <t>F</t>
        </is>
      </c>
      <c r="D97" t="n">
        <v>23</v>
      </c>
      <c r="E97" t="inlineStr">
        <is>
          <t>B_C1first</t>
        </is>
      </c>
      <c r="F97" t="inlineStr">
        <is>
          <t>Stimulus</t>
        </is>
      </c>
      <c r="G97" t="inlineStr">
        <is>
          <t>Commercial_2</t>
        </is>
      </c>
      <c r="H97" t="n">
        <v>240000</v>
      </c>
      <c r="I97" t="n">
        <v>60000</v>
      </c>
      <c r="J97" t="inlineStr">
        <is>
          <t>Commercial_2</t>
        </is>
      </c>
      <c r="K97" s="4" t="n">
        <v>0.1657</v>
      </c>
      <c r="L97" t="inlineStr">
        <is>
          <t>Frontal Asymmetry (Enobio EEG)</t>
        </is>
      </c>
      <c r="M97">
        <f>LEFT(E97,1)</f>
        <v/>
      </c>
      <c r="N97">
        <f>MID(E97,3,10)</f>
        <v/>
      </c>
      <c r="O97">
        <f>IF(F97="Stimulus",IF(LEFT(G97,8)="Baseline",G97,IF(LEFT(G97,12)="Commercial_1","C1","C2")),IF(G97="KeyScene","KeyScene",IF(LEFT(J97,12)="Commercial_1","EndScene_C1","EndScene_C2")))</f>
        <v/>
      </c>
      <c r="P97">
        <f>IF(COUNTIFS(Artifact!$B$2:$B$385,B97,Artifact!$K$2:$K$385,"&gt;25")+COUNTIFS(Log!$A$2:$A$49,B97,Log!$H$2:$H$49,"Red")+COUNTIFS(Log!$A$2:$A$49,B97,Log!$I$2:$I$49,"Red")&gt;0,"No","Yes")</f>
        <v/>
      </c>
      <c r="Q97">
        <f>IF(COUNTIFS(Artifact!$B$2:$B$385,B97,Artifact!$K$2:$K$385,"&gt;15")+COUNTIFS(Log!$A$2:$A$49,B97,Log!$H$2:$H$49,"Red")+COUNTIFS(Log!$A$2:$A$49,B97,Log!$I$2:$I$49,"Red")&gt;0,"No","Yes")</f>
        <v/>
      </c>
    </row>
    <row r="98">
      <c r="A98" t="inlineStr">
        <is>
          <t>SIMULATED Commercial FA Study</t>
        </is>
      </c>
      <c r="B98" t="inlineStr">
        <is>
          <t>P15</t>
        </is>
      </c>
      <c r="C98" t="inlineStr">
        <is>
          <t>F</t>
        </is>
      </c>
      <c r="D98" t="n">
        <v>23</v>
      </c>
      <c r="E98" t="inlineStr">
        <is>
          <t>B_C1first</t>
        </is>
      </c>
      <c r="F98" t="inlineStr">
        <is>
          <t>Annotation</t>
        </is>
      </c>
      <c r="G98" t="inlineStr">
        <is>
          <t>EndScene</t>
        </is>
      </c>
      <c r="H98" t="n">
        <v>124000</v>
      </c>
      <c r="I98" t="n">
        <v>10000</v>
      </c>
      <c r="J98" t="inlineStr">
        <is>
          <t>Commercial_1B</t>
        </is>
      </c>
      <c r="K98" s="4" t="n">
        <v>0.008399999999999999</v>
      </c>
      <c r="L98" t="inlineStr">
        <is>
          <t>Frontal Asymmetry (Enobio EEG)</t>
        </is>
      </c>
      <c r="M98">
        <f>LEFT(E98,1)</f>
        <v/>
      </c>
      <c r="N98">
        <f>MID(E98,3,10)</f>
        <v/>
      </c>
      <c r="O98">
        <f>IF(F98="Stimulus",IF(LEFT(G98,8)="Baseline",G98,IF(LEFT(G98,12)="Commercial_1","C1","C2")),IF(G98="KeyScene","KeyScene",IF(LEFT(J98,12)="Commercial_1","EndScene_C1","EndScene_C2")))</f>
        <v/>
      </c>
      <c r="P98">
        <f>IF(COUNTIFS(Artifact!$B$2:$B$385,B98,Artifact!$K$2:$K$385,"&gt;25")+COUNTIFS(Log!$A$2:$A$49,B98,Log!$H$2:$H$49,"Red")+COUNTIFS(Log!$A$2:$A$49,B98,Log!$I$2:$I$49,"Red")&gt;0,"No","Yes")</f>
        <v/>
      </c>
      <c r="Q98">
        <f>IF(COUNTIFS(Artifact!$B$2:$B$385,B98,Artifact!$K$2:$K$385,"&gt;15")+COUNTIFS(Log!$A$2:$A$49,B98,Log!$H$2:$H$49,"Red")+COUNTIFS(Log!$A$2:$A$49,B98,Log!$I$2:$I$49,"Red")&gt;0,"No","Yes")</f>
        <v/>
      </c>
    </row>
    <row r="99">
      <c r="A99" t="inlineStr">
        <is>
          <t>SIMULATED Commercial FA Study</t>
        </is>
      </c>
      <c r="B99" t="inlineStr">
        <is>
          <t>P15</t>
        </is>
      </c>
      <c r="C99" t="inlineStr">
        <is>
          <t>F</t>
        </is>
      </c>
      <c r="D99" t="n">
        <v>23</v>
      </c>
      <c r="E99" t="inlineStr">
        <is>
          <t>B_C1first</t>
        </is>
      </c>
      <c r="F99" t="inlineStr">
        <is>
          <t>Annotation</t>
        </is>
      </c>
      <c r="G99" t="inlineStr">
        <is>
          <t>EndScene</t>
        </is>
      </c>
      <c r="H99" t="n">
        <v>290000</v>
      </c>
      <c r="I99" t="n">
        <v>10000</v>
      </c>
      <c r="J99" t="inlineStr">
        <is>
          <t>Commercial_2</t>
        </is>
      </c>
      <c r="K99" s="4" t="n">
        <v>0.0166</v>
      </c>
      <c r="L99" t="inlineStr">
        <is>
          <t>Frontal Asymmetry (Enobio EEG)</t>
        </is>
      </c>
      <c r="M99">
        <f>LEFT(E99,1)</f>
        <v/>
      </c>
      <c r="N99">
        <f>MID(E99,3,10)</f>
        <v/>
      </c>
      <c r="O99">
        <f>IF(F99="Stimulus",IF(LEFT(G99,8)="Baseline",G99,IF(LEFT(G99,12)="Commercial_1","C1","C2")),IF(G99="KeyScene","KeyScene",IF(LEFT(J99,12)="Commercial_1","EndScene_C1","EndScene_C2")))</f>
        <v/>
      </c>
      <c r="P99">
        <f>IF(COUNTIFS(Artifact!$B$2:$B$385,B99,Artifact!$K$2:$K$385,"&gt;25")+COUNTIFS(Log!$A$2:$A$49,B99,Log!$H$2:$H$49,"Red")+COUNTIFS(Log!$A$2:$A$49,B99,Log!$I$2:$I$49,"Red")&gt;0,"No","Yes")</f>
        <v/>
      </c>
      <c r="Q99">
        <f>IF(COUNTIFS(Artifact!$B$2:$B$385,B99,Artifact!$K$2:$K$385,"&gt;15")+COUNTIFS(Log!$A$2:$A$49,B99,Log!$H$2:$H$49,"Red")+COUNTIFS(Log!$A$2:$A$49,B99,Log!$I$2:$I$49,"Red")&gt;0,"No","Yes")</f>
        <v/>
      </c>
    </row>
    <row r="100">
      <c r="A100" t="inlineStr">
        <is>
          <t>SIMULATED Commercial FA Study</t>
        </is>
      </c>
      <c r="B100" t="inlineStr">
        <is>
          <t>P16</t>
        </is>
      </c>
      <c r="C100" t="inlineStr">
        <is>
          <t>M</t>
        </is>
      </c>
      <c r="D100" t="n">
        <v>18</v>
      </c>
      <c r="E100" t="inlineStr">
        <is>
          <t>B_C2first</t>
        </is>
      </c>
      <c r="F100" t="inlineStr">
        <is>
          <t>Stimulus</t>
        </is>
      </c>
      <c r="G100" t="inlineStr">
        <is>
          <t>Baseline_1</t>
        </is>
      </c>
      <c r="H100" t="n">
        <v>33000</v>
      </c>
      <c r="I100" t="n">
        <v>60000</v>
      </c>
      <c r="J100" t="inlineStr">
        <is>
          <t>Baseline_1</t>
        </is>
      </c>
      <c r="K100" s="4" t="n">
        <v>0.385</v>
      </c>
      <c r="L100" t="inlineStr">
        <is>
          <t>Frontal Asymmetry (Enobio EEG)</t>
        </is>
      </c>
      <c r="M100">
        <f>LEFT(E100,1)</f>
        <v/>
      </c>
      <c r="N100">
        <f>MID(E100,3,10)</f>
        <v/>
      </c>
      <c r="O100">
        <f>IF(F100="Stimulus",IF(LEFT(G100,8)="Baseline",G100,IF(LEFT(G100,12)="Commercial_1","C1","C2")),IF(G100="KeyScene","KeyScene",IF(LEFT(J100,12)="Commercial_1","EndScene_C1","EndScene_C2")))</f>
        <v/>
      </c>
      <c r="P100">
        <f>IF(COUNTIFS(Artifact!$B$2:$B$385,B100,Artifact!$K$2:$K$385,"&gt;25")+COUNTIFS(Log!$A$2:$A$49,B100,Log!$H$2:$H$49,"Red")+COUNTIFS(Log!$A$2:$A$49,B100,Log!$I$2:$I$49,"Red")&gt;0,"No","Yes")</f>
        <v/>
      </c>
      <c r="Q100">
        <f>IF(COUNTIFS(Artifact!$B$2:$B$385,B100,Artifact!$K$2:$K$385,"&gt;15")+COUNTIFS(Log!$A$2:$A$49,B100,Log!$H$2:$H$49,"Red")+COUNTIFS(Log!$A$2:$A$49,B100,Log!$I$2:$I$49,"Red")&gt;0,"No","Yes")</f>
        <v/>
      </c>
    </row>
    <row r="101">
      <c r="A101" t="inlineStr">
        <is>
          <t>SIMULATED Commercial FA Study</t>
        </is>
      </c>
      <c r="B101" t="inlineStr">
        <is>
          <t>P16</t>
        </is>
      </c>
      <c r="C101" t="inlineStr">
        <is>
          <t>M</t>
        </is>
      </c>
      <c r="D101" t="n">
        <v>18</v>
      </c>
      <c r="E101" t="inlineStr">
        <is>
          <t>B_C2first</t>
        </is>
      </c>
      <c r="F101" t="inlineStr">
        <is>
          <t>Stimulus</t>
        </is>
      </c>
      <c r="G101" t="inlineStr">
        <is>
          <t>Commercial_2</t>
        </is>
      </c>
      <c r="H101" t="n">
        <v>93000</v>
      </c>
      <c r="I101" t="n">
        <v>60000</v>
      </c>
      <c r="J101" t="inlineStr">
        <is>
          <t>Commercial_2</t>
        </is>
      </c>
      <c r="K101" s="4" t="n">
        <v>0.3428</v>
      </c>
      <c r="L101" t="inlineStr">
        <is>
          <t>Frontal Asymmetry (Enobio EEG)</t>
        </is>
      </c>
      <c r="M101">
        <f>LEFT(E101,1)</f>
        <v/>
      </c>
      <c r="N101">
        <f>MID(E101,3,10)</f>
        <v/>
      </c>
      <c r="O101">
        <f>IF(F101="Stimulus",IF(LEFT(G101,8)="Baseline",G101,IF(LEFT(G101,12)="Commercial_1","C1","C2")),IF(G101="KeyScene","KeyScene",IF(LEFT(J101,12)="Commercial_1","EndScene_C1","EndScene_C2")))</f>
        <v/>
      </c>
      <c r="P101">
        <f>IF(COUNTIFS(Artifact!$B$2:$B$385,B101,Artifact!$K$2:$K$385,"&gt;25")+COUNTIFS(Log!$A$2:$A$49,B101,Log!$H$2:$H$49,"Red")+COUNTIFS(Log!$A$2:$A$49,B101,Log!$I$2:$I$49,"Red")&gt;0,"No","Yes")</f>
        <v/>
      </c>
      <c r="Q101">
        <f>IF(COUNTIFS(Artifact!$B$2:$B$385,B101,Artifact!$K$2:$K$385,"&gt;15")+COUNTIFS(Log!$A$2:$A$49,B101,Log!$H$2:$H$49,"Red")+COUNTIFS(Log!$A$2:$A$49,B101,Log!$I$2:$I$49,"Red")&gt;0,"No","Yes")</f>
        <v/>
      </c>
    </row>
    <row r="102">
      <c r="A102" t="inlineStr">
        <is>
          <t>SIMULATED Commercial FA Study</t>
        </is>
      </c>
      <c r="B102" t="inlineStr">
        <is>
          <t>P16</t>
        </is>
      </c>
      <c r="C102" t="inlineStr">
        <is>
          <t>M</t>
        </is>
      </c>
      <c r="D102" t="n">
        <v>18</v>
      </c>
      <c r="E102" t="inlineStr">
        <is>
          <t>B_C2first</t>
        </is>
      </c>
      <c r="F102" t="inlineStr">
        <is>
          <t>Stimulus</t>
        </is>
      </c>
      <c r="G102" t="inlineStr">
        <is>
          <t>Baseline_2</t>
        </is>
      </c>
      <c r="H102" t="n">
        <v>202000</v>
      </c>
      <c r="I102" t="n">
        <v>60000</v>
      </c>
      <c r="J102" t="inlineStr">
        <is>
          <t>Baseline_2</t>
        </is>
      </c>
      <c r="K102" s="4" t="n">
        <v>0.2974</v>
      </c>
      <c r="L102" t="inlineStr">
        <is>
          <t>Frontal Asymmetry (Enobio EEG)</t>
        </is>
      </c>
      <c r="M102">
        <f>LEFT(E102,1)</f>
        <v/>
      </c>
      <c r="N102">
        <f>MID(E102,3,10)</f>
        <v/>
      </c>
      <c r="O102">
        <f>IF(F102="Stimulus",IF(LEFT(G102,8)="Baseline",G102,IF(LEFT(G102,12)="Commercial_1","C1","C2")),IF(G102="KeyScene","KeyScene",IF(LEFT(J102,12)="Commercial_1","EndScene_C1","EndScene_C2")))</f>
        <v/>
      </c>
      <c r="P102">
        <f>IF(COUNTIFS(Artifact!$B$2:$B$385,B102,Artifact!$K$2:$K$385,"&gt;25")+COUNTIFS(Log!$A$2:$A$49,B102,Log!$H$2:$H$49,"Red")+COUNTIFS(Log!$A$2:$A$49,B102,Log!$I$2:$I$49,"Red")&gt;0,"No","Yes")</f>
        <v/>
      </c>
      <c r="Q102">
        <f>IF(COUNTIFS(Artifact!$B$2:$B$385,B102,Artifact!$K$2:$K$385,"&gt;15")+COUNTIFS(Log!$A$2:$A$49,B102,Log!$H$2:$H$49,"Red")+COUNTIFS(Log!$A$2:$A$49,B102,Log!$I$2:$I$49,"Red")&gt;0,"No","Yes")</f>
        <v/>
      </c>
    </row>
    <row r="103">
      <c r="A103" t="inlineStr">
        <is>
          <t>SIMULATED Commercial FA Study</t>
        </is>
      </c>
      <c r="B103" t="inlineStr">
        <is>
          <t>P16</t>
        </is>
      </c>
      <c r="C103" t="inlineStr">
        <is>
          <t>M</t>
        </is>
      </c>
      <c r="D103" t="n">
        <v>18</v>
      </c>
      <c r="E103" t="inlineStr">
        <is>
          <t>B_C2first</t>
        </is>
      </c>
      <c r="F103" t="inlineStr">
        <is>
          <t>Stimulus</t>
        </is>
      </c>
      <c r="G103" t="inlineStr">
        <is>
          <t>Commercial_1B</t>
        </is>
      </c>
      <c r="H103" t="n">
        <v>262000</v>
      </c>
      <c r="I103" t="n">
        <v>54000</v>
      </c>
      <c r="J103" t="inlineStr">
        <is>
          <t>Commercial_1B</t>
        </is>
      </c>
      <c r="K103" s="4" t="n">
        <v>0.195</v>
      </c>
      <c r="L103" t="inlineStr">
        <is>
          <t>Frontal Asymmetry (Enobio EEG)</t>
        </is>
      </c>
      <c r="M103">
        <f>LEFT(E103,1)</f>
        <v/>
      </c>
      <c r="N103">
        <f>MID(E103,3,10)</f>
        <v/>
      </c>
      <c r="O103">
        <f>IF(F103="Stimulus",IF(LEFT(G103,8)="Baseline",G103,IF(LEFT(G103,12)="Commercial_1","C1","C2")),IF(G103="KeyScene","KeyScene",IF(LEFT(J103,12)="Commercial_1","EndScene_C1","EndScene_C2")))</f>
        <v/>
      </c>
      <c r="P103">
        <f>IF(COUNTIFS(Artifact!$B$2:$B$385,B103,Artifact!$K$2:$K$385,"&gt;25")+COUNTIFS(Log!$A$2:$A$49,B103,Log!$H$2:$H$49,"Red")+COUNTIFS(Log!$A$2:$A$49,B103,Log!$I$2:$I$49,"Red")&gt;0,"No","Yes")</f>
        <v/>
      </c>
      <c r="Q103">
        <f>IF(COUNTIFS(Artifact!$B$2:$B$385,B103,Artifact!$K$2:$K$385,"&gt;15")+COUNTIFS(Log!$A$2:$A$49,B103,Log!$H$2:$H$49,"Red")+COUNTIFS(Log!$A$2:$A$49,B103,Log!$I$2:$I$49,"Red")&gt;0,"No","Yes")</f>
        <v/>
      </c>
    </row>
    <row r="104">
      <c r="A104" t="inlineStr">
        <is>
          <t>SIMULATED Commercial FA Study</t>
        </is>
      </c>
      <c r="B104" t="inlineStr">
        <is>
          <t>P16</t>
        </is>
      </c>
      <c r="C104" t="inlineStr">
        <is>
          <t>M</t>
        </is>
      </c>
      <c r="D104" t="n">
        <v>18</v>
      </c>
      <c r="E104" t="inlineStr">
        <is>
          <t>B_C2first</t>
        </is>
      </c>
      <c r="F104" t="inlineStr">
        <is>
          <t>Annotation</t>
        </is>
      </c>
      <c r="G104" t="inlineStr">
        <is>
          <t>EndScene</t>
        </is>
      </c>
      <c r="H104" t="n">
        <v>143000</v>
      </c>
      <c r="I104" t="n">
        <v>10000</v>
      </c>
      <c r="J104" t="inlineStr">
        <is>
          <t>Commercial_2</t>
        </is>
      </c>
      <c r="K104" s="4" t="n">
        <v>0.2618</v>
      </c>
      <c r="L104" t="inlineStr">
        <is>
          <t>Frontal Asymmetry (Enobio EEG)</t>
        </is>
      </c>
      <c r="M104">
        <f>LEFT(E104,1)</f>
        <v/>
      </c>
      <c r="N104">
        <f>MID(E104,3,10)</f>
        <v/>
      </c>
      <c r="O104">
        <f>IF(F104="Stimulus",IF(LEFT(G104,8)="Baseline",G104,IF(LEFT(G104,12)="Commercial_1","C1","C2")),IF(G104="KeyScene","KeyScene",IF(LEFT(J104,12)="Commercial_1","EndScene_C1","EndScene_C2")))</f>
        <v/>
      </c>
      <c r="P104">
        <f>IF(COUNTIFS(Artifact!$B$2:$B$385,B104,Artifact!$K$2:$K$385,"&gt;25")+COUNTIFS(Log!$A$2:$A$49,B104,Log!$H$2:$H$49,"Red")+COUNTIFS(Log!$A$2:$A$49,B104,Log!$I$2:$I$49,"Red")&gt;0,"No","Yes")</f>
        <v/>
      </c>
      <c r="Q104">
        <f>IF(COUNTIFS(Artifact!$B$2:$B$385,B104,Artifact!$K$2:$K$385,"&gt;15")+COUNTIFS(Log!$A$2:$A$49,B104,Log!$H$2:$H$49,"Red")+COUNTIFS(Log!$A$2:$A$49,B104,Log!$I$2:$I$49,"Red")&gt;0,"No","Yes")</f>
        <v/>
      </c>
    </row>
    <row r="105">
      <c r="A105" t="inlineStr">
        <is>
          <t>SIMULATED Commercial FA Study</t>
        </is>
      </c>
      <c r="B105" t="inlineStr">
        <is>
          <t>P16</t>
        </is>
      </c>
      <c r="C105" t="inlineStr">
        <is>
          <t>M</t>
        </is>
      </c>
      <c r="D105" t="n">
        <v>18</v>
      </c>
      <c r="E105" t="inlineStr">
        <is>
          <t>B_C2first</t>
        </is>
      </c>
      <c r="F105" t="inlineStr">
        <is>
          <t>Annotation</t>
        </is>
      </c>
      <c r="G105" t="inlineStr">
        <is>
          <t>EndScene</t>
        </is>
      </c>
      <c r="H105" t="n">
        <v>306000</v>
      </c>
      <c r="I105" t="n">
        <v>10000</v>
      </c>
      <c r="J105" t="inlineStr">
        <is>
          <t>Commercial_1B</t>
        </is>
      </c>
      <c r="K105" s="4" t="n">
        <v>0.2328</v>
      </c>
      <c r="L105" t="inlineStr">
        <is>
          <t>Frontal Asymmetry (Enobio EEG)</t>
        </is>
      </c>
      <c r="M105">
        <f>LEFT(E105,1)</f>
        <v/>
      </c>
      <c r="N105">
        <f>MID(E105,3,10)</f>
        <v/>
      </c>
      <c r="O105">
        <f>IF(F105="Stimulus",IF(LEFT(G105,8)="Baseline",G105,IF(LEFT(G105,12)="Commercial_1","C1","C2")),IF(G105="KeyScene","KeyScene",IF(LEFT(J105,12)="Commercial_1","EndScene_C1","EndScene_C2")))</f>
        <v/>
      </c>
      <c r="P105">
        <f>IF(COUNTIFS(Artifact!$B$2:$B$385,B105,Artifact!$K$2:$K$385,"&gt;25")+COUNTIFS(Log!$A$2:$A$49,B105,Log!$H$2:$H$49,"Red")+COUNTIFS(Log!$A$2:$A$49,B105,Log!$I$2:$I$49,"Red")&gt;0,"No","Yes")</f>
        <v/>
      </c>
      <c r="Q105">
        <f>IF(COUNTIFS(Artifact!$B$2:$B$385,B105,Artifact!$K$2:$K$385,"&gt;15")+COUNTIFS(Log!$A$2:$A$49,B105,Log!$H$2:$H$49,"Red")+COUNTIFS(Log!$A$2:$A$49,B105,Log!$I$2:$I$49,"Red")&gt;0,"No","Yes")</f>
        <v/>
      </c>
    </row>
    <row r="106">
      <c r="A106" t="inlineStr">
        <is>
          <t>SIMULATED Commercial FA Study</t>
        </is>
      </c>
      <c r="B106" t="inlineStr">
        <is>
          <t>P17</t>
        </is>
      </c>
      <c r="C106" t="inlineStr">
        <is>
          <t>F</t>
        </is>
      </c>
      <c r="D106" t="n">
        <v>21</v>
      </c>
      <c r="E106" t="inlineStr">
        <is>
          <t>B_C2first</t>
        </is>
      </c>
      <c r="F106" t="inlineStr">
        <is>
          <t>Stimulus</t>
        </is>
      </c>
      <c r="G106" t="inlineStr">
        <is>
          <t>Baseline_1</t>
        </is>
      </c>
      <c r="H106" t="n">
        <v>20000</v>
      </c>
      <c r="I106" t="n">
        <v>60000</v>
      </c>
      <c r="J106" t="inlineStr">
        <is>
          <t>Baseline_1</t>
        </is>
      </c>
      <c r="K106" s="4" t="n">
        <v>-0.1048</v>
      </c>
      <c r="L106" t="inlineStr">
        <is>
          <t>Frontal Asymmetry (Enobio EEG)</t>
        </is>
      </c>
      <c r="M106">
        <f>LEFT(E106,1)</f>
        <v/>
      </c>
      <c r="N106">
        <f>MID(E106,3,10)</f>
        <v/>
      </c>
      <c r="O106">
        <f>IF(F106="Stimulus",IF(LEFT(G106,8)="Baseline",G106,IF(LEFT(G106,12)="Commercial_1","C1","C2")),IF(G106="KeyScene","KeyScene",IF(LEFT(J106,12)="Commercial_1","EndScene_C1","EndScene_C2")))</f>
        <v/>
      </c>
      <c r="P106">
        <f>IF(COUNTIFS(Artifact!$B$2:$B$385,B106,Artifact!$K$2:$K$385,"&gt;25")+COUNTIFS(Log!$A$2:$A$49,B106,Log!$H$2:$H$49,"Red")+COUNTIFS(Log!$A$2:$A$49,B106,Log!$I$2:$I$49,"Red")&gt;0,"No","Yes")</f>
        <v/>
      </c>
      <c r="Q106">
        <f>IF(COUNTIFS(Artifact!$B$2:$B$385,B106,Artifact!$K$2:$K$385,"&gt;15")+COUNTIFS(Log!$A$2:$A$49,B106,Log!$H$2:$H$49,"Red")+COUNTIFS(Log!$A$2:$A$49,B106,Log!$I$2:$I$49,"Red")&gt;0,"No","Yes")</f>
        <v/>
      </c>
    </row>
    <row r="107">
      <c r="A107" t="inlineStr">
        <is>
          <t>SIMULATED Commercial FA Study</t>
        </is>
      </c>
      <c r="B107" t="inlineStr">
        <is>
          <t>P17</t>
        </is>
      </c>
      <c r="C107" t="inlineStr">
        <is>
          <t>F</t>
        </is>
      </c>
      <c r="D107" t="n">
        <v>21</v>
      </c>
      <c r="E107" t="inlineStr">
        <is>
          <t>B_C2first</t>
        </is>
      </c>
      <c r="F107" t="inlineStr">
        <is>
          <t>Stimulus</t>
        </is>
      </c>
      <c r="G107" t="inlineStr">
        <is>
          <t>Commercial_2</t>
        </is>
      </c>
      <c r="H107" t="n">
        <v>80000</v>
      </c>
      <c r="I107" t="n">
        <v>60000</v>
      </c>
      <c r="J107" t="inlineStr">
        <is>
          <t>Commercial_2</t>
        </is>
      </c>
      <c r="K107" s="4" t="n">
        <v>-0.2359</v>
      </c>
      <c r="L107" t="inlineStr">
        <is>
          <t>Frontal Asymmetry (Enobio EEG)</t>
        </is>
      </c>
      <c r="M107">
        <f>LEFT(E107,1)</f>
        <v/>
      </c>
      <c r="N107">
        <f>MID(E107,3,10)</f>
        <v/>
      </c>
      <c r="O107">
        <f>IF(F107="Stimulus",IF(LEFT(G107,8)="Baseline",G107,IF(LEFT(G107,12)="Commercial_1","C1","C2")),IF(G107="KeyScene","KeyScene",IF(LEFT(J107,12)="Commercial_1","EndScene_C1","EndScene_C2")))</f>
        <v/>
      </c>
      <c r="P107">
        <f>IF(COUNTIFS(Artifact!$B$2:$B$385,B107,Artifact!$K$2:$K$385,"&gt;25")+COUNTIFS(Log!$A$2:$A$49,B107,Log!$H$2:$H$49,"Red")+COUNTIFS(Log!$A$2:$A$49,B107,Log!$I$2:$I$49,"Red")&gt;0,"No","Yes")</f>
        <v/>
      </c>
      <c r="Q107">
        <f>IF(COUNTIFS(Artifact!$B$2:$B$385,B107,Artifact!$K$2:$K$385,"&gt;15")+COUNTIFS(Log!$A$2:$A$49,B107,Log!$H$2:$H$49,"Red")+COUNTIFS(Log!$A$2:$A$49,B107,Log!$I$2:$I$49,"Red")&gt;0,"No","Yes")</f>
        <v/>
      </c>
    </row>
    <row r="108">
      <c r="A108" t="inlineStr">
        <is>
          <t>SIMULATED Commercial FA Study</t>
        </is>
      </c>
      <c r="B108" t="inlineStr">
        <is>
          <t>P17</t>
        </is>
      </c>
      <c r="C108" t="inlineStr">
        <is>
          <t>F</t>
        </is>
      </c>
      <c r="D108" t="n">
        <v>21</v>
      </c>
      <c r="E108" t="inlineStr">
        <is>
          <t>B_C2first</t>
        </is>
      </c>
      <c r="F108" t="inlineStr">
        <is>
          <t>Stimulus</t>
        </is>
      </c>
      <c r="G108" t="inlineStr">
        <is>
          <t>Baseline_2</t>
        </is>
      </c>
      <c r="H108" t="n">
        <v>193000</v>
      </c>
      <c r="I108" t="n">
        <v>60000</v>
      </c>
      <c r="J108" t="inlineStr">
        <is>
          <t>Baseline_2</t>
        </is>
      </c>
      <c r="K108" s="4" t="n">
        <v>-0.1429</v>
      </c>
      <c r="L108" t="inlineStr">
        <is>
          <t>Frontal Asymmetry (Enobio EEG)</t>
        </is>
      </c>
      <c r="M108">
        <f>LEFT(E108,1)</f>
        <v/>
      </c>
      <c r="N108">
        <f>MID(E108,3,10)</f>
        <v/>
      </c>
      <c r="O108">
        <f>IF(F108="Stimulus",IF(LEFT(G108,8)="Baseline",G108,IF(LEFT(G108,12)="Commercial_1","C1","C2")),IF(G108="KeyScene","KeyScene",IF(LEFT(J108,12)="Commercial_1","EndScene_C1","EndScene_C2")))</f>
        <v/>
      </c>
      <c r="P108">
        <f>IF(COUNTIFS(Artifact!$B$2:$B$385,B108,Artifact!$K$2:$K$385,"&gt;25")+COUNTIFS(Log!$A$2:$A$49,B108,Log!$H$2:$H$49,"Red")+COUNTIFS(Log!$A$2:$A$49,B108,Log!$I$2:$I$49,"Red")&gt;0,"No","Yes")</f>
        <v/>
      </c>
      <c r="Q108">
        <f>IF(COUNTIFS(Artifact!$B$2:$B$385,B108,Artifact!$K$2:$K$385,"&gt;15")+COUNTIFS(Log!$A$2:$A$49,B108,Log!$H$2:$H$49,"Red")+COUNTIFS(Log!$A$2:$A$49,B108,Log!$I$2:$I$49,"Red")&gt;0,"No","Yes")</f>
        <v/>
      </c>
    </row>
    <row r="109">
      <c r="A109" t="inlineStr">
        <is>
          <t>SIMULATED Commercial FA Study</t>
        </is>
      </c>
      <c r="B109" t="inlineStr">
        <is>
          <t>P17</t>
        </is>
      </c>
      <c r="C109" t="inlineStr">
        <is>
          <t>F</t>
        </is>
      </c>
      <c r="D109" t="n">
        <v>21</v>
      </c>
      <c r="E109" t="inlineStr">
        <is>
          <t>B_C2first</t>
        </is>
      </c>
      <c r="F109" t="inlineStr">
        <is>
          <t>Stimulus</t>
        </is>
      </c>
      <c r="G109" t="inlineStr">
        <is>
          <t>Commercial_1B</t>
        </is>
      </c>
      <c r="H109" t="n">
        <v>253000</v>
      </c>
      <c r="I109" t="n">
        <v>54000</v>
      </c>
      <c r="J109" t="inlineStr">
        <is>
          <t>Commercial_1B</t>
        </is>
      </c>
      <c r="K109" s="4" t="n">
        <v>-0.276</v>
      </c>
      <c r="L109" t="inlineStr">
        <is>
          <t>Frontal Asymmetry (Enobio EEG)</t>
        </is>
      </c>
      <c r="M109">
        <f>LEFT(E109,1)</f>
        <v/>
      </c>
      <c r="N109">
        <f>MID(E109,3,10)</f>
        <v/>
      </c>
      <c r="O109">
        <f>IF(F109="Stimulus",IF(LEFT(G109,8)="Baseline",G109,IF(LEFT(G109,12)="Commercial_1","C1","C2")),IF(G109="KeyScene","KeyScene",IF(LEFT(J109,12)="Commercial_1","EndScene_C1","EndScene_C2")))</f>
        <v/>
      </c>
      <c r="P109">
        <f>IF(COUNTIFS(Artifact!$B$2:$B$385,B109,Artifact!$K$2:$K$385,"&gt;25")+COUNTIFS(Log!$A$2:$A$49,B109,Log!$H$2:$H$49,"Red")+COUNTIFS(Log!$A$2:$A$49,B109,Log!$I$2:$I$49,"Red")&gt;0,"No","Yes")</f>
        <v/>
      </c>
      <c r="Q109">
        <f>IF(COUNTIFS(Artifact!$B$2:$B$385,B109,Artifact!$K$2:$K$385,"&gt;15")+COUNTIFS(Log!$A$2:$A$49,B109,Log!$H$2:$H$49,"Red")+COUNTIFS(Log!$A$2:$A$49,B109,Log!$I$2:$I$49,"Red")&gt;0,"No","Yes")</f>
        <v/>
      </c>
    </row>
    <row r="110">
      <c r="A110" t="inlineStr">
        <is>
          <t>SIMULATED Commercial FA Study</t>
        </is>
      </c>
      <c r="B110" t="inlineStr">
        <is>
          <t>P17</t>
        </is>
      </c>
      <c r="C110" t="inlineStr">
        <is>
          <t>F</t>
        </is>
      </c>
      <c r="D110" t="n">
        <v>21</v>
      </c>
      <c r="E110" t="inlineStr">
        <is>
          <t>B_C2first</t>
        </is>
      </c>
      <c r="F110" t="inlineStr">
        <is>
          <t>Annotation</t>
        </is>
      </c>
      <c r="G110" t="inlineStr">
        <is>
          <t>EndScene</t>
        </is>
      </c>
      <c r="H110" t="n">
        <v>130000</v>
      </c>
      <c r="I110" t="n">
        <v>10000</v>
      </c>
      <c r="J110" t="inlineStr">
        <is>
          <t>Commercial_2</t>
        </is>
      </c>
      <c r="K110" s="4" t="n">
        <v>-0.3693</v>
      </c>
      <c r="L110" t="inlineStr">
        <is>
          <t>Frontal Asymmetry (Enobio EEG)</t>
        </is>
      </c>
      <c r="M110">
        <f>LEFT(E110,1)</f>
        <v/>
      </c>
      <c r="N110">
        <f>MID(E110,3,10)</f>
        <v/>
      </c>
      <c r="O110">
        <f>IF(F110="Stimulus",IF(LEFT(G110,8)="Baseline",G110,IF(LEFT(G110,12)="Commercial_1","C1","C2")),IF(G110="KeyScene","KeyScene",IF(LEFT(J110,12)="Commercial_1","EndScene_C1","EndScene_C2")))</f>
        <v/>
      </c>
      <c r="P110">
        <f>IF(COUNTIFS(Artifact!$B$2:$B$385,B110,Artifact!$K$2:$K$385,"&gt;25")+COUNTIFS(Log!$A$2:$A$49,B110,Log!$H$2:$H$49,"Red")+COUNTIFS(Log!$A$2:$A$49,B110,Log!$I$2:$I$49,"Red")&gt;0,"No","Yes")</f>
        <v/>
      </c>
      <c r="Q110">
        <f>IF(COUNTIFS(Artifact!$B$2:$B$385,B110,Artifact!$K$2:$K$385,"&gt;15")+COUNTIFS(Log!$A$2:$A$49,B110,Log!$H$2:$H$49,"Red")+COUNTIFS(Log!$A$2:$A$49,B110,Log!$I$2:$I$49,"Red")&gt;0,"No","Yes")</f>
        <v/>
      </c>
    </row>
    <row r="111">
      <c r="A111" t="inlineStr">
        <is>
          <t>SIMULATED Commercial FA Study</t>
        </is>
      </c>
      <c r="B111" t="inlineStr">
        <is>
          <t>P17</t>
        </is>
      </c>
      <c r="C111" t="inlineStr">
        <is>
          <t>F</t>
        </is>
      </c>
      <c r="D111" t="n">
        <v>21</v>
      </c>
      <c r="E111" t="inlineStr">
        <is>
          <t>B_C2first</t>
        </is>
      </c>
      <c r="F111" t="inlineStr">
        <is>
          <t>Annotation</t>
        </is>
      </c>
      <c r="G111" t="inlineStr">
        <is>
          <t>EndScene</t>
        </is>
      </c>
      <c r="H111" t="n">
        <v>297000</v>
      </c>
      <c r="I111" t="n">
        <v>10000</v>
      </c>
      <c r="J111" t="inlineStr">
        <is>
          <t>Commercial_1B</t>
        </is>
      </c>
      <c r="K111" s="4" t="n">
        <v>-0.1825</v>
      </c>
      <c r="L111" t="inlineStr">
        <is>
          <t>Frontal Asymmetry (Enobio EEG)</t>
        </is>
      </c>
      <c r="M111">
        <f>LEFT(E111,1)</f>
        <v/>
      </c>
      <c r="N111">
        <f>MID(E111,3,10)</f>
        <v/>
      </c>
      <c r="O111">
        <f>IF(F111="Stimulus",IF(LEFT(G111,8)="Baseline",G111,IF(LEFT(G111,12)="Commercial_1","C1","C2")),IF(G111="KeyScene","KeyScene",IF(LEFT(J111,12)="Commercial_1","EndScene_C1","EndScene_C2")))</f>
        <v/>
      </c>
      <c r="P111">
        <f>IF(COUNTIFS(Artifact!$B$2:$B$385,B111,Artifact!$K$2:$K$385,"&gt;25")+COUNTIFS(Log!$A$2:$A$49,B111,Log!$H$2:$H$49,"Red")+COUNTIFS(Log!$A$2:$A$49,B111,Log!$I$2:$I$49,"Red")&gt;0,"No","Yes")</f>
        <v/>
      </c>
      <c r="Q111">
        <f>IF(COUNTIFS(Artifact!$B$2:$B$385,B111,Artifact!$K$2:$K$385,"&gt;15")+COUNTIFS(Log!$A$2:$A$49,B111,Log!$H$2:$H$49,"Red")+COUNTIFS(Log!$A$2:$A$49,B111,Log!$I$2:$I$49,"Red")&gt;0,"No","Yes")</f>
        <v/>
      </c>
    </row>
    <row r="112">
      <c r="A112" t="inlineStr">
        <is>
          <t>SIMULATED Commercial FA Study</t>
        </is>
      </c>
      <c r="B112" t="inlineStr">
        <is>
          <t>P18</t>
        </is>
      </c>
      <c r="C112" t="inlineStr">
        <is>
          <t>F</t>
        </is>
      </c>
      <c r="D112" t="n">
        <v>25</v>
      </c>
      <c r="E112" t="inlineStr">
        <is>
          <t>A_C2first</t>
        </is>
      </c>
      <c r="F112" t="inlineStr">
        <is>
          <t>Stimulus</t>
        </is>
      </c>
      <c r="G112" t="inlineStr">
        <is>
          <t>Baseline_1</t>
        </is>
      </c>
      <c r="H112" t="n">
        <v>30000</v>
      </c>
      <c r="I112" t="n">
        <v>60000</v>
      </c>
      <c r="J112" t="inlineStr">
        <is>
          <t>Baseline_1</t>
        </is>
      </c>
      <c r="K112" s="4" t="n">
        <v>-0.0297</v>
      </c>
      <c r="L112" t="inlineStr">
        <is>
          <t>Frontal Asymmetry (Enobio EEG)</t>
        </is>
      </c>
      <c r="M112">
        <f>LEFT(E112,1)</f>
        <v/>
      </c>
      <c r="N112">
        <f>MID(E112,3,10)</f>
        <v/>
      </c>
      <c r="O112">
        <f>IF(F112="Stimulus",IF(LEFT(G112,8)="Baseline",G112,IF(LEFT(G112,12)="Commercial_1","C1","C2")),IF(G112="KeyScene","KeyScene",IF(LEFT(J112,12)="Commercial_1","EndScene_C1","EndScene_C2")))</f>
        <v/>
      </c>
      <c r="P112">
        <f>IF(COUNTIFS(Artifact!$B$2:$B$385,B112,Artifact!$K$2:$K$385,"&gt;25")+COUNTIFS(Log!$A$2:$A$49,B112,Log!$H$2:$H$49,"Red")+COUNTIFS(Log!$A$2:$A$49,B112,Log!$I$2:$I$49,"Red")&gt;0,"No","Yes")</f>
        <v/>
      </c>
      <c r="Q112">
        <f>IF(COUNTIFS(Artifact!$B$2:$B$385,B112,Artifact!$K$2:$K$385,"&gt;15")+COUNTIFS(Log!$A$2:$A$49,B112,Log!$H$2:$H$49,"Red")+COUNTIFS(Log!$A$2:$A$49,B112,Log!$I$2:$I$49,"Red")&gt;0,"No","Yes")</f>
        <v/>
      </c>
    </row>
    <row r="113">
      <c r="A113" t="inlineStr">
        <is>
          <t>SIMULATED Commercial FA Study</t>
        </is>
      </c>
      <c r="B113" t="inlineStr">
        <is>
          <t>P18</t>
        </is>
      </c>
      <c r="C113" t="inlineStr">
        <is>
          <t>F</t>
        </is>
      </c>
      <c r="D113" t="n">
        <v>25</v>
      </c>
      <c r="E113" t="inlineStr">
        <is>
          <t>A_C2first</t>
        </is>
      </c>
      <c r="F113" t="inlineStr">
        <is>
          <t>Stimulus</t>
        </is>
      </c>
      <c r="G113" t="inlineStr">
        <is>
          <t>Commercial_2</t>
        </is>
      </c>
      <c r="H113" t="n">
        <v>90000</v>
      </c>
      <c r="I113" t="n">
        <v>60000</v>
      </c>
      <c r="J113" t="inlineStr">
        <is>
          <t>Commercial_2</t>
        </is>
      </c>
      <c r="K113" s="4" t="n">
        <v>-0.083</v>
      </c>
      <c r="L113" t="inlineStr">
        <is>
          <t>Frontal Asymmetry (Enobio EEG)</t>
        </is>
      </c>
      <c r="M113">
        <f>LEFT(E113,1)</f>
        <v/>
      </c>
      <c r="N113">
        <f>MID(E113,3,10)</f>
        <v/>
      </c>
      <c r="O113">
        <f>IF(F113="Stimulus",IF(LEFT(G113,8)="Baseline",G113,IF(LEFT(G113,12)="Commercial_1","C1","C2")),IF(G113="KeyScene","KeyScene",IF(LEFT(J113,12)="Commercial_1","EndScene_C1","EndScene_C2")))</f>
        <v/>
      </c>
      <c r="P113">
        <f>IF(COUNTIFS(Artifact!$B$2:$B$385,B113,Artifact!$K$2:$K$385,"&gt;25")+COUNTIFS(Log!$A$2:$A$49,B113,Log!$H$2:$H$49,"Red")+COUNTIFS(Log!$A$2:$A$49,B113,Log!$I$2:$I$49,"Red")&gt;0,"No","Yes")</f>
        <v/>
      </c>
      <c r="Q113">
        <f>IF(COUNTIFS(Artifact!$B$2:$B$385,B113,Artifact!$K$2:$K$385,"&gt;15")+COUNTIFS(Log!$A$2:$A$49,B113,Log!$H$2:$H$49,"Red")+COUNTIFS(Log!$A$2:$A$49,B113,Log!$I$2:$I$49,"Red")&gt;0,"No","Yes")</f>
        <v/>
      </c>
    </row>
    <row r="114">
      <c r="A114" t="inlineStr">
        <is>
          <t>SIMULATED Commercial FA Study</t>
        </is>
      </c>
      <c r="B114" t="inlineStr">
        <is>
          <t>P18</t>
        </is>
      </c>
      <c r="C114" t="inlineStr">
        <is>
          <t>F</t>
        </is>
      </c>
      <c r="D114" t="n">
        <v>25</v>
      </c>
      <c r="E114" t="inlineStr">
        <is>
          <t>A_C2first</t>
        </is>
      </c>
      <c r="F114" t="inlineStr">
        <is>
          <t>Stimulus</t>
        </is>
      </c>
      <c r="G114" t="inlineStr">
        <is>
          <t>Baseline_2</t>
        </is>
      </c>
      <c r="H114" t="n">
        <v>198000</v>
      </c>
      <c r="I114" t="n">
        <v>60000</v>
      </c>
      <c r="J114" t="inlineStr">
        <is>
          <t>Baseline_2</t>
        </is>
      </c>
      <c r="K114" s="4" t="n">
        <v>-0.0328</v>
      </c>
      <c r="L114" t="inlineStr">
        <is>
          <t>Frontal Asymmetry (Enobio EEG)</t>
        </is>
      </c>
      <c r="M114">
        <f>LEFT(E114,1)</f>
        <v/>
      </c>
      <c r="N114">
        <f>MID(E114,3,10)</f>
        <v/>
      </c>
      <c r="O114">
        <f>IF(F114="Stimulus",IF(LEFT(G114,8)="Baseline",G114,IF(LEFT(G114,12)="Commercial_1","C1","C2")),IF(G114="KeyScene","KeyScene",IF(LEFT(J114,12)="Commercial_1","EndScene_C1","EndScene_C2")))</f>
        <v/>
      </c>
      <c r="P114">
        <f>IF(COUNTIFS(Artifact!$B$2:$B$385,B114,Artifact!$K$2:$K$385,"&gt;25")+COUNTIFS(Log!$A$2:$A$49,B114,Log!$H$2:$H$49,"Red")+COUNTIFS(Log!$A$2:$A$49,B114,Log!$I$2:$I$49,"Red")&gt;0,"No","Yes")</f>
        <v/>
      </c>
      <c r="Q114">
        <f>IF(COUNTIFS(Artifact!$B$2:$B$385,B114,Artifact!$K$2:$K$385,"&gt;15")+COUNTIFS(Log!$A$2:$A$49,B114,Log!$H$2:$H$49,"Red")+COUNTIFS(Log!$A$2:$A$49,B114,Log!$I$2:$I$49,"Red")&gt;0,"No","Yes")</f>
        <v/>
      </c>
    </row>
    <row r="115">
      <c r="A115" t="inlineStr">
        <is>
          <t>SIMULATED Commercial FA Study</t>
        </is>
      </c>
      <c r="B115" t="inlineStr">
        <is>
          <t>P18</t>
        </is>
      </c>
      <c r="C115" t="inlineStr">
        <is>
          <t>F</t>
        </is>
      </c>
      <c r="D115" t="n">
        <v>25</v>
      </c>
      <c r="E115" t="inlineStr">
        <is>
          <t>A_C2first</t>
        </is>
      </c>
      <c r="F115" t="inlineStr">
        <is>
          <t>Stimulus</t>
        </is>
      </c>
      <c r="G115" t="inlineStr">
        <is>
          <t>Commercial_1A</t>
        </is>
      </c>
      <c r="H115" t="n">
        <v>258000</v>
      </c>
      <c r="I115" t="n">
        <v>60000</v>
      </c>
      <c r="J115" t="inlineStr">
        <is>
          <t>Commercial_1A</t>
        </is>
      </c>
      <c r="K115" s="4" t="n">
        <v>-0.112</v>
      </c>
      <c r="L115" t="inlineStr">
        <is>
          <t>Frontal Asymmetry (Enobio EEG)</t>
        </is>
      </c>
      <c r="M115">
        <f>LEFT(E115,1)</f>
        <v/>
      </c>
      <c r="N115">
        <f>MID(E115,3,10)</f>
        <v/>
      </c>
      <c r="O115">
        <f>IF(F115="Stimulus",IF(LEFT(G115,8)="Baseline",G115,IF(LEFT(G115,12)="Commercial_1","C1","C2")),IF(G115="KeyScene","KeyScene",IF(LEFT(J115,12)="Commercial_1","EndScene_C1","EndScene_C2")))</f>
        <v/>
      </c>
      <c r="P115">
        <f>IF(COUNTIFS(Artifact!$B$2:$B$385,B115,Artifact!$K$2:$K$385,"&gt;25")+COUNTIFS(Log!$A$2:$A$49,B115,Log!$H$2:$H$49,"Red")+COUNTIFS(Log!$A$2:$A$49,B115,Log!$I$2:$I$49,"Red")&gt;0,"No","Yes")</f>
        <v/>
      </c>
      <c r="Q115">
        <f>IF(COUNTIFS(Artifact!$B$2:$B$385,B115,Artifact!$K$2:$K$385,"&gt;15")+COUNTIFS(Log!$A$2:$A$49,B115,Log!$H$2:$H$49,"Red")+COUNTIFS(Log!$A$2:$A$49,B115,Log!$I$2:$I$49,"Red")&gt;0,"No","Yes")</f>
        <v/>
      </c>
    </row>
    <row r="116">
      <c r="A116" t="inlineStr">
        <is>
          <t>SIMULATED Commercial FA Study</t>
        </is>
      </c>
      <c r="B116" t="inlineStr">
        <is>
          <t>P18</t>
        </is>
      </c>
      <c r="C116" t="inlineStr">
        <is>
          <t>F</t>
        </is>
      </c>
      <c r="D116" t="n">
        <v>25</v>
      </c>
      <c r="E116" t="inlineStr">
        <is>
          <t>A_C2first</t>
        </is>
      </c>
      <c r="F116" t="inlineStr">
        <is>
          <t>Annotation</t>
        </is>
      </c>
      <c r="G116" t="inlineStr">
        <is>
          <t>EndScene</t>
        </is>
      </c>
      <c r="H116" t="n">
        <v>140000</v>
      </c>
      <c r="I116" t="n">
        <v>10000</v>
      </c>
      <c r="J116" t="inlineStr">
        <is>
          <t>Commercial_2</t>
        </is>
      </c>
      <c r="K116" s="4" t="n">
        <v>-0.0701</v>
      </c>
      <c r="L116" t="inlineStr">
        <is>
          <t>Frontal Asymmetry (Enobio EEG)</t>
        </is>
      </c>
      <c r="M116">
        <f>LEFT(E116,1)</f>
        <v/>
      </c>
      <c r="N116">
        <f>MID(E116,3,10)</f>
        <v/>
      </c>
      <c r="O116">
        <f>IF(F116="Stimulus",IF(LEFT(G116,8)="Baseline",G116,IF(LEFT(G116,12)="Commercial_1","C1","C2")),IF(G116="KeyScene","KeyScene",IF(LEFT(J116,12)="Commercial_1","EndScene_C1","EndScene_C2")))</f>
        <v/>
      </c>
      <c r="P116">
        <f>IF(COUNTIFS(Artifact!$B$2:$B$385,B116,Artifact!$K$2:$K$385,"&gt;25")+COUNTIFS(Log!$A$2:$A$49,B116,Log!$H$2:$H$49,"Red")+COUNTIFS(Log!$A$2:$A$49,B116,Log!$I$2:$I$49,"Red")&gt;0,"No","Yes")</f>
        <v/>
      </c>
      <c r="Q116">
        <f>IF(COUNTIFS(Artifact!$B$2:$B$385,B116,Artifact!$K$2:$K$385,"&gt;15")+COUNTIFS(Log!$A$2:$A$49,B116,Log!$H$2:$H$49,"Red")+COUNTIFS(Log!$A$2:$A$49,B116,Log!$I$2:$I$49,"Red")&gt;0,"No","Yes")</f>
        <v/>
      </c>
    </row>
    <row r="117">
      <c r="A117" t="inlineStr">
        <is>
          <t>SIMULATED Commercial FA Study</t>
        </is>
      </c>
      <c r="B117" t="inlineStr">
        <is>
          <t>P18</t>
        </is>
      </c>
      <c r="C117" t="inlineStr">
        <is>
          <t>F</t>
        </is>
      </c>
      <c r="D117" t="n">
        <v>25</v>
      </c>
      <c r="E117" t="inlineStr">
        <is>
          <t>A_C2first</t>
        </is>
      </c>
      <c r="F117" t="inlineStr">
        <is>
          <t>Annotation</t>
        </is>
      </c>
      <c r="G117" t="inlineStr">
        <is>
          <t>KeyScene</t>
        </is>
      </c>
      <c r="H117" t="n">
        <v>290000</v>
      </c>
      <c r="I117" t="n">
        <v>6000</v>
      </c>
      <c r="J117" t="inlineStr">
        <is>
          <t>Commercial_1A</t>
        </is>
      </c>
      <c r="K117" s="4" t="n">
        <v>-0.0343</v>
      </c>
      <c r="L117" t="inlineStr">
        <is>
          <t>Frontal Asymmetry (Enobio EEG)</t>
        </is>
      </c>
      <c r="M117">
        <f>LEFT(E117,1)</f>
        <v/>
      </c>
      <c r="N117">
        <f>MID(E117,3,10)</f>
        <v/>
      </c>
      <c r="O117">
        <f>IF(F117="Stimulus",IF(LEFT(G117,8)="Baseline",G117,IF(LEFT(G117,12)="Commercial_1","C1","C2")),IF(G117="KeyScene","KeyScene",IF(LEFT(J117,12)="Commercial_1","EndScene_C1","EndScene_C2")))</f>
        <v/>
      </c>
      <c r="P117">
        <f>IF(COUNTIFS(Artifact!$B$2:$B$385,B117,Artifact!$K$2:$K$385,"&gt;25")+COUNTIFS(Log!$A$2:$A$49,B117,Log!$H$2:$H$49,"Red")+COUNTIFS(Log!$A$2:$A$49,B117,Log!$I$2:$I$49,"Red")&gt;0,"No","Yes")</f>
        <v/>
      </c>
      <c r="Q117">
        <f>IF(COUNTIFS(Artifact!$B$2:$B$385,B117,Artifact!$K$2:$K$385,"&gt;15")+COUNTIFS(Log!$A$2:$A$49,B117,Log!$H$2:$H$49,"Red")+COUNTIFS(Log!$A$2:$A$49,B117,Log!$I$2:$I$49,"Red")&gt;0,"No","Yes")</f>
        <v/>
      </c>
    </row>
    <row r="118">
      <c r="A118" t="inlineStr">
        <is>
          <t>SIMULATED Commercial FA Study</t>
        </is>
      </c>
      <c r="B118" t="inlineStr">
        <is>
          <t>P18</t>
        </is>
      </c>
      <c r="C118" t="inlineStr">
        <is>
          <t>F</t>
        </is>
      </c>
      <c r="D118" t="n">
        <v>25</v>
      </c>
      <c r="E118" t="inlineStr">
        <is>
          <t>A_C2first</t>
        </is>
      </c>
      <c r="F118" t="inlineStr">
        <is>
          <t>Annotation</t>
        </is>
      </c>
      <c r="G118" t="inlineStr">
        <is>
          <t>EndScene</t>
        </is>
      </c>
      <c r="H118" t="n">
        <v>308000</v>
      </c>
      <c r="I118" t="n">
        <v>10000</v>
      </c>
      <c r="J118" t="inlineStr">
        <is>
          <t>Commercial_1A</t>
        </is>
      </c>
      <c r="K118" s="4" t="n">
        <v>0.0111</v>
      </c>
      <c r="L118" t="inlineStr">
        <is>
          <t>Frontal Asymmetry (Enobio EEG)</t>
        </is>
      </c>
      <c r="M118">
        <f>LEFT(E118,1)</f>
        <v/>
      </c>
      <c r="N118">
        <f>MID(E118,3,10)</f>
        <v/>
      </c>
      <c r="O118">
        <f>IF(F118="Stimulus",IF(LEFT(G118,8)="Baseline",G118,IF(LEFT(G118,12)="Commercial_1","C1","C2")),IF(G118="KeyScene","KeyScene",IF(LEFT(J118,12)="Commercial_1","EndScene_C1","EndScene_C2")))</f>
        <v/>
      </c>
      <c r="P118">
        <f>IF(COUNTIFS(Artifact!$B$2:$B$385,B118,Artifact!$K$2:$K$385,"&gt;25")+COUNTIFS(Log!$A$2:$A$49,B118,Log!$H$2:$H$49,"Red")+COUNTIFS(Log!$A$2:$A$49,B118,Log!$I$2:$I$49,"Red")&gt;0,"No","Yes")</f>
        <v/>
      </c>
      <c r="Q118">
        <f>IF(COUNTIFS(Artifact!$B$2:$B$385,B118,Artifact!$K$2:$K$385,"&gt;15")+COUNTIFS(Log!$A$2:$A$49,B118,Log!$H$2:$H$49,"Red")+COUNTIFS(Log!$A$2:$A$49,B118,Log!$I$2:$I$49,"Red")&gt;0,"No","Yes")</f>
        <v/>
      </c>
    </row>
    <row r="119">
      <c r="A119" t="inlineStr">
        <is>
          <t>SIMULATED Commercial FA Study</t>
        </is>
      </c>
      <c r="B119" t="inlineStr">
        <is>
          <t>P19</t>
        </is>
      </c>
      <c r="C119" t="inlineStr">
        <is>
          <t>M</t>
        </is>
      </c>
      <c r="D119" t="n">
        <v>18</v>
      </c>
      <c r="E119" t="inlineStr">
        <is>
          <t>B_C1first</t>
        </is>
      </c>
      <c r="F119" t="inlineStr">
        <is>
          <t>Stimulus</t>
        </is>
      </c>
      <c r="G119" t="inlineStr">
        <is>
          <t>Baseline_1</t>
        </is>
      </c>
      <c r="H119" t="n">
        <v>28000</v>
      </c>
      <c r="I119" t="n">
        <v>60000</v>
      </c>
      <c r="J119" t="inlineStr">
        <is>
          <t>Baseline_1</t>
        </is>
      </c>
      <c r="K119" s="4" t="n">
        <v>-0.1031</v>
      </c>
      <c r="L119" t="inlineStr">
        <is>
          <t>Frontal Asymmetry (Enobio EEG)</t>
        </is>
      </c>
      <c r="M119">
        <f>LEFT(E119,1)</f>
        <v/>
      </c>
      <c r="N119">
        <f>MID(E119,3,10)</f>
        <v/>
      </c>
      <c r="O119">
        <f>IF(F119="Stimulus",IF(LEFT(G119,8)="Baseline",G119,IF(LEFT(G119,12)="Commercial_1","C1","C2")),IF(G119="KeyScene","KeyScene",IF(LEFT(J119,12)="Commercial_1","EndScene_C1","EndScene_C2")))</f>
        <v/>
      </c>
      <c r="P119">
        <f>IF(COUNTIFS(Artifact!$B$2:$B$385,B119,Artifact!$K$2:$K$385,"&gt;25")+COUNTIFS(Log!$A$2:$A$49,B119,Log!$H$2:$H$49,"Red")+COUNTIFS(Log!$A$2:$A$49,B119,Log!$I$2:$I$49,"Red")&gt;0,"No","Yes")</f>
        <v/>
      </c>
      <c r="Q119">
        <f>IF(COUNTIFS(Artifact!$B$2:$B$385,B119,Artifact!$K$2:$K$385,"&gt;15")+COUNTIFS(Log!$A$2:$A$49,B119,Log!$H$2:$H$49,"Red")+COUNTIFS(Log!$A$2:$A$49,B119,Log!$I$2:$I$49,"Red")&gt;0,"No","Yes")</f>
        <v/>
      </c>
    </row>
    <row r="120">
      <c r="A120" t="inlineStr">
        <is>
          <t>SIMULATED Commercial FA Study</t>
        </is>
      </c>
      <c r="B120" t="inlineStr">
        <is>
          <t>P19</t>
        </is>
      </c>
      <c r="C120" t="inlineStr">
        <is>
          <t>M</t>
        </is>
      </c>
      <c r="D120" t="n">
        <v>18</v>
      </c>
      <c r="E120" t="inlineStr">
        <is>
          <t>B_C1first</t>
        </is>
      </c>
      <c r="F120" t="inlineStr">
        <is>
          <t>Stimulus</t>
        </is>
      </c>
      <c r="G120" t="inlineStr">
        <is>
          <t>Commercial_1B</t>
        </is>
      </c>
      <c r="H120" t="n">
        <v>88000</v>
      </c>
      <c r="I120" t="n">
        <v>54000</v>
      </c>
      <c r="J120" t="inlineStr">
        <is>
          <t>Commercial_1B</t>
        </is>
      </c>
      <c r="K120" s="4" t="n">
        <v>-0.09959999999999999</v>
      </c>
      <c r="L120" t="inlineStr">
        <is>
          <t>Frontal Asymmetry (Enobio EEG)</t>
        </is>
      </c>
      <c r="M120">
        <f>LEFT(E120,1)</f>
        <v/>
      </c>
      <c r="N120">
        <f>MID(E120,3,10)</f>
        <v/>
      </c>
      <c r="O120">
        <f>IF(F120="Stimulus",IF(LEFT(G120,8)="Baseline",G120,IF(LEFT(G120,12)="Commercial_1","C1","C2")),IF(G120="KeyScene","KeyScene",IF(LEFT(J120,12)="Commercial_1","EndScene_C1","EndScene_C2")))</f>
        <v/>
      </c>
      <c r="P120">
        <f>IF(COUNTIFS(Artifact!$B$2:$B$385,B120,Artifact!$K$2:$K$385,"&gt;25")+COUNTIFS(Log!$A$2:$A$49,B120,Log!$H$2:$H$49,"Red")+COUNTIFS(Log!$A$2:$A$49,B120,Log!$I$2:$I$49,"Red")&gt;0,"No","Yes")</f>
        <v/>
      </c>
      <c r="Q120">
        <f>IF(COUNTIFS(Artifact!$B$2:$B$385,B120,Artifact!$K$2:$K$385,"&gt;15")+COUNTIFS(Log!$A$2:$A$49,B120,Log!$H$2:$H$49,"Red")+COUNTIFS(Log!$A$2:$A$49,B120,Log!$I$2:$I$49,"Red")&gt;0,"No","Yes")</f>
        <v/>
      </c>
    </row>
    <row r="121">
      <c r="A121" t="inlineStr">
        <is>
          <t>SIMULATED Commercial FA Study</t>
        </is>
      </c>
      <c r="B121" t="inlineStr">
        <is>
          <t>P19</t>
        </is>
      </c>
      <c r="C121" t="inlineStr">
        <is>
          <t>M</t>
        </is>
      </c>
      <c r="D121" t="n">
        <v>18</v>
      </c>
      <c r="E121" t="inlineStr">
        <is>
          <t>B_C1first</t>
        </is>
      </c>
      <c r="F121" t="inlineStr">
        <is>
          <t>Stimulus</t>
        </is>
      </c>
      <c r="G121" t="inlineStr">
        <is>
          <t>Baseline_2</t>
        </is>
      </c>
      <c r="H121" t="n">
        <v>184000</v>
      </c>
      <c r="I121" t="n">
        <v>60000</v>
      </c>
      <c r="J121" t="inlineStr">
        <is>
          <t>Baseline_2</t>
        </is>
      </c>
      <c r="K121" s="4" t="n">
        <v>-0.0878</v>
      </c>
      <c r="L121" t="inlineStr">
        <is>
          <t>Frontal Asymmetry (Enobio EEG)</t>
        </is>
      </c>
      <c r="M121">
        <f>LEFT(E121,1)</f>
        <v/>
      </c>
      <c r="N121">
        <f>MID(E121,3,10)</f>
        <v/>
      </c>
      <c r="O121">
        <f>IF(F121="Stimulus",IF(LEFT(G121,8)="Baseline",G121,IF(LEFT(G121,12)="Commercial_1","C1","C2")),IF(G121="KeyScene","KeyScene",IF(LEFT(J121,12)="Commercial_1","EndScene_C1","EndScene_C2")))</f>
        <v/>
      </c>
      <c r="P121">
        <f>IF(COUNTIFS(Artifact!$B$2:$B$385,B121,Artifact!$K$2:$K$385,"&gt;25")+COUNTIFS(Log!$A$2:$A$49,B121,Log!$H$2:$H$49,"Red")+COUNTIFS(Log!$A$2:$A$49,B121,Log!$I$2:$I$49,"Red")&gt;0,"No","Yes")</f>
        <v/>
      </c>
      <c r="Q121">
        <f>IF(COUNTIFS(Artifact!$B$2:$B$385,B121,Artifact!$K$2:$K$385,"&gt;15")+COUNTIFS(Log!$A$2:$A$49,B121,Log!$H$2:$H$49,"Red")+COUNTIFS(Log!$A$2:$A$49,B121,Log!$I$2:$I$49,"Red")&gt;0,"No","Yes")</f>
        <v/>
      </c>
    </row>
    <row r="122">
      <c r="A122" t="inlineStr">
        <is>
          <t>SIMULATED Commercial FA Study</t>
        </is>
      </c>
      <c r="B122" t="inlineStr">
        <is>
          <t>P19</t>
        </is>
      </c>
      <c r="C122" t="inlineStr">
        <is>
          <t>M</t>
        </is>
      </c>
      <c r="D122" t="n">
        <v>18</v>
      </c>
      <c r="E122" t="inlineStr">
        <is>
          <t>B_C1first</t>
        </is>
      </c>
      <c r="F122" t="inlineStr">
        <is>
          <t>Stimulus</t>
        </is>
      </c>
      <c r="G122" t="inlineStr">
        <is>
          <t>Commercial_2</t>
        </is>
      </c>
      <c r="H122" t="n">
        <v>244000</v>
      </c>
      <c r="I122" t="n">
        <v>60000</v>
      </c>
      <c r="J122" t="inlineStr">
        <is>
          <t>Commercial_2</t>
        </is>
      </c>
      <c r="K122" s="4" t="n">
        <v>-0.1212</v>
      </c>
      <c r="L122" t="inlineStr">
        <is>
          <t>Frontal Asymmetry (Enobio EEG)</t>
        </is>
      </c>
      <c r="M122">
        <f>LEFT(E122,1)</f>
        <v/>
      </c>
      <c r="N122">
        <f>MID(E122,3,10)</f>
        <v/>
      </c>
      <c r="O122">
        <f>IF(F122="Stimulus",IF(LEFT(G122,8)="Baseline",G122,IF(LEFT(G122,12)="Commercial_1","C1","C2")),IF(G122="KeyScene","KeyScene",IF(LEFT(J122,12)="Commercial_1","EndScene_C1","EndScene_C2")))</f>
        <v/>
      </c>
      <c r="P122">
        <f>IF(COUNTIFS(Artifact!$B$2:$B$385,B122,Artifact!$K$2:$K$385,"&gt;25")+COUNTIFS(Log!$A$2:$A$49,B122,Log!$H$2:$H$49,"Red")+COUNTIFS(Log!$A$2:$A$49,B122,Log!$I$2:$I$49,"Red")&gt;0,"No","Yes")</f>
        <v/>
      </c>
      <c r="Q122">
        <f>IF(COUNTIFS(Artifact!$B$2:$B$385,B122,Artifact!$K$2:$K$385,"&gt;15")+COUNTIFS(Log!$A$2:$A$49,B122,Log!$H$2:$H$49,"Red")+COUNTIFS(Log!$A$2:$A$49,B122,Log!$I$2:$I$49,"Red")&gt;0,"No","Yes")</f>
        <v/>
      </c>
    </row>
    <row r="123">
      <c r="A123" t="inlineStr">
        <is>
          <t>SIMULATED Commercial FA Study</t>
        </is>
      </c>
      <c r="B123" t="inlineStr">
        <is>
          <t>P19</t>
        </is>
      </c>
      <c r="C123" t="inlineStr">
        <is>
          <t>M</t>
        </is>
      </c>
      <c r="D123" t="n">
        <v>18</v>
      </c>
      <c r="E123" t="inlineStr">
        <is>
          <t>B_C1first</t>
        </is>
      </c>
      <c r="F123" t="inlineStr">
        <is>
          <t>Annotation</t>
        </is>
      </c>
      <c r="G123" t="inlineStr">
        <is>
          <t>EndScene</t>
        </is>
      </c>
      <c r="H123" t="n">
        <v>132000</v>
      </c>
      <c r="I123" t="n">
        <v>10000</v>
      </c>
      <c r="J123" t="inlineStr">
        <is>
          <t>Commercial_1B</t>
        </is>
      </c>
      <c r="K123" s="4" t="n">
        <v>-0.1291</v>
      </c>
      <c r="L123" t="inlineStr">
        <is>
          <t>Frontal Asymmetry (Enobio EEG)</t>
        </is>
      </c>
      <c r="M123">
        <f>LEFT(E123,1)</f>
        <v/>
      </c>
      <c r="N123">
        <f>MID(E123,3,10)</f>
        <v/>
      </c>
      <c r="O123">
        <f>IF(F123="Stimulus",IF(LEFT(G123,8)="Baseline",G123,IF(LEFT(G123,12)="Commercial_1","C1","C2")),IF(G123="KeyScene","KeyScene",IF(LEFT(J123,12)="Commercial_1","EndScene_C1","EndScene_C2")))</f>
        <v/>
      </c>
      <c r="P123">
        <f>IF(COUNTIFS(Artifact!$B$2:$B$385,B123,Artifact!$K$2:$K$385,"&gt;25")+COUNTIFS(Log!$A$2:$A$49,B123,Log!$H$2:$H$49,"Red")+COUNTIFS(Log!$A$2:$A$49,B123,Log!$I$2:$I$49,"Red")&gt;0,"No","Yes")</f>
        <v/>
      </c>
      <c r="Q123">
        <f>IF(COUNTIFS(Artifact!$B$2:$B$385,B123,Artifact!$K$2:$K$385,"&gt;15")+COUNTIFS(Log!$A$2:$A$49,B123,Log!$H$2:$H$49,"Red")+COUNTIFS(Log!$A$2:$A$49,B123,Log!$I$2:$I$49,"Red")&gt;0,"No","Yes")</f>
        <v/>
      </c>
    </row>
    <row r="124">
      <c r="A124" t="inlineStr">
        <is>
          <t>SIMULATED Commercial FA Study</t>
        </is>
      </c>
      <c r="B124" t="inlineStr">
        <is>
          <t>P19</t>
        </is>
      </c>
      <c r="C124" t="inlineStr">
        <is>
          <t>M</t>
        </is>
      </c>
      <c r="D124" t="n">
        <v>18</v>
      </c>
      <c r="E124" t="inlineStr">
        <is>
          <t>B_C1first</t>
        </is>
      </c>
      <c r="F124" t="inlineStr">
        <is>
          <t>Annotation</t>
        </is>
      </c>
      <c r="G124" t="inlineStr">
        <is>
          <t>EndScene</t>
        </is>
      </c>
      <c r="H124" t="n">
        <v>294000</v>
      </c>
      <c r="I124" t="n">
        <v>10000</v>
      </c>
      <c r="J124" t="inlineStr">
        <is>
          <t>Commercial_2</t>
        </is>
      </c>
      <c r="K124" s="4" t="n">
        <v>-0.1337</v>
      </c>
      <c r="L124" t="inlineStr">
        <is>
          <t>Frontal Asymmetry (Enobio EEG)</t>
        </is>
      </c>
      <c r="M124">
        <f>LEFT(E124,1)</f>
        <v/>
      </c>
      <c r="N124">
        <f>MID(E124,3,10)</f>
        <v/>
      </c>
      <c r="O124">
        <f>IF(F124="Stimulus",IF(LEFT(G124,8)="Baseline",G124,IF(LEFT(G124,12)="Commercial_1","C1","C2")),IF(G124="KeyScene","KeyScene",IF(LEFT(J124,12)="Commercial_1","EndScene_C1","EndScene_C2")))</f>
        <v/>
      </c>
      <c r="P124">
        <f>IF(COUNTIFS(Artifact!$B$2:$B$385,B124,Artifact!$K$2:$K$385,"&gt;25")+COUNTIFS(Log!$A$2:$A$49,B124,Log!$H$2:$H$49,"Red")+COUNTIFS(Log!$A$2:$A$49,B124,Log!$I$2:$I$49,"Red")&gt;0,"No","Yes")</f>
        <v/>
      </c>
      <c r="Q124">
        <f>IF(COUNTIFS(Artifact!$B$2:$B$385,B124,Artifact!$K$2:$K$385,"&gt;15")+COUNTIFS(Log!$A$2:$A$49,B124,Log!$H$2:$H$49,"Red")+COUNTIFS(Log!$A$2:$A$49,B124,Log!$I$2:$I$49,"Red")&gt;0,"No","Yes")</f>
        <v/>
      </c>
    </row>
    <row r="125">
      <c r="A125" t="inlineStr">
        <is>
          <t>SIMULATED Commercial FA Study</t>
        </is>
      </c>
      <c r="B125" t="inlineStr">
        <is>
          <t>P20</t>
        </is>
      </c>
      <c r="C125" t="inlineStr">
        <is>
          <t>F</t>
        </is>
      </c>
      <c r="D125" t="n">
        <v>25</v>
      </c>
      <c r="E125" t="inlineStr">
        <is>
          <t>A_C1first</t>
        </is>
      </c>
      <c r="F125" t="inlineStr">
        <is>
          <t>Stimulus</t>
        </is>
      </c>
      <c r="G125" t="inlineStr">
        <is>
          <t>Baseline_1</t>
        </is>
      </c>
      <c r="H125" t="n">
        <v>38000</v>
      </c>
      <c r="I125" t="n">
        <v>60000</v>
      </c>
      <c r="J125" t="inlineStr">
        <is>
          <t>Baseline_1</t>
        </is>
      </c>
      <c r="K125" s="4" t="n">
        <v>-0.1348</v>
      </c>
      <c r="L125" t="inlineStr">
        <is>
          <t>Frontal Asymmetry (Enobio EEG)</t>
        </is>
      </c>
      <c r="M125">
        <f>LEFT(E125,1)</f>
        <v/>
      </c>
      <c r="N125">
        <f>MID(E125,3,10)</f>
        <v/>
      </c>
      <c r="O125">
        <f>IF(F125="Stimulus",IF(LEFT(G125,8)="Baseline",G125,IF(LEFT(G125,12)="Commercial_1","C1","C2")),IF(G125="KeyScene","KeyScene",IF(LEFT(J125,12)="Commercial_1","EndScene_C1","EndScene_C2")))</f>
        <v/>
      </c>
      <c r="P125">
        <f>IF(COUNTIFS(Artifact!$B$2:$B$385,B125,Artifact!$K$2:$K$385,"&gt;25")+COUNTIFS(Log!$A$2:$A$49,B125,Log!$H$2:$H$49,"Red")+COUNTIFS(Log!$A$2:$A$49,B125,Log!$I$2:$I$49,"Red")&gt;0,"No","Yes")</f>
        <v/>
      </c>
      <c r="Q125">
        <f>IF(COUNTIFS(Artifact!$B$2:$B$385,B125,Artifact!$K$2:$K$385,"&gt;15")+COUNTIFS(Log!$A$2:$A$49,B125,Log!$H$2:$H$49,"Red")+COUNTIFS(Log!$A$2:$A$49,B125,Log!$I$2:$I$49,"Red")&gt;0,"No","Yes")</f>
        <v/>
      </c>
    </row>
    <row r="126">
      <c r="A126" t="inlineStr">
        <is>
          <t>SIMULATED Commercial FA Study</t>
        </is>
      </c>
      <c r="B126" t="inlineStr">
        <is>
          <t>P20</t>
        </is>
      </c>
      <c r="C126" t="inlineStr">
        <is>
          <t>F</t>
        </is>
      </c>
      <c r="D126" t="n">
        <v>25</v>
      </c>
      <c r="E126" t="inlineStr">
        <is>
          <t>A_C1first</t>
        </is>
      </c>
      <c r="F126" t="inlineStr">
        <is>
          <t>Stimulus</t>
        </is>
      </c>
      <c r="G126" t="inlineStr">
        <is>
          <t>Commercial_1A</t>
        </is>
      </c>
      <c r="H126" t="n">
        <v>98000</v>
      </c>
      <c r="I126" t="n">
        <v>60000</v>
      </c>
      <c r="J126" t="inlineStr">
        <is>
          <t>Commercial_1A</t>
        </is>
      </c>
      <c r="K126" s="4" t="n">
        <v>-0.1119</v>
      </c>
      <c r="L126" t="inlineStr">
        <is>
          <t>Frontal Asymmetry (Enobio EEG)</t>
        </is>
      </c>
      <c r="M126">
        <f>LEFT(E126,1)</f>
        <v/>
      </c>
      <c r="N126">
        <f>MID(E126,3,10)</f>
        <v/>
      </c>
      <c r="O126">
        <f>IF(F126="Stimulus",IF(LEFT(G126,8)="Baseline",G126,IF(LEFT(G126,12)="Commercial_1","C1","C2")),IF(G126="KeyScene","KeyScene",IF(LEFT(J126,12)="Commercial_1","EndScene_C1","EndScene_C2")))</f>
        <v/>
      </c>
      <c r="P126">
        <f>IF(COUNTIFS(Artifact!$B$2:$B$385,B126,Artifact!$K$2:$K$385,"&gt;25")+COUNTIFS(Log!$A$2:$A$49,B126,Log!$H$2:$H$49,"Red")+COUNTIFS(Log!$A$2:$A$49,B126,Log!$I$2:$I$49,"Red")&gt;0,"No","Yes")</f>
        <v/>
      </c>
      <c r="Q126">
        <f>IF(COUNTIFS(Artifact!$B$2:$B$385,B126,Artifact!$K$2:$K$385,"&gt;15")+COUNTIFS(Log!$A$2:$A$49,B126,Log!$H$2:$H$49,"Red")+COUNTIFS(Log!$A$2:$A$49,B126,Log!$I$2:$I$49,"Red")&gt;0,"No","Yes")</f>
        <v/>
      </c>
    </row>
    <row r="127">
      <c r="A127" t="inlineStr">
        <is>
          <t>SIMULATED Commercial FA Study</t>
        </is>
      </c>
      <c r="B127" t="inlineStr">
        <is>
          <t>P20</t>
        </is>
      </c>
      <c r="C127" t="inlineStr">
        <is>
          <t>F</t>
        </is>
      </c>
      <c r="D127" t="n">
        <v>25</v>
      </c>
      <c r="E127" t="inlineStr">
        <is>
          <t>A_C1first</t>
        </is>
      </c>
      <c r="F127" t="inlineStr">
        <is>
          <t>Stimulus</t>
        </is>
      </c>
      <c r="G127" t="inlineStr">
        <is>
          <t>Baseline_2</t>
        </is>
      </c>
      <c r="H127" t="n">
        <v>214000</v>
      </c>
      <c r="I127" t="n">
        <v>60000</v>
      </c>
      <c r="J127" t="inlineStr">
        <is>
          <t>Baseline_2</t>
        </is>
      </c>
      <c r="K127" s="4" t="n">
        <v>-0.08459999999999999</v>
      </c>
      <c r="L127" t="inlineStr">
        <is>
          <t>Frontal Asymmetry (Enobio EEG)</t>
        </is>
      </c>
      <c r="M127">
        <f>LEFT(E127,1)</f>
        <v/>
      </c>
      <c r="N127">
        <f>MID(E127,3,10)</f>
        <v/>
      </c>
      <c r="O127">
        <f>IF(F127="Stimulus",IF(LEFT(G127,8)="Baseline",G127,IF(LEFT(G127,12)="Commercial_1","C1","C2")),IF(G127="KeyScene","KeyScene",IF(LEFT(J127,12)="Commercial_1","EndScene_C1","EndScene_C2")))</f>
        <v/>
      </c>
      <c r="P127">
        <f>IF(COUNTIFS(Artifact!$B$2:$B$385,B127,Artifact!$K$2:$K$385,"&gt;25")+COUNTIFS(Log!$A$2:$A$49,B127,Log!$H$2:$H$49,"Red")+COUNTIFS(Log!$A$2:$A$49,B127,Log!$I$2:$I$49,"Red")&gt;0,"No","Yes")</f>
        <v/>
      </c>
      <c r="Q127">
        <f>IF(COUNTIFS(Artifact!$B$2:$B$385,B127,Artifact!$K$2:$K$385,"&gt;15")+COUNTIFS(Log!$A$2:$A$49,B127,Log!$H$2:$H$49,"Red")+COUNTIFS(Log!$A$2:$A$49,B127,Log!$I$2:$I$49,"Red")&gt;0,"No","Yes")</f>
        <v/>
      </c>
    </row>
    <row r="128">
      <c r="A128" t="inlineStr">
        <is>
          <t>SIMULATED Commercial FA Study</t>
        </is>
      </c>
      <c r="B128" t="inlineStr">
        <is>
          <t>P20</t>
        </is>
      </c>
      <c r="C128" t="inlineStr">
        <is>
          <t>F</t>
        </is>
      </c>
      <c r="D128" t="n">
        <v>25</v>
      </c>
      <c r="E128" t="inlineStr">
        <is>
          <t>A_C1first</t>
        </is>
      </c>
      <c r="F128" t="inlineStr">
        <is>
          <t>Stimulus</t>
        </is>
      </c>
      <c r="G128" t="inlineStr">
        <is>
          <t>Commercial_2</t>
        </is>
      </c>
      <c r="H128" t="n">
        <v>274000</v>
      </c>
      <c r="I128" t="n">
        <v>60000</v>
      </c>
      <c r="J128" t="inlineStr">
        <is>
          <t>Commercial_2</t>
        </is>
      </c>
      <c r="K128" s="4" t="n">
        <v>-0.1858</v>
      </c>
      <c r="L128" t="inlineStr">
        <is>
          <t>Frontal Asymmetry (Enobio EEG)</t>
        </is>
      </c>
      <c r="M128">
        <f>LEFT(E128,1)</f>
        <v/>
      </c>
      <c r="N128">
        <f>MID(E128,3,10)</f>
        <v/>
      </c>
      <c r="O128">
        <f>IF(F128="Stimulus",IF(LEFT(G128,8)="Baseline",G128,IF(LEFT(G128,12)="Commercial_1","C1","C2")),IF(G128="KeyScene","KeyScene",IF(LEFT(J128,12)="Commercial_1","EndScene_C1","EndScene_C2")))</f>
        <v/>
      </c>
      <c r="P128">
        <f>IF(COUNTIFS(Artifact!$B$2:$B$385,B128,Artifact!$K$2:$K$385,"&gt;25")+COUNTIFS(Log!$A$2:$A$49,B128,Log!$H$2:$H$49,"Red")+COUNTIFS(Log!$A$2:$A$49,B128,Log!$I$2:$I$49,"Red")&gt;0,"No","Yes")</f>
        <v/>
      </c>
      <c r="Q128">
        <f>IF(COUNTIFS(Artifact!$B$2:$B$385,B128,Artifact!$K$2:$K$385,"&gt;15")+COUNTIFS(Log!$A$2:$A$49,B128,Log!$H$2:$H$49,"Red")+COUNTIFS(Log!$A$2:$A$49,B128,Log!$I$2:$I$49,"Red")&gt;0,"No","Yes")</f>
        <v/>
      </c>
    </row>
    <row r="129">
      <c r="A129" t="inlineStr">
        <is>
          <t>SIMULATED Commercial FA Study</t>
        </is>
      </c>
      <c r="B129" t="inlineStr">
        <is>
          <t>P20</t>
        </is>
      </c>
      <c r="C129" t="inlineStr">
        <is>
          <t>F</t>
        </is>
      </c>
      <c r="D129" t="n">
        <v>25</v>
      </c>
      <c r="E129" t="inlineStr">
        <is>
          <t>A_C1first</t>
        </is>
      </c>
      <c r="F129" t="inlineStr">
        <is>
          <t>Annotation</t>
        </is>
      </c>
      <c r="G129" t="inlineStr">
        <is>
          <t>KeyScene</t>
        </is>
      </c>
      <c r="H129" t="n">
        <v>130000</v>
      </c>
      <c r="I129" t="n">
        <v>6000</v>
      </c>
      <c r="J129" t="inlineStr">
        <is>
          <t>Commercial_1A</t>
        </is>
      </c>
      <c r="K129" s="4" t="n">
        <v>0.1968</v>
      </c>
      <c r="L129" t="inlineStr">
        <is>
          <t>Frontal Asymmetry (Enobio EEG)</t>
        </is>
      </c>
      <c r="M129">
        <f>LEFT(E129,1)</f>
        <v/>
      </c>
      <c r="N129">
        <f>MID(E129,3,10)</f>
        <v/>
      </c>
      <c r="O129">
        <f>IF(F129="Stimulus",IF(LEFT(G129,8)="Baseline",G129,IF(LEFT(G129,12)="Commercial_1","C1","C2")),IF(G129="KeyScene","KeyScene",IF(LEFT(J129,12)="Commercial_1","EndScene_C1","EndScene_C2")))</f>
        <v/>
      </c>
      <c r="P129">
        <f>IF(COUNTIFS(Artifact!$B$2:$B$385,B129,Artifact!$K$2:$K$385,"&gt;25")+COUNTIFS(Log!$A$2:$A$49,B129,Log!$H$2:$H$49,"Red")+COUNTIFS(Log!$A$2:$A$49,B129,Log!$I$2:$I$49,"Red")&gt;0,"No","Yes")</f>
        <v/>
      </c>
      <c r="Q129">
        <f>IF(COUNTIFS(Artifact!$B$2:$B$385,B129,Artifact!$K$2:$K$385,"&gt;15")+COUNTIFS(Log!$A$2:$A$49,B129,Log!$H$2:$H$49,"Red")+COUNTIFS(Log!$A$2:$A$49,B129,Log!$I$2:$I$49,"Red")&gt;0,"No","Yes")</f>
        <v/>
      </c>
    </row>
    <row r="130">
      <c r="A130" t="inlineStr">
        <is>
          <t>SIMULATED Commercial FA Study</t>
        </is>
      </c>
      <c r="B130" t="inlineStr">
        <is>
          <t>P20</t>
        </is>
      </c>
      <c r="C130" t="inlineStr">
        <is>
          <t>F</t>
        </is>
      </c>
      <c r="D130" t="n">
        <v>25</v>
      </c>
      <c r="E130" t="inlineStr">
        <is>
          <t>A_C1first</t>
        </is>
      </c>
      <c r="F130" t="inlineStr">
        <is>
          <t>Annotation</t>
        </is>
      </c>
      <c r="G130" t="inlineStr">
        <is>
          <t>EndScene</t>
        </is>
      </c>
      <c r="H130" t="n">
        <v>148000</v>
      </c>
      <c r="I130" t="n">
        <v>10000</v>
      </c>
      <c r="J130" t="inlineStr">
        <is>
          <t>Commercial_1A</t>
        </is>
      </c>
      <c r="K130" s="4" t="n">
        <v>-0.1221</v>
      </c>
      <c r="L130" t="inlineStr">
        <is>
          <t>Frontal Asymmetry (Enobio EEG)</t>
        </is>
      </c>
      <c r="M130">
        <f>LEFT(E130,1)</f>
        <v/>
      </c>
      <c r="N130">
        <f>MID(E130,3,10)</f>
        <v/>
      </c>
      <c r="O130">
        <f>IF(F130="Stimulus",IF(LEFT(G130,8)="Baseline",G130,IF(LEFT(G130,12)="Commercial_1","C1","C2")),IF(G130="KeyScene","KeyScene",IF(LEFT(J130,12)="Commercial_1","EndScene_C1","EndScene_C2")))</f>
        <v/>
      </c>
      <c r="P130">
        <f>IF(COUNTIFS(Artifact!$B$2:$B$385,B130,Artifact!$K$2:$K$385,"&gt;25")+COUNTIFS(Log!$A$2:$A$49,B130,Log!$H$2:$H$49,"Red")+COUNTIFS(Log!$A$2:$A$49,B130,Log!$I$2:$I$49,"Red")&gt;0,"No","Yes")</f>
        <v/>
      </c>
      <c r="Q130">
        <f>IF(COUNTIFS(Artifact!$B$2:$B$385,B130,Artifact!$K$2:$K$385,"&gt;15")+COUNTIFS(Log!$A$2:$A$49,B130,Log!$H$2:$H$49,"Red")+COUNTIFS(Log!$A$2:$A$49,B130,Log!$I$2:$I$49,"Red")&gt;0,"No","Yes")</f>
        <v/>
      </c>
    </row>
    <row r="131">
      <c r="A131" t="inlineStr">
        <is>
          <t>SIMULATED Commercial FA Study</t>
        </is>
      </c>
      <c r="B131" t="inlineStr">
        <is>
          <t>P20</t>
        </is>
      </c>
      <c r="C131" t="inlineStr">
        <is>
          <t>F</t>
        </is>
      </c>
      <c r="D131" t="n">
        <v>25</v>
      </c>
      <c r="E131" t="inlineStr">
        <is>
          <t>A_C1first</t>
        </is>
      </c>
      <c r="F131" t="inlineStr">
        <is>
          <t>Annotation</t>
        </is>
      </c>
      <c r="G131" t="inlineStr">
        <is>
          <t>EndScene</t>
        </is>
      </c>
      <c r="H131" t="n">
        <v>324000</v>
      </c>
      <c r="I131" t="n">
        <v>10000</v>
      </c>
      <c r="J131" t="inlineStr">
        <is>
          <t>Commercial_2</t>
        </is>
      </c>
      <c r="K131" s="4" t="n">
        <v>-0.2311</v>
      </c>
      <c r="L131" t="inlineStr">
        <is>
          <t>Frontal Asymmetry (Enobio EEG)</t>
        </is>
      </c>
      <c r="M131">
        <f>LEFT(E131,1)</f>
        <v/>
      </c>
      <c r="N131">
        <f>MID(E131,3,10)</f>
        <v/>
      </c>
      <c r="O131">
        <f>IF(F131="Stimulus",IF(LEFT(G131,8)="Baseline",G131,IF(LEFT(G131,12)="Commercial_1","C1","C2")),IF(G131="KeyScene","KeyScene",IF(LEFT(J131,12)="Commercial_1","EndScene_C1","EndScene_C2")))</f>
        <v/>
      </c>
      <c r="P131">
        <f>IF(COUNTIFS(Artifact!$B$2:$B$385,B131,Artifact!$K$2:$K$385,"&gt;25")+COUNTIFS(Log!$A$2:$A$49,B131,Log!$H$2:$H$49,"Red")+COUNTIFS(Log!$A$2:$A$49,B131,Log!$I$2:$I$49,"Red")&gt;0,"No","Yes")</f>
        <v/>
      </c>
      <c r="Q131">
        <f>IF(COUNTIFS(Artifact!$B$2:$B$385,B131,Artifact!$K$2:$K$385,"&gt;15")+COUNTIFS(Log!$A$2:$A$49,B131,Log!$H$2:$H$49,"Red")+COUNTIFS(Log!$A$2:$A$49,B131,Log!$I$2:$I$49,"Red")&gt;0,"No","Yes")</f>
        <v/>
      </c>
    </row>
    <row r="132">
      <c r="A132" t="inlineStr">
        <is>
          <t>SIMULATED Commercial FA Study</t>
        </is>
      </c>
      <c r="B132" t="inlineStr">
        <is>
          <t>P21</t>
        </is>
      </c>
      <c r="C132" t="inlineStr">
        <is>
          <t>F</t>
        </is>
      </c>
      <c r="D132" t="n">
        <v>25</v>
      </c>
      <c r="E132" t="inlineStr">
        <is>
          <t>B_C2first</t>
        </is>
      </c>
      <c r="F132" t="inlineStr">
        <is>
          <t>Stimulus</t>
        </is>
      </c>
      <c r="G132" t="inlineStr">
        <is>
          <t>Baseline_1</t>
        </is>
      </c>
      <c r="H132" t="n">
        <v>25000</v>
      </c>
      <c r="I132" t="n">
        <v>60000</v>
      </c>
      <c r="J132" t="inlineStr">
        <is>
          <t>Baseline_1</t>
        </is>
      </c>
      <c r="K132" s="4" t="n">
        <v>0.1138</v>
      </c>
      <c r="L132" t="inlineStr">
        <is>
          <t>Frontal Asymmetry (Enobio EEG)</t>
        </is>
      </c>
      <c r="M132">
        <f>LEFT(E132,1)</f>
        <v/>
      </c>
      <c r="N132">
        <f>MID(E132,3,10)</f>
        <v/>
      </c>
      <c r="O132">
        <f>IF(F132="Stimulus",IF(LEFT(G132,8)="Baseline",G132,IF(LEFT(G132,12)="Commercial_1","C1","C2")),IF(G132="KeyScene","KeyScene",IF(LEFT(J132,12)="Commercial_1","EndScene_C1","EndScene_C2")))</f>
        <v/>
      </c>
      <c r="P132">
        <f>IF(COUNTIFS(Artifact!$B$2:$B$385,B132,Artifact!$K$2:$K$385,"&gt;25")+COUNTIFS(Log!$A$2:$A$49,B132,Log!$H$2:$H$49,"Red")+COUNTIFS(Log!$A$2:$A$49,B132,Log!$I$2:$I$49,"Red")&gt;0,"No","Yes")</f>
        <v/>
      </c>
      <c r="Q132">
        <f>IF(COUNTIFS(Artifact!$B$2:$B$385,B132,Artifact!$K$2:$K$385,"&gt;15")+COUNTIFS(Log!$A$2:$A$49,B132,Log!$H$2:$H$49,"Red")+COUNTIFS(Log!$A$2:$A$49,B132,Log!$I$2:$I$49,"Red")&gt;0,"No","Yes")</f>
        <v/>
      </c>
    </row>
    <row r="133">
      <c r="A133" t="inlineStr">
        <is>
          <t>SIMULATED Commercial FA Study</t>
        </is>
      </c>
      <c r="B133" t="inlineStr">
        <is>
          <t>P21</t>
        </is>
      </c>
      <c r="C133" t="inlineStr">
        <is>
          <t>F</t>
        </is>
      </c>
      <c r="D133" t="n">
        <v>25</v>
      </c>
      <c r="E133" t="inlineStr">
        <is>
          <t>B_C2first</t>
        </is>
      </c>
      <c r="F133" t="inlineStr">
        <is>
          <t>Stimulus</t>
        </is>
      </c>
      <c r="G133" t="inlineStr">
        <is>
          <t>Commercial_2</t>
        </is>
      </c>
      <c r="H133" t="n">
        <v>85000</v>
      </c>
      <c r="I133" t="n">
        <v>60000</v>
      </c>
      <c r="J133" t="inlineStr">
        <is>
          <t>Commercial_2</t>
        </is>
      </c>
      <c r="K133" s="4" t="n">
        <v>0.111</v>
      </c>
      <c r="L133" t="inlineStr">
        <is>
          <t>Frontal Asymmetry (Enobio EEG)</t>
        </is>
      </c>
      <c r="M133">
        <f>LEFT(E133,1)</f>
        <v/>
      </c>
      <c r="N133">
        <f>MID(E133,3,10)</f>
        <v/>
      </c>
      <c r="O133">
        <f>IF(F133="Stimulus",IF(LEFT(G133,8)="Baseline",G133,IF(LEFT(G133,12)="Commercial_1","C1","C2")),IF(G133="KeyScene","KeyScene",IF(LEFT(J133,12)="Commercial_1","EndScene_C1","EndScene_C2")))</f>
        <v/>
      </c>
      <c r="P133">
        <f>IF(COUNTIFS(Artifact!$B$2:$B$385,B133,Artifact!$K$2:$K$385,"&gt;25")+COUNTIFS(Log!$A$2:$A$49,B133,Log!$H$2:$H$49,"Red")+COUNTIFS(Log!$A$2:$A$49,B133,Log!$I$2:$I$49,"Red")&gt;0,"No","Yes")</f>
        <v/>
      </c>
      <c r="Q133">
        <f>IF(COUNTIFS(Artifact!$B$2:$B$385,B133,Artifact!$K$2:$K$385,"&gt;15")+COUNTIFS(Log!$A$2:$A$49,B133,Log!$H$2:$H$49,"Red")+COUNTIFS(Log!$A$2:$A$49,B133,Log!$I$2:$I$49,"Red")&gt;0,"No","Yes")</f>
        <v/>
      </c>
    </row>
    <row r="134">
      <c r="A134" t="inlineStr">
        <is>
          <t>SIMULATED Commercial FA Study</t>
        </is>
      </c>
      <c r="B134" t="inlineStr">
        <is>
          <t>P21</t>
        </is>
      </c>
      <c r="C134" t="inlineStr">
        <is>
          <t>F</t>
        </is>
      </c>
      <c r="D134" t="n">
        <v>25</v>
      </c>
      <c r="E134" t="inlineStr">
        <is>
          <t>B_C2first</t>
        </is>
      </c>
      <c r="F134" t="inlineStr">
        <is>
          <t>Stimulus</t>
        </is>
      </c>
      <c r="G134" t="inlineStr">
        <is>
          <t>Baseline_2</t>
        </is>
      </c>
      <c r="H134" t="n">
        <v>188000</v>
      </c>
      <c r="I134" t="n">
        <v>60000</v>
      </c>
      <c r="J134" t="inlineStr">
        <is>
          <t>Baseline_2</t>
        </is>
      </c>
      <c r="K134" s="4" t="n">
        <v>0.09030000000000001</v>
      </c>
      <c r="L134" t="inlineStr">
        <is>
          <t>Frontal Asymmetry (Enobio EEG)</t>
        </is>
      </c>
      <c r="M134">
        <f>LEFT(E134,1)</f>
        <v/>
      </c>
      <c r="N134">
        <f>MID(E134,3,10)</f>
        <v/>
      </c>
      <c r="O134">
        <f>IF(F134="Stimulus",IF(LEFT(G134,8)="Baseline",G134,IF(LEFT(G134,12)="Commercial_1","C1","C2")),IF(G134="KeyScene","KeyScene",IF(LEFT(J134,12)="Commercial_1","EndScene_C1","EndScene_C2")))</f>
        <v/>
      </c>
      <c r="P134">
        <f>IF(COUNTIFS(Artifact!$B$2:$B$385,B134,Artifact!$K$2:$K$385,"&gt;25")+COUNTIFS(Log!$A$2:$A$49,B134,Log!$H$2:$H$49,"Red")+COUNTIFS(Log!$A$2:$A$49,B134,Log!$I$2:$I$49,"Red")&gt;0,"No","Yes")</f>
        <v/>
      </c>
      <c r="Q134">
        <f>IF(COUNTIFS(Artifact!$B$2:$B$385,B134,Artifact!$K$2:$K$385,"&gt;15")+COUNTIFS(Log!$A$2:$A$49,B134,Log!$H$2:$H$49,"Red")+COUNTIFS(Log!$A$2:$A$49,B134,Log!$I$2:$I$49,"Red")&gt;0,"No","Yes")</f>
        <v/>
      </c>
    </row>
    <row r="135">
      <c r="A135" t="inlineStr">
        <is>
          <t>SIMULATED Commercial FA Study</t>
        </is>
      </c>
      <c r="B135" t="inlineStr">
        <is>
          <t>P21</t>
        </is>
      </c>
      <c r="C135" t="inlineStr">
        <is>
          <t>F</t>
        </is>
      </c>
      <c r="D135" t="n">
        <v>25</v>
      </c>
      <c r="E135" t="inlineStr">
        <is>
          <t>B_C2first</t>
        </is>
      </c>
      <c r="F135" t="inlineStr">
        <is>
          <t>Stimulus</t>
        </is>
      </c>
      <c r="G135" t="inlineStr">
        <is>
          <t>Commercial_1B</t>
        </is>
      </c>
      <c r="H135" t="n">
        <v>248000</v>
      </c>
      <c r="I135" t="n">
        <v>54000</v>
      </c>
      <c r="J135" t="inlineStr">
        <is>
          <t>Commercial_1B</t>
        </is>
      </c>
      <c r="K135" s="4" t="n">
        <v>-0.0381</v>
      </c>
      <c r="L135" t="inlineStr">
        <is>
          <t>Frontal Asymmetry (Enobio EEG)</t>
        </is>
      </c>
      <c r="M135">
        <f>LEFT(E135,1)</f>
        <v/>
      </c>
      <c r="N135">
        <f>MID(E135,3,10)</f>
        <v/>
      </c>
      <c r="O135">
        <f>IF(F135="Stimulus",IF(LEFT(G135,8)="Baseline",G135,IF(LEFT(G135,12)="Commercial_1","C1","C2")),IF(G135="KeyScene","KeyScene",IF(LEFT(J135,12)="Commercial_1","EndScene_C1","EndScene_C2")))</f>
        <v/>
      </c>
      <c r="P135">
        <f>IF(COUNTIFS(Artifact!$B$2:$B$385,B135,Artifact!$K$2:$K$385,"&gt;25")+COUNTIFS(Log!$A$2:$A$49,B135,Log!$H$2:$H$49,"Red")+COUNTIFS(Log!$A$2:$A$49,B135,Log!$I$2:$I$49,"Red")&gt;0,"No","Yes")</f>
        <v/>
      </c>
      <c r="Q135">
        <f>IF(COUNTIFS(Artifact!$B$2:$B$385,B135,Artifact!$K$2:$K$385,"&gt;15")+COUNTIFS(Log!$A$2:$A$49,B135,Log!$H$2:$H$49,"Red")+COUNTIFS(Log!$A$2:$A$49,B135,Log!$I$2:$I$49,"Red")&gt;0,"No","Yes")</f>
        <v/>
      </c>
    </row>
    <row r="136">
      <c r="A136" t="inlineStr">
        <is>
          <t>SIMULATED Commercial FA Study</t>
        </is>
      </c>
      <c r="B136" t="inlineStr">
        <is>
          <t>P21</t>
        </is>
      </c>
      <c r="C136" t="inlineStr">
        <is>
          <t>F</t>
        </is>
      </c>
      <c r="D136" t="n">
        <v>25</v>
      </c>
      <c r="E136" t="inlineStr">
        <is>
          <t>B_C2first</t>
        </is>
      </c>
      <c r="F136" t="inlineStr">
        <is>
          <t>Annotation</t>
        </is>
      </c>
      <c r="G136" t="inlineStr">
        <is>
          <t>EndScene</t>
        </is>
      </c>
      <c r="H136" t="n">
        <v>135000</v>
      </c>
      <c r="I136" t="n">
        <v>10000</v>
      </c>
      <c r="J136" t="inlineStr">
        <is>
          <t>Commercial_2</t>
        </is>
      </c>
      <c r="K136" s="4" t="n">
        <v>-0.0453</v>
      </c>
      <c r="L136" t="inlineStr">
        <is>
          <t>Frontal Asymmetry (Enobio EEG)</t>
        </is>
      </c>
      <c r="M136">
        <f>LEFT(E136,1)</f>
        <v/>
      </c>
      <c r="N136">
        <f>MID(E136,3,10)</f>
        <v/>
      </c>
      <c r="O136">
        <f>IF(F136="Stimulus",IF(LEFT(G136,8)="Baseline",G136,IF(LEFT(G136,12)="Commercial_1","C1","C2")),IF(G136="KeyScene","KeyScene",IF(LEFT(J136,12)="Commercial_1","EndScene_C1","EndScene_C2")))</f>
        <v/>
      </c>
      <c r="P136">
        <f>IF(COUNTIFS(Artifact!$B$2:$B$385,B136,Artifact!$K$2:$K$385,"&gt;25")+COUNTIFS(Log!$A$2:$A$49,B136,Log!$H$2:$H$49,"Red")+COUNTIFS(Log!$A$2:$A$49,B136,Log!$I$2:$I$49,"Red")&gt;0,"No","Yes")</f>
        <v/>
      </c>
      <c r="Q136">
        <f>IF(COUNTIFS(Artifact!$B$2:$B$385,B136,Artifact!$K$2:$K$385,"&gt;15")+COUNTIFS(Log!$A$2:$A$49,B136,Log!$H$2:$H$49,"Red")+COUNTIFS(Log!$A$2:$A$49,B136,Log!$I$2:$I$49,"Red")&gt;0,"No","Yes")</f>
        <v/>
      </c>
    </row>
    <row r="137">
      <c r="A137" t="inlineStr">
        <is>
          <t>SIMULATED Commercial FA Study</t>
        </is>
      </c>
      <c r="B137" t="inlineStr">
        <is>
          <t>P21</t>
        </is>
      </c>
      <c r="C137" t="inlineStr">
        <is>
          <t>F</t>
        </is>
      </c>
      <c r="D137" t="n">
        <v>25</v>
      </c>
      <c r="E137" t="inlineStr">
        <is>
          <t>B_C2first</t>
        </is>
      </c>
      <c r="F137" t="inlineStr">
        <is>
          <t>Annotation</t>
        </is>
      </c>
      <c r="G137" t="inlineStr">
        <is>
          <t>EndScene</t>
        </is>
      </c>
      <c r="H137" t="n">
        <v>292000</v>
      </c>
      <c r="I137" t="n">
        <v>10000</v>
      </c>
      <c r="J137" t="inlineStr">
        <is>
          <t>Commercial_1B</t>
        </is>
      </c>
      <c r="K137" s="4" t="n">
        <v>-0.0393</v>
      </c>
      <c r="L137" t="inlineStr">
        <is>
          <t>Frontal Asymmetry (Enobio EEG)</t>
        </is>
      </c>
      <c r="M137">
        <f>LEFT(E137,1)</f>
        <v/>
      </c>
      <c r="N137">
        <f>MID(E137,3,10)</f>
        <v/>
      </c>
      <c r="O137">
        <f>IF(F137="Stimulus",IF(LEFT(G137,8)="Baseline",G137,IF(LEFT(G137,12)="Commercial_1","C1","C2")),IF(G137="KeyScene","KeyScene",IF(LEFT(J137,12)="Commercial_1","EndScene_C1","EndScene_C2")))</f>
        <v/>
      </c>
      <c r="P137">
        <f>IF(COUNTIFS(Artifact!$B$2:$B$385,B137,Artifact!$K$2:$K$385,"&gt;25")+COUNTIFS(Log!$A$2:$A$49,B137,Log!$H$2:$H$49,"Red")+COUNTIFS(Log!$A$2:$A$49,B137,Log!$I$2:$I$49,"Red")&gt;0,"No","Yes")</f>
        <v/>
      </c>
      <c r="Q137">
        <f>IF(COUNTIFS(Artifact!$B$2:$B$385,B137,Artifact!$K$2:$K$385,"&gt;15")+COUNTIFS(Log!$A$2:$A$49,B137,Log!$H$2:$H$49,"Red")+COUNTIFS(Log!$A$2:$A$49,B137,Log!$I$2:$I$49,"Red")&gt;0,"No","Yes")</f>
        <v/>
      </c>
    </row>
    <row r="138">
      <c r="A138" t="inlineStr">
        <is>
          <t>SIMULATED Commercial FA Study</t>
        </is>
      </c>
      <c r="B138" t="inlineStr">
        <is>
          <t>P22</t>
        </is>
      </c>
      <c r="C138" t="inlineStr">
        <is>
          <t>F</t>
        </is>
      </c>
      <c r="D138" t="n">
        <v>24</v>
      </c>
      <c r="E138" t="inlineStr">
        <is>
          <t>B_C1first</t>
        </is>
      </c>
      <c r="F138" t="inlineStr">
        <is>
          <t>Stimulus</t>
        </is>
      </c>
      <c r="G138" t="inlineStr">
        <is>
          <t>Baseline_1</t>
        </is>
      </c>
      <c r="H138" t="n">
        <v>35000</v>
      </c>
      <c r="I138" t="n">
        <v>60000</v>
      </c>
      <c r="J138" t="inlineStr">
        <is>
          <t>Baseline_1</t>
        </is>
      </c>
      <c r="K138" s="4" t="n">
        <v>0.0541</v>
      </c>
      <c r="L138" t="inlineStr">
        <is>
          <t>Frontal Asymmetry (Enobio EEG)</t>
        </is>
      </c>
      <c r="M138">
        <f>LEFT(E138,1)</f>
        <v/>
      </c>
      <c r="N138">
        <f>MID(E138,3,10)</f>
        <v/>
      </c>
      <c r="O138">
        <f>IF(F138="Stimulus",IF(LEFT(G138,8)="Baseline",G138,IF(LEFT(G138,12)="Commercial_1","C1","C2")),IF(G138="KeyScene","KeyScene",IF(LEFT(J138,12)="Commercial_1","EndScene_C1","EndScene_C2")))</f>
        <v/>
      </c>
      <c r="P138">
        <f>IF(COUNTIFS(Artifact!$B$2:$B$385,B138,Artifact!$K$2:$K$385,"&gt;25")+COUNTIFS(Log!$A$2:$A$49,B138,Log!$H$2:$H$49,"Red")+COUNTIFS(Log!$A$2:$A$49,B138,Log!$I$2:$I$49,"Red")&gt;0,"No","Yes")</f>
        <v/>
      </c>
      <c r="Q138">
        <f>IF(COUNTIFS(Artifact!$B$2:$B$385,B138,Artifact!$K$2:$K$385,"&gt;15")+COUNTIFS(Log!$A$2:$A$49,B138,Log!$H$2:$H$49,"Red")+COUNTIFS(Log!$A$2:$A$49,B138,Log!$I$2:$I$49,"Red")&gt;0,"No","Yes")</f>
        <v/>
      </c>
    </row>
    <row r="139">
      <c r="A139" t="inlineStr">
        <is>
          <t>SIMULATED Commercial FA Study</t>
        </is>
      </c>
      <c r="B139" t="inlineStr">
        <is>
          <t>P22</t>
        </is>
      </c>
      <c r="C139" t="inlineStr">
        <is>
          <t>F</t>
        </is>
      </c>
      <c r="D139" t="n">
        <v>24</v>
      </c>
      <c r="E139" t="inlineStr">
        <is>
          <t>B_C1first</t>
        </is>
      </c>
      <c r="F139" t="inlineStr">
        <is>
          <t>Stimulus</t>
        </is>
      </c>
      <c r="G139" t="inlineStr">
        <is>
          <t>Commercial_1B</t>
        </is>
      </c>
      <c r="H139" t="n">
        <v>95000</v>
      </c>
      <c r="I139" t="n">
        <v>54000</v>
      </c>
      <c r="J139" t="inlineStr">
        <is>
          <t>Commercial_1B</t>
        </is>
      </c>
      <c r="K139" s="4" t="n">
        <v>-0.0329</v>
      </c>
      <c r="L139" t="inlineStr">
        <is>
          <t>Frontal Asymmetry (Enobio EEG)</t>
        </is>
      </c>
      <c r="M139">
        <f>LEFT(E139,1)</f>
        <v/>
      </c>
      <c r="N139">
        <f>MID(E139,3,10)</f>
        <v/>
      </c>
      <c r="O139">
        <f>IF(F139="Stimulus",IF(LEFT(G139,8)="Baseline",G139,IF(LEFT(G139,12)="Commercial_1","C1","C2")),IF(G139="KeyScene","KeyScene",IF(LEFT(J139,12)="Commercial_1","EndScene_C1","EndScene_C2")))</f>
        <v/>
      </c>
      <c r="P139">
        <f>IF(COUNTIFS(Artifact!$B$2:$B$385,B139,Artifact!$K$2:$K$385,"&gt;25")+COUNTIFS(Log!$A$2:$A$49,B139,Log!$H$2:$H$49,"Red")+COUNTIFS(Log!$A$2:$A$49,B139,Log!$I$2:$I$49,"Red")&gt;0,"No","Yes")</f>
        <v/>
      </c>
      <c r="Q139">
        <f>IF(COUNTIFS(Artifact!$B$2:$B$385,B139,Artifact!$K$2:$K$385,"&gt;15")+COUNTIFS(Log!$A$2:$A$49,B139,Log!$H$2:$H$49,"Red")+COUNTIFS(Log!$A$2:$A$49,B139,Log!$I$2:$I$49,"Red")&gt;0,"No","Yes")</f>
        <v/>
      </c>
    </row>
    <row r="140">
      <c r="A140" t="inlineStr">
        <is>
          <t>SIMULATED Commercial FA Study</t>
        </is>
      </c>
      <c r="B140" t="inlineStr">
        <is>
          <t>P22</t>
        </is>
      </c>
      <c r="C140" t="inlineStr">
        <is>
          <t>F</t>
        </is>
      </c>
      <c r="D140" t="n">
        <v>24</v>
      </c>
      <c r="E140" t="inlineStr">
        <is>
          <t>B_C1first</t>
        </is>
      </c>
      <c r="F140" t="inlineStr">
        <is>
          <t>Stimulus</t>
        </is>
      </c>
      <c r="G140" t="inlineStr">
        <is>
          <t>Baseline_2</t>
        </is>
      </c>
      <c r="H140" t="n">
        <v>179000</v>
      </c>
      <c r="I140" t="n">
        <v>60000</v>
      </c>
      <c r="J140" t="inlineStr">
        <is>
          <t>Baseline_2</t>
        </is>
      </c>
      <c r="K140" s="4" t="n">
        <v>0.0842</v>
      </c>
      <c r="L140" t="inlineStr">
        <is>
          <t>Frontal Asymmetry (Enobio EEG)</t>
        </is>
      </c>
      <c r="M140">
        <f>LEFT(E140,1)</f>
        <v/>
      </c>
      <c r="N140">
        <f>MID(E140,3,10)</f>
        <v/>
      </c>
      <c r="O140">
        <f>IF(F140="Stimulus",IF(LEFT(G140,8)="Baseline",G140,IF(LEFT(G140,12)="Commercial_1","C1","C2")),IF(G140="KeyScene","KeyScene",IF(LEFT(J140,12)="Commercial_1","EndScene_C1","EndScene_C2")))</f>
        <v/>
      </c>
      <c r="P140">
        <f>IF(COUNTIFS(Artifact!$B$2:$B$385,B140,Artifact!$K$2:$K$385,"&gt;25")+COUNTIFS(Log!$A$2:$A$49,B140,Log!$H$2:$H$49,"Red")+COUNTIFS(Log!$A$2:$A$49,B140,Log!$I$2:$I$49,"Red")&gt;0,"No","Yes")</f>
        <v/>
      </c>
      <c r="Q140">
        <f>IF(COUNTIFS(Artifact!$B$2:$B$385,B140,Artifact!$K$2:$K$385,"&gt;15")+COUNTIFS(Log!$A$2:$A$49,B140,Log!$H$2:$H$49,"Red")+COUNTIFS(Log!$A$2:$A$49,B140,Log!$I$2:$I$49,"Red")&gt;0,"No","Yes")</f>
        <v/>
      </c>
    </row>
    <row r="141">
      <c r="A141" t="inlineStr">
        <is>
          <t>SIMULATED Commercial FA Study</t>
        </is>
      </c>
      <c r="B141" t="inlineStr">
        <is>
          <t>P22</t>
        </is>
      </c>
      <c r="C141" t="inlineStr">
        <is>
          <t>F</t>
        </is>
      </c>
      <c r="D141" t="n">
        <v>24</v>
      </c>
      <c r="E141" t="inlineStr">
        <is>
          <t>B_C1first</t>
        </is>
      </c>
      <c r="F141" t="inlineStr">
        <is>
          <t>Stimulus</t>
        </is>
      </c>
      <c r="G141" t="inlineStr">
        <is>
          <t>Commercial_2</t>
        </is>
      </c>
      <c r="H141" t="n">
        <v>239000</v>
      </c>
      <c r="I141" t="n">
        <v>60000</v>
      </c>
      <c r="J141" t="inlineStr">
        <is>
          <t>Commercial_2</t>
        </is>
      </c>
      <c r="K141" s="4" t="n">
        <v>0.1525</v>
      </c>
      <c r="L141" t="inlineStr">
        <is>
          <t>Frontal Asymmetry (Enobio EEG)</t>
        </is>
      </c>
      <c r="M141">
        <f>LEFT(E141,1)</f>
        <v/>
      </c>
      <c r="N141">
        <f>MID(E141,3,10)</f>
        <v/>
      </c>
      <c r="O141">
        <f>IF(F141="Stimulus",IF(LEFT(G141,8)="Baseline",G141,IF(LEFT(G141,12)="Commercial_1","C1","C2")),IF(G141="KeyScene","KeyScene",IF(LEFT(J141,12)="Commercial_1","EndScene_C1","EndScene_C2")))</f>
        <v/>
      </c>
      <c r="P141">
        <f>IF(COUNTIFS(Artifact!$B$2:$B$385,B141,Artifact!$K$2:$K$385,"&gt;25")+COUNTIFS(Log!$A$2:$A$49,B141,Log!$H$2:$H$49,"Red")+COUNTIFS(Log!$A$2:$A$49,B141,Log!$I$2:$I$49,"Red")&gt;0,"No","Yes")</f>
        <v/>
      </c>
      <c r="Q141">
        <f>IF(COUNTIFS(Artifact!$B$2:$B$385,B141,Artifact!$K$2:$K$385,"&gt;15")+COUNTIFS(Log!$A$2:$A$49,B141,Log!$H$2:$H$49,"Red")+COUNTIFS(Log!$A$2:$A$49,B141,Log!$I$2:$I$49,"Red")&gt;0,"No","Yes")</f>
        <v/>
      </c>
    </row>
    <row r="142">
      <c r="A142" t="inlineStr">
        <is>
          <t>SIMULATED Commercial FA Study</t>
        </is>
      </c>
      <c r="B142" t="inlineStr">
        <is>
          <t>P22</t>
        </is>
      </c>
      <c r="C142" t="inlineStr">
        <is>
          <t>F</t>
        </is>
      </c>
      <c r="D142" t="n">
        <v>24</v>
      </c>
      <c r="E142" t="inlineStr">
        <is>
          <t>B_C1first</t>
        </is>
      </c>
      <c r="F142" t="inlineStr">
        <is>
          <t>Annotation</t>
        </is>
      </c>
      <c r="G142" t="inlineStr">
        <is>
          <t>EndScene</t>
        </is>
      </c>
      <c r="H142" t="n">
        <v>139000</v>
      </c>
      <c r="I142" t="n">
        <v>10000</v>
      </c>
      <c r="J142" t="inlineStr">
        <is>
          <t>Commercial_1B</t>
        </is>
      </c>
      <c r="K142" s="4" t="n">
        <v>-0.1231</v>
      </c>
      <c r="L142" t="inlineStr">
        <is>
          <t>Frontal Asymmetry (Enobio EEG)</t>
        </is>
      </c>
      <c r="M142">
        <f>LEFT(E142,1)</f>
        <v/>
      </c>
      <c r="N142">
        <f>MID(E142,3,10)</f>
        <v/>
      </c>
      <c r="O142">
        <f>IF(F142="Stimulus",IF(LEFT(G142,8)="Baseline",G142,IF(LEFT(G142,12)="Commercial_1","C1","C2")),IF(G142="KeyScene","KeyScene",IF(LEFT(J142,12)="Commercial_1","EndScene_C1","EndScene_C2")))</f>
        <v/>
      </c>
      <c r="P142">
        <f>IF(COUNTIFS(Artifact!$B$2:$B$385,B142,Artifact!$K$2:$K$385,"&gt;25")+COUNTIFS(Log!$A$2:$A$49,B142,Log!$H$2:$H$49,"Red")+COUNTIFS(Log!$A$2:$A$49,B142,Log!$I$2:$I$49,"Red")&gt;0,"No","Yes")</f>
        <v/>
      </c>
      <c r="Q142">
        <f>IF(COUNTIFS(Artifact!$B$2:$B$385,B142,Artifact!$K$2:$K$385,"&gt;15")+COUNTIFS(Log!$A$2:$A$49,B142,Log!$H$2:$H$49,"Red")+COUNTIFS(Log!$A$2:$A$49,B142,Log!$I$2:$I$49,"Red")&gt;0,"No","Yes")</f>
        <v/>
      </c>
    </row>
    <row r="143">
      <c r="A143" t="inlineStr">
        <is>
          <t>SIMULATED Commercial FA Study</t>
        </is>
      </c>
      <c r="B143" t="inlineStr">
        <is>
          <t>P22</t>
        </is>
      </c>
      <c r="C143" t="inlineStr">
        <is>
          <t>F</t>
        </is>
      </c>
      <c r="D143" t="n">
        <v>24</v>
      </c>
      <c r="E143" t="inlineStr">
        <is>
          <t>B_C1first</t>
        </is>
      </c>
      <c r="F143" t="inlineStr">
        <is>
          <t>Annotation</t>
        </is>
      </c>
      <c r="G143" t="inlineStr">
        <is>
          <t>EndScene</t>
        </is>
      </c>
      <c r="H143" t="n">
        <v>289000</v>
      </c>
      <c r="I143" t="n">
        <v>10000</v>
      </c>
      <c r="J143" t="inlineStr">
        <is>
          <t>Commercial_2</t>
        </is>
      </c>
      <c r="K143" s="4" t="n">
        <v>0.1453</v>
      </c>
      <c r="L143" t="inlineStr">
        <is>
          <t>Frontal Asymmetry (Enobio EEG)</t>
        </is>
      </c>
      <c r="M143">
        <f>LEFT(E143,1)</f>
        <v/>
      </c>
      <c r="N143">
        <f>MID(E143,3,10)</f>
        <v/>
      </c>
      <c r="O143">
        <f>IF(F143="Stimulus",IF(LEFT(G143,8)="Baseline",G143,IF(LEFT(G143,12)="Commercial_1","C1","C2")),IF(G143="KeyScene","KeyScene",IF(LEFT(J143,12)="Commercial_1","EndScene_C1","EndScene_C2")))</f>
        <v/>
      </c>
      <c r="P143">
        <f>IF(COUNTIFS(Artifact!$B$2:$B$385,B143,Artifact!$K$2:$K$385,"&gt;25")+COUNTIFS(Log!$A$2:$A$49,B143,Log!$H$2:$H$49,"Red")+COUNTIFS(Log!$A$2:$A$49,B143,Log!$I$2:$I$49,"Red")&gt;0,"No","Yes")</f>
        <v/>
      </c>
      <c r="Q143">
        <f>IF(COUNTIFS(Artifact!$B$2:$B$385,B143,Artifact!$K$2:$K$385,"&gt;15")+COUNTIFS(Log!$A$2:$A$49,B143,Log!$H$2:$H$49,"Red")+COUNTIFS(Log!$A$2:$A$49,B143,Log!$I$2:$I$49,"Red")&gt;0,"No","Yes")</f>
        <v/>
      </c>
    </row>
    <row r="144">
      <c r="A144" t="inlineStr">
        <is>
          <t>SIMULATED Commercial FA Study</t>
        </is>
      </c>
      <c r="B144" t="inlineStr">
        <is>
          <t>P23</t>
        </is>
      </c>
      <c r="C144" t="inlineStr">
        <is>
          <t>F</t>
        </is>
      </c>
      <c r="D144" t="n">
        <v>22</v>
      </c>
      <c r="E144" t="inlineStr">
        <is>
          <t>A_C2first</t>
        </is>
      </c>
      <c r="F144" t="inlineStr">
        <is>
          <t>Stimulus</t>
        </is>
      </c>
      <c r="G144" t="inlineStr">
        <is>
          <t>Baseline_1</t>
        </is>
      </c>
      <c r="H144" t="n">
        <v>30000</v>
      </c>
      <c r="I144" t="n">
        <v>60000</v>
      </c>
      <c r="J144" t="inlineStr">
        <is>
          <t>Baseline_1</t>
        </is>
      </c>
      <c r="K144" s="4" t="n">
        <v>0.0308</v>
      </c>
      <c r="L144" t="inlineStr">
        <is>
          <t>Frontal Asymmetry (Enobio EEG)</t>
        </is>
      </c>
      <c r="M144">
        <f>LEFT(E144,1)</f>
        <v/>
      </c>
      <c r="N144">
        <f>MID(E144,3,10)</f>
        <v/>
      </c>
      <c r="O144">
        <f>IF(F144="Stimulus",IF(LEFT(G144,8)="Baseline",G144,IF(LEFT(G144,12)="Commercial_1","C1","C2")),IF(G144="KeyScene","KeyScene",IF(LEFT(J144,12)="Commercial_1","EndScene_C1","EndScene_C2")))</f>
        <v/>
      </c>
      <c r="P144">
        <f>IF(COUNTIFS(Artifact!$B$2:$B$385,B144,Artifact!$K$2:$K$385,"&gt;25")+COUNTIFS(Log!$A$2:$A$49,B144,Log!$H$2:$H$49,"Red")+COUNTIFS(Log!$A$2:$A$49,B144,Log!$I$2:$I$49,"Red")&gt;0,"No","Yes")</f>
        <v/>
      </c>
      <c r="Q144">
        <f>IF(COUNTIFS(Artifact!$B$2:$B$385,B144,Artifact!$K$2:$K$385,"&gt;15")+COUNTIFS(Log!$A$2:$A$49,B144,Log!$H$2:$H$49,"Red")+COUNTIFS(Log!$A$2:$A$49,B144,Log!$I$2:$I$49,"Red")&gt;0,"No","Yes")</f>
        <v/>
      </c>
    </row>
    <row r="145">
      <c r="A145" t="inlineStr">
        <is>
          <t>SIMULATED Commercial FA Study</t>
        </is>
      </c>
      <c r="B145" t="inlineStr">
        <is>
          <t>P23</t>
        </is>
      </c>
      <c r="C145" t="inlineStr">
        <is>
          <t>F</t>
        </is>
      </c>
      <c r="D145" t="n">
        <v>22</v>
      </c>
      <c r="E145" t="inlineStr">
        <is>
          <t>A_C2first</t>
        </is>
      </c>
      <c r="F145" t="inlineStr">
        <is>
          <t>Stimulus</t>
        </is>
      </c>
      <c r="G145" t="inlineStr">
        <is>
          <t>Commercial_2</t>
        </is>
      </c>
      <c r="H145" t="n">
        <v>90000</v>
      </c>
      <c r="I145" t="n">
        <v>60000</v>
      </c>
      <c r="J145" t="inlineStr">
        <is>
          <t>Commercial_2</t>
        </is>
      </c>
      <c r="K145" s="4" t="n">
        <v>-0.0118</v>
      </c>
      <c r="L145" t="inlineStr">
        <is>
          <t>Frontal Asymmetry (Enobio EEG)</t>
        </is>
      </c>
      <c r="M145">
        <f>LEFT(E145,1)</f>
        <v/>
      </c>
      <c r="N145">
        <f>MID(E145,3,10)</f>
        <v/>
      </c>
      <c r="O145">
        <f>IF(F145="Stimulus",IF(LEFT(G145,8)="Baseline",G145,IF(LEFT(G145,12)="Commercial_1","C1","C2")),IF(G145="KeyScene","KeyScene",IF(LEFT(J145,12)="Commercial_1","EndScene_C1","EndScene_C2")))</f>
        <v/>
      </c>
      <c r="P145">
        <f>IF(COUNTIFS(Artifact!$B$2:$B$385,B145,Artifact!$K$2:$K$385,"&gt;25")+COUNTIFS(Log!$A$2:$A$49,B145,Log!$H$2:$H$49,"Red")+COUNTIFS(Log!$A$2:$A$49,B145,Log!$I$2:$I$49,"Red")&gt;0,"No","Yes")</f>
        <v/>
      </c>
      <c r="Q145">
        <f>IF(COUNTIFS(Artifact!$B$2:$B$385,B145,Artifact!$K$2:$K$385,"&gt;15")+COUNTIFS(Log!$A$2:$A$49,B145,Log!$H$2:$H$49,"Red")+COUNTIFS(Log!$A$2:$A$49,B145,Log!$I$2:$I$49,"Red")&gt;0,"No","Yes")</f>
        <v/>
      </c>
    </row>
    <row r="146">
      <c r="A146" t="inlineStr">
        <is>
          <t>SIMULATED Commercial FA Study</t>
        </is>
      </c>
      <c r="B146" t="inlineStr">
        <is>
          <t>P23</t>
        </is>
      </c>
      <c r="C146" t="inlineStr">
        <is>
          <t>F</t>
        </is>
      </c>
      <c r="D146" t="n">
        <v>22</v>
      </c>
      <c r="E146" t="inlineStr">
        <is>
          <t>A_C2first</t>
        </is>
      </c>
      <c r="F146" t="inlineStr">
        <is>
          <t>Stimulus</t>
        </is>
      </c>
      <c r="G146" t="inlineStr">
        <is>
          <t>Baseline_2</t>
        </is>
      </c>
      <c r="H146" t="n">
        <v>208000</v>
      </c>
      <c r="I146" t="n">
        <v>60000</v>
      </c>
      <c r="J146" t="inlineStr">
        <is>
          <t>Baseline_2</t>
        </is>
      </c>
      <c r="K146" s="4" t="n">
        <v>-0.0004</v>
      </c>
      <c r="L146" t="inlineStr">
        <is>
          <t>Frontal Asymmetry (Enobio EEG)</t>
        </is>
      </c>
      <c r="M146">
        <f>LEFT(E146,1)</f>
        <v/>
      </c>
      <c r="N146">
        <f>MID(E146,3,10)</f>
        <v/>
      </c>
      <c r="O146">
        <f>IF(F146="Stimulus",IF(LEFT(G146,8)="Baseline",G146,IF(LEFT(G146,12)="Commercial_1","C1","C2")),IF(G146="KeyScene","KeyScene",IF(LEFT(J146,12)="Commercial_1","EndScene_C1","EndScene_C2")))</f>
        <v/>
      </c>
      <c r="P146">
        <f>IF(COUNTIFS(Artifact!$B$2:$B$385,B146,Artifact!$K$2:$K$385,"&gt;25")+COUNTIFS(Log!$A$2:$A$49,B146,Log!$H$2:$H$49,"Red")+COUNTIFS(Log!$A$2:$A$49,B146,Log!$I$2:$I$49,"Red")&gt;0,"No","Yes")</f>
        <v/>
      </c>
      <c r="Q146">
        <f>IF(COUNTIFS(Artifact!$B$2:$B$385,B146,Artifact!$K$2:$K$385,"&gt;15")+COUNTIFS(Log!$A$2:$A$49,B146,Log!$H$2:$H$49,"Red")+COUNTIFS(Log!$A$2:$A$49,B146,Log!$I$2:$I$49,"Red")&gt;0,"No","Yes")</f>
        <v/>
      </c>
    </row>
    <row r="147">
      <c r="A147" t="inlineStr">
        <is>
          <t>SIMULATED Commercial FA Study</t>
        </is>
      </c>
      <c r="B147" t="inlineStr">
        <is>
          <t>P23</t>
        </is>
      </c>
      <c r="C147" t="inlineStr">
        <is>
          <t>F</t>
        </is>
      </c>
      <c r="D147" t="n">
        <v>22</v>
      </c>
      <c r="E147" t="inlineStr">
        <is>
          <t>A_C2first</t>
        </is>
      </c>
      <c r="F147" t="inlineStr">
        <is>
          <t>Stimulus</t>
        </is>
      </c>
      <c r="G147" t="inlineStr">
        <is>
          <t>Commercial_1A</t>
        </is>
      </c>
      <c r="H147" t="n">
        <v>268000</v>
      </c>
      <c r="I147" t="n">
        <v>60000</v>
      </c>
      <c r="J147" t="inlineStr">
        <is>
          <t>Commercial_1A</t>
        </is>
      </c>
      <c r="K147" s="4" t="n">
        <v>-0.0124</v>
      </c>
      <c r="L147" t="inlineStr">
        <is>
          <t>Frontal Asymmetry (Enobio EEG)</t>
        </is>
      </c>
      <c r="M147">
        <f>LEFT(E147,1)</f>
        <v/>
      </c>
      <c r="N147">
        <f>MID(E147,3,10)</f>
        <v/>
      </c>
      <c r="O147">
        <f>IF(F147="Stimulus",IF(LEFT(G147,8)="Baseline",G147,IF(LEFT(G147,12)="Commercial_1","C1","C2")),IF(G147="KeyScene","KeyScene",IF(LEFT(J147,12)="Commercial_1","EndScene_C1","EndScene_C2")))</f>
        <v/>
      </c>
      <c r="P147">
        <f>IF(COUNTIFS(Artifact!$B$2:$B$385,B147,Artifact!$K$2:$K$385,"&gt;25")+COUNTIFS(Log!$A$2:$A$49,B147,Log!$H$2:$H$49,"Red")+COUNTIFS(Log!$A$2:$A$49,B147,Log!$I$2:$I$49,"Red")&gt;0,"No","Yes")</f>
        <v/>
      </c>
      <c r="Q147">
        <f>IF(COUNTIFS(Artifact!$B$2:$B$385,B147,Artifact!$K$2:$K$385,"&gt;15")+COUNTIFS(Log!$A$2:$A$49,B147,Log!$H$2:$H$49,"Red")+COUNTIFS(Log!$A$2:$A$49,B147,Log!$I$2:$I$49,"Red")&gt;0,"No","Yes")</f>
        <v/>
      </c>
    </row>
    <row r="148">
      <c r="A148" t="inlineStr">
        <is>
          <t>SIMULATED Commercial FA Study</t>
        </is>
      </c>
      <c r="B148" t="inlineStr">
        <is>
          <t>P23</t>
        </is>
      </c>
      <c r="C148" t="inlineStr">
        <is>
          <t>F</t>
        </is>
      </c>
      <c r="D148" t="n">
        <v>22</v>
      </c>
      <c r="E148" t="inlineStr">
        <is>
          <t>A_C2first</t>
        </is>
      </c>
      <c r="F148" t="inlineStr">
        <is>
          <t>Annotation</t>
        </is>
      </c>
      <c r="G148" t="inlineStr">
        <is>
          <t>EndScene</t>
        </is>
      </c>
      <c r="H148" t="n">
        <v>140000</v>
      </c>
      <c r="I148" t="n">
        <v>10000</v>
      </c>
      <c r="J148" t="inlineStr">
        <is>
          <t>Commercial_2</t>
        </is>
      </c>
      <c r="K148" s="4" t="n">
        <v>-0.128</v>
      </c>
      <c r="L148" t="inlineStr">
        <is>
          <t>Frontal Asymmetry (Enobio EEG)</t>
        </is>
      </c>
      <c r="M148">
        <f>LEFT(E148,1)</f>
        <v/>
      </c>
      <c r="N148">
        <f>MID(E148,3,10)</f>
        <v/>
      </c>
      <c r="O148">
        <f>IF(F148="Stimulus",IF(LEFT(G148,8)="Baseline",G148,IF(LEFT(G148,12)="Commercial_1","C1","C2")),IF(G148="KeyScene","KeyScene",IF(LEFT(J148,12)="Commercial_1","EndScene_C1","EndScene_C2")))</f>
        <v/>
      </c>
      <c r="P148">
        <f>IF(COUNTIFS(Artifact!$B$2:$B$385,B148,Artifact!$K$2:$K$385,"&gt;25")+COUNTIFS(Log!$A$2:$A$49,B148,Log!$H$2:$H$49,"Red")+COUNTIFS(Log!$A$2:$A$49,B148,Log!$I$2:$I$49,"Red")&gt;0,"No","Yes")</f>
        <v/>
      </c>
      <c r="Q148">
        <f>IF(COUNTIFS(Artifact!$B$2:$B$385,B148,Artifact!$K$2:$K$385,"&gt;15")+COUNTIFS(Log!$A$2:$A$49,B148,Log!$H$2:$H$49,"Red")+COUNTIFS(Log!$A$2:$A$49,B148,Log!$I$2:$I$49,"Red")&gt;0,"No","Yes")</f>
        <v/>
      </c>
    </row>
    <row r="149">
      <c r="A149" t="inlineStr">
        <is>
          <t>SIMULATED Commercial FA Study</t>
        </is>
      </c>
      <c r="B149" t="inlineStr">
        <is>
          <t>P23</t>
        </is>
      </c>
      <c r="C149" t="inlineStr">
        <is>
          <t>F</t>
        </is>
      </c>
      <c r="D149" t="n">
        <v>22</v>
      </c>
      <c r="E149" t="inlineStr">
        <is>
          <t>A_C2first</t>
        </is>
      </c>
      <c r="F149" t="inlineStr">
        <is>
          <t>Annotation</t>
        </is>
      </c>
      <c r="G149" t="inlineStr">
        <is>
          <t>KeyScene</t>
        </is>
      </c>
      <c r="H149" t="n">
        <v>300000</v>
      </c>
      <c r="I149" t="n">
        <v>6000</v>
      </c>
      <c r="J149" t="inlineStr">
        <is>
          <t>Commercial_1A</t>
        </is>
      </c>
      <c r="K149" s="4" t="n">
        <v>0.145</v>
      </c>
      <c r="L149" t="inlineStr">
        <is>
          <t>Frontal Asymmetry (Enobio EEG)</t>
        </is>
      </c>
      <c r="M149">
        <f>LEFT(E149,1)</f>
        <v/>
      </c>
      <c r="N149">
        <f>MID(E149,3,10)</f>
        <v/>
      </c>
      <c r="O149">
        <f>IF(F149="Stimulus",IF(LEFT(G149,8)="Baseline",G149,IF(LEFT(G149,12)="Commercial_1","C1","C2")),IF(G149="KeyScene","KeyScene",IF(LEFT(J149,12)="Commercial_1","EndScene_C1","EndScene_C2")))</f>
        <v/>
      </c>
      <c r="P149">
        <f>IF(COUNTIFS(Artifact!$B$2:$B$385,B149,Artifact!$K$2:$K$385,"&gt;25")+COUNTIFS(Log!$A$2:$A$49,B149,Log!$H$2:$H$49,"Red")+COUNTIFS(Log!$A$2:$A$49,B149,Log!$I$2:$I$49,"Red")&gt;0,"No","Yes")</f>
        <v/>
      </c>
      <c r="Q149">
        <f>IF(COUNTIFS(Artifact!$B$2:$B$385,B149,Artifact!$K$2:$K$385,"&gt;15")+COUNTIFS(Log!$A$2:$A$49,B149,Log!$H$2:$H$49,"Red")+COUNTIFS(Log!$A$2:$A$49,B149,Log!$I$2:$I$49,"Red")&gt;0,"No","Yes")</f>
        <v/>
      </c>
    </row>
    <row r="150">
      <c r="A150" t="inlineStr">
        <is>
          <t>SIMULATED Commercial FA Study</t>
        </is>
      </c>
      <c r="B150" t="inlineStr">
        <is>
          <t>P23</t>
        </is>
      </c>
      <c r="C150" t="inlineStr">
        <is>
          <t>F</t>
        </is>
      </c>
      <c r="D150" t="n">
        <v>22</v>
      </c>
      <c r="E150" t="inlineStr">
        <is>
          <t>A_C2first</t>
        </is>
      </c>
      <c r="F150" t="inlineStr">
        <is>
          <t>Annotation</t>
        </is>
      </c>
      <c r="G150" t="inlineStr">
        <is>
          <t>EndScene</t>
        </is>
      </c>
      <c r="H150" t="n">
        <v>318000</v>
      </c>
      <c r="I150" t="n">
        <v>10000</v>
      </c>
      <c r="J150" t="inlineStr">
        <is>
          <t>Commercial_1A</t>
        </is>
      </c>
      <c r="K150" s="4" t="n">
        <v>-0.0305</v>
      </c>
      <c r="L150" t="inlineStr">
        <is>
          <t>Frontal Asymmetry (Enobio EEG)</t>
        </is>
      </c>
      <c r="M150">
        <f>LEFT(E150,1)</f>
        <v/>
      </c>
      <c r="N150">
        <f>MID(E150,3,10)</f>
        <v/>
      </c>
      <c r="O150">
        <f>IF(F150="Stimulus",IF(LEFT(G150,8)="Baseline",G150,IF(LEFT(G150,12)="Commercial_1","C1","C2")),IF(G150="KeyScene","KeyScene",IF(LEFT(J150,12)="Commercial_1","EndScene_C1","EndScene_C2")))</f>
        <v/>
      </c>
      <c r="P150">
        <f>IF(COUNTIFS(Artifact!$B$2:$B$385,B150,Artifact!$K$2:$K$385,"&gt;25")+COUNTIFS(Log!$A$2:$A$49,B150,Log!$H$2:$H$49,"Red")+COUNTIFS(Log!$A$2:$A$49,B150,Log!$I$2:$I$49,"Red")&gt;0,"No","Yes")</f>
        <v/>
      </c>
      <c r="Q150">
        <f>IF(COUNTIFS(Artifact!$B$2:$B$385,B150,Artifact!$K$2:$K$385,"&gt;15")+COUNTIFS(Log!$A$2:$A$49,B150,Log!$H$2:$H$49,"Red")+COUNTIFS(Log!$A$2:$A$49,B150,Log!$I$2:$I$49,"Red")&gt;0,"No","Yes")</f>
        <v/>
      </c>
    </row>
    <row r="151">
      <c r="A151" t="inlineStr">
        <is>
          <t>SIMULATED Commercial FA Study</t>
        </is>
      </c>
      <c r="B151" t="inlineStr">
        <is>
          <t>P24</t>
        </is>
      </c>
      <c r="C151" t="inlineStr">
        <is>
          <t>M</t>
        </is>
      </c>
      <c r="D151" t="n">
        <v>19</v>
      </c>
      <c r="E151" t="inlineStr">
        <is>
          <t>A_C1first</t>
        </is>
      </c>
      <c r="F151" t="inlineStr">
        <is>
          <t>Stimulus</t>
        </is>
      </c>
      <c r="G151" t="inlineStr">
        <is>
          <t>Baseline_1</t>
        </is>
      </c>
      <c r="H151" t="n">
        <v>25000</v>
      </c>
      <c r="I151" t="n">
        <v>60000</v>
      </c>
      <c r="J151" t="inlineStr">
        <is>
          <t>Baseline_1</t>
        </is>
      </c>
      <c r="K151" s="4" t="n">
        <v>-0.2389</v>
      </c>
      <c r="L151" t="inlineStr">
        <is>
          <t>Frontal Asymmetry (Enobio EEG)</t>
        </is>
      </c>
      <c r="M151">
        <f>LEFT(E151,1)</f>
        <v/>
      </c>
      <c r="N151">
        <f>MID(E151,3,10)</f>
        <v/>
      </c>
      <c r="O151">
        <f>IF(F151="Stimulus",IF(LEFT(G151,8)="Baseline",G151,IF(LEFT(G151,12)="Commercial_1","C1","C2")),IF(G151="KeyScene","KeyScene",IF(LEFT(J151,12)="Commercial_1","EndScene_C1","EndScene_C2")))</f>
        <v/>
      </c>
      <c r="P151">
        <f>IF(COUNTIFS(Artifact!$B$2:$B$385,B151,Artifact!$K$2:$K$385,"&gt;25")+COUNTIFS(Log!$A$2:$A$49,B151,Log!$H$2:$H$49,"Red")+COUNTIFS(Log!$A$2:$A$49,B151,Log!$I$2:$I$49,"Red")&gt;0,"No","Yes")</f>
        <v/>
      </c>
      <c r="Q151">
        <f>IF(COUNTIFS(Artifact!$B$2:$B$385,B151,Artifact!$K$2:$K$385,"&gt;15")+COUNTIFS(Log!$A$2:$A$49,B151,Log!$H$2:$H$49,"Red")+COUNTIFS(Log!$A$2:$A$49,B151,Log!$I$2:$I$49,"Red")&gt;0,"No","Yes")</f>
        <v/>
      </c>
    </row>
    <row r="152">
      <c r="A152" t="inlineStr">
        <is>
          <t>SIMULATED Commercial FA Study</t>
        </is>
      </c>
      <c r="B152" t="inlineStr">
        <is>
          <t>P24</t>
        </is>
      </c>
      <c r="C152" t="inlineStr">
        <is>
          <t>M</t>
        </is>
      </c>
      <c r="D152" t="n">
        <v>19</v>
      </c>
      <c r="E152" t="inlineStr">
        <is>
          <t>A_C1first</t>
        </is>
      </c>
      <c r="F152" t="inlineStr">
        <is>
          <t>Stimulus</t>
        </is>
      </c>
      <c r="G152" t="inlineStr">
        <is>
          <t>Commercial_1A</t>
        </is>
      </c>
      <c r="H152" t="n">
        <v>85000</v>
      </c>
      <c r="I152" t="n">
        <v>60000</v>
      </c>
      <c r="J152" t="inlineStr">
        <is>
          <t>Commercial_1A</t>
        </is>
      </c>
      <c r="K152" s="4" t="n">
        <v>-0.3571</v>
      </c>
      <c r="L152" t="inlineStr">
        <is>
          <t>Frontal Asymmetry (Enobio EEG)</t>
        </is>
      </c>
      <c r="M152">
        <f>LEFT(E152,1)</f>
        <v/>
      </c>
      <c r="N152">
        <f>MID(E152,3,10)</f>
        <v/>
      </c>
      <c r="O152">
        <f>IF(F152="Stimulus",IF(LEFT(G152,8)="Baseline",G152,IF(LEFT(G152,12)="Commercial_1","C1","C2")),IF(G152="KeyScene","KeyScene",IF(LEFT(J152,12)="Commercial_1","EndScene_C1","EndScene_C2")))</f>
        <v/>
      </c>
      <c r="P152">
        <f>IF(COUNTIFS(Artifact!$B$2:$B$385,B152,Artifact!$K$2:$K$385,"&gt;25")+COUNTIFS(Log!$A$2:$A$49,B152,Log!$H$2:$H$49,"Red")+COUNTIFS(Log!$A$2:$A$49,B152,Log!$I$2:$I$49,"Red")&gt;0,"No","Yes")</f>
        <v/>
      </c>
      <c r="Q152">
        <f>IF(COUNTIFS(Artifact!$B$2:$B$385,B152,Artifact!$K$2:$K$385,"&gt;15")+COUNTIFS(Log!$A$2:$A$49,B152,Log!$H$2:$H$49,"Red")+COUNTIFS(Log!$A$2:$A$49,B152,Log!$I$2:$I$49,"Red")&gt;0,"No","Yes")</f>
        <v/>
      </c>
    </row>
    <row r="153">
      <c r="A153" t="inlineStr">
        <is>
          <t>SIMULATED Commercial FA Study</t>
        </is>
      </c>
      <c r="B153" t="inlineStr">
        <is>
          <t>P24</t>
        </is>
      </c>
      <c r="C153" t="inlineStr">
        <is>
          <t>M</t>
        </is>
      </c>
      <c r="D153" t="n">
        <v>19</v>
      </c>
      <c r="E153" t="inlineStr">
        <is>
          <t>A_C1first</t>
        </is>
      </c>
      <c r="F153" t="inlineStr">
        <is>
          <t>Stimulus</t>
        </is>
      </c>
      <c r="G153" t="inlineStr">
        <is>
          <t>Baseline_2</t>
        </is>
      </c>
      <c r="H153" t="n">
        <v>188000</v>
      </c>
      <c r="I153" t="n">
        <v>60000</v>
      </c>
      <c r="J153" t="inlineStr">
        <is>
          <t>Baseline_2</t>
        </is>
      </c>
      <c r="K153" s="4" t="n">
        <v>-0.1516</v>
      </c>
      <c r="L153" t="inlineStr">
        <is>
          <t>Frontal Asymmetry (Enobio EEG)</t>
        </is>
      </c>
      <c r="M153">
        <f>LEFT(E153,1)</f>
        <v/>
      </c>
      <c r="N153">
        <f>MID(E153,3,10)</f>
        <v/>
      </c>
      <c r="O153">
        <f>IF(F153="Stimulus",IF(LEFT(G153,8)="Baseline",G153,IF(LEFT(G153,12)="Commercial_1","C1","C2")),IF(G153="KeyScene","KeyScene",IF(LEFT(J153,12)="Commercial_1","EndScene_C1","EndScene_C2")))</f>
        <v/>
      </c>
      <c r="P153">
        <f>IF(COUNTIFS(Artifact!$B$2:$B$385,B153,Artifact!$K$2:$K$385,"&gt;25")+COUNTIFS(Log!$A$2:$A$49,B153,Log!$H$2:$H$49,"Red")+COUNTIFS(Log!$A$2:$A$49,B153,Log!$I$2:$I$49,"Red")&gt;0,"No","Yes")</f>
        <v/>
      </c>
      <c r="Q153">
        <f>IF(COUNTIFS(Artifact!$B$2:$B$385,B153,Artifact!$K$2:$K$385,"&gt;15")+COUNTIFS(Log!$A$2:$A$49,B153,Log!$H$2:$H$49,"Red")+COUNTIFS(Log!$A$2:$A$49,B153,Log!$I$2:$I$49,"Red")&gt;0,"No","Yes")</f>
        <v/>
      </c>
    </row>
    <row r="154">
      <c r="A154" t="inlineStr">
        <is>
          <t>SIMULATED Commercial FA Study</t>
        </is>
      </c>
      <c r="B154" t="inlineStr">
        <is>
          <t>P24</t>
        </is>
      </c>
      <c r="C154" t="inlineStr">
        <is>
          <t>M</t>
        </is>
      </c>
      <c r="D154" t="n">
        <v>19</v>
      </c>
      <c r="E154" t="inlineStr">
        <is>
          <t>A_C1first</t>
        </is>
      </c>
      <c r="F154" t="inlineStr">
        <is>
          <t>Stimulus</t>
        </is>
      </c>
      <c r="G154" t="inlineStr">
        <is>
          <t>Commercial_2</t>
        </is>
      </c>
      <c r="H154" t="n">
        <v>248000</v>
      </c>
      <c r="I154" t="n">
        <v>60000</v>
      </c>
      <c r="J154" t="inlineStr">
        <is>
          <t>Commercial_2</t>
        </is>
      </c>
      <c r="K154" s="4" t="n">
        <v>-0.2781</v>
      </c>
      <c r="L154" t="inlineStr">
        <is>
          <t>Frontal Asymmetry (Enobio EEG)</t>
        </is>
      </c>
      <c r="M154">
        <f>LEFT(E154,1)</f>
        <v/>
      </c>
      <c r="N154">
        <f>MID(E154,3,10)</f>
        <v/>
      </c>
      <c r="O154">
        <f>IF(F154="Stimulus",IF(LEFT(G154,8)="Baseline",G154,IF(LEFT(G154,12)="Commercial_1","C1","C2")),IF(G154="KeyScene","KeyScene",IF(LEFT(J154,12)="Commercial_1","EndScene_C1","EndScene_C2")))</f>
        <v/>
      </c>
      <c r="P154">
        <f>IF(COUNTIFS(Artifact!$B$2:$B$385,B154,Artifact!$K$2:$K$385,"&gt;25")+COUNTIFS(Log!$A$2:$A$49,B154,Log!$H$2:$H$49,"Red")+COUNTIFS(Log!$A$2:$A$49,B154,Log!$I$2:$I$49,"Red")&gt;0,"No","Yes")</f>
        <v/>
      </c>
      <c r="Q154">
        <f>IF(COUNTIFS(Artifact!$B$2:$B$385,B154,Artifact!$K$2:$K$385,"&gt;15")+COUNTIFS(Log!$A$2:$A$49,B154,Log!$H$2:$H$49,"Red")+COUNTIFS(Log!$A$2:$A$49,B154,Log!$I$2:$I$49,"Red")&gt;0,"No","Yes")</f>
        <v/>
      </c>
    </row>
    <row r="155">
      <c r="A155" t="inlineStr">
        <is>
          <t>SIMULATED Commercial FA Study</t>
        </is>
      </c>
      <c r="B155" t="inlineStr">
        <is>
          <t>P24</t>
        </is>
      </c>
      <c r="C155" t="inlineStr">
        <is>
          <t>M</t>
        </is>
      </c>
      <c r="D155" t="n">
        <v>19</v>
      </c>
      <c r="E155" t="inlineStr">
        <is>
          <t>A_C1first</t>
        </is>
      </c>
      <c r="F155" t="inlineStr">
        <is>
          <t>Annotation</t>
        </is>
      </c>
      <c r="G155" t="inlineStr">
        <is>
          <t>KeyScene</t>
        </is>
      </c>
      <c r="H155" t="n">
        <v>117000</v>
      </c>
      <c r="I155" t="n">
        <v>6000</v>
      </c>
      <c r="J155" t="inlineStr">
        <is>
          <t>Commercial_1A</t>
        </is>
      </c>
      <c r="K155" s="4" t="n">
        <v>-0.4023</v>
      </c>
      <c r="L155" t="inlineStr">
        <is>
          <t>Frontal Asymmetry (Enobio EEG)</t>
        </is>
      </c>
      <c r="M155">
        <f>LEFT(E155,1)</f>
        <v/>
      </c>
      <c r="N155">
        <f>MID(E155,3,10)</f>
        <v/>
      </c>
      <c r="O155">
        <f>IF(F155="Stimulus",IF(LEFT(G155,8)="Baseline",G155,IF(LEFT(G155,12)="Commercial_1","C1","C2")),IF(G155="KeyScene","KeyScene",IF(LEFT(J155,12)="Commercial_1","EndScene_C1","EndScene_C2")))</f>
        <v/>
      </c>
      <c r="P155">
        <f>IF(COUNTIFS(Artifact!$B$2:$B$385,B155,Artifact!$K$2:$K$385,"&gt;25")+COUNTIFS(Log!$A$2:$A$49,B155,Log!$H$2:$H$49,"Red")+COUNTIFS(Log!$A$2:$A$49,B155,Log!$I$2:$I$49,"Red")&gt;0,"No","Yes")</f>
        <v/>
      </c>
      <c r="Q155">
        <f>IF(COUNTIFS(Artifact!$B$2:$B$385,B155,Artifact!$K$2:$K$385,"&gt;15")+COUNTIFS(Log!$A$2:$A$49,B155,Log!$H$2:$H$49,"Red")+COUNTIFS(Log!$A$2:$A$49,B155,Log!$I$2:$I$49,"Red")&gt;0,"No","Yes")</f>
        <v/>
      </c>
    </row>
    <row r="156">
      <c r="A156" t="inlineStr">
        <is>
          <t>SIMULATED Commercial FA Study</t>
        </is>
      </c>
      <c r="B156" t="inlineStr">
        <is>
          <t>P24</t>
        </is>
      </c>
      <c r="C156" t="inlineStr">
        <is>
          <t>M</t>
        </is>
      </c>
      <c r="D156" t="n">
        <v>19</v>
      </c>
      <c r="E156" t="inlineStr">
        <is>
          <t>A_C1first</t>
        </is>
      </c>
      <c r="F156" t="inlineStr">
        <is>
          <t>Annotation</t>
        </is>
      </c>
      <c r="G156" t="inlineStr">
        <is>
          <t>EndScene</t>
        </is>
      </c>
      <c r="H156" t="n">
        <v>135000</v>
      </c>
      <c r="I156" t="n">
        <v>10000</v>
      </c>
      <c r="J156" t="inlineStr">
        <is>
          <t>Commercial_1A</t>
        </is>
      </c>
      <c r="K156" s="4" t="n">
        <v>-0.2254</v>
      </c>
      <c r="L156" t="inlineStr">
        <is>
          <t>Frontal Asymmetry (Enobio EEG)</t>
        </is>
      </c>
      <c r="M156">
        <f>LEFT(E156,1)</f>
        <v/>
      </c>
      <c r="N156">
        <f>MID(E156,3,10)</f>
        <v/>
      </c>
      <c r="O156">
        <f>IF(F156="Stimulus",IF(LEFT(G156,8)="Baseline",G156,IF(LEFT(G156,12)="Commercial_1","C1","C2")),IF(G156="KeyScene","KeyScene",IF(LEFT(J156,12)="Commercial_1","EndScene_C1","EndScene_C2")))</f>
        <v/>
      </c>
      <c r="P156">
        <f>IF(COUNTIFS(Artifact!$B$2:$B$385,B156,Artifact!$K$2:$K$385,"&gt;25")+COUNTIFS(Log!$A$2:$A$49,B156,Log!$H$2:$H$49,"Red")+COUNTIFS(Log!$A$2:$A$49,B156,Log!$I$2:$I$49,"Red")&gt;0,"No","Yes")</f>
        <v/>
      </c>
      <c r="Q156">
        <f>IF(COUNTIFS(Artifact!$B$2:$B$385,B156,Artifact!$K$2:$K$385,"&gt;15")+COUNTIFS(Log!$A$2:$A$49,B156,Log!$H$2:$H$49,"Red")+COUNTIFS(Log!$A$2:$A$49,B156,Log!$I$2:$I$49,"Red")&gt;0,"No","Yes")</f>
        <v/>
      </c>
    </row>
    <row r="157">
      <c r="A157" t="inlineStr">
        <is>
          <t>SIMULATED Commercial FA Study</t>
        </is>
      </c>
      <c r="B157" t="inlineStr">
        <is>
          <t>P24</t>
        </is>
      </c>
      <c r="C157" t="inlineStr">
        <is>
          <t>M</t>
        </is>
      </c>
      <c r="D157" t="n">
        <v>19</v>
      </c>
      <c r="E157" t="inlineStr">
        <is>
          <t>A_C1first</t>
        </is>
      </c>
      <c r="F157" t="inlineStr">
        <is>
          <t>Annotation</t>
        </is>
      </c>
      <c r="G157" t="inlineStr">
        <is>
          <t>EndScene</t>
        </is>
      </c>
      <c r="H157" t="n">
        <v>298000</v>
      </c>
      <c r="I157" t="n">
        <v>10000</v>
      </c>
      <c r="J157" t="inlineStr">
        <is>
          <t>Commercial_2</t>
        </is>
      </c>
      <c r="K157" s="4" t="n">
        <v>-0.1048</v>
      </c>
      <c r="L157" t="inlineStr">
        <is>
          <t>Frontal Asymmetry (Enobio EEG)</t>
        </is>
      </c>
      <c r="M157">
        <f>LEFT(E157,1)</f>
        <v/>
      </c>
      <c r="N157">
        <f>MID(E157,3,10)</f>
        <v/>
      </c>
      <c r="O157">
        <f>IF(F157="Stimulus",IF(LEFT(G157,8)="Baseline",G157,IF(LEFT(G157,12)="Commercial_1","C1","C2")),IF(G157="KeyScene","KeyScene",IF(LEFT(J157,12)="Commercial_1","EndScene_C1","EndScene_C2")))</f>
        <v/>
      </c>
      <c r="P157">
        <f>IF(COUNTIFS(Artifact!$B$2:$B$385,B157,Artifact!$K$2:$K$385,"&gt;25")+COUNTIFS(Log!$A$2:$A$49,B157,Log!$H$2:$H$49,"Red")+COUNTIFS(Log!$A$2:$A$49,B157,Log!$I$2:$I$49,"Red")&gt;0,"No","Yes")</f>
        <v/>
      </c>
      <c r="Q157">
        <f>IF(COUNTIFS(Artifact!$B$2:$B$385,B157,Artifact!$K$2:$K$385,"&gt;15")+COUNTIFS(Log!$A$2:$A$49,B157,Log!$H$2:$H$49,"Red")+COUNTIFS(Log!$A$2:$A$49,B157,Log!$I$2:$I$49,"Red")&gt;0,"No","Yes")</f>
        <v/>
      </c>
    </row>
    <row r="158">
      <c r="A158" t="inlineStr">
        <is>
          <t>SIMULATED Commercial FA Study</t>
        </is>
      </c>
      <c r="B158" t="inlineStr">
        <is>
          <t>P25</t>
        </is>
      </c>
      <c r="C158" t="inlineStr">
        <is>
          <t>F</t>
        </is>
      </c>
      <c r="D158" t="n">
        <v>23</v>
      </c>
      <c r="E158" t="inlineStr">
        <is>
          <t>B_C1first</t>
        </is>
      </c>
      <c r="F158" t="inlineStr">
        <is>
          <t>Stimulus</t>
        </is>
      </c>
      <c r="G158" t="inlineStr">
        <is>
          <t>Baseline_1</t>
        </is>
      </c>
      <c r="H158" t="n">
        <v>34000</v>
      </c>
      <c r="I158" t="n">
        <v>60000</v>
      </c>
      <c r="J158" t="inlineStr">
        <is>
          <t>Baseline_1</t>
        </is>
      </c>
      <c r="K158" s="4" t="n">
        <v>0.1516</v>
      </c>
      <c r="L158" t="inlineStr">
        <is>
          <t>Frontal Asymmetry (Enobio EEG)</t>
        </is>
      </c>
      <c r="M158">
        <f>LEFT(E158,1)</f>
        <v/>
      </c>
      <c r="N158">
        <f>MID(E158,3,10)</f>
        <v/>
      </c>
      <c r="O158">
        <f>IF(F158="Stimulus",IF(LEFT(G158,8)="Baseline",G158,IF(LEFT(G158,12)="Commercial_1","C1","C2")),IF(G158="KeyScene","KeyScene",IF(LEFT(J158,12)="Commercial_1","EndScene_C1","EndScene_C2")))</f>
        <v/>
      </c>
      <c r="P158">
        <f>IF(COUNTIFS(Artifact!$B$2:$B$385,B158,Artifact!$K$2:$K$385,"&gt;25")+COUNTIFS(Log!$A$2:$A$49,B158,Log!$H$2:$H$49,"Red")+COUNTIFS(Log!$A$2:$A$49,B158,Log!$I$2:$I$49,"Red")&gt;0,"No","Yes")</f>
        <v/>
      </c>
      <c r="Q158">
        <f>IF(COUNTIFS(Artifact!$B$2:$B$385,B158,Artifact!$K$2:$K$385,"&gt;15")+COUNTIFS(Log!$A$2:$A$49,B158,Log!$H$2:$H$49,"Red")+COUNTIFS(Log!$A$2:$A$49,B158,Log!$I$2:$I$49,"Red")&gt;0,"No","Yes")</f>
        <v/>
      </c>
    </row>
    <row r="159">
      <c r="A159" t="inlineStr">
        <is>
          <t>SIMULATED Commercial FA Study</t>
        </is>
      </c>
      <c r="B159" t="inlineStr">
        <is>
          <t>P25</t>
        </is>
      </c>
      <c r="C159" t="inlineStr">
        <is>
          <t>F</t>
        </is>
      </c>
      <c r="D159" t="n">
        <v>23</v>
      </c>
      <c r="E159" t="inlineStr">
        <is>
          <t>B_C1first</t>
        </is>
      </c>
      <c r="F159" t="inlineStr">
        <is>
          <t>Stimulus</t>
        </is>
      </c>
      <c r="G159" t="inlineStr">
        <is>
          <t>Commercial_1B</t>
        </is>
      </c>
      <c r="H159" t="n">
        <v>94000</v>
      </c>
      <c r="I159" t="n">
        <v>54000</v>
      </c>
      <c r="J159" t="inlineStr">
        <is>
          <t>Commercial_1B</t>
        </is>
      </c>
      <c r="K159" s="4" t="n">
        <v>0.1475</v>
      </c>
      <c r="L159" t="inlineStr">
        <is>
          <t>Frontal Asymmetry (Enobio EEG)</t>
        </is>
      </c>
      <c r="M159">
        <f>LEFT(E159,1)</f>
        <v/>
      </c>
      <c r="N159">
        <f>MID(E159,3,10)</f>
        <v/>
      </c>
      <c r="O159">
        <f>IF(F159="Stimulus",IF(LEFT(G159,8)="Baseline",G159,IF(LEFT(G159,12)="Commercial_1","C1","C2")),IF(G159="KeyScene","KeyScene",IF(LEFT(J159,12)="Commercial_1","EndScene_C1","EndScene_C2")))</f>
        <v/>
      </c>
      <c r="P159">
        <f>IF(COUNTIFS(Artifact!$B$2:$B$385,B159,Artifact!$K$2:$K$385,"&gt;25")+COUNTIFS(Log!$A$2:$A$49,B159,Log!$H$2:$H$49,"Red")+COUNTIFS(Log!$A$2:$A$49,B159,Log!$I$2:$I$49,"Red")&gt;0,"No","Yes")</f>
        <v/>
      </c>
      <c r="Q159">
        <f>IF(COUNTIFS(Artifact!$B$2:$B$385,B159,Artifact!$K$2:$K$385,"&gt;15")+COUNTIFS(Log!$A$2:$A$49,B159,Log!$H$2:$H$49,"Red")+COUNTIFS(Log!$A$2:$A$49,B159,Log!$I$2:$I$49,"Red")&gt;0,"No","Yes")</f>
        <v/>
      </c>
    </row>
    <row r="160">
      <c r="A160" t="inlineStr">
        <is>
          <t>SIMULATED Commercial FA Study</t>
        </is>
      </c>
      <c r="B160" t="inlineStr">
        <is>
          <t>P25</t>
        </is>
      </c>
      <c r="C160" t="inlineStr">
        <is>
          <t>F</t>
        </is>
      </c>
      <c r="D160" t="n">
        <v>23</v>
      </c>
      <c r="E160" t="inlineStr">
        <is>
          <t>B_C1first</t>
        </is>
      </c>
      <c r="F160" t="inlineStr">
        <is>
          <t>Stimulus</t>
        </is>
      </c>
      <c r="G160" t="inlineStr">
        <is>
          <t>Baseline_2</t>
        </is>
      </c>
      <c r="H160" t="n">
        <v>182000</v>
      </c>
      <c r="I160" t="n">
        <v>60000</v>
      </c>
      <c r="J160" t="inlineStr">
        <is>
          <t>Baseline_2</t>
        </is>
      </c>
      <c r="K160" s="4" t="n">
        <v>0.1104</v>
      </c>
      <c r="L160" t="inlineStr">
        <is>
          <t>Frontal Asymmetry (Enobio EEG)</t>
        </is>
      </c>
      <c r="M160">
        <f>LEFT(E160,1)</f>
        <v/>
      </c>
      <c r="N160">
        <f>MID(E160,3,10)</f>
        <v/>
      </c>
      <c r="O160">
        <f>IF(F160="Stimulus",IF(LEFT(G160,8)="Baseline",G160,IF(LEFT(G160,12)="Commercial_1","C1","C2")),IF(G160="KeyScene","KeyScene",IF(LEFT(J160,12)="Commercial_1","EndScene_C1","EndScene_C2")))</f>
        <v/>
      </c>
      <c r="P160">
        <f>IF(COUNTIFS(Artifact!$B$2:$B$385,B160,Artifact!$K$2:$K$385,"&gt;25")+COUNTIFS(Log!$A$2:$A$49,B160,Log!$H$2:$H$49,"Red")+COUNTIFS(Log!$A$2:$A$49,B160,Log!$I$2:$I$49,"Red")&gt;0,"No","Yes")</f>
        <v/>
      </c>
      <c r="Q160">
        <f>IF(COUNTIFS(Artifact!$B$2:$B$385,B160,Artifact!$K$2:$K$385,"&gt;15")+COUNTIFS(Log!$A$2:$A$49,B160,Log!$H$2:$H$49,"Red")+COUNTIFS(Log!$A$2:$A$49,B160,Log!$I$2:$I$49,"Red")&gt;0,"No","Yes")</f>
        <v/>
      </c>
    </row>
    <row r="161">
      <c r="A161" t="inlineStr">
        <is>
          <t>SIMULATED Commercial FA Study</t>
        </is>
      </c>
      <c r="B161" t="inlineStr">
        <is>
          <t>P25</t>
        </is>
      </c>
      <c r="C161" t="inlineStr">
        <is>
          <t>F</t>
        </is>
      </c>
      <c r="D161" t="n">
        <v>23</v>
      </c>
      <c r="E161" t="inlineStr">
        <is>
          <t>B_C1first</t>
        </is>
      </c>
      <c r="F161" t="inlineStr">
        <is>
          <t>Stimulus</t>
        </is>
      </c>
      <c r="G161" t="inlineStr">
        <is>
          <t>Commercial_2</t>
        </is>
      </c>
      <c r="H161" t="n">
        <v>242000</v>
      </c>
      <c r="I161" t="n">
        <v>60000</v>
      </c>
      <c r="J161" t="inlineStr">
        <is>
          <t>Commercial_2</t>
        </is>
      </c>
      <c r="K161" s="4" t="n">
        <v>0.1326</v>
      </c>
      <c r="L161" t="inlineStr">
        <is>
          <t>Frontal Asymmetry (Enobio EEG)</t>
        </is>
      </c>
      <c r="M161">
        <f>LEFT(E161,1)</f>
        <v/>
      </c>
      <c r="N161">
        <f>MID(E161,3,10)</f>
        <v/>
      </c>
      <c r="O161">
        <f>IF(F161="Stimulus",IF(LEFT(G161,8)="Baseline",G161,IF(LEFT(G161,12)="Commercial_1","C1","C2")),IF(G161="KeyScene","KeyScene",IF(LEFT(J161,12)="Commercial_1","EndScene_C1","EndScene_C2")))</f>
        <v/>
      </c>
      <c r="P161">
        <f>IF(COUNTIFS(Artifact!$B$2:$B$385,B161,Artifact!$K$2:$K$385,"&gt;25")+COUNTIFS(Log!$A$2:$A$49,B161,Log!$H$2:$H$49,"Red")+COUNTIFS(Log!$A$2:$A$49,B161,Log!$I$2:$I$49,"Red")&gt;0,"No","Yes")</f>
        <v/>
      </c>
      <c r="Q161">
        <f>IF(COUNTIFS(Artifact!$B$2:$B$385,B161,Artifact!$K$2:$K$385,"&gt;15")+COUNTIFS(Log!$A$2:$A$49,B161,Log!$H$2:$H$49,"Red")+COUNTIFS(Log!$A$2:$A$49,B161,Log!$I$2:$I$49,"Red")&gt;0,"No","Yes")</f>
        <v/>
      </c>
    </row>
    <row r="162">
      <c r="A162" t="inlineStr">
        <is>
          <t>SIMULATED Commercial FA Study</t>
        </is>
      </c>
      <c r="B162" t="inlineStr">
        <is>
          <t>P25</t>
        </is>
      </c>
      <c r="C162" t="inlineStr">
        <is>
          <t>F</t>
        </is>
      </c>
      <c r="D162" t="n">
        <v>23</v>
      </c>
      <c r="E162" t="inlineStr">
        <is>
          <t>B_C1first</t>
        </is>
      </c>
      <c r="F162" t="inlineStr">
        <is>
          <t>Annotation</t>
        </is>
      </c>
      <c r="G162" t="inlineStr">
        <is>
          <t>EndScene</t>
        </is>
      </c>
      <c r="H162" t="n">
        <v>138000</v>
      </c>
      <c r="I162" t="n">
        <v>10000</v>
      </c>
      <c r="J162" t="inlineStr">
        <is>
          <t>Commercial_1B</t>
        </is>
      </c>
      <c r="K162" s="4" t="n">
        <v>0.1896</v>
      </c>
      <c r="L162" t="inlineStr">
        <is>
          <t>Frontal Asymmetry (Enobio EEG)</t>
        </is>
      </c>
      <c r="M162">
        <f>LEFT(E162,1)</f>
        <v/>
      </c>
      <c r="N162">
        <f>MID(E162,3,10)</f>
        <v/>
      </c>
      <c r="O162">
        <f>IF(F162="Stimulus",IF(LEFT(G162,8)="Baseline",G162,IF(LEFT(G162,12)="Commercial_1","C1","C2")),IF(G162="KeyScene","KeyScene",IF(LEFT(J162,12)="Commercial_1","EndScene_C1","EndScene_C2")))</f>
        <v/>
      </c>
      <c r="P162">
        <f>IF(COUNTIFS(Artifact!$B$2:$B$385,B162,Artifact!$K$2:$K$385,"&gt;25")+COUNTIFS(Log!$A$2:$A$49,B162,Log!$H$2:$H$49,"Red")+COUNTIFS(Log!$A$2:$A$49,B162,Log!$I$2:$I$49,"Red")&gt;0,"No","Yes")</f>
        <v/>
      </c>
      <c r="Q162">
        <f>IF(COUNTIFS(Artifact!$B$2:$B$385,B162,Artifact!$K$2:$K$385,"&gt;15")+COUNTIFS(Log!$A$2:$A$49,B162,Log!$H$2:$H$49,"Red")+COUNTIFS(Log!$A$2:$A$49,B162,Log!$I$2:$I$49,"Red")&gt;0,"No","Yes")</f>
        <v/>
      </c>
    </row>
    <row r="163">
      <c r="A163" t="inlineStr">
        <is>
          <t>SIMULATED Commercial FA Study</t>
        </is>
      </c>
      <c r="B163" t="inlineStr">
        <is>
          <t>P25</t>
        </is>
      </c>
      <c r="C163" t="inlineStr">
        <is>
          <t>F</t>
        </is>
      </c>
      <c r="D163" t="n">
        <v>23</v>
      </c>
      <c r="E163" t="inlineStr">
        <is>
          <t>B_C1first</t>
        </is>
      </c>
      <c r="F163" t="inlineStr">
        <is>
          <t>Annotation</t>
        </is>
      </c>
      <c r="G163" t="inlineStr">
        <is>
          <t>EndScene</t>
        </is>
      </c>
      <c r="H163" t="n">
        <v>292000</v>
      </c>
      <c r="I163" t="n">
        <v>10000</v>
      </c>
      <c r="J163" t="inlineStr">
        <is>
          <t>Commercial_2</t>
        </is>
      </c>
      <c r="K163" s="4" t="n">
        <v>0.0623</v>
      </c>
      <c r="L163" t="inlineStr">
        <is>
          <t>Frontal Asymmetry (Enobio EEG)</t>
        </is>
      </c>
      <c r="M163">
        <f>LEFT(E163,1)</f>
        <v/>
      </c>
      <c r="N163">
        <f>MID(E163,3,10)</f>
        <v/>
      </c>
      <c r="O163">
        <f>IF(F163="Stimulus",IF(LEFT(G163,8)="Baseline",G163,IF(LEFT(G163,12)="Commercial_1","C1","C2")),IF(G163="KeyScene","KeyScene",IF(LEFT(J163,12)="Commercial_1","EndScene_C1","EndScene_C2")))</f>
        <v/>
      </c>
      <c r="P163">
        <f>IF(COUNTIFS(Artifact!$B$2:$B$385,B163,Artifact!$K$2:$K$385,"&gt;25")+COUNTIFS(Log!$A$2:$A$49,B163,Log!$H$2:$H$49,"Red")+COUNTIFS(Log!$A$2:$A$49,B163,Log!$I$2:$I$49,"Red")&gt;0,"No","Yes")</f>
        <v/>
      </c>
      <c r="Q163">
        <f>IF(COUNTIFS(Artifact!$B$2:$B$385,B163,Artifact!$K$2:$K$385,"&gt;15")+COUNTIFS(Log!$A$2:$A$49,B163,Log!$H$2:$H$49,"Red")+COUNTIFS(Log!$A$2:$A$49,B163,Log!$I$2:$I$49,"Red")&gt;0,"No","Yes")</f>
        <v/>
      </c>
    </row>
    <row r="164">
      <c r="A164" t="inlineStr">
        <is>
          <t>SIMULATED Commercial FA Study</t>
        </is>
      </c>
      <c r="B164" t="inlineStr">
        <is>
          <t>P26</t>
        </is>
      </c>
      <c r="C164" t="inlineStr">
        <is>
          <t>F</t>
        </is>
      </c>
      <c r="D164" t="n">
        <v>18</v>
      </c>
      <c r="E164" t="inlineStr">
        <is>
          <t>B_C2first</t>
        </is>
      </c>
      <c r="F164" t="inlineStr">
        <is>
          <t>Stimulus</t>
        </is>
      </c>
      <c r="G164" t="inlineStr">
        <is>
          <t>Baseline_1</t>
        </is>
      </c>
      <c r="H164" t="n">
        <v>30000</v>
      </c>
      <c r="I164" t="n">
        <v>60000</v>
      </c>
      <c r="J164" t="inlineStr">
        <is>
          <t>Baseline_1</t>
        </is>
      </c>
      <c r="K164" s="4" t="n">
        <v>0.0209</v>
      </c>
      <c r="L164" t="inlineStr">
        <is>
          <t>Frontal Asymmetry (Enobio EEG)</t>
        </is>
      </c>
      <c r="M164">
        <f>LEFT(E164,1)</f>
        <v/>
      </c>
      <c r="N164">
        <f>MID(E164,3,10)</f>
        <v/>
      </c>
      <c r="O164">
        <f>IF(F164="Stimulus",IF(LEFT(G164,8)="Baseline",G164,IF(LEFT(G164,12)="Commercial_1","C1","C2")),IF(G164="KeyScene","KeyScene",IF(LEFT(J164,12)="Commercial_1","EndScene_C1","EndScene_C2")))</f>
        <v/>
      </c>
      <c r="P164">
        <f>IF(COUNTIFS(Artifact!$B$2:$B$385,B164,Artifact!$K$2:$K$385,"&gt;25")+COUNTIFS(Log!$A$2:$A$49,B164,Log!$H$2:$H$49,"Red")+COUNTIFS(Log!$A$2:$A$49,B164,Log!$I$2:$I$49,"Red")&gt;0,"No","Yes")</f>
        <v/>
      </c>
      <c r="Q164">
        <f>IF(COUNTIFS(Artifact!$B$2:$B$385,B164,Artifact!$K$2:$K$385,"&gt;15")+COUNTIFS(Log!$A$2:$A$49,B164,Log!$H$2:$H$49,"Red")+COUNTIFS(Log!$A$2:$A$49,B164,Log!$I$2:$I$49,"Red")&gt;0,"No","Yes")</f>
        <v/>
      </c>
    </row>
    <row r="165">
      <c r="A165" t="inlineStr">
        <is>
          <t>SIMULATED Commercial FA Study</t>
        </is>
      </c>
      <c r="B165" t="inlineStr">
        <is>
          <t>P26</t>
        </is>
      </c>
      <c r="C165" t="inlineStr">
        <is>
          <t>F</t>
        </is>
      </c>
      <c r="D165" t="n">
        <v>18</v>
      </c>
      <c r="E165" t="inlineStr">
        <is>
          <t>B_C2first</t>
        </is>
      </c>
      <c r="F165" t="inlineStr">
        <is>
          <t>Stimulus</t>
        </is>
      </c>
      <c r="G165" t="inlineStr">
        <is>
          <t>Commercial_2</t>
        </is>
      </c>
      <c r="H165" t="n">
        <v>90000</v>
      </c>
      <c r="I165" t="n">
        <v>60000</v>
      </c>
      <c r="J165" t="inlineStr">
        <is>
          <t>Commercial_2</t>
        </is>
      </c>
      <c r="K165" s="4" t="n">
        <v>0.0781</v>
      </c>
      <c r="L165" t="inlineStr">
        <is>
          <t>Frontal Asymmetry (Enobio EEG)</t>
        </is>
      </c>
      <c r="M165">
        <f>LEFT(E165,1)</f>
        <v/>
      </c>
      <c r="N165">
        <f>MID(E165,3,10)</f>
        <v/>
      </c>
      <c r="O165">
        <f>IF(F165="Stimulus",IF(LEFT(G165,8)="Baseline",G165,IF(LEFT(G165,12)="Commercial_1","C1","C2")),IF(G165="KeyScene","KeyScene",IF(LEFT(J165,12)="Commercial_1","EndScene_C1","EndScene_C2")))</f>
        <v/>
      </c>
      <c r="P165">
        <f>IF(COUNTIFS(Artifact!$B$2:$B$385,B165,Artifact!$K$2:$K$385,"&gt;25")+COUNTIFS(Log!$A$2:$A$49,B165,Log!$H$2:$H$49,"Red")+COUNTIFS(Log!$A$2:$A$49,B165,Log!$I$2:$I$49,"Red")&gt;0,"No","Yes")</f>
        <v/>
      </c>
      <c r="Q165">
        <f>IF(COUNTIFS(Artifact!$B$2:$B$385,B165,Artifact!$K$2:$K$385,"&gt;15")+COUNTIFS(Log!$A$2:$A$49,B165,Log!$H$2:$H$49,"Red")+COUNTIFS(Log!$A$2:$A$49,B165,Log!$I$2:$I$49,"Red")&gt;0,"No","Yes")</f>
        <v/>
      </c>
    </row>
    <row r="166">
      <c r="A166" t="inlineStr">
        <is>
          <t>SIMULATED Commercial FA Study</t>
        </is>
      </c>
      <c r="B166" t="inlineStr">
        <is>
          <t>P26</t>
        </is>
      </c>
      <c r="C166" t="inlineStr">
        <is>
          <t>F</t>
        </is>
      </c>
      <c r="D166" t="n">
        <v>18</v>
      </c>
      <c r="E166" t="inlineStr">
        <is>
          <t>B_C2first</t>
        </is>
      </c>
      <c r="F166" t="inlineStr">
        <is>
          <t>Stimulus</t>
        </is>
      </c>
      <c r="G166" t="inlineStr">
        <is>
          <t>Baseline_2</t>
        </is>
      </c>
      <c r="H166" t="n">
        <v>196000</v>
      </c>
      <c r="I166" t="n">
        <v>60000</v>
      </c>
      <c r="J166" t="inlineStr">
        <is>
          <t>Baseline_2</t>
        </is>
      </c>
      <c r="K166" s="4" t="n">
        <v>0.0412</v>
      </c>
      <c r="L166" t="inlineStr">
        <is>
          <t>Frontal Asymmetry (Enobio EEG)</t>
        </is>
      </c>
      <c r="M166">
        <f>LEFT(E166,1)</f>
        <v/>
      </c>
      <c r="N166">
        <f>MID(E166,3,10)</f>
        <v/>
      </c>
      <c r="O166">
        <f>IF(F166="Stimulus",IF(LEFT(G166,8)="Baseline",G166,IF(LEFT(G166,12)="Commercial_1","C1","C2")),IF(G166="KeyScene","KeyScene",IF(LEFT(J166,12)="Commercial_1","EndScene_C1","EndScene_C2")))</f>
        <v/>
      </c>
      <c r="P166">
        <f>IF(COUNTIFS(Artifact!$B$2:$B$385,B166,Artifact!$K$2:$K$385,"&gt;25")+COUNTIFS(Log!$A$2:$A$49,B166,Log!$H$2:$H$49,"Red")+COUNTIFS(Log!$A$2:$A$49,B166,Log!$I$2:$I$49,"Red")&gt;0,"No","Yes")</f>
        <v/>
      </c>
      <c r="Q166">
        <f>IF(COUNTIFS(Artifact!$B$2:$B$385,B166,Artifact!$K$2:$K$385,"&gt;15")+COUNTIFS(Log!$A$2:$A$49,B166,Log!$H$2:$H$49,"Red")+COUNTIFS(Log!$A$2:$A$49,B166,Log!$I$2:$I$49,"Red")&gt;0,"No","Yes")</f>
        <v/>
      </c>
    </row>
    <row r="167">
      <c r="A167" t="inlineStr">
        <is>
          <t>SIMULATED Commercial FA Study</t>
        </is>
      </c>
      <c r="B167" t="inlineStr">
        <is>
          <t>P26</t>
        </is>
      </c>
      <c r="C167" t="inlineStr">
        <is>
          <t>F</t>
        </is>
      </c>
      <c r="D167" t="n">
        <v>18</v>
      </c>
      <c r="E167" t="inlineStr">
        <is>
          <t>B_C2first</t>
        </is>
      </c>
      <c r="F167" t="inlineStr">
        <is>
          <t>Stimulus</t>
        </is>
      </c>
      <c r="G167" t="inlineStr">
        <is>
          <t>Commercial_1B</t>
        </is>
      </c>
      <c r="H167" t="n">
        <v>256000</v>
      </c>
      <c r="I167" t="n">
        <v>54000</v>
      </c>
      <c r="J167" t="inlineStr">
        <is>
          <t>Commercial_1B</t>
        </is>
      </c>
      <c r="K167" s="4" t="n">
        <v>0.08019999999999999</v>
      </c>
      <c r="L167" t="inlineStr">
        <is>
          <t>Frontal Asymmetry (Enobio EEG)</t>
        </is>
      </c>
      <c r="M167">
        <f>LEFT(E167,1)</f>
        <v/>
      </c>
      <c r="N167">
        <f>MID(E167,3,10)</f>
        <v/>
      </c>
      <c r="O167">
        <f>IF(F167="Stimulus",IF(LEFT(G167,8)="Baseline",G167,IF(LEFT(G167,12)="Commercial_1","C1","C2")),IF(G167="KeyScene","KeyScene",IF(LEFT(J167,12)="Commercial_1","EndScene_C1","EndScene_C2")))</f>
        <v/>
      </c>
      <c r="P167">
        <f>IF(COUNTIFS(Artifact!$B$2:$B$385,B167,Artifact!$K$2:$K$385,"&gt;25")+COUNTIFS(Log!$A$2:$A$49,B167,Log!$H$2:$H$49,"Red")+COUNTIFS(Log!$A$2:$A$49,B167,Log!$I$2:$I$49,"Red")&gt;0,"No","Yes")</f>
        <v/>
      </c>
      <c r="Q167">
        <f>IF(COUNTIFS(Artifact!$B$2:$B$385,B167,Artifact!$K$2:$K$385,"&gt;15")+COUNTIFS(Log!$A$2:$A$49,B167,Log!$H$2:$H$49,"Red")+COUNTIFS(Log!$A$2:$A$49,B167,Log!$I$2:$I$49,"Red")&gt;0,"No","Yes")</f>
        <v/>
      </c>
    </row>
    <row r="168">
      <c r="A168" t="inlineStr">
        <is>
          <t>SIMULATED Commercial FA Study</t>
        </is>
      </c>
      <c r="B168" t="inlineStr">
        <is>
          <t>P26</t>
        </is>
      </c>
      <c r="C168" t="inlineStr">
        <is>
          <t>F</t>
        </is>
      </c>
      <c r="D168" t="n">
        <v>18</v>
      </c>
      <c r="E168" t="inlineStr">
        <is>
          <t>B_C2first</t>
        </is>
      </c>
      <c r="F168" t="inlineStr">
        <is>
          <t>Annotation</t>
        </is>
      </c>
      <c r="G168" t="inlineStr">
        <is>
          <t>EndScene</t>
        </is>
      </c>
      <c r="H168" t="n">
        <v>140000</v>
      </c>
      <c r="I168" t="n">
        <v>10000</v>
      </c>
      <c r="J168" t="inlineStr">
        <is>
          <t>Commercial_2</t>
        </is>
      </c>
      <c r="K168" s="4" t="n">
        <v>-0.0757</v>
      </c>
      <c r="L168" t="inlineStr">
        <is>
          <t>Frontal Asymmetry (Enobio EEG)</t>
        </is>
      </c>
      <c r="M168">
        <f>LEFT(E168,1)</f>
        <v/>
      </c>
      <c r="N168">
        <f>MID(E168,3,10)</f>
        <v/>
      </c>
      <c r="O168">
        <f>IF(F168="Stimulus",IF(LEFT(G168,8)="Baseline",G168,IF(LEFT(G168,12)="Commercial_1","C1","C2")),IF(G168="KeyScene","KeyScene",IF(LEFT(J168,12)="Commercial_1","EndScene_C1","EndScene_C2")))</f>
        <v/>
      </c>
      <c r="P168">
        <f>IF(COUNTIFS(Artifact!$B$2:$B$385,B168,Artifact!$K$2:$K$385,"&gt;25")+COUNTIFS(Log!$A$2:$A$49,B168,Log!$H$2:$H$49,"Red")+COUNTIFS(Log!$A$2:$A$49,B168,Log!$I$2:$I$49,"Red")&gt;0,"No","Yes")</f>
        <v/>
      </c>
      <c r="Q168">
        <f>IF(COUNTIFS(Artifact!$B$2:$B$385,B168,Artifact!$K$2:$K$385,"&gt;15")+COUNTIFS(Log!$A$2:$A$49,B168,Log!$H$2:$H$49,"Red")+COUNTIFS(Log!$A$2:$A$49,B168,Log!$I$2:$I$49,"Red")&gt;0,"No","Yes")</f>
        <v/>
      </c>
    </row>
    <row r="169">
      <c r="A169" t="inlineStr">
        <is>
          <t>SIMULATED Commercial FA Study</t>
        </is>
      </c>
      <c r="B169" t="inlineStr">
        <is>
          <t>P26</t>
        </is>
      </c>
      <c r="C169" t="inlineStr">
        <is>
          <t>F</t>
        </is>
      </c>
      <c r="D169" t="n">
        <v>18</v>
      </c>
      <c r="E169" t="inlineStr">
        <is>
          <t>B_C2first</t>
        </is>
      </c>
      <c r="F169" t="inlineStr">
        <is>
          <t>Annotation</t>
        </is>
      </c>
      <c r="G169" t="inlineStr">
        <is>
          <t>EndScene</t>
        </is>
      </c>
      <c r="H169" t="n">
        <v>300000</v>
      </c>
      <c r="I169" t="n">
        <v>10000</v>
      </c>
      <c r="J169" t="inlineStr">
        <is>
          <t>Commercial_1B</t>
        </is>
      </c>
      <c r="K169" s="4" t="n">
        <v>0.2158</v>
      </c>
      <c r="L169" t="inlineStr">
        <is>
          <t>Frontal Asymmetry (Enobio EEG)</t>
        </is>
      </c>
      <c r="M169">
        <f>LEFT(E169,1)</f>
        <v/>
      </c>
      <c r="N169">
        <f>MID(E169,3,10)</f>
        <v/>
      </c>
      <c r="O169">
        <f>IF(F169="Stimulus",IF(LEFT(G169,8)="Baseline",G169,IF(LEFT(G169,12)="Commercial_1","C1","C2")),IF(G169="KeyScene","KeyScene",IF(LEFT(J169,12)="Commercial_1","EndScene_C1","EndScene_C2")))</f>
        <v/>
      </c>
      <c r="P169">
        <f>IF(COUNTIFS(Artifact!$B$2:$B$385,B169,Artifact!$K$2:$K$385,"&gt;25")+COUNTIFS(Log!$A$2:$A$49,B169,Log!$H$2:$H$49,"Red")+COUNTIFS(Log!$A$2:$A$49,B169,Log!$I$2:$I$49,"Red")&gt;0,"No","Yes")</f>
        <v/>
      </c>
      <c r="Q169">
        <f>IF(COUNTIFS(Artifact!$B$2:$B$385,B169,Artifact!$K$2:$K$385,"&gt;15")+COUNTIFS(Log!$A$2:$A$49,B169,Log!$H$2:$H$49,"Red")+COUNTIFS(Log!$A$2:$A$49,B169,Log!$I$2:$I$49,"Red")&gt;0,"No","Yes")</f>
        <v/>
      </c>
    </row>
    <row r="170">
      <c r="A170" t="inlineStr">
        <is>
          <t>SIMULATED Commercial FA Study</t>
        </is>
      </c>
      <c r="B170" t="inlineStr">
        <is>
          <t>P27</t>
        </is>
      </c>
      <c r="C170" t="inlineStr">
        <is>
          <t>F</t>
        </is>
      </c>
      <c r="D170" t="n">
        <v>21</v>
      </c>
      <c r="E170" t="inlineStr">
        <is>
          <t>A_C2first</t>
        </is>
      </c>
      <c r="F170" t="inlineStr">
        <is>
          <t>Stimulus</t>
        </is>
      </c>
      <c r="G170" t="inlineStr">
        <is>
          <t>Baseline_1</t>
        </is>
      </c>
      <c r="H170" t="n">
        <v>37000</v>
      </c>
      <c r="I170" t="n">
        <v>60000</v>
      </c>
      <c r="J170" t="inlineStr">
        <is>
          <t>Baseline_1</t>
        </is>
      </c>
      <c r="K170" s="4" t="n">
        <v>0.7621</v>
      </c>
      <c r="L170" t="inlineStr">
        <is>
          <t>Frontal Asymmetry (Enobio EEG)</t>
        </is>
      </c>
      <c r="M170">
        <f>LEFT(E170,1)</f>
        <v/>
      </c>
      <c r="N170">
        <f>MID(E170,3,10)</f>
        <v/>
      </c>
      <c r="O170">
        <f>IF(F170="Stimulus",IF(LEFT(G170,8)="Baseline",G170,IF(LEFT(G170,12)="Commercial_1","C1","C2")),IF(G170="KeyScene","KeyScene",IF(LEFT(J170,12)="Commercial_1","EndScene_C1","EndScene_C2")))</f>
        <v/>
      </c>
      <c r="P170">
        <f>IF(COUNTIFS(Artifact!$B$2:$B$385,B170,Artifact!$K$2:$K$385,"&gt;25")+COUNTIFS(Log!$A$2:$A$49,B170,Log!$H$2:$H$49,"Red")+COUNTIFS(Log!$A$2:$A$49,B170,Log!$I$2:$I$49,"Red")&gt;0,"No","Yes")</f>
        <v/>
      </c>
      <c r="Q170">
        <f>IF(COUNTIFS(Artifact!$B$2:$B$385,B170,Artifact!$K$2:$K$385,"&gt;15")+COUNTIFS(Log!$A$2:$A$49,B170,Log!$H$2:$H$49,"Red")+COUNTIFS(Log!$A$2:$A$49,B170,Log!$I$2:$I$49,"Red")&gt;0,"No","Yes")</f>
        <v/>
      </c>
    </row>
    <row r="171">
      <c r="A171" t="inlineStr">
        <is>
          <t>SIMULATED Commercial FA Study</t>
        </is>
      </c>
      <c r="B171" t="inlineStr">
        <is>
          <t>P27</t>
        </is>
      </c>
      <c r="C171" t="inlineStr">
        <is>
          <t>F</t>
        </is>
      </c>
      <c r="D171" t="n">
        <v>21</v>
      </c>
      <c r="E171" t="inlineStr">
        <is>
          <t>A_C2first</t>
        </is>
      </c>
      <c r="F171" t="inlineStr">
        <is>
          <t>Stimulus</t>
        </is>
      </c>
      <c r="G171" t="inlineStr">
        <is>
          <t>Commercial_2</t>
        </is>
      </c>
      <c r="H171" t="n">
        <v>97000</v>
      </c>
      <c r="I171" t="n">
        <v>60000</v>
      </c>
      <c r="J171" t="inlineStr">
        <is>
          <t>Commercial_2</t>
        </is>
      </c>
      <c r="K171" s="4" t="n">
        <v>0.63</v>
      </c>
      <c r="L171" t="inlineStr">
        <is>
          <t>Frontal Asymmetry (Enobio EEG)</t>
        </is>
      </c>
      <c r="M171">
        <f>LEFT(E171,1)</f>
        <v/>
      </c>
      <c r="N171">
        <f>MID(E171,3,10)</f>
        <v/>
      </c>
      <c r="O171">
        <f>IF(F171="Stimulus",IF(LEFT(G171,8)="Baseline",G171,IF(LEFT(G171,12)="Commercial_1","C1","C2")),IF(G171="KeyScene","KeyScene",IF(LEFT(J171,12)="Commercial_1","EndScene_C1","EndScene_C2")))</f>
        <v/>
      </c>
      <c r="P171">
        <f>IF(COUNTIFS(Artifact!$B$2:$B$385,B171,Artifact!$K$2:$K$385,"&gt;25")+COUNTIFS(Log!$A$2:$A$49,B171,Log!$H$2:$H$49,"Red")+COUNTIFS(Log!$A$2:$A$49,B171,Log!$I$2:$I$49,"Red")&gt;0,"No","Yes")</f>
        <v/>
      </c>
      <c r="Q171">
        <f>IF(COUNTIFS(Artifact!$B$2:$B$385,B171,Artifact!$K$2:$K$385,"&gt;15")+COUNTIFS(Log!$A$2:$A$49,B171,Log!$H$2:$H$49,"Red")+COUNTIFS(Log!$A$2:$A$49,B171,Log!$I$2:$I$49,"Red")&gt;0,"No","Yes")</f>
        <v/>
      </c>
    </row>
    <row r="172">
      <c r="A172" t="inlineStr">
        <is>
          <t>SIMULATED Commercial FA Study</t>
        </is>
      </c>
      <c r="B172" t="inlineStr">
        <is>
          <t>P27</t>
        </is>
      </c>
      <c r="C172" t="inlineStr">
        <is>
          <t>F</t>
        </is>
      </c>
      <c r="D172" t="n">
        <v>21</v>
      </c>
      <c r="E172" t="inlineStr">
        <is>
          <t>A_C2first</t>
        </is>
      </c>
      <c r="F172" t="inlineStr">
        <is>
          <t>Stimulus</t>
        </is>
      </c>
      <c r="G172" t="inlineStr">
        <is>
          <t>Baseline_2</t>
        </is>
      </c>
      <c r="H172" t="n">
        <v>183000</v>
      </c>
      <c r="I172" t="n">
        <v>60000</v>
      </c>
      <c r="J172" t="inlineStr">
        <is>
          <t>Baseline_2</t>
        </is>
      </c>
      <c r="K172" s="4" t="n">
        <v>0.7272</v>
      </c>
      <c r="L172" t="inlineStr">
        <is>
          <t>Frontal Asymmetry (Enobio EEG)</t>
        </is>
      </c>
      <c r="M172">
        <f>LEFT(E172,1)</f>
        <v/>
      </c>
      <c r="N172">
        <f>MID(E172,3,10)</f>
        <v/>
      </c>
      <c r="O172">
        <f>IF(F172="Stimulus",IF(LEFT(G172,8)="Baseline",G172,IF(LEFT(G172,12)="Commercial_1","C1","C2")),IF(G172="KeyScene","KeyScene",IF(LEFT(J172,12)="Commercial_1","EndScene_C1","EndScene_C2")))</f>
        <v/>
      </c>
      <c r="P172">
        <f>IF(COUNTIFS(Artifact!$B$2:$B$385,B172,Artifact!$K$2:$K$385,"&gt;25")+COUNTIFS(Log!$A$2:$A$49,B172,Log!$H$2:$H$49,"Red")+COUNTIFS(Log!$A$2:$A$49,B172,Log!$I$2:$I$49,"Red")&gt;0,"No","Yes")</f>
        <v/>
      </c>
      <c r="Q172">
        <f>IF(COUNTIFS(Artifact!$B$2:$B$385,B172,Artifact!$K$2:$K$385,"&gt;15")+COUNTIFS(Log!$A$2:$A$49,B172,Log!$H$2:$H$49,"Red")+COUNTIFS(Log!$A$2:$A$49,B172,Log!$I$2:$I$49,"Red")&gt;0,"No","Yes")</f>
        <v/>
      </c>
    </row>
    <row r="173">
      <c r="A173" t="inlineStr">
        <is>
          <t>SIMULATED Commercial FA Study</t>
        </is>
      </c>
      <c r="B173" t="inlineStr">
        <is>
          <t>P27</t>
        </is>
      </c>
      <c r="C173" t="inlineStr">
        <is>
          <t>F</t>
        </is>
      </c>
      <c r="D173" t="n">
        <v>21</v>
      </c>
      <c r="E173" t="inlineStr">
        <is>
          <t>A_C2first</t>
        </is>
      </c>
      <c r="F173" t="inlineStr">
        <is>
          <t>Stimulus</t>
        </is>
      </c>
      <c r="G173" t="inlineStr">
        <is>
          <t>Commercial_1A</t>
        </is>
      </c>
      <c r="H173" t="n">
        <v>243000</v>
      </c>
      <c r="I173" t="n">
        <v>60000</v>
      </c>
      <c r="J173" t="inlineStr">
        <is>
          <t>Commercial_1A</t>
        </is>
      </c>
      <c r="K173" s="4" t="n">
        <v>0.6677</v>
      </c>
      <c r="L173" t="inlineStr">
        <is>
          <t>Frontal Asymmetry (Enobio EEG)</t>
        </is>
      </c>
      <c r="M173">
        <f>LEFT(E173,1)</f>
        <v/>
      </c>
      <c r="N173">
        <f>MID(E173,3,10)</f>
        <v/>
      </c>
      <c r="O173">
        <f>IF(F173="Stimulus",IF(LEFT(G173,8)="Baseline",G173,IF(LEFT(G173,12)="Commercial_1","C1","C2")),IF(G173="KeyScene","KeyScene",IF(LEFT(J173,12)="Commercial_1","EndScene_C1","EndScene_C2")))</f>
        <v/>
      </c>
      <c r="P173">
        <f>IF(COUNTIFS(Artifact!$B$2:$B$385,B173,Artifact!$K$2:$K$385,"&gt;25")+COUNTIFS(Log!$A$2:$A$49,B173,Log!$H$2:$H$49,"Red")+COUNTIFS(Log!$A$2:$A$49,B173,Log!$I$2:$I$49,"Red")&gt;0,"No","Yes")</f>
        <v/>
      </c>
      <c r="Q173">
        <f>IF(COUNTIFS(Artifact!$B$2:$B$385,B173,Artifact!$K$2:$K$385,"&gt;15")+COUNTIFS(Log!$A$2:$A$49,B173,Log!$H$2:$H$49,"Red")+COUNTIFS(Log!$A$2:$A$49,B173,Log!$I$2:$I$49,"Red")&gt;0,"No","Yes")</f>
        <v/>
      </c>
    </row>
    <row r="174">
      <c r="A174" t="inlineStr">
        <is>
          <t>SIMULATED Commercial FA Study</t>
        </is>
      </c>
      <c r="B174" t="inlineStr">
        <is>
          <t>P27</t>
        </is>
      </c>
      <c r="C174" t="inlineStr">
        <is>
          <t>F</t>
        </is>
      </c>
      <c r="D174" t="n">
        <v>21</v>
      </c>
      <c r="E174" t="inlineStr">
        <is>
          <t>A_C2first</t>
        </is>
      </c>
      <c r="F174" t="inlineStr">
        <is>
          <t>Annotation</t>
        </is>
      </c>
      <c r="G174" t="inlineStr">
        <is>
          <t>EndScene</t>
        </is>
      </c>
      <c r="H174" t="n">
        <v>147000</v>
      </c>
      <c r="I174" t="n">
        <v>10000</v>
      </c>
      <c r="J174" t="inlineStr">
        <is>
          <t>Commercial_2</t>
        </is>
      </c>
      <c r="K174" s="4" t="n">
        <v>0.8938</v>
      </c>
      <c r="L174" t="inlineStr">
        <is>
          <t>Frontal Asymmetry (Enobio EEG)</t>
        </is>
      </c>
      <c r="M174">
        <f>LEFT(E174,1)</f>
        <v/>
      </c>
      <c r="N174">
        <f>MID(E174,3,10)</f>
        <v/>
      </c>
      <c r="O174">
        <f>IF(F174="Stimulus",IF(LEFT(G174,8)="Baseline",G174,IF(LEFT(G174,12)="Commercial_1","C1","C2")),IF(G174="KeyScene","KeyScene",IF(LEFT(J174,12)="Commercial_1","EndScene_C1","EndScene_C2")))</f>
        <v/>
      </c>
      <c r="P174">
        <f>IF(COUNTIFS(Artifact!$B$2:$B$385,B174,Artifact!$K$2:$K$385,"&gt;25")+COUNTIFS(Log!$A$2:$A$49,B174,Log!$H$2:$H$49,"Red")+COUNTIFS(Log!$A$2:$A$49,B174,Log!$I$2:$I$49,"Red")&gt;0,"No","Yes")</f>
        <v/>
      </c>
      <c r="Q174">
        <f>IF(COUNTIFS(Artifact!$B$2:$B$385,B174,Artifact!$K$2:$K$385,"&gt;15")+COUNTIFS(Log!$A$2:$A$49,B174,Log!$H$2:$H$49,"Red")+COUNTIFS(Log!$A$2:$A$49,B174,Log!$I$2:$I$49,"Red")&gt;0,"No","Yes")</f>
        <v/>
      </c>
    </row>
    <row r="175">
      <c r="A175" t="inlineStr">
        <is>
          <t>SIMULATED Commercial FA Study</t>
        </is>
      </c>
      <c r="B175" t="inlineStr">
        <is>
          <t>P27</t>
        </is>
      </c>
      <c r="C175" t="inlineStr">
        <is>
          <t>F</t>
        </is>
      </c>
      <c r="D175" t="n">
        <v>21</v>
      </c>
      <c r="E175" t="inlineStr">
        <is>
          <t>A_C2first</t>
        </is>
      </c>
      <c r="F175" t="inlineStr">
        <is>
          <t>Annotation</t>
        </is>
      </c>
      <c r="G175" t="inlineStr">
        <is>
          <t>KeyScene</t>
        </is>
      </c>
      <c r="H175" t="n">
        <v>275000</v>
      </c>
      <c r="I175" t="n">
        <v>6000</v>
      </c>
      <c r="J175" t="inlineStr">
        <is>
          <t>Commercial_1A</t>
        </is>
      </c>
      <c r="K175" s="4" t="n">
        <v>0.4069</v>
      </c>
      <c r="L175" t="inlineStr">
        <is>
          <t>Frontal Asymmetry (Enobio EEG)</t>
        </is>
      </c>
      <c r="M175">
        <f>LEFT(E175,1)</f>
        <v/>
      </c>
      <c r="N175">
        <f>MID(E175,3,10)</f>
        <v/>
      </c>
      <c r="O175">
        <f>IF(F175="Stimulus",IF(LEFT(G175,8)="Baseline",G175,IF(LEFT(G175,12)="Commercial_1","C1","C2")),IF(G175="KeyScene","KeyScene",IF(LEFT(J175,12)="Commercial_1","EndScene_C1","EndScene_C2")))</f>
        <v/>
      </c>
      <c r="P175">
        <f>IF(COUNTIFS(Artifact!$B$2:$B$385,B175,Artifact!$K$2:$K$385,"&gt;25")+COUNTIFS(Log!$A$2:$A$49,B175,Log!$H$2:$H$49,"Red")+COUNTIFS(Log!$A$2:$A$49,B175,Log!$I$2:$I$49,"Red")&gt;0,"No","Yes")</f>
        <v/>
      </c>
      <c r="Q175">
        <f>IF(COUNTIFS(Artifact!$B$2:$B$385,B175,Artifact!$K$2:$K$385,"&gt;15")+COUNTIFS(Log!$A$2:$A$49,B175,Log!$H$2:$H$49,"Red")+COUNTIFS(Log!$A$2:$A$49,B175,Log!$I$2:$I$49,"Red")&gt;0,"No","Yes")</f>
        <v/>
      </c>
    </row>
    <row r="176">
      <c r="A176" t="inlineStr">
        <is>
          <t>SIMULATED Commercial FA Study</t>
        </is>
      </c>
      <c r="B176" t="inlineStr">
        <is>
          <t>P27</t>
        </is>
      </c>
      <c r="C176" t="inlineStr">
        <is>
          <t>F</t>
        </is>
      </c>
      <c r="D176" t="n">
        <v>21</v>
      </c>
      <c r="E176" t="inlineStr">
        <is>
          <t>A_C2first</t>
        </is>
      </c>
      <c r="F176" t="inlineStr">
        <is>
          <t>Annotation</t>
        </is>
      </c>
      <c r="G176" t="inlineStr">
        <is>
          <t>EndScene</t>
        </is>
      </c>
      <c r="H176" t="n">
        <v>293000</v>
      </c>
      <c r="I176" t="n">
        <v>10000</v>
      </c>
      <c r="J176" t="inlineStr">
        <is>
          <t>Commercial_1A</t>
        </is>
      </c>
      <c r="K176" s="4" t="n">
        <v>0.7669</v>
      </c>
      <c r="L176" t="inlineStr">
        <is>
          <t>Frontal Asymmetry (Enobio EEG)</t>
        </is>
      </c>
      <c r="M176">
        <f>LEFT(E176,1)</f>
        <v/>
      </c>
      <c r="N176">
        <f>MID(E176,3,10)</f>
        <v/>
      </c>
      <c r="O176">
        <f>IF(F176="Stimulus",IF(LEFT(G176,8)="Baseline",G176,IF(LEFT(G176,12)="Commercial_1","C1","C2")),IF(G176="KeyScene","KeyScene",IF(LEFT(J176,12)="Commercial_1","EndScene_C1","EndScene_C2")))</f>
        <v/>
      </c>
      <c r="P176">
        <f>IF(COUNTIFS(Artifact!$B$2:$B$385,B176,Artifact!$K$2:$K$385,"&gt;25")+COUNTIFS(Log!$A$2:$A$49,B176,Log!$H$2:$H$49,"Red")+COUNTIFS(Log!$A$2:$A$49,B176,Log!$I$2:$I$49,"Red")&gt;0,"No","Yes")</f>
        <v/>
      </c>
      <c r="Q176">
        <f>IF(COUNTIFS(Artifact!$B$2:$B$385,B176,Artifact!$K$2:$K$385,"&gt;15")+COUNTIFS(Log!$A$2:$A$49,B176,Log!$H$2:$H$49,"Red")+COUNTIFS(Log!$A$2:$A$49,B176,Log!$I$2:$I$49,"Red")&gt;0,"No","Yes")</f>
        <v/>
      </c>
    </row>
    <row r="177">
      <c r="A177" t="inlineStr">
        <is>
          <t>SIMULATED Commercial FA Study</t>
        </is>
      </c>
      <c r="B177" t="inlineStr">
        <is>
          <t>P28</t>
        </is>
      </c>
      <c r="C177" t="inlineStr">
        <is>
          <t>F</t>
        </is>
      </c>
      <c r="D177" t="n">
        <v>21</v>
      </c>
      <c r="E177" t="inlineStr">
        <is>
          <t>A_C1first</t>
        </is>
      </c>
      <c r="F177" t="inlineStr">
        <is>
          <t>Stimulus</t>
        </is>
      </c>
      <c r="G177" t="inlineStr">
        <is>
          <t>Baseline_1</t>
        </is>
      </c>
      <c r="H177" t="n">
        <v>35000</v>
      </c>
      <c r="I177" t="n">
        <v>60000</v>
      </c>
      <c r="J177" t="inlineStr">
        <is>
          <t>Baseline_1</t>
        </is>
      </c>
      <c r="K177" s="4" t="n">
        <v>-0.1492</v>
      </c>
      <c r="L177" t="inlineStr">
        <is>
          <t>Frontal Asymmetry (Enobio EEG)</t>
        </is>
      </c>
      <c r="M177">
        <f>LEFT(E177,1)</f>
        <v/>
      </c>
      <c r="N177">
        <f>MID(E177,3,10)</f>
        <v/>
      </c>
      <c r="O177">
        <f>IF(F177="Stimulus",IF(LEFT(G177,8)="Baseline",G177,IF(LEFT(G177,12)="Commercial_1","C1","C2")),IF(G177="KeyScene","KeyScene",IF(LEFT(J177,12)="Commercial_1","EndScene_C1","EndScene_C2")))</f>
        <v/>
      </c>
      <c r="P177">
        <f>IF(COUNTIFS(Artifact!$B$2:$B$385,B177,Artifact!$K$2:$K$385,"&gt;25")+COUNTIFS(Log!$A$2:$A$49,B177,Log!$H$2:$H$49,"Red")+COUNTIFS(Log!$A$2:$A$49,B177,Log!$I$2:$I$49,"Red")&gt;0,"No","Yes")</f>
        <v/>
      </c>
      <c r="Q177">
        <f>IF(COUNTIFS(Artifact!$B$2:$B$385,B177,Artifact!$K$2:$K$385,"&gt;15")+COUNTIFS(Log!$A$2:$A$49,B177,Log!$H$2:$H$49,"Red")+COUNTIFS(Log!$A$2:$A$49,B177,Log!$I$2:$I$49,"Red")&gt;0,"No","Yes")</f>
        <v/>
      </c>
    </row>
    <row r="178">
      <c r="A178" t="inlineStr">
        <is>
          <t>SIMULATED Commercial FA Study</t>
        </is>
      </c>
      <c r="B178" t="inlineStr">
        <is>
          <t>P28</t>
        </is>
      </c>
      <c r="C178" t="inlineStr">
        <is>
          <t>F</t>
        </is>
      </c>
      <c r="D178" t="n">
        <v>21</v>
      </c>
      <c r="E178" t="inlineStr">
        <is>
          <t>A_C1first</t>
        </is>
      </c>
      <c r="F178" t="inlineStr">
        <is>
          <t>Stimulus</t>
        </is>
      </c>
      <c r="G178" t="inlineStr">
        <is>
          <t>Commercial_1A</t>
        </is>
      </c>
      <c r="H178" t="n">
        <v>95000</v>
      </c>
      <c r="I178" t="n">
        <v>60000</v>
      </c>
      <c r="J178" t="inlineStr">
        <is>
          <t>Commercial_1A</t>
        </is>
      </c>
      <c r="K178" s="4" t="n">
        <v>-0.09719999999999999</v>
      </c>
      <c r="L178" t="inlineStr">
        <is>
          <t>Frontal Asymmetry (Enobio EEG)</t>
        </is>
      </c>
      <c r="M178">
        <f>LEFT(E178,1)</f>
        <v/>
      </c>
      <c r="N178">
        <f>MID(E178,3,10)</f>
        <v/>
      </c>
      <c r="O178">
        <f>IF(F178="Stimulus",IF(LEFT(G178,8)="Baseline",G178,IF(LEFT(G178,12)="Commercial_1","C1","C2")),IF(G178="KeyScene","KeyScene",IF(LEFT(J178,12)="Commercial_1","EndScene_C1","EndScene_C2")))</f>
        <v/>
      </c>
      <c r="P178">
        <f>IF(COUNTIFS(Artifact!$B$2:$B$385,B178,Artifact!$K$2:$K$385,"&gt;25")+COUNTIFS(Log!$A$2:$A$49,B178,Log!$H$2:$H$49,"Red")+COUNTIFS(Log!$A$2:$A$49,B178,Log!$I$2:$I$49,"Red")&gt;0,"No","Yes")</f>
        <v/>
      </c>
      <c r="Q178">
        <f>IF(COUNTIFS(Artifact!$B$2:$B$385,B178,Artifact!$K$2:$K$385,"&gt;15")+COUNTIFS(Log!$A$2:$A$49,B178,Log!$H$2:$H$49,"Red")+COUNTIFS(Log!$A$2:$A$49,B178,Log!$I$2:$I$49,"Red")&gt;0,"No","Yes")</f>
        <v/>
      </c>
    </row>
    <row r="179">
      <c r="A179" t="inlineStr">
        <is>
          <t>SIMULATED Commercial FA Study</t>
        </is>
      </c>
      <c r="B179" t="inlineStr">
        <is>
          <t>P28</t>
        </is>
      </c>
      <c r="C179" t="inlineStr">
        <is>
          <t>F</t>
        </is>
      </c>
      <c r="D179" t="n">
        <v>21</v>
      </c>
      <c r="E179" t="inlineStr">
        <is>
          <t>A_C1first</t>
        </is>
      </c>
      <c r="F179" t="inlineStr">
        <is>
          <t>Stimulus</t>
        </is>
      </c>
      <c r="G179" t="inlineStr">
        <is>
          <t>Baseline_2</t>
        </is>
      </c>
      <c r="H179" t="n">
        <v>186000</v>
      </c>
      <c r="I179" t="n">
        <v>60000</v>
      </c>
      <c r="J179" t="inlineStr">
        <is>
          <t>Baseline_2</t>
        </is>
      </c>
      <c r="K179" s="4" t="n">
        <v>-0.1489</v>
      </c>
      <c r="L179" t="inlineStr">
        <is>
          <t>Frontal Asymmetry (Enobio EEG)</t>
        </is>
      </c>
      <c r="M179">
        <f>LEFT(E179,1)</f>
        <v/>
      </c>
      <c r="N179">
        <f>MID(E179,3,10)</f>
        <v/>
      </c>
      <c r="O179">
        <f>IF(F179="Stimulus",IF(LEFT(G179,8)="Baseline",G179,IF(LEFT(G179,12)="Commercial_1","C1","C2")),IF(G179="KeyScene","KeyScene",IF(LEFT(J179,12)="Commercial_1","EndScene_C1","EndScene_C2")))</f>
        <v/>
      </c>
      <c r="P179">
        <f>IF(COUNTIFS(Artifact!$B$2:$B$385,B179,Artifact!$K$2:$K$385,"&gt;25")+COUNTIFS(Log!$A$2:$A$49,B179,Log!$H$2:$H$49,"Red")+COUNTIFS(Log!$A$2:$A$49,B179,Log!$I$2:$I$49,"Red")&gt;0,"No","Yes")</f>
        <v/>
      </c>
      <c r="Q179">
        <f>IF(COUNTIFS(Artifact!$B$2:$B$385,B179,Artifact!$K$2:$K$385,"&gt;15")+COUNTIFS(Log!$A$2:$A$49,B179,Log!$H$2:$H$49,"Red")+COUNTIFS(Log!$A$2:$A$49,B179,Log!$I$2:$I$49,"Red")&gt;0,"No","Yes")</f>
        <v/>
      </c>
    </row>
    <row r="180">
      <c r="A180" t="inlineStr">
        <is>
          <t>SIMULATED Commercial FA Study</t>
        </is>
      </c>
      <c r="B180" t="inlineStr">
        <is>
          <t>P28</t>
        </is>
      </c>
      <c r="C180" t="inlineStr">
        <is>
          <t>F</t>
        </is>
      </c>
      <c r="D180" t="n">
        <v>21</v>
      </c>
      <c r="E180" t="inlineStr">
        <is>
          <t>A_C1first</t>
        </is>
      </c>
      <c r="F180" t="inlineStr">
        <is>
          <t>Stimulus</t>
        </is>
      </c>
      <c r="G180" t="inlineStr">
        <is>
          <t>Commercial_2</t>
        </is>
      </c>
      <c r="H180" t="n">
        <v>246000</v>
      </c>
      <c r="I180" t="n">
        <v>60000</v>
      </c>
      <c r="J180" t="inlineStr">
        <is>
          <t>Commercial_2</t>
        </is>
      </c>
      <c r="K180" s="4" t="n">
        <v>-0.1702</v>
      </c>
      <c r="L180" t="inlineStr">
        <is>
          <t>Frontal Asymmetry (Enobio EEG)</t>
        </is>
      </c>
      <c r="M180">
        <f>LEFT(E180,1)</f>
        <v/>
      </c>
      <c r="N180">
        <f>MID(E180,3,10)</f>
        <v/>
      </c>
      <c r="O180">
        <f>IF(F180="Stimulus",IF(LEFT(G180,8)="Baseline",G180,IF(LEFT(G180,12)="Commercial_1","C1","C2")),IF(G180="KeyScene","KeyScene",IF(LEFT(J180,12)="Commercial_1","EndScene_C1","EndScene_C2")))</f>
        <v/>
      </c>
      <c r="P180">
        <f>IF(COUNTIFS(Artifact!$B$2:$B$385,B180,Artifact!$K$2:$K$385,"&gt;25")+COUNTIFS(Log!$A$2:$A$49,B180,Log!$H$2:$H$49,"Red")+COUNTIFS(Log!$A$2:$A$49,B180,Log!$I$2:$I$49,"Red")&gt;0,"No","Yes")</f>
        <v/>
      </c>
      <c r="Q180">
        <f>IF(COUNTIFS(Artifact!$B$2:$B$385,B180,Artifact!$K$2:$K$385,"&gt;15")+COUNTIFS(Log!$A$2:$A$49,B180,Log!$H$2:$H$49,"Red")+COUNTIFS(Log!$A$2:$A$49,B180,Log!$I$2:$I$49,"Red")&gt;0,"No","Yes")</f>
        <v/>
      </c>
    </row>
    <row r="181">
      <c r="A181" t="inlineStr">
        <is>
          <t>SIMULATED Commercial FA Study</t>
        </is>
      </c>
      <c r="B181" t="inlineStr">
        <is>
          <t>P28</t>
        </is>
      </c>
      <c r="C181" t="inlineStr">
        <is>
          <t>F</t>
        </is>
      </c>
      <c r="D181" t="n">
        <v>21</v>
      </c>
      <c r="E181" t="inlineStr">
        <is>
          <t>A_C1first</t>
        </is>
      </c>
      <c r="F181" t="inlineStr">
        <is>
          <t>Annotation</t>
        </is>
      </c>
      <c r="G181" t="inlineStr">
        <is>
          <t>KeyScene</t>
        </is>
      </c>
      <c r="H181" t="n">
        <v>127000</v>
      </c>
      <c r="I181" t="n">
        <v>6000</v>
      </c>
      <c r="J181" t="inlineStr">
        <is>
          <t>Commercial_1A</t>
        </is>
      </c>
      <c r="K181" s="4" t="n">
        <v>0.0098</v>
      </c>
      <c r="L181" t="inlineStr">
        <is>
          <t>Frontal Asymmetry (Enobio EEG)</t>
        </is>
      </c>
      <c r="M181">
        <f>LEFT(E181,1)</f>
        <v/>
      </c>
      <c r="N181">
        <f>MID(E181,3,10)</f>
        <v/>
      </c>
      <c r="O181">
        <f>IF(F181="Stimulus",IF(LEFT(G181,8)="Baseline",G181,IF(LEFT(G181,12)="Commercial_1","C1","C2")),IF(G181="KeyScene","KeyScene",IF(LEFT(J181,12)="Commercial_1","EndScene_C1","EndScene_C2")))</f>
        <v/>
      </c>
      <c r="P181">
        <f>IF(COUNTIFS(Artifact!$B$2:$B$385,B181,Artifact!$K$2:$K$385,"&gt;25")+COUNTIFS(Log!$A$2:$A$49,B181,Log!$H$2:$H$49,"Red")+COUNTIFS(Log!$A$2:$A$49,B181,Log!$I$2:$I$49,"Red")&gt;0,"No","Yes")</f>
        <v/>
      </c>
      <c r="Q181">
        <f>IF(COUNTIFS(Artifact!$B$2:$B$385,B181,Artifact!$K$2:$K$385,"&gt;15")+COUNTIFS(Log!$A$2:$A$49,B181,Log!$H$2:$H$49,"Red")+COUNTIFS(Log!$A$2:$A$49,B181,Log!$I$2:$I$49,"Red")&gt;0,"No","Yes")</f>
        <v/>
      </c>
    </row>
    <row r="182">
      <c r="A182" t="inlineStr">
        <is>
          <t>SIMULATED Commercial FA Study</t>
        </is>
      </c>
      <c r="B182" t="inlineStr">
        <is>
          <t>P28</t>
        </is>
      </c>
      <c r="C182" t="inlineStr">
        <is>
          <t>F</t>
        </is>
      </c>
      <c r="D182" t="n">
        <v>21</v>
      </c>
      <c r="E182" t="inlineStr">
        <is>
          <t>A_C1first</t>
        </is>
      </c>
      <c r="F182" t="inlineStr">
        <is>
          <t>Annotation</t>
        </is>
      </c>
      <c r="G182" t="inlineStr">
        <is>
          <t>EndScene</t>
        </is>
      </c>
      <c r="H182" t="n">
        <v>145000</v>
      </c>
      <c r="I182" t="n">
        <v>10000</v>
      </c>
      <c r="J182" t="inlineStr">
        <is>
          <t>Commercial_1A</t>
        </is>
      </c>
      <c r="K182" s="4" t="n">
        <v>-0.0721</v>
      </c>
      <c r="L182" t="inlineStr">
        <is>
          <t>Frontal Asymmetry (Enobio EEG)</t>
        </is>
      </c>
      <c r="M182">
        <f>LEFT(E182,1)</f>
        <v/>
      </c>
      <c r="N182">
        <f>MID(E182,3,10)</f>
        <v/>
      </c>
      <c r="O182">
        <f>IF(F182="Stimulus",IF(LEFT(G182,8)="Baseline",G182,IF(LEFT(G182,12)="Commercial_1","C1","C2")),IF(G182="KeyScene","KeyScene",IF(LEFT(J182,12)="Commercial_1","EndScene_C1","EndScene_C2")))</f>
        <v/>
      </c>
      <c r="P182">
        <f>IF(COUNTIFS(Artifact!$B$2:$B$385,B182,Artifact!$K$2:$K$385,"&gt;25")+COUNTIFS(Log!$A$2:$A$49,B182,Log!$H$2:$H$49,"Red")+COUNTIFS(Log!$A$2:$A$49,B182,Log!$I$2:$I$49,"Red")&gt;0,"No","Yes")</f>
        <v/>
      </c>
      <c r="Q182">
        <f>IF(COUNTIFS(Artifact!$B$2:$B$385,B182,Artifact!$K$2:$K$385,"&gt;15")+COUNTIFS(Log!$A$2:$A$49,B182,Log!$H$2:$H$49,"Red")+COUNTIFS(Log!$A$2:$A$49,B182,Log!$I$2:$I$49,"Red")&gt;0,"No","Yes")</f>
        <v/>
      </c>
    </row>
    <row r="183">
      <c r="A183" t="inlineStr">
        <is>
          <t>SIMULATED Commercial FA Study</t>
        </is>
      </c>
      <c r="B183" t="inlineStr">
        <is>
          <t>P28</t>
        </is>
      </c>
      <c r="C183" t="inlineStr">
        <is>
          <t>F</t>
        </is>
      </c>
      <c r="D183" t="n">
        <v>21</v>
      </c>
      <c r="E183" t="inlineStr">
        <is>
          <t>A_C1first</t>
        </is>
      </c>
      <c r="F183" t="inlineStr">
        <is>
          <t>Annotation</t>
        </is>
      </c>
      <c r="G183" t="inlineStr">
        <is>
          <t>EndScene</t>
        </is>
      </c>
      <c r="H183" t="n">
        <v>296000</v>
      </c>
      <c r="I183" t="n">
        <v>10000</v>
      </c>
      <c r="J183" t="inlineStr">
        <is>
          <t>Commercial_2</t>
        </is>
      </c>
      <c r="K183" s="4" t="n">
        <v>-0.1857</v>
      </c>
      <c r="L183" t="inlineStr">
        <is>
          <t>Frontal Asymmetry (Enobio EEG)</t>
        </is>
      </c>
      <c r="M183">
        <f>LEFT(E183,1)</f>
        <v/>
      </c>
      <c r="N183">
        <f>MID(E183,3,10)</f>
        <v/>
      </c>
      <c r="O183">
        <f>IF(F183="Stimulus",IF(LEFT(G183,8)="Baseline",G183,IF(LEFT(G183,12)="Commercial_1","C1","C2")),IF(G183="KeyScene","KeyScene",IF(LEFT(J183,12)="Commercial_1","EndScene_C1","EndScene_C2")))</f>
        <v/>
      </c>
      <c r="P183">
        <f>IF(COUNTIFS(Artifact!$B$2:$B$385,B183,Artifact!$K$2:$K$385,"&gt;25")+COUNTIFS(Log!$A$2:$A$49,B183,Log!$H$2:$H$49,"Red")+COUNTIFS(Log!$A$2:$A$49,B183,Log!$I$2:$I$49,"Red")&gt;0,"No","Yes")</f>
        <v/>
      </c>
      <c r="Q183">
        <f>IF(COUNTIFS(Artifact!$B$2:$B$385,B183,Artifact!$K$2:$K$385,"&gt;15")+COUNTIFS(Log!$A$2:$A$49,B183,Log!$H$2:$H$49,"Red")+COUNTIFS(Log!$A$2:$A$49,B183,Log!$I$2:$I$49,"Red")&gt;0,"No","Yes")</f>
        <v/>
      </c>
    </row>
    <row r="184">
      <c r="A184" t="inlineStr">
        <is>
          <t>SIMULATED Commercial FA Study</t>
        </is>
      </c>
      <c r="B184" t="inlineStr">
        <is>
          <t>P29</t>
        </is>
      </c>
      <c r="C184" t="inlineStr">
        <is>
          <t>M</t>
        </is>
      </c>
      <c r="D184" t="n">
        <v>18</v>
      </c>
      <c r="E184" t="inlineStr">
        <is>
          <t>B_C1first</t>
        </is>
      </c>
      <c r="F184" t="inlineStr">
        <is>
          <t>Stimulus</t>
        </is>
      </c>
      <c r="G184" t="inlineStr">
        <is>
          <t>Baseline_1</t>
        </is>
      </c>
      <c r="H184" t="n">
        <v>30000</v>
      </c>
      <c r="I184" t="n">
        <v>60000</v>
      </c>
      <c r="J184" t="inlineStr">
        <is>
          <t>Baseline_1</t>
        </is>
      </c>
      <c r="K184" s="4" t="n">
        <v>-0.0132</v>
      </c>
      <c r="L184" t="inlineStr">
        <is>
          <t>Frontal Asymmetry (Enobio EEG)</t>
        </is>
      </c>
      <c r="M184">
        <f>LEFT(E184,1)</f>
        <v/>
      </c>
      <c r="N184">
        <f>MID(E184,3,10)</f>
        <v/>
      </c>
      <c r="O184">
        <f>IF(F184="Stimulus",IF(LEFT(G184,8)="Baseline",G184,IF(LEFT(G184,12)="Commercial_1","C1","C2")),IF(G184="KeyScene","KeyScene",IF(LEFT(J184,12)="Commercial_1","EndScene_C1","EndScene_C2")))</f>
        <v/>
      </c>
      <c r="P184">
        <f>IF(COUNTIFS(Artifact!$B$2:$B$385,B184,Artifact!$K$2:$K$385,"&gt;25")+COUNTIFS(Log!$A$2:$A$49,B184,Log!$H$2:$H$49,"Red")+COUNTIFS(Log!$A$2:$A$49,B184,Log!$I$2:$I$49,"Red")&gt;0,"No","Yes")</f>
        <v/>
      </c>
      <c r="Q184">
        <f>IF(COUNTIFS(Artifact!$B$2:$B$385,B184,Artifact!$K$2:$K$385,"&gt;15")+COUNTIFS(Log!$A$2:$A$49,B184,Log!$H$2:$H$49,"Red")+COUNTIFS(Log!$A$2:$A$49,B184,Log!$I$2:$I$49,"Red")&gt;0,"No","Yes")</f>
        <v/>
      </c>
    </row>
    <row r="185">
      <c r="A185" t="inlineStr">
        <is>
          <t>SIMULATED Commercial FA Study</t>
        </is>
      </c>
      <c r="B185" t="inlineStr">
        <is>
          <t>P29</t>
        </is>
      </c>
      <c r="C185" t="inlineStr">
        <is>
          <t>M</t>
        </is>
      </c>
      <c r="D185" t="n">
        <v>18</v>
      </c>
      <c r="E185" t="inlineStr">
        <is>
          <t>B_C1first</t>
        </is>
      </c>
      <c r="F185" t="inlineStr">
        <is>
          <t>Stimulus</t>
        </is>
      </c>
      <c r="G185" t="inlineStr">
        <is>
          <t>Commercial_1B</t>
        </is>
      </c>
      <c r="H185" t="n">
        <v>90000</v>
      </c>
      <c r="I185" t="n">
        <v>54000</v>
      </c>
      <c r="J185" t="inlineStr">
        <is>
          <t>Commercial_1B</t>
        </is>
      </c>
      <c r="K185" s="4" t="n">
        <v>-0.0537</v>
      </c>
      <c r="L185" t="inlineStr">
        <is>
          <t>Frontal Asymmetry (Enobio EEG)</t>
        </is>
      </c>
      <c r="M185">
        <f>LEFT(E185,1)</f>
        <v/>
      </c>
      <c r="N185">
        <f>MID(E185,3,10)</f>
        <v/>
      </c>
      <c r="O185">
        <f>IF(F185="Stimulus",IF(LEFT(G185,8)="Baseline",G185,IF(LEFT(G185,12)="Commercial_1","C1","C2")),IF(G185="KeyScene","KeyScene",IF(LEFT(J185,12)="Commercial_1","EndScene_C1","EndScene_C2")))</f>
        <v/>
      </c>
      <c r="P185">
        <f>IF(COUNTIFS(Artifact!$B$2:$B$385,B185,Artifact!$K$2:$K$385,"&gt;25")+COUNTIFS(Log!$A$2:$A$49,B185,Log!$H$2:$H$49,"Red")+COUNTIFS(Log!$A$2:$A$49,B185,Log!$I$2:$I$49,"Red")&gt;0,"No","Yes")</f>
        <v/>
      </c>
      <c r="Q185">
        <f>IF(COUNTIFS(Artifact!$B$2:$B$385,B185,Artifact!$K$2:$K$385,"&gt;15")+COUNTIFS(Log!$A$2:$A$49,B185,Log!$H$2:$H$49,"Red")+COUNTIFS(Log!$A$2:$A$49,B185,Log!$I$2:$I$49,"Red")&gt;0,"No","Yes")</f>
        <v/>
      </c>
    </row>
    <row r="186">
      <c r="A186" t="inlineStr">
        <is>
          <t>SIMULATED Commercial FA Study</t>
        </is>
      </c>
      <c r="B186" t="inlineStr">
        <is>
          <t>P29</t>
        </is>
      </c>
      <c r="C186" t="inlineStr">
        <is>
          <t>M</t>
        </is>
      </c>
      <c r="D186" t="n">
        <v>18</v>
      </c>
      <c r="E186" t="inlineStr">
        <is>
          <t>B_C1first</t>
        </is>
      </c>
      <c r="F186" t="inlineStr">
        <is>
          <t>Stimulus</t>
        </is>
      </c>
      <c r="G186" t="inlineStr">
        <is>
          <t>Baseline_2</t>
        </is>
      </c>
      <c r="H186" t="n">
        <v>173000</v>
      </c>
      <c r="I186" t="n">
        <v>60000</v>
      </c>
      <c r="J186" t="inlineStr">
        <is>
          <t>Baseline_2</t>
        </is>
      </c>
      <c r="K186" s="4" t="n">
        <v>0.08799999999999999</v>
      </c>
      <c r="L186" t="inlineStr">
        <is>
          <t>Frontal Asymmetry (Enobio EEG)</t>
        </is>
      </c>
      <c r="M186">
        <f>LEFT(E186,1)</f>
        <v/>
      </c>
      <c r="N186">
        <f>MID(E186,3,10)</f>
        <v/>
      </c>
      <c r="O186">
        <f>IF(F186="Stimulus",IF(LEFT(G186,8)="Baseline",G186,IF(LEFT(G186,12)="Commercial_1","C1","C2")),IF(G186="KeyScene","KeyScene",IF(LEFT(J186,12)="Commercial_1","EndScene_C1","EndScene_C2")))</f>
        <v/>
      </c>
      <c r="P186">
        <f>IF(COUNTIFS(Artifact!$B$2:$B$385,B186,Artifact!$K$2:$K$385,"&gt;25")+COUNTIFS(Log!$A$2:$A$49,B186,Log!$H$2:$H$49,"Red")+COUNTIFS(Log!$A$2:$A$49,B186,Log!$I$2:$I$49,"Red")&gt;0,"No","Yes")</f>
        <v/>
      </c>
      <c r="Q186">
        <f>IF(COUNTIFS(Artifact!$B$2:$B$385,B186,Artifact!$K$2:$K$385,"&gt;15")+COUNTIFS(Log!$A$2:$A$49,B186,Log!$H$2:$H$49,"Red")+COUNTIFS(Log!$A$2:$A$49,B186,Log!$I$2:$I$49,"Red")&gt;0,"No","Yes")</f>
        <v/>
      </c>
    </row>
    <row r="187">
      <c r="A187" t="inlineStr">
        <is>
          <t>SIMULATED Commercial FA Study</t>
        </is>
      </c>
      <c r="B187" t="inlineStr">
        <is>
          <t>P29</t>
        </is>
      </c>
      <c r="C187" t="inlineStr">
        <is>
          <t>M</t>
        </is>
      </c>
      <c r="D187" t="n">
        <v>18</v>
      </c>
      <c r="E187" t="inlineStr">
        <is>
          <t>B_C1first</t>
        </is>
      </c>
      <c r="F187" t="inlineStr">
        <is>
          <t>Stimulus</t>
        </is>
      </c>
      <c r="G187" t="inlineStr">
        <is>
          <t>Commercial_2</t>
        </is>
      </c>
      <c r="H187" t="n">
        <v>233000</v>
      </c>
      <c r="I187" t="n">
        <v>60000</v>
      </c>
      <c r="J187" t="inlineStr">
        <is>
          <t>Commercial_2</t>
        </is>
      </c>
      <c r="K187" s="4" t="n">
        <v>0.216</v>
      </c>
      <c r="L187" t="inlineStr">
        <is>
          <t>Frontal Asymmetry (Enobio EEG)</t>
        </is>
      </c>
      <c r="M187">
        <f>LEFT(E187,1)</f>
        <v/>
      </c>
      <c r="N187">
        <f>MID(E187,3,10)</f>
        <v/>
      </c>
      <c r="O187">
        <f>IF(F187="Stimulus",IF(LEFT(G187,8)="Baseline",G187,IF(LEFT(G187,12)="Commercial_1","C1","C2")),IF(G187="KeyScene","KeyScene",IF(LEFT(J187,12)="Commercial_1","EndScene_C1","EndScene_C2")))</f>
        <v/>
      </c>
      <c r="P187">
        <f>IF(COUNTIFS(Artifact!$B$2:$B$385,B187,Artifact!$K$2:$K$385,"&gt;25")+COUNTIFS(Log!$A$2:$A$49,B187,Log!$H$2:$H$49,"Red")+COUNTIFS(Log!$A$2:$A$49,B187,Log!$I$2:$I$49,"Red")&gt;0,"No","Yes")</f>
        <v/>
      </c>
      <c r="Q187">
        <f>IF(COUNTIFS(Artifact!$B$2:$B$385,B187,Artifact!$K$2:$K$385,"&gt;15")+COUNTIFS(Log!$A$2:$A$49,B187,Log!$H$2:$H$49,"Red")+COUNTIFS(Log!$A$2:$A$49,B187,Log!$I$2:$I$49,"Red")&gt;0,"No","Yes")</f>
        <v/>
      </c>
    </row>
    <row r="188">
      <c r="A188" t="inlineStr">
        <is>
          <t>SIMULATED Commercial FA Study</t>
        </is>
      </c>
      <c r="B188" t="inlineStr">
        <is>
          <t>P29</t>
        </is>
      </c>
      <c r="C188" t="inlineStr">
        <is>
          <t>M</t>
        </is>
      </c>
      <c r="D188" t="n">
        <v>18</v>
      </c>
      <c r="E188" t="inlineStr">
        <is>
          <t>B_C1first</t>
        </is>
      </c>
      <c r="F188" t="inlineStr">
        <is>
          <t>Annotation</t>
        </is>
      </c>
      <c r="G188" t="inlineStr">
        <is>
          <t>EndScene</t>
        </is>
      </c>
      <c r="H188" t="n">
        <v>134000</v>
      </c>
      <c r="I188" t="n">
        <v>10000</v>
      </c>
      <c r="J188" t="inlineStr">
        <is>
          <t>Commercial_1B</t>
        </is>
      </c>
      <c r="K188" s="4" t="n">
        <v>0.0018</v>
      </c>
      <c r="L188" t="inlineStr">
        <is>
          <t>Frontal Asymmetry (Enobio EEG)</t>
        </is>
      </c>
      <c r="M188">
        <f>LEFT(E188,1)</f>
        <v/>
      </c>
      <c r="N188">
        <f>MID(E188,3,10)</f>
        <v/>
      </c>
      <c r="O188">
        <f>IF(F188="Stimulus",IF(LEFT(G188,8)="Baseline",G188,IF(LEFT(G188,12)="Commercial_1","C1","C2")),IF(G188="KeyScene","KeyScene",IF(LEFT(J188,12)="Commercial_1","EndScene_C1","EndScene_C2")))</f>
        <v/>
      </c>
      <c r="P188">
        <f>IF(COUNTIFS(Artifact!$B$2:$B$385,B188,Artifact!$K$2:$K$385,"&gt;25")+COUNTIFS(Log!$A$2:$A$49,B188,Log!$H$2:$H$49,"Red")+COUNTIFS(Log!$A$2:$A$49,B188,Log!$I$2:$I$49,"Red")&gt;0,"No","Yes")</f>
        <v/>
      </c>
      <c r="Q188">
        <f>IF(COUNTIFS(Artifact!$B$2:$B$385,B188,Artifact!$K$2:$K$385,"&gt;15")+COUNTIFS(Log!$A$2:$A$49,B188,Log!$H$2:$H$49,"Red")+COUNTIFS(Log!$A$2:$A$49,B188,Log!$I$2:$I$49,"Red")&gt;0,"No","Yes")</f>
        <v/>
      </c>
    </row>
    <row r="189">
      <c r="A189" t="inlineStr">
        <is>
          <t>SIMULATED Commercial FA Study</t>
        </is>
      </c>
      <c r="B189" t="inlineStr">
        <is>
          <t>P29</t>
        </is>
      </c>
      <c r="C189" t="inlineStr">
        <is>
          <t>M</t>
        </is>
      </c>
      <c r="D189" t="n">
        <v>18</v>
      </c>
      <c r="E189" t="inlineStr">
        <is>
          <t>B_C1first</t>
        </is>
      </c>
      <c r="F189" t="inlineStr">
        <is>
          <t>Annotation</t>
        </is>
      </c>
      <c r="G189" t="inlineStr">
        <is>
          <t>EndScene</t>
        </is>
      </c>
      <c r="H189" t="n">
        <v>283000</v>
      </c>
      <c r="I189" t="n">
        <v>10000</v>
      </c>
      <c r="J189" t="inlineStr">
        <is>
          <t>Commercial_2</t>
        </is>
      </c>
      <c r="K189" s="4" t="n">
        <v>0.458</v>
      </c>
      <c r="L189" t="inlineStr">
        <is>
          <t>Frontal Asymmetry (Enobio EEG)</t>
        </is>
      </c>
      <c r="M189">
        <f>LEFT(E189,1)</f>
        <v/>
      </c>
      <c r="N189">
        <f>MID(E189,3,10)</f>
        <v/>
      </c>
      <c r="O189">
        <f>IF(F189="Stimulus",IF(LEFT(G189,8)="Baseline",G189,IF(LEFT(G189,12)="Commercial_1","C1","C2")),IF(G189="KeyScene","KeyScene",IF(LEFT(J189,12)="Commercial_1","EndScene_C1","EndScene_C2")))</f>
        <v/>
      </c>
      <c r="P189">
        <f>IF(COUNTIFS(Artifact!$B$2:$B$385,B189,Artifact!$K$2:$K$385,"&gt;25")+COUNTIFS(Log!$A$2:$A$49,B189,Log!$H$2:$H$49,"Red")+COUNTIFS(Log!$A$2:$A$49,B189,Log!$I$2:$I$49,"Red")&gt;0,"No","Yes")</f>
        <v/>
      </c>
      <c r="Q189">
        <f>IF(COUNTIFS(Artifact!$B$2:$B$385,B189,Artifact!$K$2:$K$385,"&gt;15")+COUNTIFS(Log!$A$2:$A$49,B189,Log!$H$2:$H$49,"Red")+COUNTIFS(Log!$A$2:$A$49,B189,Log!$I$2:$I$49,"Red")&gt;0,"No","Yes")</f>
        <v/>
      </c>
    </row>
    <row r="190">
      <c r="A190" t="inlineStr">
        <is>
          <t>SIMULATED Commercial FA Study</t>
        </is>
      </c>
      <c r="B190" t="inlineStr">
        <is>
          <t>P30</t>
        </is>
      </c>
      <c r="C190" t="inlineStr">
        <is>
          <t>M</t>
        </is>
      </c>
      <c r="D190" t="n">
        <v>20</v>
      </c>
      <c r="E190" t="inlineStr">
        <is>
          <t>A_C2first</t>
        </is>
      </c>
      <c r="F190" t="inlineStr">
        <is>
          <t>Stimulus</t>
        </is>
      </c>
      <c r="G190" t="inlineStr">
        <is>
          <t>Baseline_1</t>
        </is>
      </c>
      <c r="H190" t="n">
        <v>32000</v>
      </c>
      <c r="I190" t="n">
        <v>60000</v>
      </c>
      <c r="J190" t="inlineStr">
        <is>
          <t>Baseline_1</t>
        </is>
      </c>
      <c r="K190" s="4" t="n">
        <v>-0.0112</v>
      </c>
      <c r="L190" t="inlineStr">
        <is>
          <t>Frontal Asymmetry (Enobio EEG)</t>
        </is>
      </c>
      <c r="M190">
        <f>LEFT(E190,1)</f>
        <v/>
      </c>
      <c r="N190">
        <f>MID(E190,3,10)</f>
        <v/>
      </c>
      <c r="O190">
        <f>IF(F190="Stimulus",IF(LEFT(G190,8)="Baseline",G190,IF(LEFT(G190,12)="Commercial_1","C1","C2")),IF(G190="KeyScene","KeyScene",IF(LEFT(J190,12)="Commercial_1","EndScene_C1","EndScene_C2")))</f>
        <v/>
      </c>
      <c r="P190">
        <f>IF(COUNTIFS(Artifact!$B$2:$B$385,B190,Artifact!$K$2:$K$385,"&gt;25")+COUNTIFS(Log!$A$2:$A$49,B190,Log!$H$2:$H$49,"Red")+COUNTIFS(Log!$A$2:$A$49,B190,Log!$I$2:$I$49,"Red")&gt;0,"No","Yes")</f>
        <v/>
      </c>
      <c r="Q190">
        <f>IF(COUNTIFS(Artifact!$B$2:$B$385,B190,Artifact!$K$2:$K$385,"&gt;15")+COUNTIFS(Log!$A$2:$A$49,B190,Log!$H$2:$H$49,"Red")+COUNTIFS(Log!$A$2:$A$49,B190,Log!$I$2:$I$49,"Red")&gt;0,"No","Yes")</f>
        <v/>
      </c>
    </row>
    <row r="191">
      <c r="A191" t="inlineStr">
        <is>
          <t>SIMULATED Commercial FA Study</t>
        </is>
      </c>
      <c r="B191" t="inlineStr">
        <is>
          <t>P30</t>
        </is>
      </c>
      <c r="C191" t="inlineStr">
        <is>
          <t>M</t>
        </is>
      </c>
      <c r="D191" t="n">
        <v>20</v>
      </c>
      <c r="E191" t="inlineStr">
        <is>
          <t>A_C2first</t>
        </is>
      </c>
      <c r="F191" t="inlineStr">
        <is>
          <t>Stimulus</t>
        </is>
      </c>
      <c r="G191" t="inlineStr">
        <is>
          <t>Commercial_2</t>
        </is>
      </c>
      <c r="H191" t="n">
        <v>92000</v>
      </c>
      <c r="I191" t="n">
        <v>60000</v>
      </c>
      <c r="J191" t="inlineStr">
        <is>
          <t>Commercial_2</t>
        </is>
      </c>
      <c r="K191" s="4" t="n">
        <v>0.07480000000000001</v>
      </c>
      <c r="L191" t="inlineStr">
        <is>
          <t>Frontal Asymmetry (Enobio EEG)</t>
        </is>
      </c>
      <c r="M191">
        <f>LEFT(E191,1)</f>
        <v/>
      </c>
      <c r="N191">
        <f>MID(E191,3,10)</f>
        <v/>
      </c>
      <c r="O191">
        <f>IF(F191="Stimulus",IF(LEFT(G191,8)="Baseline",G191,IF(LEFT(G191,12)="Commercial_1","C1","C2")),IF(G191="KeyScene","KeyScene",IF(LEFT(J191,12)="Commercial_1","EndScene_C1","EndScene_C2")))</f>
        <v/>
      </c>
      <c r="P191">
        <f>IF(COUNTIFS(Artifact!$B$2:$B$385,B191,Artifact!$K$2:$K$385,"&gt;25")+COUNTIFS(Log!$A$2:$A$49,B191,Log!$H$2:$H$49,"Red")+COUNTIFS(Log!$A$2:$A$49,B191,Log!$I$2:$I$49,"Red")&gt;0,"No","Yes")</f>
        <v/>
      </c>
      <c r="Q191">
        <f>IF(COUNTIFS(Artifact!$B$2:$B$385,B191,Artifact!$K$2:$K$385,"&gt;15")+COUNTIFS(Log!$A$2:$A$49,B191,Log!$H$2:$H$49,"Red")+COUNTIFS(Log!$A$2:$A$49,B191,Log!$I$2:$I$49,"Red")&gt;0,"No","Yes")</f>
        <v/>
      </c>
    </row>
    <row r="192">
      <c r="A192" t="inlineStr">
        <is>
          <t>SIMULATED Commercial FA Study</t>
        </is>
      </c>
      <c r="B192" t="inlineStr">
        <is>
          <t>P30</t>
        </is>
      </c>
      <c r="C192" t="inlineStr">
        <is>
          <t>M</t>
        </is>
      </c>
      <c r="D192" t="n">
        <v>20</v>
      </c>
      <c r="E192" t="inlineStr">
        <is>
          <t>A_C2first</t>
        </is>
      </c>
      <c r="F192" t="inlineStr">
        <is>
          <t>Stimulus</t>
        </is>
      </c>
      <c r="G192" t="inlineStr">
        <is>
          <t>Baseline_2</t>
        </is>
      </c>
      <c r="H192" t="n">
        <v>210000</v>
      </c>
      <c r="I192" t="n">
        <v>60000</v>
      </c>
      <c r="J192" t="inlineStr">
        <is>
          <t>Baseline_2</t>
        </is>
      </c>
      <c r="K192" s="4" t="n">
        <v>0.1168</v>
      </c>
      <c r="L192" t="inlineStr">
        <is>
          <t>Frontal Asymmetry (Enobio EEG)</t>
        </is>
      </c>
      <c r="M192">
        <f>LEFT(E192,1)</f>
        <v/>
      </c>
      <c r="N192">
        <f>MID(E192,3,10)</f>
        <v/>
      </c>
      <c r="O192">
        <f>IF(F192="Stimulus",IF(LEFT(G192,8)="Baseline",G192,IF(LEFT(G192,12)="Commercial_1","C1","C2")),IF(G192="KeyScene","KeyScene",IF(LEFT(J192,12)="Commercial_1","EndScene_C1","EndScene_C2")))</f>
        <v/>
      </c>
      <c r="P192">
        <f>IF(COUNTIFS(Artifact!$B$2:$B$385,B192,Artifact!$K$2:$K$385,"&gt;25")+COUNTIFS(Log!$A$2:$A$49,B192,Log!$H$2:$H$49,"Red")+COUNTIFS(Log!$A$2:$A$49,B192,Log!$I$2:$I$49,"Red")&gt;0,"No","Yes")</f>
        <v/>
      </c>
      <c r="Q192">
        <f>IF(COUNTIFS(Artifact!$B$2:$B$385,B192,Artifact!$K$2:$K$385,"&gt;15")+COUNTIFS(Log!$A$2:$A$49,B192,Log!$H$2:$H$49,"Red")+COUNTIFS(Log!$A$2:$A$49,B192,Log!$I$2:$I$49,"Red")&gt;0,"No","Yes")</f>
        <v/>
      </c>
    </row>
    <row r="193">
      <c r="A193" t="inlineStr">
        <is>
          <t>SIMULATED Commercial FA Study</t>
        </is>
      </c>
      <c r="B193" t="inlineStr">
        <is>
          <t>P30</t>
        </is>
      </c>
      <c r="C193" t="inlineStr">
        <is>
          <t>M</t>
        </is>
      </c>
      <c r="D193" t="n">
        <v>20</v>
      </c>
      <c r="E193" t="inlineStr">
        <is>
          <t>A_C2first</t>
        </is>
      </c>
      <c r="F193" t="inlineStr">
        <is>
          <t>Stimulus</t>
        </is>
      </c>
      <c r="G193" t="inlineStr">
        <is>
          <t>Commercial_1A</t>
        </is>
      </c>
      <c r="H193" t="n">
        <v>270000</v>
      </c>
      <c r="I193" t="n">
        <v>60000</v>
      </c>
      <c r="J193" t="inlineStr">
        <is>
          <t>Commercial_1A</t>
        </is>
      </c>
      <c r="K193" s="4" t="n">
        <v>-0.0538</v>
      </c>
      <c r="L193" t="inlineStr">
        <is>
          <t>Frontal Asymmetry (Enobio EEG)</t>
        </is>
      </c>
      <c r="M193">
        <f>LEFT(E193,1)</f>
        <v/>
      </c>
      <c r="N193">
        <f>MID(E193,3,10)</f>
        <v/>
      </c>
      <c r="O193">
        <f>IF(F193="Stimulus",IF(LEFT(G193,8)="Baseline",G193,IF(LEFT(G193,12)="Commercial_1","C1","C2")),IF(G193="KeyScene","KeyScene",IF(LEFT(J193,12)="Commercial_1","EndScene_C1","EndScene_C2")))</f>
        <v/>
      </c>
      <c r="P193">
        <f>IF(COUNTIFS(Artifact!$B$2:$B$385,B193,Artifact!$K$2:$K$385,"&gt;25")+COUNTIFS(Log!$A$2:$A$49,B193,Log!$H$2:$H$49,"Red")+COUNTIFS(Log!$A$2:$A$49,B193,Log!$I$2:$I$49,"Red")&gt;0,"No","Yes")</f>
        <v/>
      </c>
      <c r="Q193">
        <f>IF(COUNTIFS(Artifact!$B$2:$B$385,B193,Artifact!$K$2:$K$385,"&gt;15")+COUNTIFS(Log!$A$2:$A$49,B193,Log!$H$2:$H$49,"Red")+COUNTIFS(Log!$A$2:$A$49,B193,Log!$I$2:$I$49,"Red")&gt;0,"No","Yes")</f>
        <v/>
      </c>
    </row>
    <row r="194">
      <c r="A194" t="inlineStr">
        <is>
          <t>SIMULATED Commercial FA Study</t>
        </is>
      </c>
      <c r="B194" t="inlineStr">
        <is>
          <t>P30</t>
        </is>
      </c>
      <c r="C194" t="inlineStr">
        <is>
          <t>M</t>
        </is>
      </c>
      <c r="D194" t="n">
        <v>20</v>
      </c>
      <c r="E194" t="inlineStr">
        <is>
          <t>A_C2first</t>
        </is>
      </c>
      <c r="F194" t="inlineStr">
        <is>
          <t>Annotation</t>
        </is>
      </c>
      <c r="G194" t="inlineStr">
        <is>
          <t>EndScene</t>
        </is>
      </c>
      <c r="H194" t="n">
        <v>142000</v>
      </c>
      <c r="I194" t="n">
        <v>10000</v>
      </c>
      <c r="J194" t="inlineStr">
        <is>
          <t>Commercial_2</t>
        </is>
      </c>
      <c r="K194" s="4" t="n">
        <v>-0.0133</v>
      </c>
      <c r="L194" t="inlineStr">
        <is>
          <t>Frontal Asymmetry (Enobio EEG)</t>
        </is>
      </c>
      <c r="M194">
        <f>LEFT(E194,1)</f>
        <v/>
      </c>
      <c r="N194">
        <f>MID(E194,3,10)</f>
        <v/>
      </c>
      <c r="O194">
        <f>IF(F194="Stimulus",IF(LEFT(G194,8)="Baseline",G194,IF(LEFT(G194,12)="Commercial_1","C1","C2")),IF(G194="KeyScene","KeyScene",IF(LEFT(J194,12)="Commercial_1","EndScene_C1","EndScene_C2")))</f>
        <v/>
      </c>
      <c r="P194">
        <f>IF(COUNTIFS(Artifact!$B$2:$B$385,B194,Artifact!$K$2:$K$385,"&gt;25")+COUNTIFS(Log!$A$2:$A$49,B194,Log!$H$2:$H$49,"Red")+COUNTIFS(Log!$A$2:$A$49,B194,Log!$I$2:$I$49,"Red")&gt;0,"No","Yes")</f>
        <v/>
      </c>
      <c r="Q194">
        <f>IF(COUNTIFS(Artifact!$B$2:$B$385,B194,Artifact!$K$2:$K$385,"&gt;15")+COUNTIFS(Log!$A$2:$A$49,B194,Log!$H$2:$H$49,"Red")+COUNTIFS(Log!$A$2:$A$49,B194,Log!$I$2:$I$49,"Red")&gt;0,"No","Yes")</f>
        <v/>
      </c>
    </row>
    <row r="195">
      <c r="A195" t="inlineStr">
        <is>
          <t>SIMULATED Commercial FA Study</t>
        </is>
      </c>
      <c r="B195" t="inlineStr">
        <is>
          <t>P30</t>
        </is>
      </c>
      <c r="C195" t="inlineStr">
        <is>
          <t>M</t>
        </is>
      </c>
      <c r="D195" t="n">
        <v>20</v>
      </c>
      <c r="E195" t="inlineStr">
        <is>
          <t>A_C2first</t>
        </is>
      </c>
      <c r="F195" t="inlineStr">
        <is>
          <t>Annotation</t>
        </is>
      </c>
      <c r="G195" t="inlineStr">
        <is>
          <t>KeyScene</t>
        </is>
      </c>
      <c r="H195" t="n">
        <v>302000</v>
      </c>
      <c r="I195" t="n">
        <v>6000</v>
      </c>
      <c r="J195" t="inlineStr">
        <is>
          <t>Commercial_1A</t>
        </is>
      </c>
      <c r="K195" s="4" t="n">
        <v>-0.1136</v>
      </c>
      <c r="L195" t="inlineStr">
        <is>
          <t>Frontal Asymmetry (Enobio EEG)</t>
        </is>
      </c>
      <c r="M195">
        <f>LEFT(E195,1)</f>
        <v/>
      </c>
      <c r="N195">
        <f>MID(E195,3,10)</f>
        <v/>
      </c>
      <c r="O195">
        <f>IF(F195="Stimulus",IF(LEFT(G195,8)="Baseline",G195,IF(LEFT(G195,12)="Commercial_1","C1","C2")),IF(G195="KeyScene","KeyScene",IF(LEFT(J195,12)="Commercial_1","EndScene_C1","EndScene_C2")))</f>
        <v/>
      </c>
      <c r="P195">
        <f>IF(COUNTIFS(Artifact!$B$2:$B$385,B195,Artifact!$K$2:$K$385,"&gt;25")+COUNTIFS(Log!$A$2:$A$49,B195,Log!$H$2:$H$49,"Red")+COUNTIFS(Log!$A$2:$A$49,B195,Log!$I$2:$I$49,"Red")&gt;0,"No","Yes")</f>
        <v/>
      </c>
      <c r="Q195">
        <f>IF(COUNTIFS(Artifact!$B$2:$B$385,B195,Artifact!$K$2:$K$385,"&gt;15")+COUNTIFS(Log!$A$2:$A$49,B195,Log!$H$2:$H$49,"Red")+COUNTIFS(Log!$A$2:$A$49,B195,Log!$I$2:$I$49,"Red")&gt;0,"No","Yes")</f>
        <v/>
      </c>
    </row>
    <row r="196">
      <c r="A196" t="inlineStr">
        <is>
          <t>SIMULATED Commercial FA Study</t>
        </is>
      </c>
      <c r="B196" t="inlineStr">
        <is>
          <t>P30</t>
        </is>
      </c>
      <c r="C196" t="inlineStr">
        <is>
          <t>M</t>
        </is>
      </c>
      <c r="D196" t="n">
        <v>20</v>
      </c>
      <c r="E196" t="inlineStr">
        <is>
          <t>A_C2first</t>
        </is>
      </c>
      <c r="F196" t="inlineStr">
        <is>
          <t>Annotation</t>
        </is>
      </c>
      <c r="G196" t="inlineStr">
        <is>
          <t>EndScene</t>
        </is>
      </c>
      <c r="H196" t="n">
        <v>320000</v>
      </c>
      <c r="I196" t="n">
        <v>10000</v>
      </c>
      <c r="J196" t="inlineStr">
        <is>
          <t>Commercial_1A</t>
        </is>
      </c>
      <c r="K196" s="4" t="n">
        <v>-0.1217</v>
      </c>
      <c r="L196" t="inlineStr">
        <is>
          <t>Frontal Asymmetry (Enobio EEG)</t>
        </is>
      </c>
      <c r="M196">
        <f>LEFT(E196,1)</f>
        <v/>
      </c>
      <c r="N196">
        <f>MID(E196,3,10)</f>
        <v/>
      </c>
      <c r="O196">
        <f>IF(F196="Stimulus",IF(LEFT(G196,8)="Baseline",G196,IF(LEFT(G196,12)="Commercial_1","C1","C2")),IF(G196="KeyScene","KeyScene",IF(LEFT(J196,12)="Commercial_1","EndScene_C1","EndScene_C2")))</f>
        <v/>
      </c>
      <c r="P196">
        <f>IF(COUNTIFS(Artifact!$B$2:$B$385,B196,Artifact!$K$2:$K$385,"&gt;25")+COUNTIFS(Log!$A$2:$A$49,B196,Log!$H$2:$H$49,"Red")+COUNTIFS(Log!$A$2:$A$49,B196,Log!$I$2:$I$49,"Red")&gt;0,"No","Yes")</f>
        <v/>
      </c>
      <c r="Q196">
        <f>IF(COUNTIFS(Artifact!$B$2:$B$385,B196,Artifact!$K$2:$K$385,"&gt;15")+COUNTIFS(Log!$A$2:$A$49,B196,Log!$H$2:$H$49,"Red")+COUNTIFS(Log!$A$2:$A$49,B196,Log!$I$2:$I$49,"Red")&gt;0,"No","Yes")</f>
        <v/>
      </c>
    </row>
    <row r="197">
      <c r="A197" t="inlineStr">
        <is>
          <t>SIMULATED Commercial FA Study</t>
        </is>
      </c>
      <c r="B197" t="inlineStr">
        <is>
          <t>P31</t>
        </is>
      </c>
      <c r="C197" t="inlineStr">
        <is>
          <t>F</t>
        </is>
      </c>
      <c r="D197" t="n">
        <v>24</v>
      </c>
      <c r="E197" t="inlineStr">
        <is>
          <t>A_C1first</t>
        </is>
      </c>
      <c r="F197" t="inlineStr">
        <is>
          <t>Stimulus</t>
        </is>
      </c>
      <c r="G197" t="inlineStr">
        <is>
          <t>Baseline_1</t>
        </is>
      </c>
      <c r="H197" t="n">
        <v>24000</v>
      </c>
      <c r="I197" t="n">
        <v>60000</v>
      </c>
      <c r="J197" t="inlineStr">
        <is>
          <t>Baseline_1</t>
        </is>
      </c>
      <c r="K197" s="4" t="n">
        <v>0.0212</v>
      </c>
      <c r="L197" t="inlineStr">
        <is>
          <t>Frontal Asymmetry (Enobio EEG)</t>
        </is>
      </c>
      <c r="M197">
        <f>LEFT(E197,1)</f>
        <v/>
      </c>
      <c r="N197">
        <f>MID(E197,3,10)</f>
        <v/>
      </c>
      <c r="O197">
        <f>IF(F197="Stimulus",IF(LEFT(G197,8)="Baseline",G197,IF(LEFT(G197,12)="Commercial_1","C1","C2")),IF(G197="KeyScene","KeyScene",IF(LEFT(J197,12)="Commercial_1","EndScene_C1","EndScene_C2")))</f>
        <v/>
      </c>
      <c r="P197">
        <f>IF(COUNTIFS(Artifact!$B$2:$B$385,B197,Artifact!$K$2:$K$385,"&gt;25")+COUNTIFS(Log!$A$2:$A$49,B197,Log!$H$2:$H$49,"Red")+COUNTIFS(Log!$A$2:$A$49,B197,Log!$I$2:$I$49,"Red")&gt;0,"No","Yes")</f>
        <v/>
      </c>
      <c r="Q197">
        <f>IF(COUNTIFS(Artifact!$B$2:$B$385,B197,Artifact!$K$2:$K$385,"&gt;15")+COUNTIFS(Log!$A$2:$A$49,B197,Log!$H$2:$H$49,"Red")+COUNTIFS(Log!$A$2:$A$49,B197,Log!$I$2:$I$49,"Red")&gt;0,"No","Yes")</f>
        <v/>
      </c>
    </row>
    <row r="198">
      <c r="A198" t="inlineStr">
        <is>
          <t>SIMULATED Commercial FA Study</t>
        </is>
      </c>
      <c r="B198" t="inlineStr">
        <is>
          <t>P31</t>
        </is>
      </c>
      <c r="C198" t="inlineStr">
        <is>
          <t>F</t>
        </is>
      </c>
      <c r="D198" t="n">
        <v>24</v>
      </c>
      <c r="E198" t="inlineStr">
        <is>
          <t>A_C1first</t>
        </is>
      </c>
      <c r="F198" t="inlineStr">
        <is>
          <t>Stimulus</t>
        </is>
      </c>
      <c r="G198" t="inlineStr">
        <is>
          <t>Commercial_1A</t>
        </is>
      </c>
      <c r="H198" t="n">
        <v>84000</v>
      </c>
      <c r="I198" t="n">
        <v>60000</v>
      </c>
      <c r="J198" t="inlineStr">
        <is>
          <t>Commercial_1A</t>
        </is>
      </c>
      <c r="K198" s="4" t="n">
        <v>-0.0349</v>
      </c>
      <c r="L198" t="inlineStr">
        <is>
          <t>Frontal Asymmetry (Enobio EEG)</t>
        </is>
      </c>
      <c r="M198">
        <f>LEFT(E198,1)</f>
        <v/>
      </c>
      <c r="N198">
        <f>MID(E198,3,10)</f>
        <v/>
      </c>
      <c r="O198">
        <f>IF(F198="Stimulus",IF(LEFT(G198,8)="Baseline",G198,IF(LEFT(G198,12)="Commercial_1","C1","C2")),IF(G198="KeyScene","KeyScene",IF(LEFT(J198,12)="Commercial_1","EndScene_C1","EndScene_C2")))</f>
        <v/>
      </c>
      <c r="P198">
        <f>IF(COUNTIFS(Artifact!$B$2:$B$385,B198,Artifact!$K$2:$K$385,"&gt;25")+COUNTIFS(Log!$A$2:$A$49,B198,Log!$H$2:$H$49,"Red")+COUNTIFS(Log!$A$2:$A$49,B198,Log!$I$2:$I$49,"Red")&gt;0,"No","Yes")</f>
        <v/>
      </c>
      <c r="Q198">
        <f>IF(COUNTIFS(Artifact!$B$2:$B$385,B198,Artifact!$K$2:$K$385,"&gt;15")+COUNTIFS(Log!$A$2:$A$49,B198,Log!$H$2:$H$49,"Red")+COUNTIFS(Log!$A$2:$A$49,B198,Log!$I$2:$I$49,"Red")&gt;0,"No","Yes")</f>
        <v/>
      </c>
    </row>
    <row r="199">
      <c r="A199" t="inlineStr">
        <is>
          <t>SIMULATED Commercial FA Study</t>
        </is>
      </c>
      <c r="B199" t="inlineStr">
        <is>
          <t>P31</t>
        </is>
      </c>
      <c r="C199" t="inlineStr">
        <is>
          <t>F</t>
        </is>
      </c>
      <c r="D199" t="n">
        <v>24</v>
      </c>
      <c r="E199" t="inlineStr">
        <is>
          <t>A_C1first</t>
        </is>
      </c>
      <c r="F199" t="inlineStr">
        <is>
          <t>Stimulus</t>
        </is>
      </c>
      <c r="G199" t="inlineStr">
        <is>
          <t>Baseline_2</t>
        </is>
      </c>
      <c r="H199" t="n">
        <v>171000</v>
      </c>
      <c r="I199" t="n">
        <v>60000</v>
      </c>
      <c r="J199" t="inlineStr">
        <is>
          <t>Baseline_2</t>
        </is>
      </c>
      <c r="K199" s="4" t="n">
        <v>0.2135</v>
      </c>
      <c r="L199" t="inlineStr">
        <is>
          <t>Frontal Asymmetry (Enobio EEG)</t>
        </is>
      </c>
      <c r="M199">
        <f>LEFT(E199,1)</f>
        <v/>
      </c>
      <c r="N199">
        <f>MID(E199,3,10)</f>
        <v/>
      </c>
      <c r="O199">
        <f>IF(F199="Stimulus",IF(LEFT(G199,8)="Baseline",G199,IF(LEFT(G199,12)="Commercial_1","C1","C2")),IF(G199="KeyScene","KeyScene",IF(LEFT(J199,12)="Commercial_1","EndScene_C1","EndScene_C2")))</f>
        <v/>
      </c>
      <c r="P199">
        <f>IF(COUNTIFS(Artifact!$B$2:$B$385,B199,Artifact!$K$2:$K$385,"&gt;25")+COUNTIFS(Log!$A$2:$A$49,B199,Log!$H$2:$H$49,"Red")+COUNTIFS(Log!$A$2:$A$49,B199,Log!$I$2:$I$49,"Red")&gt;0,"No","Yes")</f>
        <v/>
      </c>
      <c r="Q199">
        <f>IF(COUNTIFS(Artifact!$B$2:$B$385,B199,Artifact!$K$2:$K$385,"&gt;15")+COUNTIFS(Log!$A$2:$A$49,B199,Log!$H$2:$H$49,"Red")+COUNTIFS(Log!$A$2:$A$49,B199,Log!$I$2:$I$49,"Red")&gt;0,"No","Yes")</f>
        <v/>
      </c>
    </row>
    <row r="200">
      <c r="A200" t="inlineStr">
        <is>
          <t>SIMULATED Commercial FA Study</t>
        </is>
      </c>
      <c r="B200" t="inlineStr">
        <is>
          <t>P31</t>
        </is>
      </c>
      <c r="C200" t="inlineStr">
        <is>
          <t>F</t>
        </is>
      </c>
      <c r="D200" t="n">
        <v>24</v>
      </c>
      <c r="E200" t="inlineStr">
        <is>
          <t>A_C1first</t>
        </is>
      </c>
      <c r="F200" t="inlineStr">
        <is>
          <t>Stimulus</t>
        </is>
      </c>
      <c r="G200" t="inlineStr">
        <is>
          <t>Commercial_2</t>
        </is>
      </c>
      <c r="H200" t="n">
        <v>231000</v>
      </c>
      <c r="I200" t="n">
        <v>60000</v>
      </c>
      <c r="J200" t="inlineStr">
        <is>
          <t>Commercial_2</t>
        </is>
      </c>
      <c r="K200" s="4" t="n">
        <v>0.0623</v>
      </c>
      <c r="L200" t="inlineStr">
        <is>
          <t>Frontal Asymmetry (Enobio EEG)</t>
        </is>
      </c>
      <c r="M200">
        <f>LEFT(E200,1)</f>
        <v/>
      </c>
      <c r="N200">
        <f>MID(E200,3,10)</f>
        <v/>
      </c>
      <c r="O200">
        <f>IF(F200="Stimulus",IF(LEFT(G200,8)="Baseline",G200,IF(LEFT(G200,12)="Commercial_1","C1","C2")),IF(G200="KeyScene","KeyScene",IF(LEFT(J200,12)="Commercial_1","EndScene_C1","EndScene_C2")))</f>
        <v/>
      </c>
      <c r="P200">
        <f>IF(COUNTIFS(Artifact!$B$2:$B$385,B200,Artifact!$K$2:$K$385,"&gt;25")+COUNTIFS(Log!$A$2:$A$49,B200,Log!$H$2:$H$49,"Red")+COUNTIFS(Log!$A$2:$A$49,B200,Log!$I$2:$I$49,"Red")&gt;0,"No","Yes")</f>
        <v/>
      </c>
      <c r="Q200">
        <f>IF(COUNTIFS(Artifact!$B$2:$B$385,B200,Artifact!$K$2:$K$385,"&gt;15")+COUNTIFS(Log!$A$2:$A$49,B200,Log!$H$2:$H$49,"Red")+COUNTIFS(Log!$A$2:$A$49,B200,Log!$I$2:$I$49,"Red")&gt;0,"No","Yes")</f>
        <v/>
      </c>
    </row>
    <row r="201">
      <c r="A201" t="inlineStr">
        <is>
          <t>SIMULATED Commercial FA Study</t>
        </is>
      </c>
      <c r="B201" t="inlineStr">
        <is>
          <t>P31</t>
        </is>
      </c>
      <c r="C201" t="inlineStr">
        <is>
          <t>F</t>
        </is>
      </c>
      <c r="D201" t="n">
        <v>24</v>
      </c>
      <c r="E201" t="inlineStr">
        <is>
          <t>A_C1first</t>
        </is>
      </c>
      <c r="F201" t="inlineStr">
        <is>
          <t>Annotation</t>
        </is>
      </c>
      <c r="G201" t="inlineStr">
        <is>
          <t>KeyScene</t>
        </is>
      </c>
      <c r="H201" t="n">
        <v>116000</v>
      </c>
      <c r="I201" t="n">
        <v>6000</v>
      </c>
      <c r="J201" t="inlineStr">
        <is>
          <t>Commercial_1A</t>
        </is>
      </c>
      <c r="K201" s="4" t="n">
        <v>0.1337</v>
      </c>
      <c r="L201" t="inlineStr">
        <is>
          <t>Frontal Asymmetry (Enobio EEG)</t>
        </is>
      </c>
      <c r="M201">
        <f>LEFT(E201,1)</f>
        <v/>
      </c>
      <c r="N201">
        <f>MID(E201,3,10)</f>
        <v/>
      </c>
      <c r="O201">
        <f>IF(F201="Stimulus",IF(LEFT(G201,8)="Baseline",G201,IF(LEFT(G201,12)="Commercial_1","C1","C2")),IF(G201="KeyScene","KeyScene",IF(LEFT(J201,12)="Commercial_1","EndScene_C1","EndScene_C2")))</f>
        <v/>
      </c>
      <c r="P201">
        <f>IF(COUNTIFS(Artifact!$B$2:$B$385,B201,Artifact!$K$2:$K$385,"&gt;25")+COUNTIFS(Log!$A$2:$A$49,B201,Log!$H$2:$H$49,"Red")+COUNTIFS(Log!$A$2:$A$49,B201,Log!$I$2:$I$49,"Red")&gt;0,"No","Yes")</f>
        <v/>
      </c>
      <c r="Q201">
        <f>IF(COUNTIFS(Artifact!$B$2:$B$385,B201,Artifact!$K$2:$K$385,"&gt;15")+COUNTIFS(Log!$A$2:$A$49,B201,Log!$H$2:$H$49,"Red")+COUNTIFS(Log!$A$2:$A$49,B201,Log!$I$2:$I$49,"Red")&gt;0,"No","Yes")</f>
        <v/>
      </c>
    </row>
    <row r="202">
      <c r="A202" t="inlineStr">
        <is>
          <t>SIMULATED Commercial FA Study</t>
        </is>
      </c>
      <c r="B202" t="inlineStr">
        <is>
          <t>P31</t>
        </is>
      </c>
      <c r="C202" t="inlineStr">
        <is>
          <t>F</t>
        </is>
      </c>
      <c r="D202" t="n">
        <v>24</v>
      </c>
      <c r="E202" t="inlineStr">
        <is>
          <t>A_C1first</t>
        </is>
      </c>
      <c r="F202" t="inlineStr">
        <is>
          <t>Annotation</t>
        </is>
      </c>
      <c r="G202" t="inlineStr">
        <is>
          <t>EndScene</t>
        </is>
      </c>
      <c r="H202" t="n">
        <v>134000</v>
      </c>
      <c r="I202" t="n">
        <v>10000</v>
      </c>
      <c r="J202" t="inlineStr">
        <is>
          <t>Commercial_1A</t>
        </is>
      </c>
      <c r="K202" s="4" t="n">
        <v>-0.0055</v>
      </c>
      <c r="L202" t="inlineStr">
        <is>
          <t>Frontal Asymmetry (Enobio EEG)</t>
        </is>
      </c>
      <c r="M202">
        <f>LEFT(E202,1)</f>
        <v/>
      </c>
      <c r="N202">
        <f>MID(E202,3,10)</f>
        <v/>
      </c>
      <c r="O202">
        <f>IF(F202="Stimulus",IF(LEFT(G202,8)="Baseline",G202,IF(LEFT(G202,12)="Commercial_1","C1","C2")),IF(G202="KeyScene","KeyScene",IF(LEFT(J202,12)="Commercial_1","EndScene_C1","EndScene_C2")))</f>
        <v/>
      </c>
      <c r="P202">
        <f>IF(COUNTIFS(Artifact!$B$2:$B$385,B202,Artifact!$K$2:$K$385,"&gt;25")+COUNTIFS(Log!$A$2:$A$49,B202,Log!$H$2:$H$49,"Red")+COUNTIFS(Log!$A$2:$A$49,B202,Log!$I$2:$I$49,"Red")&gt;0,"No","Yes")</f>
        <v/>
      </c>
      <c r="Q202">
        <f>IF(COUNTIFS(Artifact!$B$2:$B$385,B202,Artifact!$K$2:$K$385,"&gt;15")+COUNTIFS(Log!$A$2:$A$49,B202,Log!$H$2:$H$49,"Red")+COUNTIFS(Log!$A$2:$A$49,B202,Log!$I$2:$I$49,"Red")&gt;0,"No","Yes")</f>
        <v/>
      </c>
    </row>
    <row r="203">
      <c r="A203" t="inlineStr">
        <is>
          <t>SIMULATED Commercial FA Study</t>
        </is>
      </c>
      <c r="B203" t="inlineStr">
        <is>
          <t>P31</t>
        </is>
      </c>
      <c r="C203" t="inlineStr">
        <is>
          <t>F</t>
        </is>
      </c>
      <c r="D203" t="n">
        <v>24</v>
      </c>
      <c r="E203" t="inlineStr">
        <is>
          <t>A_C1first</t>
        </is>
      </c>
      <c r="F203" t="inlineStr">
        <is>
          <t>Annotation</t>
        </is>
      </c>
      <c r="G203" t="inlineStr">
        <is>
          <t>EndScene</t>
        </is>
      </c>
      <c r="H203" t="n">
        <v>281000</v>
      </c>
      <c r="I203" t="n">
        <v>10000</v>
      </c>
      <c r="J203" t="inlineStr">
        <is>
          <t>Commercial_2</t>
        </is>
      </c>
      <c r="K203" s="4" t="n">
        <v>0.0852</v>
      </c>
      <c r="L203" t="inlineStr">
        <is>
          <t>Frontal Asymmetry (Enobio EEG)</t>
        </is>
      </c>
      <c r="M203">
        <f>LEFT(E203,1)</f>
        <v/>
      </c>
      <c r="N203">
        <f>MID(E203,3,10)</f>
        <v/>
      </c>
      <c r="O203">
        <f>IF(F203="Stimulus",IF(LEFT(G203,8)="Baseline",G203,IF(LEFT(G203,12)="Commercial_1","C1","C2")),IF(G203="KeyScene","KeyScene",IF(LEFT(J203,12)="Commercial_1","EndScene_C1","EndScene_C2")))</f>
        <v/>
      </c>
      <c r="P203">
        <f>IF(COUNTIFS(Artifact!$B$2:$B$385,B203,Artifact!$K$2:$K$385,"&gt;25")+COUNTIFS(Log!$A$2:$A$49,B203,Log!$H$2:$H$49,"Red")+COUNTIFS(Log!$A$2:$A$49,B203,Log!$I$2:$I$49,"Red")&gt;0,"No","Yes")</f>
        <v/>
      </c>
      <c r="Q203">
        <f>IF(COUNTIFS(Artifact!$B$2:$B$385,B203,Artifact!$K$2:$K$385,"&gt;15")+COUNTIFS(Log!$A$2:$A$49,B203,Log!$H$2:$H$49,"Red")+COUNTIFS(Log!$A$2:$A$49,B203,Log!$I$2:$I$49,"Red")&gt;0,"No","Yes")</f>
        <v/>
      </c>
    </row>
    <row r="204">
      <c r="A204" t="inlineStr">
        <is>
          <t>SIMULATED Commercial FA Study</t>
        </is>
      </c>
      <c r="B204" t="inlineStr">
        <is>
          <t>P32</t>
        </is>
      </c>
      <c r="C204" t="inlineStr">
        <is>
          <t>M</t>
        </is>
      </c>
      <c r="D204" t="n">
        <v>20</v>
      </c>
      <c r="E204" t="inlineStr">
        <is>
          <t>B_C2first</t>
        </is>
      </c>
      <c r="F204" t="inlineStr">
        <is>
          <t>Stimulus</t>
        </is>
      </c>
      <c r="G204" t="inlineStr">
        <is>
          <t>Baseline_1</t>
        </is>
      </c>
      <c r="H204" t="n">
        <v>20000</v>
      </c>
      <c r="I204" t="n">
        <v>60000</v>
      </c>
      <c r="J204" t="inlineStr">
        <is>
          <t>Baseline_1</t>
        </is>
      </c>
      <c r="K204" s="4" t="n">
        <v>0.1146</v>
      </c>
      <c r="L204" t="inlineStr">
        <is>
          <t>Frontal Asymmetry (Enobio EEG)</t>
        </is>
      </c>
      <c r="M204">
        <f>LEFT(E204,1)</f>
        <v/>
      </c>
      <c r="N204">
        <f>MID(E204,3,10)</f>
        <v/>
      </c>
      <c r="O204">
        <f>IF(F204="Stimulus",IF(LEFT(G204,8)="Baseline",G204,IF(LEFT(G204,12)="Commercial_1","C1","C2")),IF(G204="KeyScene","KeyScene",IF(LEFT(J204,12)="Commercial_1","EndScene_C1","EndScene_C2")))</f>
        <v/>
      </c>
      <c r="P204">
        <f>IF(COUNTIFS(Artifact!$B$2:$B$385,B204,Artifact!$K$2:$K$385,"&gt;25")+COUNTIFS(Log!$A$2:$A$49,B204,Log!$H$2:$H$49,"Red")+COUNTIFS(Log!$A$2:$A$49,B204,Log!$I$2:$I$49,"Red")&gt;0,"No","Yes")</f>
        <v/>
      </c>
      <c r="Q204">
        <f>IF(COUNTIFS(Artifact!$B$2:$B$385,B204,Artifact!$K$2:$K$385,"&gt;15")+COUNTIFS(Log!$A$2:$A$49,B204,Log!$H$2:$H$49,"Red")+COUNTIFS(Log!$A$2:$A$49,B204,Log!$I$2:$I$49,"Red")&gt;0,"No","Yes")</f>
        <v/>
      </c>
    </row>
    <row r="205">
      <c r="A205" t="inlineStr">
        <is>
          <t>SIMULATED Commercial FA Study</t>
        </is>
      </c>
      <c r="B205" t="inlineStr">
        <is>
          <t>P32</t>
        </is>
      </c>
      <c r="C205" t="inlineStr">
        <is>
          <t>M</t>
        </is>
      </c>
      <c r="D205" t="n">
        <v>20</v>
      </c>
      <c r="E205" t="inlineStr">
        <is>
          <t>B_C2first</t>
        </is>
      </c>
      <c r="F205" t="inlineStr">
        <is>
          <t>Stimulus</t>
        </is>
      </c>
      <c r="G205" t="inlineStr">
        <is>
          <t>Commercial_2</t>
        </is>
      </c>
      <c r="H205" t="n">
        <v>80000</v>
      </c>
      <c r="I205" t="n">
        <v>60000</v>
      </c>
      <c r="J205" t="inlineStr">
        <is>
          <t>Commercial_2</t>
        </is>
      </c>
      <c r="K205" s="4" t="n">
        <v>0.1125</v>
      </c>
      <c r="L205" t="inlineStr">
        <is>
          <t>Frontal Asymmetry (Enobio EEG)</t>
        </is>
      </c>
      <c r="M205">
        <f>LEFT(E205,1)</f>
        <v/>
      </c>
      <c r="N205">
        <f>MID(E205,3,10)</f>
        <v/>
      </c>
      <c r="O205">
        <f>IF(F205="Stimulus",IF(LEFT(G205,8)="Baseline",G205,IF(LEFT(G205,12)="Commercial_1","C1","C2")),IF(G205="KeyScene","KeyScene",IF(LEFT(J205,12)="Commercial_1","EndScene_C1","EndScene_C2")))</f>
        <v/>
      </c>
      <c r="P205">
        <f>IF(COUNTIFS(Artifact!$B$2:$B$385,B205,Artifact!$K$2:$K$385,"&gt;25")+COUNTIFS(Log!$A$2:$A$49,B205,Log!$H$2:$H$49,"Red")+COUNTIFS(Log!$A$2:$A$49,B205,Log!$I$2:$I$49,"Red")&gt;0,"No","Yes")</f>
        <v/>
      </c>
      <c r="Q205">
        <f>IF(COUNTIFS(Artifact!$B$2:$B$385,B205,Artifact!$K$2:$K$385,"&gt;15")+COUNTIFS(Log!$A$2:$A$49,B205,Log!$H$2:$H$49,"Red")+COUNTIFS(Log!$A$2:$A$49,B205,Log!$I$2:$I$49,"Red")&gt;0,"No","Yes")</f>
        <v/>
      </c>
    </row>
    <row r="206">
      <c r="A206" t="inlineStr">
        <is>
          <t>SIMULATED Commercial FA Study</t>
        </is>
      </c>
      <c r="B206" t="inlineStr">
        <is>
          <t>P32</t>
        </is>
      </c>
      <c r="C206" t="inlineStr">
        <is>
          <t>M</t>
        </is>
      </c>
      <c r="D206" t="n">
        <v>20</v>
      </c>
      <c r="E206" t="inlineStr">
        <is>
          <t>B_C2first</t>
        </is>
      </c>
      <c r="F206" t="inlineStr">
        <is>
          <t>Stimulus</t>
        </is>
      </c>
      <c r="G206" t="inlineStr">
        <is>
          <t>Baseline_2</t>
        </is>
      </c>
      <c r="H206" t="n">
        <v>196000</v>
      </c>
      <c r="I206" t="n">
        <v>60000</v>
      </c>
      <c r="J206" t="inlineStr">
        <is>
          <t>Baseline_2</t>
        </is>
      </c>
      <c r="K206" s="4" t="n">
        <v>0.056</v>
      </c>
      <c r="L206" t="inlineStr">
        <is>
          <t>Frontal Asymmetry (Enobio EEG)</t>
        </is>
      </c>
      <c r="M206">
        <f>LEFT(E206,1)</f>
        <v/>
      </c>
      <c r="N206">
        <f>MID(E206,3,10)</f>
        <v/>
      </c>
      <c r="O206">
        <f>IF(F206="Stimulus",IF(LEFT(G206,8)="Baseline",G206,IF(LEFT(G206,12)="Commercial_1","C1","C2")),IF(G206="KeyScene","KeyScene",IF(LEFT(J206,12)="Commercial_1","EndScene_C1","EndScene_C2")))</f>
        <v/>
      </c>
      <c r="P206">
        <f>IF(COUNTIFS(Artifact!$B$2:$B$385,B206,Artifact!$K$2:$K$385,"&gt;25")+COUNTIFS(Log!$A$2:$A$49,B206,Log!$H$2:$H$49,"Red")+COUNTIFS(Log!$A$2:$A$49,B206,Log!$I$2:$I$49,"Red")&gt;0,"No","Yes")</f>
        <v/>
      </c>
      <c r="Q206">
        <f>IF(COUNTIFS(Artifact!$B$2:$B$385,B206,Artifact!$K$2:$K$385,"&gt;15")+COUNTIFS(Log!$A$2:$A$49,B206,Log!$H$2:$H$49,"Red")+COUNTIFS(Log!$A$2:$A$49,B206,Log!$I$2:$I$49,"Red")&gt;0,"No","Yes")</f>
        <v/>
      </c>
    </row>
    <row r="207">
      <c r="A207" t="inlineStr">
        <is>
          <t>SIMULATED Commercial FA Study</t>
        </is>
      </c>
      <c r="B207" t="inlineStr">
        <is>
          <t>P32</t>
        </is>
      </c>
      <c r="C207" t="inlineStr">
        <is>
          <t>M</t>
        </is>
      </c>
      <c r="D207" t="n">
        <v>20</v>
      </c>
      <c r="E207" t="inlineStr">
        <is>
          <t>B_C2first</t>
        </is>
      </c>
      <c r="F207" t="inlineStr">
        <is>
          <t>Stimulus</t>
        </is>
      </c>
      <c r="G207" t="inlineStr">
        <is>
          <t>Commercial_1B</t>
        </is>
      </c>
      <c r="H207" t="n">
        <v>256000</v>
      </c>
      <c r="I207" t="n">
        <v>54000</v>
      </c>
      <c r="J207" t="inlineStr">
        <is>
          <t>Commercial_1B</t>
        </is>
      </c>
      <c r="K207" s="4" t="n">
        <v>0.0921</v>
      </c>
      <c r="L207" t="inlineStr">
        <is>
          <t>Frontal Asymmetry (Enobio EEG)</t>
        </is>
      </c>
      <c r="M207">
        <f>LEFT(E207,1)</f>
        <v/>
      </c>
      <c r="N207">
        <f>MID(E207,3,10)</f>
        <v/>
      </c>
      <c r="O207">
        <f>IF(F207="Stimulus",IF(LEFT(G207,8)="Baseline",G207,IF(LEFT(G207,12)="Commercial_1","C1","C2")),IF(G207="KeyScene","KeyScene",IF(LEFT(J207,12)="Commercial_1","EndScene_C1","EndScene_C2")))</f>
        <v/>
      </c>
      <c r="P207">
        <f>IF(COUNTIFS(Artifact!$B$2:$B$385,B207,Artifact!$K$2:$K$385,"&gt;25")+COUNTIFS(Log!$A$2:$A$49,B207,Log!$H$2:$H$49,"Red")+COUNTIFS(Log!$A$2:$A$49,B207,Log!$I$2:$I$49,"Red")&gt;0,"No","Yes")</f>
        <v/>
      </c>
      <c r="Q207">
        <f>IF(COUNTIFS(Artifact!$B$2:$B$385,B207,Artifact!$K$2:$K$385,"&gt;15")+COUNTIFS(Log!$A$2:$A$49,B207,Log!$H$2:$H$49,"Red")+COUNTIFS(Log!$A$2:$A$49,B207,Log!$I$2:$I$49,"Red")&gt;0,"No","Yes")</f>
        <v/>
      </c>
    </row>
    <row r="208">
      <c r="A208" t="inlineStr">
        <is>
          <t>SIMULATED Commercial FA Study</t>
        </is>
      </c>
      <c r="B208" t="inlineStr">
        <is>
          <t>P32</t>
        </is>
      </c>
      <c r="C208" t="inlineStr">
        <is>
          <t>M</t>
        </is>
      </c>
      <c r="D208" t="n">
        <v>20</v>
      </c>
      <c r="E208" t="inlineStr">
        <is>
          <t>B_C2first</t>
        </is>
      </c>
      <c r="F208" t="inlineStr">
        <is>
          <t>Annotation</t>
        </is>
      </c>
      <c r="G208" t="inlineStr">
        <is>
          <t>EndScene</t>
        </is>
      </c>
      <c r="H208" t="n">
        <v>130000</v>
      </c>
      <c r="I208" t="n">
        <v>10000</v>
      </c>
      <c r="J208" t="inlineStr">
        <is>
          <t>Commercial_2</t>
        </is>
      </c>
      <c r="K208" s="4" t="n">
        <v>0.09859999999999999</v>
      </c>
      <c r="L208" t="inlineStr">
        <is>
          <t>Frontal Asymmetry (Enobio EEG)</t>
        </is>
      </c>
      <c r="M208">
        <f>LEFT(E208,1)</f>
        <v/>
      </c>
      <c r="N208">
        <f>MID(E208,3,10)</f>
        <v/>
      </c>
      <c r="O208">
        <f>IF(F208="Stimulus",IF(LEFT(G208,8)="Baseline",G208,IF(LEFT(G208,12)="Commercial_1","C1","C2")),IF(G208="KeyScene","KeyScene",IF(LEFT(J208,12)="Commercial_1","EndScene_C1","EndScene_C2")))</f>
        <v/>
      </c>
      <c r="P208">
        <f>IF(COUNTIFS(Artifact!$B$2:$B$385,B208,Artifact!$K$2:$K$385,"&gt;25")+COUNTIFS(Log!$A$2:$A$49,B208,Log!$H$2:$H$49,"Red")+COUNTIFS(Log!$A$2:$A$49,B208,Log!$I$2:$I$49,"Red")&gt;0,"No","Yes")</f>
        <v/>
      </c>
      <c r="Q208">
        <f>IF(COUNTIFS(Artifact!$B$2:$B$385,B208,Artifact!$K$2:$K$385,"&gt;15")+COUNTIFS(Log!$A$2:$A$49,B208,Log!$H$2:$H$49,"Red")+COUNTIFS(Log!$A$2:$A$49,B208,Log!$I$2:$I$49,"Red")&gt;0,"No","Yes")</f>
        <v/>
      </c>
    </row>
    <row r="209">
      <c r="A209" t="inlineStr">
        <is>
          <t>SIMULATED Commercial FA Study</t>
        </is>
      </c>
      <c r="B209" t="inlineStr">
        <is>
          <t>P32</t>
        </is>
      </c>
      <c r="C209" t="inlineStr">
        <is>
          <t>M</t>
        </is>
      </c>
      <c r="D209" t="n">
        <v>20</v>
      </c>
      <c r="E209" t="inlineStr">
        <is>
          <t>B_C2first</t>
        </is>
      </c>
      <c r="F209" t="inlineStr">
        <is>
          <t>Annotation</t>
        </is>
      </c>
      <c r="G209" t="inlineStr">
        <is>
          <t>EndScene</t>
        </is>
      </c>
      <c r="H209" t="n">
        <v>300000</v>
      </c>
      <c r="I209" t="n">
        <v>10000</v>
      </c>
      <c r="J209" t="inlineStr">
        <is>
          <t>Commercial_1B</t>
        </is>
      </c>
      <c r="K209" s="4" t="n">
        <v>0.0367</v>
      </c>
      <c r="L209" t="inlineStr">
        <is>
          <t>Frontal Asymmetry (Enobio EEG)</t>
        </is>
      </c>
      <c r="M209">
        <f>LEFT(E209,1)</f>
        <v/>
      </c>
      <c r="N209">
        <f>MID(E209,3,10)</f>
        <v/>
      </c>
      <c r="O209">
        <f>IF(F209="Stimulus",IF(LEFT(G209,8)="Baseline",G209,IF(LEFT(G209,12)="Commercial_1","C1","C2")),IF(G209="KeyScene","KeyScene",IF(LEFT(J209,12)="Commercial_1","EndScene_C1","EndScene_C2")))</f>
        <v/>
      </c>
      <c r="P209">
        <f>IF(COUNTIFS(Artifact!$B$2:$B$385,B209,Artifact!$K$2:$K$385,"&gt;25")+COUNTIFS(Log!$A$2:$A$49,B209,Log!$H$2:$H$49,"Red")+COUNTIFS(Log!$A$2:$A$49,B209,Log!$I$2:$I$49,"Red")&gt;0,"No","Yes")</f>
        <v/>
      </c>
      <c r="Q209">
        <f>IF(COUNTIFS(Artifact!$B$2:$B$385,B209,Artifact!$K$2:$K$385,"&gt;15")+COUNTIFS(Log!$A$2:$A$49,B209,Log!$H$2:$H$49,"Red")+COUNTIFS(Log!$A$2:$A$49,B209,Log!$I$2:$I$49,"Red")&gt;0,"No","Yes")</f>
        <v/>
      </c>
    </row>
    <row r="210">
      <c r="A210" t="inlineStr">
        <is>
          <t>SIMULATED Commercial FA Study</t>
        </is>
      </c>
      <c r="B210" t="inlineStr">
        <is>
          <t>P33</t>
        </is>
      </c>
      <c r="C210" t="inlineStr">
        <is>
          <t>M</t>
        </is>
      </c>
      <c r="D210" t="n">
        <v>21</v>
      </c>
      <c r="E210" t="inlineStr">
        <is>
          <t>B_C1first</t>
        </is>
      </c>
      <c r="F210" t="inlineStr">
        <is>
          <t>Stimulus</t>
        </is>
      </c>
      <c r="G210" t="inlineStr">
        <is>
          <t>Baseline_1</t>
        </is>
      </c>
      <c r="H210" t="n">
        <v>24000</v>
      </c>
      <c r="I210" t="n">
        <v>60000</v>
      </c>
      <c r="J210" t="inlineStr">
        <is>
          <t>Baseline_1</t>
        </is>
      </c>
      <c r="K210" s="4" t="n">
        <v>0.1087</v>
      </c>
      <c r="L210" t="inlineStr">
        <is>
          <t>Frontal Asymmetry (Enobio EEG)</t>
        </is>
      </c>
      <c r="M210">
        <f>LEFT(E210,1)</f>
        <v/>
      </c>
      <c r="N210">
        <f>MID(E210,3,10)</f>
        <v/>
      </c>
      <c r="O210">
        <f>IF(F210="Stimulus",IF(LEFT(G210,8)="Baseline",G210,IF(LEFT(G210,12)="Commercial_1","C1","C2")),IF(G210="KeyScene","KeyScene",IF(LEFT(J210,12)="Commercial_1","EndScene_C1","EndScene_C2")))</f>
        <v/>
      </c>
      <c r="P210">
        <f>IF(COUNTIFS(Artifact!$B$2:$B$385,B210,Artifact!$K$2:$K$385,"&gt;25")+COUNTIFS(Log!$A$2:$A$49,B210,Log!$H$2:$H$49,"Red")+COUNTIFS(Log!$A$2:$A$49,B210,Log!$I$2:$I$49,"Red")&gt;0,"No","Yes")</f>
        <v/>
      </c>
      <c r="Q210">
        <f>IF(COUNTIFS(Artifact!$B$2:$B$385,B210,Artifact!$K$2:$K$385,"&gt;15")+COUNTIFS(Log!$A$2:$A$49,B210,Log!$H$2:$H$49,"Red")+COUNTIFS(Log!$A$2:$A$49,B210,Log!$I$2:$I$49,"Red")&gt;0,"No","Yes")</f>
        <v/>
      </c>
    </row>
    <row r="211">
      <c r="A211" t="inlineStr">
        <is>
          <t>SIMULATED Commercial FA Study</t>
        </is>
      </c>
      <c r="B211" t="inlineStr">
        <is>
          <t>P33</t>
        </is>
      </c>
      <c r="C211" t="inlineStr">
        <is>
          <t>M</t>
        </is>
      </c>
      <c r="D211" t="n">
        <v>21</v>
      </c>
      <c r="E211" t="inlineStr">
        <is>
          <t>B_C1first</t>
        </is>
      </c>
      <c r="F211" t="inlineStr">
        <is>
          <t>Stimulus</t>
        </is>
      </c>
      <c r="G211" t="inlineStr">
        <is>
          <t>Commercial_1B</t>
        </is>
      </c>
      <c r="H211" t="n">
        <v>84000</v>
      </c>
      <c r="I211" t="n">
        <v>54000</v>
      </c>
      <c r="J211" t="inlineStr">
        <is>
          <t>Commercial_1B</t>
        </is>
      </c>
      <c r="K211" s="4" t="n">
        <v>0.0774</v>
      </c>
      <c r="L211" t="inlineStr">
        <is>
          <t>Frontal Asymmetry (Enobio EEG)</t>
        </is>
      </c>
      <c r="M211">
        <f>LEFT(E211,1)</f>
        <v/>
      </c>
      <c r="N211">
        <f>MID(E211,3,10)</f>
        <v/>
      </c>
      <c r="O211">
        <f>IF(F211="Stimulus",IF(LEFT(G211,8)="Baseline",G211,IF(LEFT(G211,12)="Commercial_1","C1","C2")),IF(G211="KeyScene","KeyScene",IF(LEFT(J211,12)="Commercial_1","EndScene_C1","EndScene_C2")))</f>
        <v/>
      </c>
      <c r="P211">
        <f>IF(COUNTIFS(Artifact!$B$2:$B$385,B211,Artifact!$K$2:$K$385,"&gt;25")+COUNTIFS(Log!$A$2:$A$49,B211,Log!$H$2:$H$49,"Red")+COUNTIFS(Log!$A$2:$A$49,B211,Log!$I$2:$I$49,"Red")&gt;0,"No","Yes")</f>
        <v/>
      </c>
      <c r="Q211">
        <f>IF(COUNTIFS(Artifact!$B$2:$B$385,B211,Artifact!$K$2:$K$385,"&gt;15")+COUNTIFS(Log!$A$2:$A$49,B211,Log!$H$2:$H$49,"Red")+COUNTIFS(Log!$A$2:$A$49,B211,Log!$I$2:$I$49,"Red")&gt;0,"No","Yes")</f>
        <v/>
      </c>
    </row>
    <row r="212">
      <c r="A212" t="inlineStr">
        <is>
          <t>SIMULATED Commercial FA Study</t>
        </is>
      </c>
      <c r="B212" t="inlineStr">
        <is>
          <t>P33</t>
        </is>
      </c>
      <c r="C212" t="inlineStr">
        <is>
          <t>M</t>
        </is>
      </c>
      <c r="D212" t="n">
        <v>21</v>
      </c>
      <c r="E212" t="inlineStr">
        <is>
          <t>B_C1first</t>
        </is>
      </c>
      <c r="F212" t="inlineStr">
        <is>
          <t>Stimulus</t>
        </is>
      </c>
      <c r="G212" t="inlineStr">
        <is>
          <t>Baseline_2</t>
        </is>
      </c>
      <c r="H212" t="n">
        <v>197000</v>
      </c>
      <c r="I212" t="n">
        <v>60000</v>
      </c>
      <c r="J212" t="inlineStr">
        <is>
          <t>Baseline_2</t>
        </is>
      </c>
      <c r="K212" s="4" t="n">
        <v>0.1345</v>
      </c>
      <c r="L212" t="inlineStr">
        <is>
          <t>Frontal Asymmetry (Enobio EEG)</t>
        </is>
      </c>
      <c r="M212">
        <f>LEFT(E212,1)</f>
        <v/>
      </c>
      <c r="N212">
        <f>MID(E212,3,10)</f>
        <v/>
      </c>
      <c r="O212">
        <f>IF(F212="Stimulus",IF(LEFT(G212,8)="Baseline",G212,IF(LEFT(G212,12)="Commercial_1","C1","C2")),IF(G212="KeyScene","KeyScene",IF(LEFT(J212,12)="Commercial_1","EndScene_C1","EndScene_C2")))</f>
        <v/>
      </c>
      <c r="P212">
        <f>IF(COUNTIFS(Artifact!$B$2:$B$385,B212,Artifact!$K$2:$K$385,"&gt;25")+COUNTIFS(Log!$A$2:$A$49,B212,Log!$H$2:$H$49,"Red")+COUNTIFS(Log!$A$2:$A$49,B212,Log!$I$2:$I$49,"Red")&gt;0,"No","Yes")</f>
        <v/>
      </c>
      <c r="Q212">
        <f>IF(COUNTIFS(Artifact!$B$2:$B$385,B212,Artifact!$K$2:$K$385,"&gt;15")+COUNTIFS(Log!$A$2:$A$49,B212,Log!$H$2:$H$49,"Red")+COUNTIFS(Log!$A$2:$A$49,B212,Log!$I$2:$I$49,"Red")&gt;0,"No","Yes")</f>
        <v/>
      </c>
    </row>
    <row r="213">
      <c r="A213" t="inlineStr">
        <is>
          <t>SIMULATED Commercial FA Study</t>
        </is>
      </c>
      <c r="B213" t="inlineStr">
        <is>
          <t>P33</t>
        </is>
      </c>
      <c r="C213" t="inlineStr">
        <is>
          <t>M</t>
        </is>
      </c>
      <c r="D213" t="n">
        <v>21</v>
      </c>
      <c r="E213" t="inlineStr">
        <is>
          <t>B_C1first</t>
        </is>
      </c>
      <c r="F213" t="inlineStr">
        <is>
          <t>Stimulus</t>
        </is>
      </c>
      <c r="G213" t="inlineStr">
        <is>
          <t>Commercial_2</t>
        </is>
      </c>
      <c r="H213" t="n">
        <v>257000</v>
      </c>
      <c r="I213" t="n">
        <v>60000</v>
      </c>
      <c r="J213" t="inlineStr">
        <is>
          <t>Commercial_2</t>
        </is>
      </c>
      <c r="K213" s="4" t="n">
        <v>0.1727</v>
      </c>
      <c r="L213" t="inlineStr">
        <is>
          <t>Frontal Asymmetry (Enobio EEG)</t>
        </is>
      </c>
      <c r="M213">
        <f>LEFT(E213,1)</f>
        <v/>
      </c>
      <c r="N213">
        <f>MID(E213,3,10)</f>
        <v/>
      </c>
      <c r="O213">
        <f>IF(F213="Stimulus",IF(LEFT(G213,8)="Baseline",G213,IF(LEFT(G213,12)="Commercial_1","C1","C2")),IF(G213="KeyScene","KeyScene",IF(LEFT(J213,12)="Commercial_1","EndScene_C1","EndScene_C2")))</f>
        <v/>
      </c>
      <c r="P213">
        <f>IF(COUNTIFS(Artifact!$B$2:$B$385,B213,Artifact!$K$2:$K$385,"&gt;25")+COUNTIFS(Log!$A$2:$A$49,B213,Log!$H$2:$H$49,"Red")+COUNTIFS(Log!$A$2:$A$49,B213,Log!$I$2:$I$49,"Red")&gt;0,"No","Yes")</f>
        <v/>
      </c>
      <c r="Q213">
        <f>IF(COUNTIFS(Artifact!$B$2:$B$385,B213,Artifact!$K$2:$K$385,"&gt;15")+COUNTIFS(Log!$A$2:$A$49,B213,Log!$H$2:$H$49,"Red")+COUNTIFS(Log!$A$2:$A$49,B213,Log!$I$2:$I$49,"Red")&gt;0,"No","Yes")</f>
        <v/>
      </c>
    </row>
    <row r="214">
      <c r="A214" t="inlineStr">
        <is>
          <t>SIMULATED Commercial FA Study</t>
        </is>
      </c>
      <c r="B214" t="inlineStr">
        <is>
          <t>P33</t>
        </is>
      </c>
      <c r="C214" t="inlineStr">
        <is>
          <t>M</t>
        </is>
      </c>
      <c r="D214" t="n">
        <v>21</v>
      </c>
      <c r="E214" t="inlineStr">
        <is>
          <t>B_C1first</t>
        </is>
      </c>
      <c r="F214" t="inlineStr">
        <is>
          <t>Annotation</t>
        </is>
      </c>
      <c r="G214" t="inlineStr">
        <is>
          <t>EndScene</t>
        </is>
      </c>
      <c r="H214" t="n">
        <v>128000</v>
      </c>
      <c r="I214" t="n">
        <v>10000</v>
      </c>
      <c r="J214" t="inlineStr">
        <is>
          <t>Commercial_1B</t>
        </is>
      </c>
      <c r="K214" s="4" t="n">
        <v>0.074</v>
      </c>
      <c r="L214" t="inlineStr">
        <is>
          <t>Frontal Asymmetry (Enobio EEG)</t>
        </is>
      </c>
      <c r="M214">
        <f>LEFT(E214,1)</f>
        <v/>
      </c>
      <c r="N214">
        <f>MID(E214,3,10)</f>
        <v/>
      </c>
      <c r="O214">
        <f>IF(F214="Stimulus",IF(LEFT(G214,8)="Baseline",G214,IF(LEFT(G214,12)="Commercial_1","C1","C2")),IF(G214="KeyScene","KeyScene",IF(LEFT(J214,12)="Commercial_1","EndScene_C1","EndScene_C2")))</f>
        <v/>
      </c>
      <c r="P214">
        <f>IF(COUNTIFS(Artifact!$B$2:$B$385,B214,Artifact!$K$2:$K$385,"&gt;25")+COUNTIFS(Log!$A$2:$A$49,B214,Log!$H$2:$H$49,"Red")+COUNTIFS(Log!$A$2:$A$49,B214,Log!$I$2:$I$49,"Red")&gt;0,"No","Yes")</f>
        <v/>
      </c>
      <c r="Q214">
        <f>IF(COUNTIFS(Artifact!$B$2:$B$385,B214,Artifact!$K$2:$K$385,"&gt;15")+COUNTIFS(Log!$A$2:$A$49,B214,Log!$H$2:$H$49,"Red")+COUNTIFS(Log!$A$2:$A$49,B214,Log!$I$2:$I$49,"Red")&gt;0,"No","Yes")</f>
        <v/>
      </c>
    </row>
    <row r="215">
      <c r="A215" t="inlineStr">
        <is>
          <t>SIMULATED Commercial FA Study</t>
        </is>
      </c>
      <c r="B215" t="inlineStr">
        <is>
          <t>P33</t>
        </is>
      </c>
      <c r="C215" t="inlineStr">
        <is>
          <t>M</t>
        </is>
      </c>
      <c r="D215" t="n">
        <v>21</v>
      </c>
      <c r="E215" t="inlineStr">
        <is>
          <t>B_C1first</t>
        </is>
      </c>
      <c r="F215" t="inlineStr">
        <is>
          <t>Annotation</t>
        </is>
      </c>
      <c r="G215" t="inlineStr">
        <is>
          <t>EndScene</t>
        </is>
      </c>
      <c r="H215" t="n">
        <v>307000</v>
      </c>
      <c r="I215" t="n">
        <v>10000</v>
      </c>
      <c r="J215" t="inlineStr">
        <is>
          <t>Commercial_2</t>
        </is>
      </c>
      <c r="K215" s="4" t="n">
        <v>0.2277</v>
      </c>
      <c r="L215" t="inlineStr">
        <is>
          <t>Frontal Asymmetry (Enobio EEG)</t>
        </is>
      </c>
      <c r="M215">
        <f>LEFT(E215,1)</f>
        <v/>
      </c>
      <c r="N215">
        <f>MID(E215,3,10)</f>
        <v/>
      </c>
      <c r="O215">
        <f>IF(F215="Stimulus",IF(LEFT(G215,8)="Baseline",G215,IF(LEFT(G215,12)="Commercial_1","C1","C2")),IF(G215="KeyScene","KeyScene",IF(LEFT(J215,12)="Commercial_1","EndScene_C1","EndScene_C2")))</f>
        <v/>
      </c>
      <c r="P215">
        <f>IF(COUNTIFS(Artifact!$B$2:$B$385,B215,Artifact!$K$2:$K$385,"&gt;25")+COUNTIFS(Log!$A$2:$A$49,B215,Log!$H$2:$H$49,"Red")+COUNTIFS(Log!$A$2:$A$49,B215,Log!$I$2:$I$49,"Red")&gt;0,"No","Yes")</f>
        <v/>
      </c>
      <c r="Q215">
        <f>IF(COUNTIFS(Artifact!$B$2:$B$385,B215,Artifact!$K$2:$K$385,"&gt;15")+COUNTIFS(Log!$A$2:$A$49,B215,Log!$H$2:$H$49,"Red")+COUNTIFS(Log!$A$2:$A$49,B215,Log!$I$2:$I$49,"Red")&gt;0,"No","Yes")</f>
        <v/>
      </c>
    </row>
    <row r="216">
      <c r="A216" t="inlineStr">
        <is>
          <t>SIMULATED Commercial FA Study</t>
        </is>
      </c>
      <c r="B216" t="inlineStr">
        <is>
          <t>P34</t>
        </is>
      </c>
      <c r="C216" t="inlineStr">
        <is>
          <t>M</t>
        </is>
      </c>
      <c r="D216" t="n">
        <v>25</v>
      </c>
      <c r="E216" t="inlineStr">
        <is>
          <t>A_C1first</t>
        </is>
      </c>
      <c r="F216" t="inlineStr">
        <is>
          <t>Stimulus</t>
        </is>
      </c>
      <c r="G216" t="inlineStr">
        <is>
          <t>Baseline_1</t>
        </is>
      </c>
      <c r="H216" t="n">
        <v>27000</v>
      </c>
      <c r="I216" t="n">
        <v>60000</v>
      </c>
      <c r="J216" t="inlineStr">
        <is>
          <t>Baseline_1</t>
        </is>
      </c>
      <c r="K216" s="4" t="n">
        <v>0.0185</v>
      </c>
      <c r="L216" t="inlineStr">
        <is>
          <t>Frontal Asymmetry (Enobio EEG)</t>
        </is>
      </c>
      <c r="M216">
        <f>LEFT(E216,1)</f>
        <v/>
      </c>
      <c r="N216">
        <f>MID(E216,3,10)</f>
        <v/>
      </c>
      <c r="O216">
        <f>IF(F216="Stimulus",IF(LEFT(G216,8)="Baseline",G216,IF(LEFT(G216,12)="Commercial_1","C1","C2")),IF(G216="KeyScene","KeyScene",IF(LEFT(J216,12)="Commercial_1","EndScene_C1","EndScene_C2")))</f>
        <v/>
      </c>
      <c r="P216">
        <f>IF(COUNTIFS(Artifact!$B$2:$B$385,B216,Artifact!$K$2:$K$385,"&gt;25")+COUNTIFS(Log!$A$2:$A$49,B216,Log!$H$2:$H$49,"Red")+COUNTIFS(Log!$A$2:$A$49,B216,Log!$I$2:$I$49,"Red")&gt;0,"No","Yes")</f>
        <v/>
      </c>
      <c r="Q216">
        <f>IF(COUNTIFS(Artifact!$B$2:$B$385,B216,Artifact!$K$2:$K$385,"&gt;15")+COUNTIFS(Log!$A$2:$A$49,B216,Log!$H$2:$H$49,"Red")+COUNTIFS(Log!$A$2:$A$49,B216,Log!$I$2:$I$49,"Red")&gt;0,"No","Yes")</f>
        <v/>
      </c>
    </row>
    <row r="217">
      <c r="A217" t="inlineStr">
        <is>
          <t>SIMULATED Commercial FA Study</t>
        </is>
      </c>
      <c r="B217" t="inlineStr">
        <is>
          <t>P34</t>
        </is>
      </c>
      <c r="C217" t="inlineStr">
        <is>
          <t>M</t>
        </is>
      </c>
      <c r="D217" t="n">
        <v>25</v>
      </c>
      <c r="E217" t="inlineStr">
        <is>
          <t>A_C1first</t>
        </is>
      </c>
      <c r="F217" t="inlineStr">
        <is>
          <t>Stimulus</t>
        </is>
      </c>
      <c r="G217" t="inlineStr">
        <is>
          <t>Commercial_1A</t>
        </is>
      </c>
      <c r="H217" t="n">
        <v>87000</v>
      </c>
      <c r="I217" t="n">
        <v>60000</v>
      </c>
      <c r="J217" t="inlineStr">
        <is>
          <t>Commercial_1A</t>
        </is>
      </c>
      <c r="K217" s="4" t="n">
        <v>0.1495</v>
      </c>
      <c r="L217" t="inlineStr">
        <is>
          <t>Frontal Asymmetry (Enobio EEG)</t>
        </is>
      </c>
      <c r="M217">
        <f>LEFT(E217,1)</f>
        <v/>
      </c>
      <c r="N217">
        <f>MID(E217,3,10)</f>
        <v/>
      </c>
      <c r="O217">
        <f>IF(F217="Stimulus",IF(LEFT(G217,8)="Baseline",G217,IF(LEFT(G217,12)="Commercial_1","C1","C2")),IF(G217="KeyScene","KeyScene",IF(LEFT(J217,12)="Commercial_1","EndScene_C1","EndScene_C2")))</f>
        <v/>
      </c>
      <c r="P217">
        <f>IF(COUNTIFS(Artifact!$B$2:$B$385,B217,Artifact!$K$2:$K$385,"&gt;25")+COUNTIFS(Log!$A$2:$A$49,B217,Log!$H$2:$H$49,"Red")+COUNTIFS(Log!$A$2:$A$49,B217,Log!$I$2:$I$49,"Red")&gt;0,"No","Yes")</f>
        <v/>
      </c>
      <c r="Q217">
        <f>IF(COUNTIFS(Artifact!$B$2:$B$385,B217,Artifact!$K$2:$K$385,"&gt;15")+COUNTIFS(Log!$A$2:$A$49,B217,Log!$H$2:$H$49,"Red")+COUNTIFS(Log!$A$2:$A$49,B217,Log!$I$2:$I$49,"Red")&gt;0,"No","Yes")</f>
        <v/>
      </c>
    </row>
    <row r="218">
      <c r="A218" t="inlineStr">
        <is>
          <t>SIMULATED Commercial FA Study</t>
        </is>
      </c>
      <c r="B218" t="inlineStr">
        <is>
          <t>P34</t>
        </is>
      </c>
      <c r="C218" t="inlineStr">
        <is>
          <t>M</t>
        </is>
      </c>
      <c r="D218" t="n">
        <v>25</v>
      </c>
      <c r="E218" t="inlineStr">
        <is>
          <t>A_C1first</t>
        </is>
      </c>
      <c r="F218" t="inlineStr">
        <is>
          <t>Stimulus</t>
        </is>
      </c>
      <c r="G218" t="inlineStr">
        <is>
          <t>Baseline_2</t>
        </is>
      </c>
      <c r="H218" t="n">
        <v>185000</v>
      </c>
      <c r="I218" t="n">
        <v>60000</v>
      </c>
      <c r="J218" t="inlineStr">
        <is>
          <t>Baseline_2</t>
        </is>
      </c>
      <c r="K218" s="4" t="n">
        <v>-0.02</v>
      </c>
      <c r="L218" t="inlineStr">
        <is>
          <t>Frontal Asymmetry (Enobio EEG)</t>
        </is>
      </c>
      <c r="M218">
        <f>LEFT(E218,1)</f>
        <v/>
      </c>
      <c r="N218">
        <f>MID(E218,3,10)</f>
        <v/>
      </c>
      <c r="O218">
        <f>IF(F218="Stimulus",IF(LEFT(G218,8)="Baseline",G218,IF(LEFT(G218,12)="Commercial_1","C1","C2")),IF(G218="KeyScene","KeyScene",IF(LEFT(J218,12)="Commercial_1","EndScene_C1","EndScene_C2")))</f>
        <v/>
      </c>
      <c r="P218">
        <f>IF(COUNTIFS(Artifact!$B$2:$B$385,B218,Artifact!$K$2:$K$385,"&gt;25")+COUNTIFS(Log!$A$2:$A$49,B218,Log!$H$2:$H$49,"Red")+COUNTIFS(Log!$A$2:$A$49,B218,Log!$I$2:$I$49,"Red")&gt;0,"No","Yes")</f>
        <v/>
      </c>
      <c r="Q218">
        <f>IF(COUNTIFS(Artifact!$B$2:$B$385,B218,Artifact!$K$2:$K$385,"&gt;15")+COUNTIFS(Log!$A$2:$A$49,B218,Log!$H$2:$H$49,"Red")+COUNTIFS(Log!$A$2:$A$49,B218,Log!$I$2:$I$49,"Red")&gt;0,"No","Yes")</f>
        <v/>
      </c>
    </row>
    <row r="219">
      <c r="A219" t="inlineStr">
        <is>
          <t>SIMULATED Commercial FA Study</t>
        </is>
      </c>
      <c r="B219" t="inlineStr">
        <is>
          <t>P34</t>
        </is>
      </c>
      <c r="C219" t="inlineStr">
        <is>
          <t>M</t>
        </is>
      </c>
      <c r="D219" t="n">
        <v>25</v>
      </c>
      <c r="E219" t="inlineStr">
        <is>
          <t>A_C1first</t>
        </is>
      </c>
      <c r="F219" t="inlineStr">
        <is>
          <t>Stimulus</t>
        </is>
      </c>
      <c r="G219" t="inlineStr">
        <is>
          <t>Commercial_2</t>
        </is>
      </c>
      <c r="H219" t="n">
        <v>245000</v>
      </c>
      <c r="I219" t="n">
        <v>60000</v>
      </c>
      <c r="J219" t="inlineStr">
        <is>
          <t>Commercial_2</t>
        </is>
      </c>
      <c r="K219" s="4" t="n">
        <v>0.1209</v>
      </c>
      <c r="L219" t="inlineStr">
        <is>
          <t>Frontal Asymmetry (Enobio EEG)</t>
        </is>
      </c>
      <c r="M219">
        <f>LEFT(E219,1)</f>
        <v/>
      </c>
      <c r="N219">
        <f>MID(E219,3,10)</f>
        <v/>
      </c>
      <c r="O219">
        <f>IF(F219="Stimulus",IF(LEFT(G219,8)="Baseline",G219,IF(LEFT(G219,12)="Commercial_1","C1","C2")),IF(G219="KeyScene","KeyScene",IF(LEFT(J219,12)="Commercial_1","EndScene_C1","EndScene_C2")))</f>
        <v/>
      </c>
      <c r="P219">
        <f>IF(COUNTIFS(Artifact!$B$2:$B$385,B219,Artifact!$K$2:$K$385,"&gt;25")+COUNTIFS(Log!$A$2:$A$49,B219,Log!$H$2:$H$49,"Red")+COUNTIFS(Log!$A$2:$A$49,B219,Log!$I$2:$I$49,"Red")&gt;0,"No","Yes")</f>
        <v/>
      </c>
      <c r="Q219">
        <f>IF(COUNTIFS(Artifact!$B$2:$B$385,B219,Artifact!$K$2:$K$385,"&gt;15")+COUNTIFS(Log!$A$2:$A$49,B219,Log!$H$2:$H$49,"Red")+COUNTIFS(Log!$A$2:$A$49,B219,Log!$I$2:$I$49,"Red")&gt;0,"No","Yes")</f>
        <v/>
      </c>
    </row>
    <row r="220">
      <c r="A220" t="inlineStr">
        <is>
          <t>SIMULATED Commercial FA Study</t>
        </is>
      </c>
      <c r="B220" t="inlineStr">
        <is>
          <t>P34</t>
        </is>
      </c>
      <c r="C220" t="inlineStr">
        <is>
          <t>M</t>
        </is>
      </c>
      <c r="D220" t="n">
        <v>25</v>
      </c>
      <c r="E220" t="inlineStr">
        <is>
          <t>A_C1first</t>
        </is>
      </c>
      <c r="F220" t="inlineStr">
        <is>
          <t>Annotation</t>
        </is>
      </c>
      <c r="G220" t="inlineStr">
        <is>
          <t>KeyScene</t>
        </is>
      </c>
      <c r="H220" t="n">
        <v>119000</v>
      </c>
      <c r="I220" t="n">
        <v>6000</v>
      </c>
      <c r="J220" t="inlineStr">
        <is>
          <t>Commercial_1A</t>
        </is>
      </c>
      <c r="K220" s="4" t="n">
        <v>0.229</v>
      </c>
      <c r="L220" t="inlineStr">
        <is>
          <t>Frontal Asymmetry (Enobio EEG)</t>
        </is>
      </c>
      <c r="M220">
        <f>LEFT(E220,1)</f>
        <v/>
      </c>
      <c r="N220">
        <f>MID(E220,3,10)</f>
        <v/>
      </c>
      <c r="O220">
        <f>IF(F220="Stimulus",IF(LEFT(G220,8)="Baseline",G220,IF(LEFT(G220,12)="Commercial_1","C1","C2")),IF(G220="KeyScene","KeyScene",IF(LEFT(J220,12)="Commercial_1","EndScene_C1","EndScene_C2")))</f>
        <v/>
      </c>
      <c r="P220">
        <f>IF(COUNTIFS(Artifact!$B$2:$B$385,B220,Artifact!$K$2:$K$385,"&gt;25")+COUNTIFS(Log!$A$2:$A$49,B220,Log!$H$2:$H$49,"Red")+COUNTIFS(Log!$A$2:$A$49,B220,Log!$I$2:$I$49,"Red")&gt;0,"No","Yes")</f>
        <v/>
      </c>
      <c r="Q220">
        <f>IF(COUNTIFS(Artifact!$B$2:$B$385,B220,Artifact!$K$2:$K$385,"&gt;15")+COUNTIFS(Log!$A$2:$A$49,B220,Log!$H$2:$H$49,"Red")+COUNTIFS(Log!$A$2:$A$49,B220,Log!$I$2:$I$49,"Red")&gt;0,"No","Yes")</f>
        <v/>
      </c>
    </row>
    <row r="221">
      <c r="A221" t="inlineStr">
        <is>
          <t>SIMULATED Commercial FA Study</t>
        </is>
      </c>
      <c r="B221" t="inlineStr">
        <is>
          <t>P34</t>
        </is>
      </c>
      <c r="C221" t="inlineStr">
        <is>
          <t>M</t>
        </is>
      </c>
      <c r="D221" t="n">
        <v>25</v>
      </c>
      <c r="E221" t="inlineStr">
        <is>
          <t>A_C1first</t>
        </is>
      </c>
      <c r="F221" t="inlineStr">
        <is>
          <t>Annotation</t>
        </is>
      </c>
      <c r="G221" t="inlineStr">
        <is>
          <t>EndScene</t>
        </is>
      </c>
      <c r="H221" t="n">
        <v>137000</v>
      </c>
      <c r="I221" t="n">
        <v>10000</v>
      </c>
      <c r="J221" t="inlineStr">
        <is>
          <t>Commercial_1A</t>
        </is>
      </c>
      <c r="K221" s="4" t="n">
        <v>0.1762</v>
      </c>
      <c r="L221" t="inlineStr">
        <is>
          <t>Frontal Asymmetry (Enobio EEG)</t>
        </is>
      </c>
      <c r="M221">
        <f>LEFT(E221,1)</f>
        <v/>
      </c>
      <c r="N221">
        <f>MID(E221,3,10)</f>
        <v/>
      </c>
      <c r="O221">
        <f>IF(F221="Stimulus",IF(LEFT(G221,8)="Baseline",G221,IF(LEFT(G221,12)="Commercial_1","C1","C2")),IF(G221="KeyScene","KeyScene",IF(LEFT(J221,12)="Commercial_1","EndScene_C1","EndScene_C2")))</f>
        <v/>
      </c>
      <c r="P221">
        <f>IF(COUNTIFS(Artifact!$B$2:$B$385,B221,Artifact!$K$2:$K$385,"&gt;25")+COUNTIFS(Log!$A$2:$A$49,B221,Log!$H$2:$H$49,"Red")+COUNTIFS(Log!$A$2:$A$49,B221,Log!$I$2:$I$49,"Red")&gt;0,"No","Yes")</f>
        <v/>
      </c>
      <c r="Q221">
        <f>IF(COUNTIFS(Artifact!$B$2:$B$385,B221,Artifact!$K$2:$K$385,"&gt;15")+COUNTIFS(Log!$A$2:$A$49,B221,Log!$H$2:$H$49,"Red")+COUNTIFS(Log!$A$2:$A$49,B221,Log!$I$2:$I$49,"Red")&gt;0,"No","Yes")</f>
        <v/>
      </c>
    </row>
    <row r="222">
      <c r="A222" t="inlineStr">
        <is>
          <t>SIMULATED Commercial FA Study</t>
        </is>
      </c>
      <c r="B222" t="inlineStr">
        <is>
          <t>P34</t>
        </is>
      </c>
      <c r="C222" t="inlineStr">
        <is>
          <t>M</t>
        </is>
      </c>
      <c r="D222" t="n">
        <v>25</v>
      </c>
      <c r="E222" t="inlineStr">
        <is>
          <t>A_C1first</t>
        </is>
      </c>
      <c r="F222" t="inlineStr">
        <is>
          <t>Annotation</t>
        </is>
      </c>
      <c r="G222" t="inlineStr">
        <is>
          <t>EndScene</t>
        </is>
      </c>
      <c r="H222" t="n">
        <v>295000</v>
      </c>
      <c r="I222" t="n">
        <v>10000</v>
      </c>
      <c r="J222" t="inlineStr">
        <is>
          <t>Commercial_2</t>
        </is>
      </c>
      <c r="K222" s="4" t="n">
        <v>0.0434</v>
      </c>
      <c r="L222" t="inlineStr">
        <is>
          <t>Frontal Asymmetry (Enobio EEG)</t>
        </is>
      </c>
      <c r="M222">
        <f>LEFT(E222,1)</f>
        <v/>
      </c>
      <c r="N222">
        <f>MID(E222,3,10)</f>
        <v/>
      </c>
      <c r="O222">
        <f>IF(F222="Stimulus",IF(LEFT(G222,8)="Baseline",G222,IF(LEFT(G222,12)="Commercial_1","C1","C2")),IF(G222="KeyScene","KeyScene",IF(LEFT(J222,12)="Commercial_1","EndScene_C1","EndScene_C2")))</f>
        <v/>
      </c>
      <c r="P222">
        <f>IF(COUNTIFS(Artifact!$B$2:$B$385,B222,Artifact!$K$2:$K$385,"&gt;25")+COUNTIFS(Log!$A$2:$A$49,B222,Log!$H$2:$H$49,"Red")+COUNTIFS(Log!$A$2:$A$49,B222,Log!$I$2:$I$49,"Red")&gt;0,"No","Yes")</f>
        <v/>
      </c>
      <c r="Q222">
        <f>IF(COUNTIFS(Artifact!$B$2:$B$385,B222,Artifact!$K$2:$K$385,"&gt;15")+COUNTIFS(Log!$A$2:$A$49,B222,Log!$H$2:$H$49,"Red")+COUNTIFS(Log!$A$2:$A$49,B222,Log!$I$2:$I$49,"Red")&gt;0,"No","Yes")</f>
        <v/>
      </c>
    </row>
    <row r="223">
      <c r="A223" t="inlineStr">
        <is>
          <t>SIMULATED Commercial FA Study</t>
        </is>
      </c>
      <c r="B223" t="inlineStr">
        <is>
          <t>P35</t>
        </is>
      </c>
      <c r="C223" t="inlineStr">
        <is>
          <t>M</t>
        </is>
      </c>
      <c r="D223" t="n">
        <v>22</v>
      </c>
      <c r="E223" t="inlineStr">
        <is>
          <t>A_C2first</t>
        </is>
      </c>
      <c r="F223" t="inlineStr">
        <is>
          <t>Stimulus</t>
        </is>
      </c>
      <c r="G223" t="inlineStr">
        <is>
          <t>Baseline_1</t>
        </is>
      </c>
      <c r="H223" t="n">
        <v>21000</v>
      </c>
      <c r="I223" t="n">
        <v>60000</v>
      </c>
      <c r="J223" t="inlineStr">
        <is>
          <t>Baseline_1</t>
        </is>
      </c>
      <c r="K223" s="4" t="n">
        <v>0.0375</v>
      </c>
      <c r="L223" t="inlineStr">
        <is>
          <t>Frontal Asymmetry (Enobio EEG)</t>
        </is>
      </c>
      <c r="M223">
        <f>LEFT(E223,1)</f>
        <v/>
      </c>
      <c r="N223">
        <f>MID(E223,3,10)</f>
        <v/>
      </c>
      <c r="O223">
        <f>IF(F223="Stimulus",IF(LEFT(G223,8)="Baseline",G223,IF(LEFT(G223,12)="Commercial_1","C1","C2")),IF(G223="KeyScene","KeyScene",IF(LEFT(J223,12)="Commercial_1","EndScene_C1","EndScene_C2")))</f>
        <v/>
      </c>
      <c r="P223">
        <f>IF(COUNTIFS(Artifact!$B$2:$B$385,B223,Artifact!$K$2:$K$385,"&gt;25")+COUNTIFS(Log!$A$2:$A$49,B223,Log!$H$2:$H$49,"Red")+COUNTIFS(Log!$A$2:$A$49,B223,Log!$I$2:$I$49,"Red")&gt;0,"No","Yes")</f>
        <v/>
      </c>
      <c r="Q223">
        <f>IF(COUNTIFS(Artifact!$B$2:$B$385,B223,Artifact!$K$2:$K$385,"&gt;15")+COUNTIFS(Log!$A$2:$A$49,B223,Log!$H$2:$H$49,"Red")+COUNTIFS(Log!$A$2:$A$49,B223,Log!$I$2:$I$49,"Red")&gt;0,"No","Yes")</f>
        <v/>
      </c>
    </row>
    <row r="224">
      <c r="A224" t="inlineStr">
        <is>
          <t>SIMULATED Commercial FA Study</t>
        </is>
      </c>
      <c r="B224" t="inlineStr">
        <is>
          <t>P35</t>
        </is>
      </c>
      <c r="C224" t="inlineStr">
        <is>
          <t>M</t>
        </is>
      </c>
      <c r="D224" t="n">
        <v>22</v>
      </c>
      <c r="E224" t="inlineStr">
        <is>
          <t>A_C2first</t>
        </is>
      </c>
      <c r="F224" t="inlineStr">
        <is>
          <t>Stimulus</t>
        </is>
      </c>
      <c r="G224" t="inlineStr">
        <is>
          <t>Commercial_2</t>
        </is>
      </c>
      <c r="H224" t="n">
        <v>81000</v>
      </c>
      <c r="I224" t="n">
        <v>60000</v>
      </c>
      <c r="J224" t="inlineStr">
        <is>
          <t>Commercial_2</t>
        </is>
      </c>
      <c r="K224" s="4" t="n">
        <v>-0.1168</v>
      </c>
      <c r="L224" t="inlineStr">
        <is>
          <t>Frontal Asymmetry (Enobio EEG)</t>
        </is>
      </c>
      <c r="M224">
        <f>LEFT(E224,1)</f>
        <v/>
      </c>
      <c r="N224">
        <f>MID(E224,3,10)</f>
        <v/>
      </c>
      <c r="O224">
        <f>IF(F224="Stimulus",IF(LEFT(G224,8)="Baseline",G224,IF(LEFT(G224,12)="Commercial_1","C1","C2")),IF(G224="KeyScene","KeyScene",IF(LEFT(J224,12)="Commercial_1","EndScene_C1","EndScene_C2")))</f>
        <v/>
      </c>
      <c r="P224">
        <f>IF(COUNTIFS(Artifact!$B$2:$B$385,B224,Artifact!$K$2:$K$385,"&gt;25")+COUNTIFS(Log!$A$2:$A$49,B224,Log!$H$2:$H$49,"Red")+COUNTIFS(Log!$A$2:$A$49,B224,Log!$I$2:$I$49,"Red")&gt;0,"No","Yes")</f>
        <v/>
      </c>
      <c r="Q224">
        <f>IF(COUNTIFS(Artifact!$B$2:$B$385,B224,Artifact!$K$2:$K$385,"&gt;15")+COUNTIFS(Log!$A$2:$A$49,B224,Log!$H$2:$H$49,"Red")+COUNTIFS(Log!$A$2:$A$49,B224,Log!$I$2:$I$49,"Red")&gt;0,"No","Yes")</f>
        <v/>
      </c>
    </row>
    <row r="225">
      <c r="A225" t="inlineStr">
        <is>
          <t>SIMULATED Commercial FA Study</t>
        </is>
      </c>
      <c r="B225" t="inlineStr">
        <is>
          <t>P35</t>
        </is>
      </c>
      <c r="C225" t="inlineStr">
        <is>
          <t>M</t>
        </is>
      </c>
      <c r="D225" t="n">
        <v>22</v>
      </c>
      <c r="E225" t="inlineStr">
        <is>
          <t>A_C2first</t>
        </is>
      </c>
      <c r="F225" t="inlineStr">
        <is>
          <t>Stimulus</t>
        </is>
      </c>
      <c r="G225" t="inlineStr">
        <is>
          <t>Baseline_2</t>
        </is>
      </c>
      <c r="H225" t="n">
        <v>183000</v>
      </c>
      <c r="I225" t="n">
        <v>60000</v>
      </c>
      <c r="J225" t="inlineStr">
        <is>
          <t>Baseline_2</t>
        </is>
      </c>
      <c r="K225" s="4" t="n">
        <v>-0.1468</v>
      </c>
      <c r="L225" t="inlineStr">
        <is>
          <t>Frontal Asymmetry (Enobio EEG)</t>
        </is>
      </c>
      <c r="M225">
        <f>LEFT(E225,1)</f>
        <v/>
      </c>
      <c r="N225">
        <f>MID(E225,3,10)</f>
        <v/>
      </c>
      <c r="O225">
        <f>IF(F225="Stimulus",IF(LEFT(G225,8)="Baseline",G225,IF(LEFT(G225,12)="Commercial_1","C1","C2")),IF(G225="KeyScene","KeyScene",IF(LEFT(J225,12)="Commercial_1","EndScene_C1","EndScene_C2")))</f>
        <v/>
      </c>
      <c r="P225">
        <f>IF(COUNTIFS(Artifact!$B$2:$B$385,B225,Artifact!$K$2:$K$385,"&gt;25")+COUNTIFS(Log!$A$2:$A$49,B225,Log!$H$2:$H$49,"Red")+COUNTIFS(Log!$A$2:$A$49,B225,Log!$I$2:$I$49,"Red")&gt;0,"No","Yes")</f>
        <v/>
      </c>
      <c r="Q225">
        <f>IF(COUNTIFS(Artifact!$B$2:$B$385,B225,Artifact!$K$2:$K$385,"&gt;15")+COUNTIFS(Log!$A$2:$A$49,B225,Log!$H$2:$H$49,"Red")+COUNTIFS(Log!$A$2:$A$49,B225,Log!$I$2:$I$49,"Red")&gt;0,"No","Yes")</f>
        <v/>
      </c>
    </row>
    <row r="226">
      <c r="A226" t="inlineStr">
        <is>
          <t>SIMULATED Commercial FA Study</t>
        </is>
      </c>
      <c r="B226" t="inlineStr">
        <is>
          <t>P35</t>
        </is>
      </c>
      <c r="C226" t="inlineStr">
        <is>
          <t>M</t>
        </is>
      </c>
      <c r="D226" t="n">
        <v>22</v>
      </c>
      <c r="E226" t="inlineStr">
        <is>
          <t>A_C2first</t>
        </is>
      </c>
      <c r="F226" t="inlineStr">
        <is>
          <t>Stimulus</t>
        </is>
      </c>
      <c r="G226" t="inlineStr">
        <is>
          <t>Commercial_1A</t>
        </is>
      </c>
      <c r="H226" t="n">
        <v>243000</v>
      </c>
      <c r="I226" t="n">
        <v>60000</v>
      </c>
      <c r="J226" t="inlineStr">
        <is>
          <t>Commercial_1A</t>
        </is>
      </c>
      <c r="K226" s="4" t="n">
        <v>-0.0752</v>
      </c>
      <c r="L226" t="inlineStr">
        <is>
          <t>Frontal Asymmetry (Enobio EEG)</t>
        </is>
      </c>
      <c r="M226">
        <f>LEFT(E226,1)</f>
        <v/>
      </c>
      <c r="N226">
        <f>MID(E226,3,10)</f>
        <v/>
      </c>
      <c r="O226">
        <f>IF(F226="Stimulus",IF(LEFT(G226,8)="Baseline",G226,IF(LEFT(G226,12)="Commercial_1","C1","C2")),IF(G226="KeyScene","KeyScene",IF(LEFT(J226,12)="Commercial_1","EndScene_C1","EndScene_C2")))</f>
        <v/>
      </c>
      <c r="P226">
        <f>IF(COUNTIFS(Artifact!$B$2:$B$385,B226,Artifact!$K$2:$K$385,"&gt;25")+COUNTIFS(Log!$A$2:$A$49,B226,Log!$H$2:$H$49,"Red")+COUNTIFS(Log!$A$2:$A$49,B226,Log!$I$2:$I$49,"Red")&gt;0,"No","Yes")</f>
        <v/>
      </c>
      <c r="Q226">
        <f>IF(COUNTIFS(Artifact!$B$2:$B$385,B226,Artifact!$K$2:$K$385,"&gt;15")+COUNTIFS(Log!$A$2:$A$49,B226,Log!$H$2:$H$49,"Red")+COUNTIFS(Log!$A$2:$A$49,B226,Log!$I$2:$I$49,"Red")&gt;0,"No","Yes")</f>
        <v/>
      </c>
    </row>
    <row r="227">
      <c r="A227" t="inlineStr">
        <is>
          <t>SIMULATED Commercial FA Study</t>
        </is>
      </c>
      <c r="B227" t="inlineStr">
        <is>
          <t>P35</t>
        </is>
      </c>
      <c r="C227" t="inlineStr">
        <is>
          <t>M</t>
        </is>
      </c>
      <c r="D227" t="n">
        <v>22</v>
      </c>
      <c r="E227" t="inlineStr">
        <is>
          <t>A_C2first</t>
        </is>
      </c>
      <c r="F227" t="inlineStr">
        <is>
          <t>Annotation</t>
        </is>
      </c>
      <c r="G227" t="inlineStr">
        <is>
          <t>EndScene</t>
        </is>
      </c>
      <c r="H227" t="n">
        <v>131000</v>
      </c>
      <c r="I227" t="n">
        <v>10000</v>
      </c>
      <c r="J227" t="inlineStr">
        <is>
          <t>Commercial_2</t>
        </is>
      </c>
      <c r="K227" s="4" t="n">
        <v>0.0621</v>
      </c>
      <c r="L227" t="inlineStr">
        <is>
          <t>Frontal Asymmetry (Enobio EEG)</t>
        </is>
      </c>
      <c r="M227">
        <f>LEFT(E227,1)</f>
        <v/>
      </c>
      <c r="N227">
        <f>MID(E227,3,10)</f>
        <v/>
      </c>
      <c r="O227">
        <f>IF(F227="Stimulus",IF(LEFT(G227,8)="Baseline",G227,IF(LEFT(G227,12)="Commercial_1","C1","C2")),IF(G227="KeyScene","KeyScene",IF(LEFT(J227,12)="Commercial_1","EndScene_C1","EndScene_C2")))</f>
        <v/>
      </c>
      <c r="P227">
        <f>IF(COUNTIFS(Artifact!$B$2:$B$385,B227,Artifact!$K$2:$K$385,"&gt;25")+COUNTIFS(Log!$A$2:$A$49,B227,Log!$H$2:$H$49,"Red")+COUNTIFS(Log!$A$2:$A$49,B227,Log!$I$2:$I$49,"Red")&gt;0,"No","Yes")</f>
        <v/>
      </c>
      <c r="Q227">
        <f>IF(COUNTIFS(Artifact!$B$2:$B$385,B227,Artifact!$K$2:$K$385,"&gt;15")+COUNTIFS(Log!$A$2:$A$49,B227,Log!$H$2:$H$49,"Red")+COUNTIFS(Log!$A$2:$A$49,B227,Log!$I$2:$I$49,"Red")&gt;0,"No","Yes")</f>
        <v/>
      </c>
    </row>
    <row r="228">
      <c r="A228" t="inlineStr">
        <is>
          <t>SIMULATED Commercial FA Study</t>
        </is>
      </c>
      <c r="B228" t="inlineStr">
        <is>
          <t>P35</t>
        </is>
      </c>
      <c r="C228" t="inlineStr">
        <is>
          <t>M</t>
        </is>
      </c>
      <c r="D228" t="n">
        <v>22</v>
      </c>
      <c r="E228" t="inlineStr">
        <is>
          <t>A_C2first</t>
        </is>
      </c>
      <c r="F228" t="inlineStr">
        <is>
          <t>Annotation</t>
        </is>
      </c>
      <c r="G228" t="inlineStr">
        <is>
          <t>KeyScene</t>
        </is>
      </c>
      <c r="H228" t="n">
        <v>275000</v>
      </c>
      <c r="I228" t="n">
        <v>6000</v>
      </c>
      <c r="J228" t="inlineStr">
        <is>
          <t>Commercial_1A</t>
        </is>
      </c>
      <c r="K228" s="4" t="n">
        <v>-0.09229999999999999</v>
      </c>
      <c r="L228" t="inlineStr">
        <is>
          <t>Frontal Asymmetry (Enobio EEG)</t>
        </is>
      </c>
      <c r="M228">
        <f>LEFT(E228,1)</f>
        <v/>
      </c>
      <c r="N228">
        <f>MID(E228,3,10)</f>
        <v/>
      </c>
      <c r="O228">
        <f>IF(F228="Stimulus",IF(LEFT(G228,8)="Baseline",G228,IF(LEFT(G228,12)="Commercial_1","C1","C2")),IF(G228="KeyScene","KeyScene",IF(LEFT(J228,12)="Commercial_1","EndScene_C1","EndScene_C2")))</f>
        <v/>
      </c>
      <c r="P228">
        <f>IF(COUNTIFS(Artifact!$B$2:$B$385,B228,Artifact!$K$2:$K$385,"&gt;25")+COUNTIFS(Log!$A$2:$A$49,B228,Log!$H$2:$H$49,"Red")+COUNTIFS(Log!$A$2:$A$49,B228,Log!$I$2:$I$49,"Red")&gt;0,"No","Yes")</f>
        <v/>
      </c>
      <c r="Q228">
        <f>IF(COUNTIFS(Artifact!$B$2:$B$385,B228,Artifact!$K$2:$K$385,"&gt;15")+COUNTIFS(Log!$A$2:$A$49,B228,Log!$H$2:$H$49,"Red")+COUNTIFS(Log!$A$2:$A$49,B228,Log!$I$2:$I$49,"Red")&gt;0,"No","Yes")</f>
        <v/>
      </c>
    </row>
    <row r="229">
      <c r="A229" t="inlineStr">
        <is>
          <t>SIMULATED Commercial FA Study</t>
        </is>
      </c>
      <c r="B229" t="inlineStr">
        <is>
          <t>P35</t>
        </is>
      </c>
      <c r="C229" t="inlineStr">
        <is>
          <t>M</t>
        </is>
      </c>
      <c r="D229" t="n">
        <v>22</v>
      </c>
      <c r="E229" t="inlineStr">
        <is>
          <t>A_C2first</t>
        </is>
      </c>
      <c r="F229" t="inlineStr">
        <is>
          <t>Annotation</t>
        </is>
      </c>
      <c r="G229" t="inlineStr">
        <is>
          <t>EndScene</t>
        </is>
      </c>
      <c r="H229" t="n">
        <v>293000</v>
      </c>
      <c r="I229" t="n">
        <v>10000</v>
      </c>
      <c r="J229" t="inlineStr">
        <is>
          <t>Commercial_1A</t>
        </is>
      </c>
      <c r="K229" s="4" t="n">
        <v>-0.0605</v>
      </c>
      <c r="L229" t="inlineStr">
        <is>
          <t>Frontal Asymmetry (Enobio EEG)</t>
        </is>
      </c>
      <c r="M229">
        <f>LEFT(E229,1)</f>
        <v/>
      </c>
      <c r="N229">
        <f>MID(E229,3,10)</f>
        <v/>
      </c>
      <c r="O229">
        <f>IF(F229="Stimulus",IF(LEFT(G229,8)="Baseline",G229,IF(LEFT(G229,12)="Commercial_1","C1","C2")),IF(G229="KeyScene","KeyScene",IF(LEFT(J229,12)="Commercial_1","EndScene_C1","EndScene_C2")))</f>
        <v/>
      </c>
      <c r="P229">
        <f>IF(COUNTIFS(Artifact!$B$2:$B$385,B229,Artifact!$K$2:$K$385,"&gt;25")+COUNTIFS(Log!$A$2:$A$49,B229,Log!$H$2:$H$49,"Red")+COUNTIFS(Log!$A$2:$A$49,B229,Log!$I$2:$I$49,"Red")&gt;0,"No","Yes")</f>
        <v/>
      </c>
      <c r="Q229">
        <f>IF(COUNTIFS(Artifact!$B$2:$B$385,B229,Artifact!$K$2:$K$385,"&gt;15")+COUNTIFS(Log!$A$2:$A$49,B229,Log!$H$2:$H$49,"Red")+COUNTIFS(Log!$A$2:$A$49,B229,Log!$I$2:$I$49,"Red")&gt;0,"No","Yes")</f>
        <v/>
      </c>
    </row>
    <row r="230">
      <c r="A230" t="inlineStr">
        <is>
          <t>SIMULATED Commercial FA Study</t>
        </is>
      </c>
      <c r="B230" t="inlineStr">
        <is>
          <t>P36</t>
        </is>
      </c>
      <c r="C230" t="inlineStr">
        <is>
          <t>F</t>
        </is>
      </c>
      <c r="D230" t="n">
        <v>23</v>
      </c>
      <c r="E230" t="inlineStr">
        <is>
          <t>B_C2first</t>
        </is>
      </c>
      <c r="F230" t="inlineStr">
        <is>
          <t>Stimulus</t>
        </is>
      </c>
      <c r="G230" t="inlineStr">
        <is>
          <t>Baseline_1</t>
        </is>
      </c>
      <c r="H230" t="n">
        <v>25000</v>
      </c>
      <c r="I230" t="n">
        <v>60000</v>
      </c>
      <c r="J230" t="inlineStr">
        <is>
          <t>Baseline_1</t>
        </is>
      </c>
      <c r="K230" s="4" t="n">
        <v>-0.2788</v>
      </c>
      <c r="L230" t="inlineStr">
        <is>
          <t>Frontal Asymmetry (Enobio EEG)</t>
        </is>
      </c>
      <c r="M230">
        <f>LEFT(E230,1)</f>
        <v/>
      </c>
      <c r="N230">
        <f>MID(E230,3,10)</f>
        <v/>
      </c>
      <c r="O230">
        <f>IF(F230="Stimulus",IF(LEFT(G230,8)="Baseline",G230,IF(LEFT(G230,12)="Commercial_1","C1","C2")),IF(G230="KeyScene","KeyScene",IF(LEFT(J230,12)="Commercial_1","EndScene_C1","EndScene_C2")))</f>
        <v/>
      </c>
      <c r="P230">
        <f>IF(COUNTIFS(Artifact!$B$2:$B$385,B230,Artifact!$K$2:$K$385,"&gt;25")+COUNTIFS(Log!$A$2:$A$49,B230,Log!$H$2:$H$49,"Red")+COUNTIFS(Log!$A$2:$A$49,B230,Log!$I$2:$I$49,"Red")&gt;0,"No","Yes")</f>
        <v/>
      </c>
      <c r="Q230">
        <f>IF(COUNTIFS(Artifact!$B$2:$B$385,B230,Artifact!$K$2:$K$385,"&gt;15")+COUNTIFS(Log!$A$2:$A$49,B230,Log!$H$2:$H$49,"Red")+COUNTIFS(Log!$A$2:$A$49,B230,Log!$I$2:$I$49,"Red")&gt;0,"No","Yes")</f>
        <v/>
      </c>
    </row>
    <row r="231">
      <c r="A231" t="inlineStr">
        <is>
          <t>SIMULATED Commercial FA Study</t>
        </is>
      </c>
      <c r="B231" t="inlineStr">
        <is>
          <t>P36</t>
        </is>
      </c>
      <c r="C231" t="inlineStr">
        <is>
          <t>F</t>
        </is>
      </c>
      <c r="D231" t="n">
        <v>23</v>
      </c>
      <c r="E231" t="inlineStr">
        <is>
          <t>B_C2first</t>
        </is>
      </c>
      <c r="F231" t="inlineStr">
        <is>
          <t>Stimulus</t>
        </is>
      </c>
      <c r="G231" t="inlineStr">
        <is>
          <t>Commercial_2</t>
        </is>
      </c>
      <c r="H231" t="n">
        <v>85000</v>
      </c>
      <c r="I231" t="n">
        <v>60000</v>
      </c>
      <c r="J231" t="inlineStr">
        <is>
          <t>Commercial_2</t>
        </is>
      </c>
      <c r="K231" s="4" t="n">
        <v>-0.2609</v>
      </c>
      <c r="L231" t="inlineStr">
        <is>
          <t>Frontal Asymmetry (Enobio EEG)</t>
        </is>
      </c>
      <c r="M231">
        <f>LEFT(E231,1)</f>
        <v/>
      </c>
      <c r="N231">
        <f>MID(E231,3,10)</f>
        <v/>
      </c>
      <c r="O231">
        <f>IF(F231="Stimulus",IF(LEFT(G231,8)="Baseline",G231,IF(LEFT(G231,12)="Commercial_1","C1","C2")),IF(G231="KeyScene","KeyScene",IF(LEFT(J231,12)="Commercial_1","EndScene_C1","EndScene_C2")))</f>
        <v/>
      </c>
      <c r="P231">
        <f>IF(COUNTIFS(Artifact!$B$2:$B$385,B231,Artifact!$K$2:$K$385,"&gt;25")+COUNTIFS(Log!$A$2:$A$49,B231,Log!$H$2:$H$49,"Red")+COUNTIFS(Log!$A$2:$A$49,B231,Log!$I$2:$I$49,"Red")&gt;0,"No","Yes")</f>
        <v/>
      </c>
      <c r="Q231">
        <f>IF(COUNTIFS(Artifact!$B$2:$B$385,B231,Artifact!$K$2:$K$385,"&gt;15")+COUNTIFS(Log!$A$2:$A$49,B231,Log!$H$2:$H$49,"Red")+COUNTIFS(Log!$A$2:$A$49,B231,Log!$I$2:$I$49,"Red")&gt;0,"No","Yes")</f>
        <v/>
      </c>
    </row>
    <row r="232">
      <c r="A232" t="inlineStr">
        <is>
          <t>SIMULATED Commercial FA Study</t>
        </is>
      </c>
      <c r="B232" t="inlineStr">
        <is>
          <t>P36</t>
        </is>
      </c>
      <c r="C232" t="inlineStr">
        <is>
          <t>F</t>
        </is>
      </c>
      <c r="D232" t="n">
        <v>23</v>
      </c>
      <c r="E232" t="inlineStr">
        <is>
          <t>B_C2first</t>
        </is>
      </c>
      <c r="F232" t="inlineStr">
        <is>
          <t>Stimulus</t>
        </is>
      </c>
      <c r="G232" t="inlineStr">
        <is>
          <t>Baseline_2</t>
        </is>
      </c>
      <c r="H232" t="n">
        <v>193000</v>
      </c>
      <c r="I232" t="n">
        <v>60000</v>
      </c>
      <c r="J232" t="inlineStr">
        <is>
          <t>Baseline_2</t>
        </is>
      </c>
      <c r="K232" s="4" t="n">
        <v>-0.2161</v>
      </c>
      <c r="L232" t="inlineStr">
        <is>
          <t>Frontal Asymmetry (Enobio EEG)</t>
        </is>
      </c>
      <c r="M232">
        <f>LEFT(E232,1)</f>
        <v/>
      </c>
      <c r="N232">
        <f>MID(E232,3,10)</f>
        <v/>
      </c>
      <c r="O232">
        <f>IF(F232="Stimulus",IF(LEFT(G232,8)="Baseline",G232,IF(LEFT(G232,12)="Commercial_1","C1","C2")),IF(G232="KeyScene","KeyScene",IF(LEFT(J232,12)="Commercial_1","EndScene_C1","EndScene_C2")))</f>
        <v/>
      </c>
      <c r="P232">
        <f>IF(COUNTIFS(Artifact!$B$2:$B$385,B232,Artifact!$K$2:$K$385,"&gt;25")+COUNTIFS(Log!$A$2:$A$49,B232,Log!$H$2:$H$49,"Red")+COUNTIFS(Log!$A$2:$A$49,B232,Log!$I$2:$I$49,"Red")&gt;0,"No","Yes")</f>
        <v/>
      </c>
      <c r="Q232">
        <f>IF(COUNTIFS(Artifact!$B$2:$B$385,B232,Artifact!$K$2:$K$385,"&gt;15")+COUNTIFS(Log!$A$2:$A$49,B232,Log!$H$2:$H$49,"Red")+COUNTIFS(Log!$A$2:$A$49,B232,Log!$I$2:$I$49,"Red")&gt;0,"No","Yes")</f>
        <v/>
      </c>
    </row>
    <row r="233">
      <c r="A233" t="inlineStr">
        <is>
          <t>SIMULATED Commercial FA Study</t>
        </is>
      </c>
      <c r="B233" t="inlineStr">
        <is>
          <t>P36</t>
        </is>
      </c>
      <c r="C233" t="inlineStr">
        <is>
          <t>F</t>
        </is>
      </c>
      <c r="D233" t="n">
        <v>23</v>
      </c>
      <c r="E233" t="inlineStr">
        <is>
          <t>B_C2first</t>
        </is>
      </c>
      <c r="F233" t="inlineStr">
        <is>
          <t>Stimulus</t>
        </is>
      </c>
      <c r="G233" t="inlineStr">
        <is>
          <t>Commercial_1B</t>
        </is>
      </c>
      <c r="H233" t="n">
        <v>253000</v>
      </c>
      <c r="I233" t="n">
        <v>54000</v>
      </c>
      <c r="J233" t="inlineStr">
        <is>
          <t>Commercial_1B</t>
        </is>
      </c>
      <c r="K233" s="4" t="n">
        <v>-0.3426</v>
      </c>
      <c r="L233" t="inlineStr">
        <is>
          <t>Frontal Asymmetry (Enobio EEG)</t>
        </is>
      </c>
      <c r="M233">
        <f>LEFT(E233,1)</f>
        <v/>
      </c>
      <c r="N233">
        <f>MID(E233,3,10)</f>
        <v/>
      </c>
      <c r="O233">
        <f>IF(F233="Stimulus",IF(LEFT(G233,8)="Baseline",G233,IF(LEFT(G233,12)="Commercial_1","C1","C2")),IF(G233="KeyScene","KeyScene",IF(LEFT(J233,12)="Commercial_1","EndScene_C1","EndScene_C2")))</f>
        <v/>
      </c>
      <c r="P233">
        <f>IF(COUNTIFS(Artifact!$B$2:$B$385,B233,Artifact!$K$2:$K$385,"&gt;25")+COUNTIFS(Log!$A$2:$A$49,B233,Log!$H$2:$H$49,"Red")+COUNTIFS(Log!$A$2:$A$49,B233,Log!$I$2:$I$49,"Red")&gt;0,"No","Yes")</f>
        <v/>
      </c>
      <c r="Q233">
        <f>IF(COUNTIFS(Artifact!$B$2:$B$385,B233,Artifact!$K$2:$K$385,"&gt;15")+COUNTIFS(Log!$A$2:$A$49,B233,Log!$H$2:$H$49,"Red")+COUNTIFS(Log!$A$2:$A$49,B233,Log!$I$2:$I$49,"Red")&gt;0,"No","Yes")</f>
        <v/>
      </c>
    </row>
    <row r="234">
      <c r="A234" t="inlineStr">
        <is>
          <t>SIMULATED Commercial FA Study</t>
        </is>
      </c>
      <c r="B234" t="inlineStr">
        <is>
          <t>P36</t>
        </is>
      </c>
      <c r="C234" t="inlineStr">
        <is>
          <t>F</t>
        </is>
      </c>
      <c r="D234" t="n">
        <v>23</v>
      </c>
      <c r="E234" t="inlineStr">
        <is>
          <t>B_C2first</t>
        </is>
      </c>
      <c r="F234" t="inlineStr">
        <is>
          <t>Annotation</t>
        </is>
      </c>
      <c r="G234" t="inlineStr">
        <is>
          <t>EndScene</t>
        </is>
      </c>
      <c r="H234" t="n">
        <v>135000</v>
      </c>
      <c r="I234" t="n">
        <v>10000</v>
      </c>
      <c r="J234" t="inlineStr">
        <is>
          <t>Commercial_2</t>
        </is>
      </c>
      <c r="K234" s="4" t="n">
        <v>-0.257</v>
      </c>
      <c r="L234" t="inlineStr">
        <is>
          <t>Frontal Asymmetry (Enobio EEG)</t>
        </is>
      </c>
      <c r="M234">
        <f>LEFT(E234,1)</f>
        <v/>
      </c>
      <c r="N234">
        <f>MID(E234,3,10)</f>
        <v/>
      </c>
      <c r="O234">
        <f>IF(F234="Stimulus",IF(LEFT(G234,8)="Baseline",G234,IF(LEFT(G234,12)="Commercial_1","C1","C2")),IF(G234="KeyScene","KeyScene",IF(LEFT(J234,12)="Commercial_1","EndScene_C1","EndScene_C2")))</f>
        <v/>
      </c>
      <c r="P234">
        <f>IF(COUNTIFS(Artifact!$B$2:$B$385,B234,Artifact!$K$2:$K$385,"&gt;25")+COUNTIFS(Log!$A$2:$A$49,B234,Log!$H$2:$H$49,"Red")+COUNTIFS(Log!$A$2:$A$49,B234,Log!$I$2:$I$49,"Red")&gt;0,"No","Yes")</f>
        <v/>
      </c>
      <c r="Q234">
        <f>IF(COUNTIFS(Artifact!$B$2:$B$385,B234,Artifact!$K$2:$K$385,"&gt;15")+COUNTIFS(Log!$A$2:$A$49,B234,Log!$H$2:$H$49,"Red")+COUNTIFS(Log!$A$2:$A$49,B234,Log!$I$2:$I$49,"Red")&gt;0,"No","Yes")</f>
        <v/>
      </c>
    </row>
    <row r="235">
      <c r="A235" t="inlineStr">
        <is>
          <t>SIMULATED Commercial FA Study</t>
        </is>
      </c>
      <c r="B235" t="inlineStr">
        <is>
          <t>P36</t>
        </is>
      </c>
      <c r="C235" t="inlineStr">
        <is>
          <t>F</t>
        </is>
      </c>
      <c r="D235" t="n">
        <v>23</v>
      </c>
      <c r="E235" t="inlineStr">
        <is>
          <t>B_C2first</t>
        </is>
      </c>
      <c r="F235" t="inlineStr">
        <is>
          <t>Annotation</t>
        </is>
      </c>
      <c r="G235" t="inlineStr">
        <is>
          <t>EndScene</t>
        </is>
      </c>
      <c r="H235" t="n">
        <v>297000</v>
      </c>
      <c r="I235" t="n">
        <v>10000</v>
      </c>
      <c r="J235" t="inlineStr">
        <is>
          <t>Commercial_1B</t>
        </is>
      </c>
      <c r="K235" s="4" t="n">
        <v>-0.3547</v>
      </c>
      <c r="L235" t="inlineStr">
        <is>
          <t>Frontal Asymmetry (Enobio EEG)</t>
        </is>
      </c>
      <c r="M235">
        <f>LEFT(E235,1)</f>
        <v/>
      </c>
      <c r="N235">
        <f>MID(E235,3,10)</f>
        <v/>
      </c>
      <c r="O235">
        <f>IF(F235="Stimulus",IF(LEFT(G235,8)="Baseline",G235,IF(LEFT(G235,12)="Commercial_1","C1","C2")),IF(G235="KeyScene","KeyScene",IF(LEFT(J235,12)="Commercial_1","EndScene_C1","EndScene_C2")))</f>
        <v/>
      </c>
      <c r="P235">
        <f>IF(COUNTIFS(Artifact!$B$2:$B$385,B235,Artifact!$K$2:$K$385,"&gt;25")+COUNTIFS(Log!$A$2:$A$49,B235,Log!$H$2:$H$49,"Red")+COUNTIFS(Log!$A$2:$A$49,B235,Log!$I$2:$I$49,"Red")&gt;0,"No","Yes")</f>
        <v/>
      </c>
      <c r="Q235">
        <f>IF(COUNTIFS(Artifact!$B$2:$B$385,B235,Artifact!$K$2:$K$385,"&gt;15")+COUNTIFS(Log!$A$2:$A$49,B235,Log!$H$2:$H$49,"Red")+COUNTIFS(Log!$A$2:$A$49,B235,Log!$I$2:$I$49,"Red")&gt;0,"No","Yes")</f>
        <v/>
      </c>
    </row>
    <row r="236">
      <c r="A236" t="inlineStr">
        <is>
          <t>SIMULATED Commercial FA Study</t>
        </is>
      </c>
      <c r="B236" t="inlineStr">
        <is>
          <t>P37</t>
        </is>
      </c>
      <c r="C236" t="inlineStr">
        <is>
          <t>F</t>
        </is>
      </c>
      <c r="D236" t="n">
        <v>20</v>
      </c>
      <c r="E236" t="inlineStr">
        <is>
          <t>A_C1first</t>
        </is>
      </c>
      <c r="F236" t="inlineStr">
        <is>
          <t>Stimulus</t>
        </is>
      </c>
      <c r="G236" t="inlineStr">
        <is>
          <t>Baseline_1</t>
        </is>
      </c>
      <c r="H236" t="n">
        <v>30000</v>
      </c>
      <c r="I236" t="n">
        <v>60000</v>
      </c>
      <c r="J236" t="inlineStr">
        <is>
          <t>Baseline_1</t>
        </is>
      </c>
      <c r="K236" s="4" t="n">
        <v>-0.2968</v>
      </c>
      <c r="L236" t="inlineStr">
        <is>
          <t>Frontal Asymmetry (Enobio EEG)</t>
        </is>
      </c>
      <c r="M236">
        <f>LEFT(E236,1)</f>
        <v/>
      </c>
      <c r="N236">
        <f>MID(E236,3,10)</f>
        <v/>
      </c>
      <c r="O236">
        <f>IF(F236="Stimulus",IF(LEFT(G236,8)="Baseline",G236,IF(LEFT(G236,12)="Commercial_1","C1","C2")),IF(G236="KeyScene","KeyScene",IF(LEFT(J236,12)="Commercial_1","EndScene_C1","EndScene_C2")))</f>
        <v/>
      </c>
      <c r="P236">
        <f>IF(COUNTIFS(Artifact!$B$2:$B$385,B236,Artifact!$K$2:$K$385,"&gt;25")+COUNTIFS(Log!$A$2:$A$49,B236,Log!$H$2:$H$49,"Red")+COUNTIFS(Log!$A$2:$A$49,B236,Log!$I$2:$I$49,"Red")&gt;0,"No","Yes")</f>
        <v/>
      </c>
      <c r="Q236">
        <f>IF(COUNTIFS(Artifact!$B$2:$B$385,B236,Artifact!$K$2:$K$385,"&gt;15")+COUNTIFS(Log!$A$2:$A$49,B236,Log!$H$2:$H$49,"Red")+COUNTIFS(Log!$A$2:$A$49,B236,Log!$I$2:$I$49,"Red")&gt;0,"No","Yes")</f>
        <v/>
      </c>
    </row>
    <row r="237">
      <c r="A237" t="inlineStr">
        <is>
          <t>SIMULATED Commercial FA Study</t>
        </is>
      </c>
      <c r="B237" t="inlineStr">
        <is>
          <t>P37</t>
        </is>
      </c>
      <c r="C237" t="inlineStr">
        <is>
          <t>F</t>
        </is>
      </c>
      <c r="D237" t="n">
        <v>20</v>
      </c>
      <c r="E237" t="inlineStr">
        <is>
          <t>A_C1first</t>
        </is>
      </c>
      <c r="F237" t="inlineStr">
        <is>
          <t>Stimulus</t>
        </is>
      </c>
      <c r="G237" t="inlineStr">
        <is>
          <t>Commercial_1A</t>
        </is>
      </c>
      <c r="H237" t="n">
        <v>90000</v>
      </c>
      <c r="I237" t="n">
        <v>60000</v>
      </c>
      <c r="J237" t="inlineStr">
        <is>
          <t>Commercial_1A</t>
        </is>
      </c>
      <c r="K237" s="4" t="n">
        <v>-0.1679</v>
      </c>
      <c r="L237" t="inlineStr">
        <is>
          <t>Frontal Asymmetry (Enobio EEG)</t>
        </is>
      </c>
      <c r="M237">
        <f>LEFT(E237,1)</f>
        <v/>
      </c>
      <c r="N237">
        <f>MID(E237,3,10)</f>
        <v/>
      </c>
      <c r="O237">
        <f>IF(F237="Stimulus",IF(LEFT(G237,8)="Baseline",G237,IF(LEFT(G237,12)="Commercial_1","C1","C2")),IF(G237="KeyScene","KeyScene",IF(LEFT(J237,12)="Commercial_1","EndScene_C1","EndScene_C2")))</f>
        <v/>
      </c>
      <c r="P237">
        <f>IF(COUNTIFS(Artifact!$B$2:$B$385,B237,Artifact!$K$2:$K$385,"&gt;25")+COUNTIFS(Log!$A$2:$A$49,B237,Log!$H$2:$H$49,"Red")+COUNTIFS(Log!$A$2:$A$49,B237,Log!$I$2:$I$49,"Red")&gt;0,"No","Yes")</f>
        <v/>
      </c>
      <c r="Q237">
        <f>IF(COUNTIFS(Artifact!$B$2:$B$385,B237,Artifact!$K$2:$K$385,"&gt;15")+COUNTIFS(Log!$A$2:$A$49,B237,Log!$H$2:$H$49,"Red")+COUNTIFS(Log!$A$2:$A$49,B237,Log!$I$2:$I$49,"Red")&gt;0,"No","Yes")</f>
        <v/>
      </c>
    </row>
    <row r="238">
      <c r="A238" t="inlineStr">
        <is>
          <t>SIMULATED Commercial FA Study</t>
        </is>
      </c>
      <c r="B238" t="inlineStr">
        <is>
          <t>P37</t>
        </is>
      </c>
      <c r="C238" t="inlineStr">
        <is>
          <t>F</t>
        </is>
      </c>
      <c r="D238" t="n">
        <v>20</v>
      </c>
      <c r="E238" t="inlineStr">
        <is>
          <t>A_C1first</t>
        </is>
      </c>
      <c r="F238" t="inlineStr">
        <is>
          <t>Stimulus</t>
        </is>
      </c>
      <c r="G238" t="inlineStr">
        <is>
          <t>Baseline_2</t>
        </is>
      </c>
      <c r="H238" t="n">
        <v>179000</v>
      </c>
      <c r="I238" t="n">
        <v>60000</v>
      </c>
      <c r="J238" t="inlineStr">
        <is>
          <t>Baseline_2</t>
        </is>
      </c>
      <c r="K238" s="4" t="n">
        <v>-0.1815</v>
      </c>
      <c r="L238" t="inlineStr">
        <is>
          <t>Frontal Asymmetry (Enobio EEG)</t>
        </is>
      </c>
      <c r="M238">
        <f>LEFT(E238,1)</f>
        <v/>
      </c>
      <c r="N238">
        <f>MID(E238,3,10)</f>
        <v/>
      </c>
      <c r="O238">
        <f>IF(F238="Stimulus",IF(LEFT(G238,8)="Baseline",G238,IF(LEFT(G238,12)="Commercial_1","C1","C2")),IF(G238="KeyScene","KeyScene",IF(LEFT(J238,12)="Commercial_1","EndScene_C1","EndScene_C2")))</f>
        <v/>
      </c>
      <c r="P238">
        <f>IF(COUNTIFS(Artifact!$B$2:$B$385,B238,Artifact!$K$2:$K$385,"&gt;25")+COUNTIFS(Log!$A$2:$A$49,B238,Log!$H$2:$H$49,"Red")+COUNTIFS(Log!$A$2:$A$49,B238,Log!$I$2:$I$49,"Red")&gt;0,"No","Yes")</f>
        <v/>
      </c>
      <c r="Q238">
        <f>IF(COUNTIFS(Artifact!$B$2:$B$385,B238,Artifact!$K$2:$K$385,"&gt;15")+COUNTIFS(Log!$A$2:$A$49,B238,Log!$H$2:$H$49,"Red")+COUNTIFS(Log!$A$2:$A$49,B238,Log!$I$2:$I$49,"Red")&gt;0,"No","Yes")</f>
        <v/>
      </c>
    </row>
    <row r="239">
      <c r="A239" t="inlineStr">
        <is>
          <t>SIMULATED Commercial FA Study</t>
        </is>
      </c>
      <c r="B239" t="inlineStr">
        <is>
          <t>P37</t>
        </is>
      </c>
      <c r="C239" t="inlineStr">
        <is>
          <t>F</t>
        </is>
      </c>
      <c r="D239" t="n">
        <v>20</v>
      </c>
      <c r="E239" t="inlineStr">
        <is>
          <t>A_C1first</t>
        </is>
      </c>
      <c r="F239" t="inlineStr">
        <is>
          <t>Stimulus</t>
        </is>
      </c>
      <c r="G239" t="inlineStr">
        <is>
          <t>Commercial_2</t>
        </is>
      </c>
      <c r="H239" t="n">
        <v>239000</v>
      </c>
      <c r="I239" t="n">
        <v>60000</v>
      </c>
      <c r="J239" t="inlineStr">
        <is>
          <t>Commercial_2</t>
        </is>
      </c>
      <c r="K239" s="4" t="n">
        <v>-0.2136</v>
      </c>
      <c r="L239" t="inlineStr">
        <is>
          <t>Frontal Asymmetry (Enobio EEG)</t>
        </is>
      </c>
      <c r="M239">
        <f>LEFT(E239,1)</f>
        <v/>
      </c>
      <c r="N239">
        <f>MID(E239,3,10)</f>
        <v/>
      </c>
      <c r="O239">
        <f>IF(F239="Stimulus",IF(LEFT(G239,8)="Baseline",G239,IF(LEFT(G239,12)="Commercial_1","C1","C2")),IF(G239="KeyScene","KeyScene",IF(LEFT(J239,12)="Commercial_1","EndScene_C1","EndScene_C2")))</f>
        <v/>
      </c>
      <c r="P239">
        <f>IF(COUNTIFS(Artifact!$B$2:$B$385,B239,Artifact!$K$2:$K$385,"&gt;25")+COUNTIFS(Log!$A$2:$A$49,B239,Log!$H$2:$H$49,"Red")+COUNTIFS(Log!$A$2:$A$49,B239,Log!$I$2:$I$49,"Red")&gt;0,"No","Yes")</f>
        <v/>
      </c>
      <c r="Q239">
        <f>IF(COUNTIFS(Artifact!$B$2:$B$385,B239,Artifact!$K$2:$K$385,"&gt;15")+COUNTIFS(Log!$A$2:$A$49,B239,Log!$H$2:$H$49,"Red")+COUNTIFS(Log!$A$2:$A$49,B239,Log!$I$2:$I$49,"Red")&gt;0,"No","Yes")</f>
        <v/>
      </c>
    </row>
    <row r="240">
      <c r="A240" t="inlineStr">
        <is>
          <t>SIMULATED Commercial FA Study</t>
        </is>
      </c>
      <c r="B240" t="inlineStr">
        <is>
          <t>P37</t>
        </is>
      </c>
      <c r="C240" t="inlineStr">
        <is>
          <t>F</t>
        </is>
      </c>
      <c r="D240" t="n">
        <v>20</v>
      </c>
      <c r="E240" t="inlineStr">
        <is>
          <t>A_C1first</t>
        </is>
      </c>
      <c r="F240" t="inlineStr">
        <is>
          <t>Annotation</t>
        </is>
      </c>
      <c r="G240" t="inlineStr">
        <is>
          <t>KeyScene</t>
        </is>
      </c>
      <c r="H240" t="n">
        <v>122000</v>
      </c>
      <c r="I240" t="n">
        <v>6000</v>
      </c>
      <c r="J240" t="inlineStr">
        <is>
          <t>Commercial_1A</t>
        </is>
      </c>
      <c r="K240" s="4" t="n">
        <v>0.07480000000000001</v>
      </c>
      <c r="L240" t="inlineStr">
        <is>
          <t>Frontal Asymmetry (Enobio EEG)</t>
        </is>
      </c>
      <c r="M240">
        <f>LEFT(E240,1)</f>
        <v/>
      </c>
      <c r="N240">
        <f>MID(E240,3,10)</f>
        <v/>
      </c>
      <c r="O240">
        <f>IF(F240="Stimulus",IF(LEFT(G240,8)="Baseline",G240,IF(LEFT(G240,12)="Commercial_1","C1","C2")),IF(G240="KeyScene","KeyScene",IF(LEFT(J240,12)="Commercial_1","EndScene_C1","EndScene_C2")))</f>
        <v/>
      </c>
      <c r="P240">
        <f>IF(COUNTIFS(Artifact!$B$2:$B$385,B240,Artifact!$K$2:$K$385,"&gt;25")+COUNTIFS(Log!$A$2:$A$49,B240,Log!$H$2:$H$49,"Red")+COUNTIFS(Log!$A$2:$A$49,B240,Log!$I$2:$I$49,"Red")&gt;0,"No","Yes")</f>
        <v/>
      </c>
      <c r="Q240">
        <f>IF(COUNTIFS(Artifact!$B$2:$B$385,B240,Artifact!$K$2:$K$385,"&gt;15")+COUNTIFS(Log!$A$2:$A$49,B240,Log!$H$2:$H$49,"Red")+COUNTIFS(Log!$A$2:$A$49,B240,Log!$I$2:$I$49,"Red")&gt;0,"No","Yes")</f>
        <v/>
      </c>
    </row>
    <row r="241">
      <c r="A241" t="inlineStr">
        <is>
          <t>SIMULATED Commercial FA Study</t>
        </is>
      </c>
      <c r="B241" t="inlineStr">
        <is>
          <t>P37</t>
        </is>
      </c>
      <c r="C241" t="inlineStr">
        <is>
          <t>F</t>
        </is>
      </c>
      <c r="D241" t="n">
        <v>20</v>
      </c>
      <c r="E241" t="inlineStr">
        <is>
          <t>A_C1first</t>
        </is>
      </c>
      <c r="F241" t="inlineStr">
        <is>
          <t>Annotation</t>
        </is>
      </c>
      <c r="G241" t="inlineStr">
        <is>
          <t>EndScene</t>
        </is>
      </c>
      <c r="H241" t="n">
        <v>140000</v>
      </c>
      <c r="I241" t="n">
        <v>10000</v>
      </c>
      <c r="J241" t="inlineStr">
        <is>
          <t>Commercial_1A</t>
        </is>
      </c>
      <c r="K241" s="4" t="n">
        <v>-0.1305</v>
      </c>
      <c r="L241" t="inlineStr">
        <is>
          <t>Frontal Asymmetry (Enobio EEG)</t>
        </is>
      </c>
      <c r="M241">
        <f>LEFT(E241,1)</f>
        <v/>
      </c>
      <c r="N241">
        <f>MID(E241,3,10)</f>
        <v/>
      </c>
      <c r="O241">
        <f>IF(F241="Stimulus",IF(LEFT(G241,8)="Baseline",G241,IF(LEFT(G241,12)="Commercial_1","C1","C2")),IF(G241="KeyScene","KeyScene",IF(LEFT(J241,12)="Commercial_1","EndScene_C1","EndScene_C2")))</f>
        <v/>
      </c>
      <c r="P241">
        <f>IF(COUNTIFS(Artifact!$B$2:$B$385,B241,Artifact!$K$2:$K$385,"&gt;25")+COUNTIFS(Log!$A$2:$A$49,B241,Log!$H$2:$H$49,"Red")+COUNTIFS(Log!$A$2:$A$49,B241,Log!$I$2:$I$49,"Red")&gt;0,"No","Yes")</f>
        <v/>
      </c>
      <c r="Q241">
        <f>IF(COUNTIFS(Artifact!$B$2:$B$385,B241,Artifact!$K$2:$K$385,"&gt;15")+COUNTIFS(Log!$A$2:$A$49,B241,Log!$H$2:$H$49,"Red")+COUNTIFS(Log!$A$2:$A$49,B241,Log!$I$2:$I$49,"Red")&gt;0,"No","Yes")</f>
        <v/>
      </c>
    </row>
    <row r="242">
      <c r="A242" t="inlineStr">
        <is>
          <t>SIMULATED Commercial FA Study</t>
        </is>
      </c>
      <c r="B242" t="inlineStr">
        <is>
          <t>P37</t>
        </is>
      </c>
      <c r="C242" t="inlineStr">
        <is>
          <t>F</t>
        </is>
      </c>
      <c r="D242" t="n">
        <v>20</v>
      </c>
      <c r="E242" t="inlineStr">
        <is>
          <t>A_C1first</t>
        </is>
      </c>
      <c r="F242" t="inlineStr">
        <is>
          <t>Annotation</t>
        </is>
      </c>
      <c r="G242" t="inlineStr">
        <is>
          <t>EndScene</t>
        </is>
      </c>
      <c r="H242" t="n">
        <v>289000</v>
      </c>
      <c r="I242" t="n">
        <v>10000</v>
      </c>
      <c r="J242" t="inlineStr">
        <is>
          <t>Commercial_2</t>
        </is>
      </c>
      <c r="K242" s="4" t="n">
        <v>-0.1765</v>
      </c>
      <c r="L242" t="inlineStr">
        <is>
          <t>Frontal Asymmetry (Enobio EEG)</t>
        </is>
      </c>
      <c r="M242">
        <f>LEFT(E242,1)</f>
        <v/>
      </c>
      <c r="N242">
        <f>MID(E242,3,10)</f>
        <v/>
      </c>
      <c r="O242">
        <f>IF(F242="Stimulus",IF(LEFT(G242,8)="Baseline",G242,IF(LEFT(G242,12)="Commercial_1","C1","C2")),IF(G242="KeyScene","KeyScene",IF(LEFT(J242,12)="Commercial_1","EndScene_C1","EndScene_C2")))</f>
        <v/>
      </c>
      <c r="P242">
        <f>IF(COUNTIFS(Artifact!$B$2:$B$385,B242,Artifact!$K$2:$K$385,"&gt;25")+COUNTIFS(Log!$A$2:$A$49,B242,Log!$H$2:$H$49,"Red")+COUNTIFS(Log!$A$2:$A$49,B242,Log!$I$2:$I$49,"Red")&gt;0,"No","Yes")</f>
        <v/>
      </c>
      <c r="Q242">
        <f>IF(COUNTIFS(Artifact!$B$2:$B$385,B242,Artifact!$K$2:$K$385,"&gt;15")+COUNTIFS(Log!$A$2:$A$49,B242,Log!$H$2:$H$49,"Red")+COUNTIFS(Log!$A$2:$A$49,B242,Log!$I$2:$I$49,"Red")&gt;0,"No","Yes")</f>
        <v/>
      </c>
    </row>
    <row r="243">
      <c r="A243" t="inlineStr">
        <is>
          <t>SIMULATED Commercial FA Study</t>
        </is>
      </c>
      <c r="B243" t="inlineStr">
        <is>
          <t>P38</t>
        </is>
      </c>
      <c r="C243" t="inlineStr">
        <is>
          <t>M</t>
        </is>
      </c>
      <c r="D243" t="n">
        <v>25</v>
      </c>
      <c r="E243" t="inlineStr">
        <is>
          <t>A_C2first</t>
        </is>
      </c>
      <c r="F243" t="inlineStr">
        <is>
          <t>Stimulus</t>
        </is>
      </c>
      <c r="G243" t="inlineStr">
        <is>
          <t>Baseline_1</t>
        </is>
      </c>
      <c r="H243" t="n">
        <v>20000</v>
      </c>
      <c r="I243" t="n">
        <v>60000</v>
      </c>
      <c r="J243" t="inlineStr">
        <is>
          <t>Baseline_1</t>
        </is>
      </c>
      <c r="K243" s="4" t="n">
        <v>-0.1682</v>
      </c>
      <c r="L243" t="inlineStr">
        <is>
          <t>Frontal Asymmetry (Enobio EEG)</t>
        </is>
      </c>
      <c r="M243">
        <f>LEFT(E243,1)</f>
        <v/>
      </c>
      <c r="N243">
        <f>MID(E243,3,10)</f>
        <v/>
      </c>
      <c r="O243">
        <f>IF(F243="Stimulus",IF(LEFT(G243,8)="Baseline",G243,IF(LEFT(G243,12)="Commercial_1","C1","C2")),IF(G243="KeyScene","KeyScene",IF(LEFT(J243,12)="Commercial_1","EndScene_C1","EndScene_C2")))</f>
        <v/>
      </c>
      <c r="P243">
        <f>IF(COUNTIFS(Artifact!$B$2:$B$385,B243,Artifact!$K$2:$K$385,"&gt;25")+COUNTIFS(Log!$A$2:$A$49,B243,Log!$H$2:$H$49,"Red")+COUNTIFS(Log!$A$2:$A$49,B243,Log!$I$2:$I$49,"Red")&gt;0,"No","Yes")</f>
        <v/>
      </c>
      <c r="Q243">
        <f>IF(COUNTIFS(Artifact!$B$2:$B$385,B243,Artifact!$K$2:$K$385,"&gt;15")+COUNTIFS(Log!$A$2:$A$49,B243,Log!$H$2:$H$49,"Red")+COUNTIFS(Log!$A$2:$A$49,B243,Log!$I$2:$I$49,"Red")&gt;0,"No","Yes")</f>
        <v/>
      </c>
    </row>
    <row r="244">
      <c r="A244" t="inlineStr">
        <is>
          <t>SIMULATED Commercial FA Study</t>
        </is>
      </c>
      <c r="B244" t="inlineStr">
        <is>
          <t>P38</t>
        </is>
      </c>
      <c r="C244" t="inlineStr">
        <is>
          <t>M</t>
        </is>
      </c>
      <c r="D244" t="n">
        <v>25</v>
      </c>
      <c r="E244" t="inlineStr">
        <is>
          <t>A_C2first</t>
        </is>
      </c>
      <c r="F244" t="inlineStr">
        <is>
          <t>Stimulus</t>
        </is>
      </c>
      <c r="G244" t="inlineStr">
        <is>
          <t>Commercial_2</t>
        </is>
      </c>
      <c r="H244" t="n">
        <v>80000</v>
      </c>
      <c r="I244" t="n">
        <v>60000</v>
      </c>
      <c r="J244" t="inlineStr">
        <is>
          <t>Commercial_2</t>
        </is>
      </c>
      <c r="K244" s="4" t="n">
        <v>-0.1675</v>
      </c>
      <c r="L244" t="inlineStr">
        <is>
          <t>Frontal Asymmetry (Enobio EEG)</t>
        </is>
      </c>
      <c r="M244">
        <f>LEFT(E244,1)</f>
        <v/>
      </c>
      <c r="N244">
        <f>MID(E244,3,10)</f>
        <v/>
      </c>
      <c r="O244">
        <f>IF(F244="Stimulus",IF(LEFT(G244,8)="Baseline",G244,IF(LEFT(G244,12)="Commercial_1","C1","C2")),IF(G244="KeyScene","KeyScene",IF(LEFT(J244,12)="Commercial_1","EndScene_C1","EndScene_C2")))</f>
        <v/>
      </c>
      <c r="P244">
        <f>IF(COUNTIFS(Artifact!$B$2:$B$385,B244,Artifact!$K$2:$K$385,"&gt;25")+COUNTIFS(Log!$A$2:$A$49,B244,Log!$H$2:$H$49,"Red")+COUNTIFS(Log!$A$2:$A$49,B244,Log!$I$2:$I$49,"Red")&gt;0,"No","Yes")</f>
        <v/>
      </c>
      <c r="Q244">
        <f>IF(COUNTIFS(Artifact!$B$2:$B$385,B244,Artifact!$K$2:$K$385,"&gt;15")+COUNTIFS(Log!$A$2:$A$49,B244,Log!$H$2:$H$49,"Red")+COUNTIFS(Log!$A$2:$A$49,B244,Log!$I$2:$I$49,"Red")&gt;0,"No","Yes")</f>
        <v/>
      </c>
    </row>
    <row r="245">
      <c r="A245" t="inlineStr">
        <is>
          <t>SIMULATED Commercial FA Study</t>
        </is>
      </c>
      <c r="B245" t="inlineStr">
        <is>
          <t>P38</t>
        </is>
      </c>
      <c r="C245" t="inlineStr">
        <is>
          <t>M</t>
        </is>
      </c>
      <c r="D245" t="n">
        <v>25</v>
      </c>
      <c r="E245" t="inlineStr">
        <is>
          <t>A_C2first</t>
        </is>
      </c>
      <c r="F245" t="inlineStr">
        <is>
          <t>Stimulus</t>
        </is>
      </c>
      <c r="G245" t="inlineStr">
        <is>
          <t>Baseline_2</t>
        </is>
      </c>
      <c r="H245" t="n">
        <v>171000</v>
      </c>
      <c r="I245" t="n">
        <v>60000</v>
      </c>
      <c r="J245" t="inlineStr">
        <is>
          <t>Baseline_2</t>
        </is>
      </c>
      <c r="K245" s="4" t="n">
        <v>-0.2258</v>
      </c>
      <c r="L245" t="inlineStr">
        <is>
          <t>Frontal Asymmetry (Enobio EEG)</t>
        </is>
      </c>
      <c r="M245">
        <f>LEFT(E245,1)</f>
        <v/>
      </c>
      <c r="N245">
        <f>MID(E245,3,10)</f>
        <v/>
      </c>
      <c r="O245">
        <f>IF(F245="Stimulus",IF(LEFT(G245,8)="Baseline",G245,IF(LEFT(G245,12)="Commercial_1","C1","C2")),IF(G245="KeyScene","KeyScene",IF(LEFT(J245,12)="Commercial_1","EndScene_C1","EndScene_C2")))</f>
        <v/>
      </c>
      <c r="P245">
        <f>IF(COUNTIFS(Artifact!$B$2:$B$385,B245,Artifact!$K$2:$K$385,"&gt;25")+COUNTIFS(Log!$A$2:$A$49,B245,Log!$H$2:$H$49,"Red")+COUNTIFS(Log!$A$2:$A$49,B245,Log!$I$2:$I$49,"Red")&gt;0,"No","Yes")</f>
        <v/>
      </c>
      <c r="Q245">
        <f>IF(COUNTIFS(Artifact!$B$2:$B$385,B245,Artifact!$K$2:$K$385,"&gt;15")+COUNTIFS(Log!$A$2:$A$49,B245,Log!$H$2:$H$49,"Red")+COUNTIFS(Log!$A$2:$A$49,B245,Log!$I$2:$I$49,"Red")&gt;0,"No","Yes")</f>
        <v/>
      </c>
    </row>
    <row r="246">
      <c r="A246" t="inlineStr">
        <is>
          <t>SIMULATED Commercial FA Study</t>
        </is>
      </c>
      <c r="B246" t="inlineStr">
        <is>
          <t>P38</t>
        </is>
      </c>
      <c r="C246" t="inlineStr">
        <is>
          <t>M</t>
        </is>
      </c>
      <c r="D246" t="n">
        <v>25</v>
      </c>
      <c r="E246" t="inlineStr">
        <is>
          <t>A_C2first</t>
        </is>
      </c>
      <c r="F246" t="inlineStr">
        <is>
          <t>Stimulus</t>
        </is>
      </c>
      <c r="G246" t="inlineStr">
        <is>
          <t>Commercial_1A</t>
        </is>
      </c>
      <c r="H246" t="n">
        <v>231000</v>
      </c>
      <c r="I246" t="n">
        <v>60000</v>
      </c>
      <c r="J246" t="inlineStr">
        <is>
          <t>Commercial_1A</t>
        </is>
      </c>
      <c r="K246" s="4" t="n">
        <v>-0.3062</v>
      </c>
      <c r="L246" t="inlineStr">
        <is>
          <t>Frontal Asymmetry (Enobio EEG)</t>
        </is>
      </c>
      <c r="M246">
        <f>LEFT(E246,1)</f>
        <v/>
      </c>
      <c r="N246">
        <f>MID(E246,3,10)</f>
        <v/>
      </c>
      <c r="O246">
        <f>IF(F246="Stimulus",IF(LEFT(G246,8)="Baseline",G246,IF(LEFT(G246,12)="Commercial_1","C1","C2")),IF(G246="KeyScene","KeyScene",IF(LEFT(J246,12)="Commercial_1","EndScene_C1","EndScene_C2")))</f>
        <v/>
      </c>
      <c r="P246">
        <f>IF(COUNTIFS(Artifact!$B$2:$B$385,B246,Artifact!$K$2:$K$385,"&gt;25")+COUNTIFS(Log!$A$2:$A$49,B246,Log!$H$2:$H$49,"Red")+COUNTIFS(Log!$A$2:$A$49,B246,Log!$I$2:$I$49,"Red")&gt;0,"No","Yes")</f>
        <v/>
      </c>
      <c r="Q246">
        <f>IF(COUNTIFS(Artifact!$B$2:$B$385,B246,Artifact!$K$2:$K$385,"&gt;15")+COUNTIFS(Log!$A$2:$A$49,B246,Log!$H$2:$H$49,"Red")+COUNTIFS(Log!$A$2:$A$49,B246,Log!$I$2:$I$49,"Red")&gt;0,"No","Yes")</f>
        <v/>
      </c>
    </row>
    <row r="247">
      <c r="A247" t="inlineStr">
        <is>
          <t>SIMULATED Commercial FA Study</t>
        </is>
      </c>
      <c r="B247" t="inlineStr">
        <is>
          <t>P38</t>
        </is>
      </c>
      <c r="C247" t="inlineStr">
        <is>
          <t>M</t>
        </is>
      </c>
      <c r="D247" t="n">
        <v>25</v>
      </c>
      <c r="E247" t="inlineStr">
        <is>
          <t>A_C2first</t>
        </is>
      </c>
      <c r="F247" t="inlineStr">
        <is>
          <t>Annotation</t>
        </is>
      </c>
      <c r="G247" t="inlineStr">
        <is>
          <t>EndScene</t>
        </is>
      </c>
      <c r="H247" t="n">
        <v>130000</v>
      </c>
      <c r="I247" t="n">
        <v>10000</v>
      </c>
      <c r="J247" t="inlineStr">
        <is>
          <t>Commercial_2</t>
        </is>
      </c>
      <c r="K247" s="4" t="n">
        <v>-0.2958</v>
      </c>
      <c r="L247" t="inlineStr">
        <is>
          <t>Frontal Asymmetry (Enobio EEG)</t>
        </is>
      </c>
      <c r="M247">
        <f>LEFT(E247,1)</f>
        <v/>
      </c>
      <c r="N247">
        <f>MID(E247,3,10)</f>
        <v/>
      </c>
      <c r="O247">
        <f>IF(F247="Stimulus",IF(LEFT(G247,8)="Baseline",G247,IF(LEFT(G247,12)="Commercial_1","C1","C2")),IF(G247="KeyScene","KeyScene",IF(LEFT(J247,12)="Commercial_1","EndScene_C1","EndScene_C2")))</f>
        <v/>
      </c>
      <c r="P247">
        <f>IF(COUNTIFS(Artifact!$B$2:$B$385,B247,Artifact!$K$2:$K$385,"&gt;25")+COUNTIFS(Log!$A$2:$A$49,B247,Log!$H$2:$H$49,"Red")+COUNTIFS(Log!$A$2:$A$49,B247,Log!$I$2:$I$49,"Red")&gt;0,"No","Yes")</f>
        <v/>
      </c>
      <c r="Q247">
        <f>IF(COUNTIFS(Artifact!$B$2:$B$385,B247,Artifact!$K$2:$K$385,"&gt;15")+COUNTIFS(Log!$A$2:$A$49,B247,Log!$H$2:$H$49,"Red")+COUNTIFS(Log!$A$2:$A$49,B247,Log!$I$2:$I$49,"Red")&gt;0,"No","Yes")</f>
        <v/>
      </c>
    </row>
    <row r="248">
      <c r="A248" t="inlineStr">
        <is>
          <t>SIMULATED Commercial FA Study</t>
        </is>
      </c>
      <c r="B248" t="inlineStr">
        <is>
          <t>P38</t>
        </is>
      </c>
      <c r="C248" t="inlineStr">
        <is>
          <t>M</t>
        </is>
      </c>
      <c r="D248" t="n">
        <v>25</v>
      </c>
      <c r="E248" t="inlineStr">
        <is>
          <t>A_C2first</t>
        </is>
      </c>
      <c r="F248" t="inlineStr">
        <is>
          <t>Annotation</t>
        </is>
      </c>
      <c r="G248" t="inlineStr">
        <is>
          <t>KeyScene</t>
        </is>
      </c>
      <c r="H248" t="n">
        <v>263000</v>
      </c>
      <c r="I248" t="n">
        <v>6000</v>
      </c>
      <c r="J248" t="inlineStr">
        <is>
          <t>Commercial_1A</t>
        </is>
      </c>
      <c r="K248" s="4" t="n">
        <v>-0.2712</v>
      </c>
      <c r="L248" t="inlineStr">
        <is>
          <t>Frontal Asymmetry (Enobio EEG)</t>
        </is>
      </c>
      <c r="M248">
        <f>LEFT(E248,1)</f>
        <v/>
      </c>
      <c r="N248">
        <f>MID(E248,3,10)</f>
        <v/>
      </c>
      <c r="O248">
        <f>IF(F248="Stimulus",IF(LEFT(G248,8)="Baseline",G248,IF(LEFT(G248,12)="Commercial_1","C1","C2")),IF(G248="KeyScene","KeyScene",IF(LEFT(J248,12)="Commercial_1","EndScene_C1","EndScene_C2")))</f>
        <v/>
      </c>
      <c r="P248">
        <f>IF(COUNTIFS(Artifact!$B$2:$B$385,B248,Artifact!$K$2:$K$385,"&gt;25")+COUNTIFS(Log!$A$2:$A$49,B248,Log!$H$2:$H$49,"Red")+COUNTIFS(Log!$A$2:$A$49,B248,Log!$I$2:$I$49,"Red")&gt;0,"No","Yes")</f>
        <v/>
      </c>
      <c r="Q248">
        <f>IF(COUNTIFS(Artifact!$B$2:$B$385,B248,Artifact!$K$2:$K$385,"&gt;15")+COUNTIFS(Log!$A$2:$A$49,B248,Log!$H$2:$H$49,"Red")+COUNTIFS(Log!$A$2:$A$49,B248,Log!$I$2:$I$49,"Red")&gt;0,"No","Yes")</f>
        <v/>
      </c>
    </row>
    <row r="249">
      <c r="A249" t="inlineStr">
        <is>
          <t>SIMULATED Commercial FA Study</t>
        </is>
      </c>
      <c r="B249" t="inlineStr">
        <is>
          <t>P38</t>
        </is>
      </c>
      <c r="C249" t="inlineStr">
        <is>
          <t>M</t>
        </is>
      </c>
      <c r="D249" t="n">
        <v>25</v>
      </c>
      <c r="E249" t="inlineStr">
        <is>
          <t>A_C2first</t>
        </is>
      </c>
      <c r="F249" t="inlineStr">
        <is>
          <t>Annotation</t>
        </is>
      </c>
      <c r="G249" t="inlineStr">
        <is>
          <t>EndScene</t>
        </is>
      </c>
      <c r="H249" t="n">
        <v>281000</v>
      </c>
      <c r="I249" t="n">
        <v>10000</v>
      </c>
      <c r="J249" t="inlineStr">
        <is>
          <t>Commercial_1A</t>
        </is>
      </c>
      <c r="K249" s="4" t="n">
        <v>-0.1881</v>
      </c>
      <c r="L249" t="inlineStr">
        <is>
          <t>Frontal Asymmetry (Enobio EEG)</t>
        </is>
      </c>
      <c r="M249">
        <f>LEFT(E249,1)</f>
        <v/>
      </c>
      <c r="N249">
        <f>MID(E249,3,10)</f>
        <v/>
      </c>
      <c r="O249">
        <f>IF(F249="Stimulus",IF(LEFT(G249,8)="Baseline",G249,IF(LEFT(G249,12)="Commercial_1","C1","C2")),IF(G249="KeyScene","KeyScene",IF(LEFT(J249,12)="Commercial_1","EndScene_C1","EndScene_C2")))</f>
        <v/>
      </c>
      <c r="P249">
        <f>IF(COUNTIFS(Artifact!$B$2:$B$385,B249,Artifact!$K$2:$K$385,"&gt;25")+COUNTIFS(Log!$A$2:$A$49,B249,Log!$H$2:$H$49,"Red")+COUNTIFS(Log!$A$2:$A$49,B249,Log!$I$2:$I$49,"Red")&gt;0,"No","Yes")</f>
        <v/>
      </c>
      <c r="Q249">
        <f>IF(COUNTIFS(Artifact!$B$2:$B$385,B249,Artifact!$K$2:$K$385,"&gt;15")+COUNTIFS(Log!$A$2:$A$49,B249,Log!$H$2:$H$49,"Red")+COUNTIFS(Log!$A$2:$A$49,B249,Log!$I$2:$I$49,"Red")&gt;0,"No","Yes")</f>
        <v/>
      </c>
    </row>
    <row r="250">
      <c r="A250" t="inlineStr">
        <is>
          <t>SIMULATED Commercial FA Study</t>
        </is>
      </c>
      <c r="B250" t="inlineStr">
        <is>
          <t>P39</t>
        </is>
      </c>
      <c r="C250" t="inlineStr">
        <is>
          <t>F</t>
        </is>
      </c>
      <c r="D250" t="n">
        <v>24</v>
      </c>
      <c r="E250" t="inlineStr">
        <is>
          <t>B_C2first</t>
        </is>
      </c>
      <c r="F250" t="inlineStr">
        <is>
          <t>Stimulus</t>
        </is>
      </c>
      <c r="G250" t="inlineStr">
        <is>
          <t>Baseline_1</t>
        </is>
      </c>
      <c r="H250" t="n">
        <v>38000</v>
      </c>
      <c r="I250" t="n">
        <v>60000</v>
      </c>
      <c r="J250" t="inlineStr">
        <is>
          <t>Baseline_1</t>
        </is>
      </c>
      <c r="K250" s="4" t="n">
        <v>-0.09180000000000001</v>
      </c>
      <c r="L250" t="inlineStr">
        <is>
          <t>Frontal Asymmetry (Enobio EEG)</t>
        </is>
      </c>
      <c r="M250">
        <f>LEFT(E250,1)</f>
        <v/>
      </c>
      <c r="N250">
        <f>MID(E250,3,10)</f>
        <v/>
      </c>
      <c r="O250">
        <f>IF(F250="Stimulus",IF(LEFT(G250,8)="Baseline",G250,IF(LEFT(G250,12)="Commercial_1","C1","C2")),IF(G250="KeyScene","KeyScene",IF(LEFT(J250,12)="Commercial_1","EndScene_C1","EndScene_C2")))</f>
        <v/>
      </c>
      <c r="P250">
        <f>IF(COUNTIFS(Artifact!$B$2:$B$385,B250,Artifact!$K$2:$K$385,"&gt;25")+COUNTIFS(Log!$A$2:$A$49,B250,Log!$H$2:$H$49,"Red")+COUNTIFS(Log!$A$2:$A$49,B250,Log!$I$2:$I$49,"Red")&gt;0,"No","Yes")</f>
        <v/>
      </c>
      <c r="Q250">
        <f>IF(COUNTIFS(Artifact!$B$2:$B$385,B250,Artifact!$K$2:$K$385,"&gt;15")+COUNTIFS(Log!$A$2:$A$49,B250,Log!$H$2:$H$49,"Red")+COUNTIFS(Log!$A$2:$A$49,B250,Log!$I$2:$I$49,"Red")&gt;0,"No","Yes")</f>
        <v/>
      </c>
    </row>
    <row r="251">
      <c r="A251" t="inlineStr">
        <is>
          <t>SIMULATED Commercial FA Study</t>
        </is>
      </c>
      <c r="B251" t="inlineStr">
        <is>
          <t>P39</t>
        </is>
      </c>
      <c r="C251" t="inlineStr">
        <is>
          <t>F</t>
        </is>
      </c>
      <c r="D251" t="n">
        <v>24</v>
      </c>
      <c r="E251" t="inlineStr">
        <is>
          <t>B_C2first</t>
        </is>
      </c>
      <c r="F251" t="inlineStr">
        <is>
          <t>Stimulus</t>
        </is>
      </c>
      <c r="G251" t="inlineStr">
        <is>
          <t>Commercial_2</t>
        </is>
      </c>
      <c r="H251" t="n">
        <v>98000</v>
      </c>
      <c r="I251" t="n">
        <v>60000</v>
      </c>
      <c r="J251" t="inlineStr">
        <is>
          <t>Commercial_2</t>
        </is>
      </c>
      <c r="K251" s="4" t="n">
        <v>-0.0837</v>
      </c>
      <c r="L251" t="inlineStr">
        <is>
          <t>Frontal Asymmetry (Enobio EEG)</t>
        </is>
      </c>
      <c r="M251">
        <f>LEFT(E251,1)</f>
        <v/>
      </c>
      <c r="N251">
        <f>MID(E251,3,10)</f>
        <v/>
      </c>
      <c r="O251">
        <f>IF(F251="Stimulus",IF(LEFT(G251,8)="Baseline",G251,IF(LEFT(G251,12)="Commercial_1","C1","C2")),IF(G251="KeyScene","KeyScene",IF(LEFT(J251,12)="Commercial_1","EndScene_C1","EndScene_C2")))</f>
        <v/>
      </c>
      <c r="P251">
        <f>IF(COUNTIFS(Artifact!$B$2:$B$385,B251,Artifact!$K$2:$K$385,"&gt;25")+COUNTIFS(Log!$A$2:$A$49,B251,Log!$H$2:$H$49,"Red")+COUNTIFS(Log!$A$2:$A$49,B251,Log!$I$2:$I$49,"Red")&gt;0,"No","Yes")</f>
        <v/>
      </c>
      <c r="Q251">
        <f>IF(COUNTIFS(Artifact!$B$2:$B$385,B251,Artifact!$K$2:$K$385,"&gt;15")+COUNTIFS(Log!$A$2:$A$49,B251,Log!$H$2:$H$49,"Red")+COUNTIFS(Log!$A$2:$A$49,B251,Log!$I$2:$I$49,"Red")&gt;0,"No","Yes")</f>
        <v/>
      </c>
    </row>
    <row r="252">
      <c r="A252" t="inlineStr">
        <is>
          <t>SIMULATED Commercial FA Study</t>
        </is>
      </c>
      <c r="B252" t="inlineStr">
        <is>
          <t>P39</t>
        </is>
      </c>
      <c r="C252" t="inlineStr">
        <is>
          <t>F</t>
        </is>
      </c>
      <c r="D252" t="n">
        <v>24</v>
      </c>
      <c r="E252" t="inlineStr">
        <is>
          <t>B_C2first</t>
        </is>
      </c>
      <c r="F252" t="inlineStr">
        <is>
          <t>Stimulus</t>
        </is>
      </c>
      <c r="G252" t="inlineStr">
        <is>
          <t>Baseline_2</t>
        </is>
      </c>
      <c r="H252" t="n">
        <v>204000</v>
      </c>
      <c r="I252" t="n">
        <v>60000</v>
      </c>
      <c r="J252" t="inlineStr">
        <is>
          <t>Baseline_2</t>
        </is>
      </c>
      <c r="K252" s="4" t="n">
        <v>-0.1058</v>
      </c>
      <c r="L252" t="inlineStr">
        <is>
          <t>Frontal Asymmetry (Enobio EEG)</t>
        </is>
      </c>
      <c r="M252">
        <f>LEFT(E252,1)</f>
        <v/>
      </c>
      <c r="N252">
        <f>MID(E252,3,10)</f>
        <v/>
      </c>
      <c r="O252">
        <f>IF(F252="Stimulus",IF(LEFT(G252,8)="Baseline",G252,IF(LEFT(G252,12)="Commercial_1","C1","C2")),IF(G252="KeyScene","KeyScene",IF(LEFT(J252,12)="Commercial_1","EndScene_C1","EndScene_C2")))</f>
        <v/>
      </c>
      <c r="P252">
        <f>IF(COUNTIFS(Artifact!$B$2:$B$385,B252,Artifact!$K$2:$K$385,"&gt;25")+COUNTIFS(Log!$A$2:$A$49,B252,Log!$H$2:$H$49,"Red")+COUNTIFS(Log!$A$2:$A$49,B252,Log!$I$2:$I$49,"Red")&gt;0,"No","Yes")</f>
        <v/>
      </c>
      <c r="Q252">
        <f>IF(COUNTIFS(Artifact!$B$2:$B$385,B252,Artifact!$K$2:$K$385,"&gt;15")+COUNTIFS(Log!$A$2:$A$49,B252,Log!$H$2:$H$49,"Red")+COUNTIFS(Log!$A$2:$A$49,B252,Log!$I$2:$I$49,"Red")&gt;0,"No","Yes")</f>
        <v/>
      </c>
    </row>
    <row r="253">
      <c r="A253" t="inlineStr">
        <is>
          <t>SIMULATED Commercial FA Study</t>
        </is>
      </c>
      <c r="B253" t="inlineStr">
        <is>
          <t>P39</t>
        </is>
      </c>
      <c r="C253" t="inlineStr">
        <is>
          <t>F</t>
        </is>
      </c>
      <c r="D253" t="n">
        <v>24</v>
      </c>
      <c r="E253" t="inlineStr">
        <is>
          <t>B_C2first</t>
        </is>
      </c>
      <c r="F253" t="inlineStr">
        <is>
          <t>Stimulus</t>
        </is>
      </c>
      <c r="G253" t="inlineStr">
        <is>
          <t>Commercial_1B</t>
        </is>
      </c>
      <c r="H253" t="n">
        <v>264000</v>
      </c>
      <c r="I253" t="n">
        <v>54000</v>
      </c>
      <c r="J253" t="inlineStr">
        <is>
          <t>Commercial_1B</t>
        </is>
      </c>
      <c r="K253" s="4" t="n">
        <v>-0.1521</v>
      </c>
      <c r="L253" t="inlineStr">
        <is>
          <t>Frontal Asymmetry (Enobio EEG)</t>
        </is>
      </c>
      <c r="M253">
        <f>LEFT(E253,1)</f>
        <v/>
      </c>
      <c r="N253">
        <f>MID(E253,3,10)</f>
        <v/>
      </c>
      <c r="O253">
        <f>IF(F253="Stimulus",IF(LEFT(G253,8)="Baseline",G253,IF(LEFT(G253,12)="Commercial_1","C1","C2")),IF(G253="KeyScene","KeyScene",IF(LEFT(J253,12)="Commercial_1","EndScene_C1","EndScene_C2")))</f>
        <v/>
      </c>
      <c r="P253">
        <f>IF(COUNTIFS(Artifact!$B$2:$B$385,B253,Artifact!$K$2:$K$385,"&gt;25")+COUNTIFS(Log!$A$2:$A$49,B253,Log!$H$2:$H$49,"Red")+COUNTIFS(Log!$A$2:$A$49,B253,Log!$I$2:$I$49,"Red")&gt;0,"No","Yes")</f>
        <v/>
      </c>
      <c r="Q253">
        <f>IF(COUNTIFS(Artifact!$B$2:$B$385,B253,Artifact!$K$2:$K$385,"&gt;15")+COUNTIFS(Log!$A$2:$A$49,B253,Log!$H$2:$H$49,"Red")+COUNTIFS(Log!$A$2:$A$49,B253,Log!$I$2:$I$49,"Red")&gt;0,"No","Yes")</f>
        <v/>
      </c>
    </row>
    <row r="254">
      <c r="A254" t="inlineStr">
        <is>
          <t>SIMULATED Commercial FA Study</t>
        </is>
      </c>
      <c r="B254" t="inlineStr">
        <is>
          <t>P39</t>
        </is>
      </c>
      <c r="C254" t="inlineStr">
        <is>
          <t>F</t>
        </is>
      </c>
      <c r="D254" t="n">
        <v>24</v>
      </c>
      <c r="E254" t="inlineStr">
        <is>
          <t>B_C2first</t>
        </is>
      </c>
      <c r="F254" t="inlineStr">
        <is>
          <t>Annotation</t>
        </is>
      </c>
      <c r="G254" t="inlineStr">
        <is>
          <t>EndScene</t>
        </is>
      </c>
      <c r="H254" t="n">
        <v>148000</v>
      </c>
      <c r="I254" t="n">
        <v>10000</v>
      </c>
      <c r="J254" t="inlineStr">
        <is>
          <t>Commercial_2</t>
        </is>
      </c>
      <c r="K254" s="4" t="n">
        <v>-0.0433</v>
      </c>
      <c r="L254" t="inlineStr">
        <is>
          <t>Frontal Asymmetry (Enobio EEG)</t>
        </is>
      </c>
      <c r="M254">
        <f>LEFT(E254,1)</f>
        <v/>
      </c>
      <c r="N254">
        <f>MID(E254,3,10)</f>
        <v/>
      </c>
      <c r="O254">
        <f>IF(F254="Stimulus",IF(LEFT(G254,8)="Baseline",G254,IF(LEFT(G254,12)="Commercial_1","C1","C2")),IF(G254="KeyScene","KeyScene",IF(LEFT(J254,12)="Commercial_1","EndScene_C1","EndScene_C2")))</f>
        <v/>
      </c>
      <c r="P254">
        <f>IF(COUNTIFS(Artifact!$B$2:$B$385,B254,Artifact!$K$2:$K$385,"&gt;25")+COUNTIFS(Log!$A$2:$A$49,B254,Log!$H$2:$H$49,"Red")+COUNTIFS(Log!$A$2:$A$49,B254,Log!$I$2:$I$49,"Red")&gt;0,"No","Yes")</f>
        <v/>
      </c>
      <c r="Q254">
        <f>IF(COUNTIFS(Artifact!$B$2:$B$385,B254,Artifact!$K$2:$K$385,"&gt;15")+COUNTIFS(Log!$A$2:$A$49,B254,Log!$H$2:$H$49,"Red")+COUNTIFS(Log!$A$2:$A$49,B254,Log!$I$2:$I$49,"Red")&gt;0,"No","Yes")</f>
        <v/>
      </c>
    </row>
    <row r="255">
      <c r="A255" t="inlineStr">
        <is>
          <t>SIMULATED Commercial FA Study</t>
        </is>
      </c>
      <c r="B255" t="inlineStr">
        <is>
          <t>P39</t>
        </is>
      </c>
      <c r="C255" t="inlineStr">
        <is>
          <t>F</t>
        </is>
      </c>
      <c r="D255" t="n">
        <v>24</v>
      </c>
      <c r="E255" t="inlineStr">
        <is>
          <t>B_C2first</t>
        </is>
      </c>
      <c r="F255" t="inlineStr">
        <is>
          <t>Annotation</t>
        </is>
      </c>
      <c r="G255" t="inlineStr">
        <is>
          <t>EndScene</t>
        </is>
      </c>
      <c r="H255" t="n">
        <v>308000</v>
      </c>
      <c r="I255" t="n">
        <v>10000</v>
      </c>
      <c r="J255" t="inlineStr">
        <is>
          <t>Commercial_1B</t>
        </is>
      </c>
      <c r="K255" s="4" t="n">
        <v>-0.1108</v>
      </c>
      <c r="L255" t="inlineStr">
        <is>
          <t>Frontal Asymmetry (Enobio EEG)</t>
        </is>
      </c>
      <c r="M255">
        <f>LEFT(E255,1)</f>
        <v/>
      </c>
      <c r="N255">
        <f>MID(E255,3,10)</f>
        <v/>
      </c>
      <c r="O255">
        <f>IF(F255="Stimulus",IF(LEFT(G255,8)="Baseline",G255,IF(LEFT(G255,12)="Commercial_1","C1","C2")),IF(G255="KeyScene","KeyScene",IF(LEFT(J255,12)="Commercial_1","EndScene_C1","EndScene_C2")))</f>
        <v/>
      </c>
      <c r="P255">
        <f>IF(COUNTIFS(Artifact!$B$2:$B$385,B255,Artifact!$K$2:$K$385,"&gt;25")+COUNTIFS(Log!$A$2:$A$49,B255,Log!$H$2:$H$49,"Red")+COUNTIFS(Log!$A$2:$A$49,B255,Log!$I$2:$I$49,"Red")&gt;0,"No","Yes")</f>
        <v/>
      </c>
      <c r="Q255">
        <f>IF(COUNTIFS(Artifact!$B$2:$B$385,B255,Artifact!$K$2:$K$385,"&gt;15")+COUNTIFS(Log!$A$2:$A$49,B255,Log!$H$2:$H$49,"Red")+COUNTIFS(Log!$A$2:$A$49,B255,Log!$I$2:$I$49,"Red")&gt;0,"No","Yes")</f>
        <v/>
      </c>
    </row>
    <row r="256">
      <c r="A256" t="inlineStr">
        <is>
          <t>SIMULATED Commercial FA Study</t>
        </is>
      </c>
      <c r="B256" t="inlineStr">
        <is>
          <t>P40</t>
        </is>
      </c>
      <c r="C256" t="inlineStr">
        <is>
          <t>F</t>
        </is>
      </c>
      <c r="D256" t="n">
        <v>18</v>
      </c>
      <c r="E256" t="inlineStr">
        <is>
          <t>B_C1first</t>
        </is>
      </c>
      <c r="F256" t="inlineStr">
        <is>
          <t>Stimulus</t>
        </is>
      </c>
      <c r="G256" t="inlineStr">
        <is>
          <t>Baseline_1</t>
        </is>
      </c>
      <c r="H256" t="n">
        <v>28000</v>
      </c>
      <c r="I256" t="n">
        <v>60000</v>
      </c>
      <c r="J256" t="inlineStr">
        <is>
          <t>Baseline_1</t>
        </is>
      </c>
      <c r="K256" s="4" t="n">
        <v>-0.19</v>
      </c>
      <c r="L256" t="inlineStr">
        <is>
          <t>Frontal Asymmetry (Enobio EEG)</t>
        </is>
      </c>
      <c r="M256">
        <f>LEFT(E256,1)</f>
        <v/>
      </c>
      <c r="N256">
        <f>MID(E256,3,10)</f>
        <v/>
      </c>
      <c r="O256">
        <f>IF(F256="Stimulus",IF(LEFT(G256,8)="Baseline",G256,IF(LEFT(G256,12)="Commercial_1","C1","C2")),IF(G256="KeyScene","KeyScene",IF(LEFT(J256,12)="Commercial_1","EndScene_C1","EndScene_C2")))</f>
        <v/>
      </c>
      <c r="P256">
        <f>IF(COUNTIFS(Artifact!$B$2:$B$385,B256,Artifact!$K$2:$K$385,"&gt;25")+COUNTIFS(Log!$A$2:$A$49,B256,Log!$H$2:$H$49,"Red")+COUNTIFS(Log!$A$2:$A$49,B256,Log!$I$2:$I$49,"Red")&gt;0,"No","Yes")</f>
        <v/>
      </c>
      <c r="Q256">
        <f>IF(COUNTIFS(Artifact!$B$2:$B$385,B256,Artifact!$K$2:$K$385,"&gt;15")+COUNTIFS(Log!$A$2:$A$49,B256,Log!$H$2:$H$49,"Red")+COUNTIFS(Log!$A$2:$A$49,B256,Log!$I$2:$I$49,"Red")&gt;0,"No","Yes")</f>
        <v/>
      </c>
    </row>
    <row r="257">
      <c r="A257" t="inlineStr">
        <is>
          <t>SIMULATED Commercial FA Study</t>
        </is>
      </c>
      <c r="B257" t="inlineStr">
        <is>
          <t>P40</t>
        </is>
      </c>
      <c r="C257" t="inlineStr">
        <is>
          <t>F</t>
        </is>
      </c>
      <c r="D257" t="n">
        <v>18</v>
      </c>
      <c r="E257" t="inlineStr">
        <is>
          <t>B_C1first</t>
        </is>
      </c>
      <c r="F257" t="inlineStr">
        <is>
          <t>Stimulus</t>
        </is>
      </c>
      <c r="G257" t="inlineStr">
        <is>
          <t>Commercial_1B</t>
        </is>
      </c>
      <c r="H257" t="n">
        <v>88000</v>
      </c>
      <c r="I257" t="n">
        <v>54000</v>
      </c>
      <c r="J257" t="inlineStr">
        <is>
          <t>Commercial_1B</t>
        </is>
      </c>
      <c r="K257" s="4" t="n">
        <v>-0.2971</v>
      </c>
      <c r="L257" t="inlineStr">
        <is>
          <t>Frontal Asymmetry (Enobio EEG)</t>
        </is>
      </c>
      <c r="M257">
        <f>LEFT(E257,1)</f>
        <v/>
      </c>
      <c r="N257">
        <f>MID(E257,3,10)</f>
        <v/>
      </c>
      <c r="O257">
        <f>IF(F257="Stimulus",IF(LEFT(G257,8)="Baseline",G257,IF(LEFT(G257,12)="Commercial_1","C1","C2")),IF(G257="KeyScene","KeyScene",IF(LEFT(J257,12)="Commercial_1","EndScene_C1","EndScene_C2")))</f>
        <v/>
      </c>
      <c r="P257">
        <f>IF(COUNTIFS(Artifact!$B$2:$B$385,B257,Artifact!$K$2:$K$385,"&gt;25")+COUNTIFS(Log!$A$2:$A$49,B257,Log!$H$2:$H$49,"Red")+COUNTIFS(Log!$A$2:$A$49,B257,Log!$I$2:$I$49,"Red")&gt;0,"No","Yes")</f>
        <v/>
      </c>
      <c r="Q257">
        <f>IF(COUNTIFS(Artifact!$B$2:$B$385,B257,Artifact!$K$2:$K$385,"&gt;15")+COUNTIFS(Log!$A$2:$A$49,B257,Log!$H$2:$H$49,"Red")+COUNTIFS(Log!$A$2:$A$49,B257,Log!$I$2:$I$49,"Red")&gt;0,"No","Yes")</f>
        <v/>
      </c>
    </row>
    <row r="258">
      <c r="A258" t="inlineStr">
        <is>
          <t>SIMULATED Commercial FA Study</t>
        </is>
      </c>
      <c r="B258" t="inlineStr">
        <is>
          <t>P40</t>
        </is>
      </c>
      <c r="C258" t="inlineStr">
        <is>
          <t>F</t>
        </is>
      </c>
      <c r="D258" t="n">
        <v>18</v>
      </c>
      <c r="E258" t="inlineStr">
        <is>
          <t>B_C1first</t>
        </is>
      </c>
      <c r="F258" t="inlineStr">
        <is>
          <t>Stimulus</t>
        </is>
      </c>
      <c r="G258" t="inlineStr">
        <is>
          <t>Baseline_2</t>
        </is>
      </c>
      <c r="H258" t="n">
        <v>171000</v>
      </c>
      <c r="I258" t="n">
        <v>60000</v>
      </c>
      <c r="J258" t="inlineStr">
        <is>
          <t>Baseline_2</t>
        </is>
      </c>
      <c r="K258" s="4" t="n">
        <v>-0.1484</v>
      </c>
      <c r="L258" t="inlineStr">
        <is>
          <t>Frontal Asymmetry (Enobio EEG)</t>
        </is>
      </c>
      <c r="M258">
        <f>LEFT(E258,1)</f>
        <v/>
      </c>
      <c r="N258">
        <f>MID(E258,3,10)</f>
        <v/>
      </c>
      <c r="O258">
        <f>IF(F258="Stimulus",IF(LEFT(G258,8)="Baseline",G258,IF(LEFT(G258,12)="Commercial_1","C1","C2")),IF(G258="KeyScene","KeyScene",IF(LEFT(J258,12)="Commercial_1","EndScene_C1","EndScene_C2")))</f>
        <v/>
      </c>
      <c r="P258">
        <f>IF(COUNTIFS(Artifact!$B$2:$B$385,B258,Artifact!$K$2:$K$385,"&gt;25")+COUNTIFS(Log!$A$2:$A$49,B258,Log!$H$2:$H$49,"Red")+COUNTIFS(Log!$A$2:$A$49,B258,Log!$I$2:$I$49,"Red")&gt;0,"No","Yes")</f>
        <v/>
      </c>
      <c r="Q258">
        <f>IF(COUNTIFS(Artifact!$B$2:$B$385,B258,Artifact!$K$2:$K$385,"&gt;15")+COUNTIFS(Log!$A$2:$A$49,B258,Log!$H$2:$H$49,"Red")+COUNTIFS(Log!$A$2:$A$49,B258,Log!$I$2:$I$49,"Red")&gt;0,"No","Yes")</f>
        <v/>
      </c>
    </row>
    <row r="259">
      <c r="A259" t="inlineStr">
        <is>
          <t>SIMULATED Commercial FA Study</t>
        </is>
      </c>
      <c r="B259" t="inlineStr">
        <is>
          <t>P40</t>
        </is>
      </c>
      <c r="C259" t="inlineStr">
        <is>
          <t>F</t>
        </is>
      </c>
      <c r="D259" t="n">
        <v>18</v>
      </c>
      <c r="E259" t="inlineStr">
        <is>
          <t>B_C1first</t>
        </is>
      </c>
      <c r="F259" t="inlineStr">
        <is>
          <t>Stimulus</t>
        </is>
      </c>
      <c r="G259" t="inlineStr">
        <is>
          <t>Commercial_2</t>
        </is>
      </c>
      <c r="H259" t="n">
        <v>231000</v>
      </c>
      <c r="I259" t="n">
        <v>60000</v>
      </c>
      <c r="J259" t="inlineStr">
        <is>
          <t>Commercial_2</t>
        </is>
      </c>
      <c r="K259" s="4" t="n">
        <v>-0.1989</v>
      </c>
      <c r="L259" t="inlineStr">
        <is>
          <t>Frontal Asymmetry (Enobio EEG)</t>
        </is>
      </c>
      <c r="M259">
        <f>LEFT(E259,1)</f>
        <v/>
      </c>
      <c r="N259">
        <f>MID(E259,3,10)</f>
        <v/>
      </c>
      <c r="O259">
        <f>IF(F259="Stimulus",IF(LEFT(G259,8)="Baseline",G259,IF(LEFT(G259,12)="Commercial_1","C1","C2")),IF(G259="KeyScene","KeyScene",IF(LEFT(J259,12)="Commercial_1","EndScene_C1","EndScene_C2")))</f>
        <v/>
      </c>
      <c r="P259">
        <f>IF(COUNTIFS(Artifact!$B$2:$B$385,B259,Artifact!$K$2:$K$385,"&gt;25")+COUNTIFS(Log!$A$2:$A$49,B259,Log!$H$2:$H$49,"Red")+COUNTIFS(Log!$A$2:$A$49,B259,Log!$I$2:$I$49,"Red")&gt;0,"No","Yes")</f>
        <v/>
      </c>
      <c r="Q259">
        <f>IF(COUNTIFS(Artifact!$B$2:$B$385,B259,Artifact!$K$2:$K$385,"&gt;15")+COUNTIFS(Log!$A$2:$A$49,B259,Log!$H$2:$H$49,"Red")+COUNTIFS(Log!$A$2:$A$49,B259,Log!$I$2:$I$49,"Red")&gt;0,"No","Yes")</f>
        <v/>
      </c>
    </row>
    <row r="260">
      <c r="A260" t="inlineStr">
        <is>
          <t>SIMULATED Commercial FA Study</t>
        </is>
      </c>
      <c r="B260" t="inlineStr">
        <is>
          <t>P40</t>
        </is>
      </c>
      <c r="C260" t="inlineStr">
        <is>
          <t>F</t>
        </is>
      </c>
      <c r="D260" t="n">
        <v>18</v>
      </c>
      <c r="E260" t="inlineStr">
        <is>
          <t>B_C1first</t>
        </is>
      </c>
      <c r="F260" t="inlineStr">
        <is>
          <t>Annotation</t>
        </is>
      </c>
      <c r="G260" t="inlineStr">
        <is>
          <t>EndScene</t>
        </is>
      </c>
      <c r="H260" t="n">
        <v>132000</v>
      </c>
      <c r="I260" t="n">
        <v>10000</v>
      </c>
      <c r="J260" t="inlineStr">
        <is>
          <t>Commercial_1B</t>
        </is>
      </c>
      <c r="K260" s="4" t="n">
        <v>-0.2267</v>
      </c>
      <c r="L260" t="inlineStr">
        <is>
          <t>Frontal Asymmetry (Enobio EEG)</t>
        </is>
      </c>
      <c r="M260">
        <f>LEFT(E260,1)</f>
        <v/>
      </c>
      <c r="N260">
        <f>MID(E260,3,10)</f>
        <v/>
      </c>
      <c r="O260">
        <f>IF(F260="Stimulus",IF(LEFT(G260,8)="Baseline",G260,IF(LEFT(G260,12)="Commercial_1","C1","C2")),IF(G260="KeyScene","KeyScene",IF(LEFT(J260,12)="Commercial_1","EndScene_C1","EndScene_C2")))</f>
        <v/>
      </c>
      <c r="P260">
        <f>IF(COUNTIFS(Artifact!$B$2:$B$385,B260,Artifact!$K$2:$K$385,"&gt;25")+COUNTIFS(Log!$A$2:$A$49,B260,Log!$H$2:$H$49,"Red")+COUNTIFS(Log!$A$2:$A$49,B260,Log!$I$2:$I$49,"Red")&gt;0,"No","Yes")</f>
        <v/>
      </c>
      <c r="Q260">
        <f>IF(COUNTIFS(Artifact!$B$2:$B$385,B260,Artifact!$K$2:$K$385,"&gt;15")+COUNTIFS(Log!$A$2:$A$49,B260,Log!$H$2:$H$49,"Red")+COUNTIFS(Log!$A$2:$A$49,B260,Log!$I$2:$I$49,"Red")&gt;0,"No","Yes")</f>
        <v/>
      </c>
    </row>
    <row r="261">
      <c r="A261" t="inlineStr">
        <is>
          <t>SIMULATED Commercial FA Study</t>
        </is>
      </c>
      <c r="B261" t="inlineStr">
        <is>
          <t>P40</t>
        </is>
      </c>
      <c r="C261" t="inlineStr">
        <is>
          <t>F</t>
        </is>
      </c>
      <c r="D261" t="n">
        <v>18</v>
      </c>
      <c r="E261" t="inlineStr">
        <is>
          <t>B_C1first</t>
        </is>
      </c>
      <c r="F261" t="inlineStr">
        <is>
          <t>Annotation</t>
        </is>
      </c>
      <c r="G261" t="inlineStr">
        <is>
          <t>EndScene</t>
        </is>
      </c>
      <c r="H261" t="n">
        <v>281000</v>
      </c>
      <c r="I261" t="n">
        <v>10000</v>
      </c>
      <c r="J261" t="inlineStr">
        <is>
          <t>Commercial_2</t>
        </is>
      </c>
      <c r="K261" s="4" t="n">
        <v>-0.1052</v>
      </c>
      <c r="L261" t="inlineStr">
        <is>
          <t>Frontal Asymmetry (Enobio EEG)</t>
        </is>
      </c>
      <c r="M261">
        <f>LEFT(E261,1)</f>
        <v/>
      </c>
      <c r="N261">
        <f>MID(E261,3,10)</f>
        <v/>
      </c>
      <c r="O261">
        <f>IF(F261="Stimulus",IF(LEFT(G261,8)="Baseline",G261,IF(LEFT(G261,12)="Commercial_1","C1","C2")),IF(G261="KeyScene","KeyScene",IF(LEFT(J261,12)="Commercial_1","EndScene_C1","EndScene_C2")))</f>
        <v/>
      </c>
      <c r="P261">
        <f>IF(COUNTIFS(Artifact!$B$2:$B$385,B261,Artifact!$K$2:$K$385,"&gt;25")+COUNTIFS(Log!$A$2:$A$49,B261,Log!$H$2:$H$49,"Red")+COUNTIFS(Log!$A$2:$A$49,B261,Log!$I$2:$I$49,"Red")&gt;0,"No","Yes")</f>
        <v/>
      </c>
      <c r="Q261">
        <f>IF(COUNTIFS(Artifact!$B$2:$B$385,B261,Artifact!$K$2:$K$385,"&gt;15")+COUNTIFS(Log!$A$2:$A$49,B261,Log!$H$2:$H$49,"Red")+COUNTIFS(Log!$A$2:$A$49,B261,Log!$I$2:$I$49,"Red")&gt;0,"No","Yes")</f>
        <v/>
      </c>
    </row>
    <row r="262">
      <c r="A262" t="inlineStr">
        <is>
          <t>SIMULATED Commercial FA Study</t>
        </is>
      </c>
      <c r="B262" t="inlineStr">
        <is>
          <t>P41</t>
        </is>
      </c>
      <c r="C262" t="inlineStr">
        <is>
          <t>F</t>
        </is>
      </c>
      <c r="D262" t="n">
        <v>19</v>
      </c>
      <c r="E262" t="inlineStr">
        <is>
          <t>A_C1first</t>
        </is>
      </c>
      <c r="F262" t="inlineStr">
        <is>
          <t>Stimulus</t>
        </is>
      </c>
      <c r="G262" t="inlineStr">
        <is>
          <t>Baseline_1</t>
        </is>
      </c>
      <c r="H262" t="n">
        <v>20000</v>
      </c>
      <c r="I262" t="n">
        <v>60000</v>
      </c>
      <c r="J262" t="inlineStr">
        <is>
          <t>Baseline_1</t>
        </is>
      </c>
      <c r="K262" s="4" t="n">
        <v>0.186</v>
      </c>
      <c r="L262" t="inlineStr">
        <is>
          <t>Frontal Asymmetry (Enobio EEG)</t>
        </is>
      </c>
      <c r="M262">
        <f>LEFT(E262,1)</f>
        <v/>
      </c>
      <c r="N262">
        <f>MID(E262,3,10)</f>
        <v/>
      </c>
      <c r="O262">
        <f>IF(F262="Stimulus",IF(LEFT(G262,8)="Baseline",G262,IF(LEFT(G262,12)="Commercial_1","C1","C2")),IF(G262="KeyScene","KeyScene",IF(LEFT(J262,12)="Commercial_1","EndScene_C1","EndScene_C2")))</f>
        <v/>
      </c>
      <c r="P262">
        <f>IF(COUNTIFS(Artifact!$B$2:$B$385,B262,Artifact!$K$2:$K$385,"&gt;25")+COUNTIFS(Log!$A$2:$A$49,B262,Log!$H$2:$H$49,"Red")+COUNTIFS(Log!$A$2:$A$49,B262,Log!$I$2:$I$49,"Red")&gt;0,"No","Yes")</f>
        <v/>
      </c>
      <c r="Q262">
        <f>IF(COUNTIFS(Artifact!$B$2:$B$385,B262,Artifact!$K$2:$K$385,"&gt;15")+COUNTIFS(Log!$A$2:$A$49,B262,Log!$H$2:$H$49,"Red")+COUNTIFS(Log!$A$2:$A$49,B262,Log!$I$2:$I$49,"Red")&gt;0,"No","Yes")</f>
        <v/>
      </c>
    </row>
    <row r="263">
      <c r="A263" t="inlineStr">
        <is>
          <t>SIMULATED Commercial FA Study</t>
        </is>
      </c>
      <c r="B263" t="inlineStr">
        <is>
          <t>P41</t>
        </is>
      </c>
      <c r="C263" t="inlineStr">
        <is>
          <t>F</t>
        </is>
      </c>
      <c r="D263" t="n">
        <v>19</v>
      </c>
      <c r="E263" t="inlineStr">
        <is>
          <t>A_C1first</t>
        </is>
      </c>
      <c r="F263" t="inlineStr">
        <is>
          <t>Stimulus</t>
        </is>
      </c>
      <c r="G263" t="inlineStr">
        <is>
          <t>Commercial_1A</t>
        </is>
      </c>
      <c r="H263" t="n">
        <v>80000</v>
      </c>
      <c r="I263" t="n">
        <v>60000</v>
      </c>
      <c r="J263" t="inlineStr">
        <is>
          <t>Commercial_1A</t>
        </is>
      </c>
      <c r="K263" s="4" t="n">
        <v>0.0542</v>
      </c>
      <c r="L263" t="inlineStr">
        <is>
          <t>Frontal Asymmetry (Enobio EEG)</t>
        </is>
      </c>
      <c r="M263">
        <f>LEFT(E263,1)</f>
        <v/>
      </c>
      <c r="N263">
        <f>MID(E263,3,10)</f>
        <v/>
      </c>
      <c r="O263">
        <f>IF(F263="Stimulus",IF(LEFT(G263,8)="Baseline",G263,IF(LEFT(G263,12)="Commercial_1","C1","C2")),IF(G263="KeyScene","KeyScene",IF(LEFT(J263,12)="Commercial_1","EndScene_C1","EndScene_C2")))</f>
        <v/>
      </c>
      <c r="P263">
        <f>IF(COUNTIFS(Artifact!$B$2:$B$385,B263,Artifact!$K$2:$K$385,"&gt;25")+COUNTIFS(Log!$A$2:$A$49,B263,Log!$H$2:$H$49,"Red")+COUNTIFS(Log!$A$2:$A$49,B263,Log!$I$2:$I$49,"Red")&gt;0,"No","Yes")</f>
        <v/>
      </c>
      <c r="Q263">
        <f>IF(COUNTIFS(Artifact!$B$2:$B$385,B263,Artifact!$K$2:$K$385,"&gt;15")+COUNTIFS(Log!$A$2:$A$49,B263,Log!$H$2:$H$49,"Red")+COUNTIFS(Log!$A$2:$A$49,B263,Log!$I$2:$I$49,"Red")&gt;0,"No","Yes")</f>
        <v/>
      </c>
    </row>
    <row r="264">
      <c r="A264" t="inlineStr">
        <is>
          <t>SIMULATED Commercial FA Study</t>
        </is>
      </c>
      <c r="B264" t="inlineStr">
        <is>
          <t>P41</t>
        </is>
      </c>
      <c r="C264" t="inlineStr">
        <is>
          <t>F</t>
        </is>
      </c>
      <c r="D264" t="n">
        <v>19</v>
      </c>
      <c r="E264" t="inlineStr">
        <is>
          <t>A_C1first</t>
        </is>
      </c>
      <c r="F264" t="inlineStr">
        <is>
          <t>Stimulus</t>
        </is>
      </c>
      <c r="G264" t="inlineStr">
        <is>
          <t>Baseline_2</t>
        </is>
      </c>
      <c r="H264" t="n">
        <v>192000</v>
      </c>
      <c r="I264" t="n">
        <v>60000</v>
      </c>
      <c r="J264" t="inlineStr">
        <is>
          <t>Baseline_2</t>
        </is>
      </c>
      <c r="K264" s="4" t="n">
        <v>0.076</v>
      </c>
      <c r="L264" t="inlineStr">
        <is>
          <t>Frontal Asymmetry (Enobio EEG)</t>
        </is>
      </c>
      <c r="M264">
        <f>LEFT(E264,1)</f>
        <v/>
      </c>
      <c r="N264">
        <f>MID(E264,3,10)</f>
        <v/>
      </c>
      <c r="O264">
        <f>IF(F264="Stimulus",IF(LEFT(G264,8)="Baseline",G264,IF(LEFT(G264,12)="Commercial_1","C1","C2")),IF(G264="KeyScene","KeyScene",IF(LEFT(J264,12)="Commercial_1","EndScene_C1","EndScene_C2")))</f>
        <v/>
      </c>
      <c r="P264">
        <f>IF(COUNTIFS(Artifact!$B$2:$B$385,B264,Artifact!$K$2:$K$385,"&gt;25")+COUNTIFS(Log!$A$2:$A$49,B264,Log!$H$2:$H$49,"Red")+COUNTIFS(Log!$A$2:$A$49,B264,Log!$I$2:$I$49,"Red")&gt;0,"No","Yes")</f>
        <v/>
      </c>
      <c r="Q264">
        <f>IF(COUNTIFS(Artifact!$B$2:$B$385,B264,Artifact!$K$2:$K$385,"&gt;15")+COUNTIFS(Log!$A$2:$A$49,B264,Log!$H$2:$H$49,"Red")+COUNTIFS(Log!$A$2:$A$49,B264,Log!$I$2:$I$49,"Red")&gt;0,"No","Yes")</f>
        <v/>
      </c>
    </row>
    <row r="265">
      <c r="A265" t="inlineStr">
        <is>
          <t>SIMULATED Commercial FA Study</t>
        </is>
      </c>
      <c r="B265" t="inlineStr">
        <is>
          <t>P41</t>
        </is>
      </c>
      <c r="C265" t="inlineStr">
        <is>
          <t>F</t>
        </is>
      </c>
      <c r="D265" t="n">
        <v>19</v>
      </c>
      <c r="E265" t="inlineStr">
        <is>
          <t>A_C1first</t>
        </is>
      </c>
      <c r="F265" t="inlineStr">
        <is>
          <t>Stimulus</t>
        </is>
      </c>
      <c r="G265" t="inlineStr">
        <is>
          <t>Commercial_2</t>
        </is>
      </c>
      <c r="H265" t="n">
        <v>252000</v>
      </c>
      <c r="I265" t="n">
        <v>60000</v>
      </c>
      <c r="J265" t="inlineStr">
        <is>
          <t>Commercial_2</t>
        </is>
      </c>
      <c r="K265" s="4" t="n">
        <v>0.1957</v>
      </c>
      <c r="L265" t="inlineStr">
        <is>
          <t>Frontal Asymmetry (Enobio EEG)</t>
        </is>
      </c>
      <c r="M265">
        <f>LEFT(E265,1)</f>
        <v/>
      </c>
      <c r="N265">
        <f>MID(E265,3,10)</f>
        <v/>
      </c>
      <c r="O265">
        <f>IF(F265="Stimulus",IF(LEFT(G265,8)="Baseline",G265,IF(LEFT(G265,12)="Commercial_1","C1","C2")),IF(G265="KeyScene","KeyScene",IF(LEFT(J265,12)="Commercial_1","EndScene_C1","EndScene_C2")))</f>
        <v/>
      </c>
      <c r="P265">
        <f>IF(COUNTIFS(Artifact!$B$2:$B$385,B265,Artifact!$K$2:$K$385,"&gt;25")+COUNTIFS(Log!$A$2:$A$49,B265,Log!$H$2:$H$49,"Red")+COUNTIFS(Log!$A$2:$A$49,B265,Log!$I$2:$I$49,"Red")&gt;0,"No","Yes")</f>
        <v/>
      </c>
      <c r="Q265">
        <f>IF(COUNTIFS(Artifact!$B$2:$B$385,B265,Artifact!$K$2:$K$385,"&gt;15")+COUNTIFS(Log!$A$2:$A$49,B265,Log!$H$2:$H$49,"Red")+COUNTIFS(Log!$A$2:$A$49,B265,Log!$I$2:$I$49,"Red")&gt;0,"No","Yes")</f>
        <v/>
      </c>
    </row>
    <row r="266">
      <c r="A266" t="inlineStr">
        <is>
          <t>SIMULATED Commercial FA Study</t>
        </is>
      </c>
      <c r="B266" t="inlineStr">
        <is>
          <t>P41</t>
        </is>
      </c>
      <c r="C266" t="inlineStr">
        <is>
          <t>F</t>
        </is>
      </c>
      <c r="D266" t="n">
        <v>19</v>
      </c>
      <c r="E266" t="inlineStr">
        <is>
          <t>A_C1first</t>
        </is>
      </c>
      <c r="F266" t="inlineStr">
        <is>
          <t>Annotation</t>
        </is>
      </c>
      <c r="G266" t="inlineStr">
        <is>
          <t>KeyScene</t>
        </is>
      </c>
      <c r="H266" t="n">
        <v>112000</v>
      </c>
      <c r="I266" t="n">
        <v>6000</v>
      </c>
      <c r="J266" t="inlineStr">
        <is>
          <t>Commercial_1A</t>
        </is>
      </c>
      <c r="K266" s="4" t="n">
        <v>0.4498</v>
      </c>
      <c r="L266" t="inlineStr">
        <is>
          <t>Frontal Asymmetry (Enobio EEG)</t>
        </is>
      </c>
      <c r="M266">
        <f>LEFT(E266,1)</f>
        <v/>
      </c>
      <c r="N266">
        <f>MID(E266,3,10)</f>
        <v/>
      </c>
      <c r="O266">
        <f>IF(F266="Stimulus",IF(LEFT(G266,8)="Baseline",G266,IF(LEFT(G266,12)="Commercial_1","C1","C2")),IF(G266="KeyScene","KeyScene",IF(LEFT(J266,12)="Commercial_1","EndScene_C1","EndScene_C2")))</f>
        <v/>
      </c>
      <c r="P266">
        <f>IF(COUNTIFS(Artifact!$B$2:$B$385,B266,Artifact!$K$2:$K$385,"&gt;25")+COUNTIFS(Log!$A$2:$A$49,B266,Log!$H$2:$H$49,"Red")+COUNTIFS(Log!$A$2:$A$49,B266,Log!$I$2:$I$49,"Red")&gt;0,"No","Yes")</f>
        <v/>
      </c>
      <c r="Q266">
        <f>IF(COUNTIFS(Artifact!$B$2:$B$385,B266,Artifact!$K$2:$K$385,"&gt;15")+COUNTIFS(Log!$A$2:$A$49,B266,Log!$H$2:$H$49,"Red")+COUNTIFS(Log!$A$2:$A$49,B266,Log!$I$2:$I$49,"Red")&gt;0,"No","Yes")</f>
        <v/>
      </c>
    </row>
    <row r="267">
      <c r="A267" t="inlineStr">
        <is>
          <t>SIMULATED Commercial FA Study</t>
        </is>
      </c>
      <c r="B267" t="inlineStr">
        <is>
          <t>P41</t>
        </is>
      </c>
      <c r="C267" t="inlineStr">
        <is>
          <t>F</t>
        </is>
      </c>
      <c r="D267" t="n">
        <v>19</v>
      </c>
      <c r="E267" t="inlineStr">
        <is>
          <t>A_C1first</t>
        </is>
      </c>
      <c r="F267" t="inlineStr">
        <is>
          <t>Annotation</t>
        </is>
      </c>
      <c r="G267" t="inlineStr">
        <is>
          <t>EndScene</t>
        </is>
      </c>
      <c r="H267" t="n">
        <v>130000</v>
      </c>
      <c r="I267" t="n">
        <v>10000</v>
      </c>
      <c r="J267" t="inlineStr">
        <is>
          <t>Commercial_1A</t>
        </is>
      </c>
      <c r="K267" s="4" t="n">
        <v>0.0683</v>
      </c>
      <c r="L267" t="inlineStr">
        <is>
          <t>Frontal Asymmetry (Enobio EEG)</t>
        </is>
      </c>
      <c r="M267">
        <f>LEFT(E267,1)</f>
        <v/>
      </c>
      <c r="N267">
        <f>MID(E267,3,10)</f>
        <v/>
      </c>
      <c r="O267">
        <f>IF(F267="Stimulus",IF(LEFT(G267,8)="Baseline",G267,IF(LEFT(G267,12)="Commercial_1","C1","C2")),IF(G267="KeyScene","KeyScene",IF(LEFT(J267,12)="Commercial_1","EndScene_C1","EndScene_C2")))</f>
        <v/>
      </c>
      <c r="P267">
        <f>IF(COUNTIFS(Artifact!$B$2:$B$385,B267,Artifact!$K$2:$K$385,"&gt;25")+COUNTIFS(Log!$A$2:$A$49,B267,Log!$H$2:$H$49,"Red")+COUNTIFS(Log!$A$2:$A$49,B267,Log!$I$2:$I$49,"Red")&gt;0,"No","Yes")</f>
        <v/>
      </c>
      <c r="Q267">
        <f>IF(COUNTIFS(Artifact!$B$2:$B$385,B267,Artifact!$K$2:$K$385,"&gt;15")+COUNTIFS(Log!$A$2:$A$49,B267,Log!$H$2:$H$49,"Red")+COUNTIFS(Log!$A$2:$A$49,B267,Log!$I$2:$I$49,"Red")&gt;0,"No","Yes")</f>
        <v/>
      </c>
    </row>
    <row r="268">
      <c r="A268" t="inlineStr">
        <is>
          <t>SIMULATED Commercial FA Study</t>
        </is>
      </c>
      <c r="B268" t="inlineStr">
        <is>
          <t>P41</t>
        </is>
      </c>
      <c r="C268" t="inlineStr">
        <is>
          <t>F</t>
        </is>
      </c>
      <c r="D268" t="n">
        <v>19</v>
      </c>
      <c r="E268" t="inlineStr">
        <is>
          <t>A_C1first</t>
        </is>
      </c>
      <c r="F268" t="inlineStr">
        <is>
          <t>Annotation</t>
        </is>
      </c>
      <c r="G268" t="inlineStr">
        <is>
          <t>EndScene</t>
        </is>
      </c>
      <c r="H268" t="n">
        <v>302000</v>
      </c>
      <c r="I268" t="n">
        <v>10000</v>
      </c>
      <c r="J268" t="inlineStr">
        <is>
          <t>Commercial_2</t>
        </is>
      </c>
      <c r="K268" s="4" t="n">
        <v>0.3316</v>
      </c>
      <c r="L268" t="inlineStr">
        <is>
          <t>Frontal Asymmetry (Enobio EEG)</t>
        </is>
      </c>
      <c r="M268">
        <f>LEFT(E268,1)</f>
        <v/>
      </c>
      <c r="N268">
        <f>MID(E268,3,10)</f>
        <v/>
      </c>
      <c r="O268">
        <f>IF(F268="Stimulus",IF(LEFT(G268,8)="Baseline",G268,IF(LEFT(G268,12)="Commercial_1","C1","C2")),IF(G268="KeyScene","KeyScene",IF(LEFT(J268,12)="Commercial_1","EndScene_C1","EndScene_C2")))</f>
        <v/>
      </c>
      <c r="P268">
        <f>IF(COUNTIFS(Artifact!$B$2:$B$385,B268,Artifact!$K$2:$K$385,"&gt;25")+COUNTIFS(Log!$A$2:$A$49,B268,Log!$H$2:$H$49,"Red")+COUNTIFS(Log!$A$2:$A$49,B268,Log!$I$2:$I$49,"Red")&gt;0,"No","Yes")</f>
        <v/>
      </c>
      <c r="Q268">
        <f>IF(COUNTIFS(Artifact!$B$2:$B$385,B268,Artifact!$K$2:$K$385,"&gt;15")+COUNTIFS(Log!$A$2:$A$49,B268,Log!$H$2:$H$49,"Red")+COUNTIFS(Log!$A$2:$A$49,B268,Log!$I$2:$I$49,"Red")&gt;0,"No","Yes")</f>
        <v/>
      </c>
    </row>
    <row r="269">
      <c r="A269" t="inlineStr">
        <is>
          <t>SIMULATED Commercial FA Study</t>
        </is>
      </c>
      <c r="B269" t="inlineStr">
        <is>
          <t>P42</t>
        </is>
      </c>
      <c r="C269" t="inlineStr">
        <is>
          <t>M</t>
        </is>
      </c>
      <c r="D269" t="n">
        <v>18</v>
      </c>
      <c r="E269" t="inlineStr">
        <is>
          <t>B_C1first</t>
        </is>
      </c>
      <c r="F269" t="inlineStr">
        <is>
          <t>Stimulus</t>
        </is>
      </c>
      <c r="G269" t="inlineStr">
        <is>
          <t>Baseline_1</t>
        </is>
      </c>
      <c r="H269" t="n">
        <v>27000</v>
      </c>
      <c r="I269" t="n">
        <v>60000</v>
      </c>
      <c r="J269" t="inlineStr">
        <is>
          <t>Baseline_1</t>
        </is>
      </c>
      <c r="K269" s="4" t="n">
        <v>-0.1577</v>
      </c>
      <c r="L269" t="inlineStr">
        <is>
          <t>Frontal Asymmetry (Enobio EEG)</t>
        </is>
      </c>
      <c r="M269">
        <f>LEFT(E269,1)</f>
        <v/>
      </c>
      <c r="N269">
        <f>MID(E269,3,10)</f>
        <v/>
      </c>
      <c r="O269">
        <f>IF(F269="Stimulus",IF(LEFT(G269,8)="Baseline",G269,IF(LEFT(G269,12)="Commercial_1","C1","C2")),IF(G269="KeyScene","KeyScene",IF(LEFT(J269,12)="Commercial_1","EndScene_C1","EndScene_C2")))</f>
        <v/>
      </c>
      <c r="P269">
        <f>IF(COUNTIFS(Artifact!$B$2:$B$385,B269,Artifact!$K$2:$K$385,"&gt;25")+COUNTIFS(Log!$A$2:$A$49,B269,Log!$H$2:$H$49,"Red")+COUNTIFS(Log!$A$2:$A$49,B269,Log!$I$2:$I$49,"Red")&gt;0,"No","Yes")</f>
        <v/>
      </c>
      <c r="Q269">
        <f>IF(COUNTIFS(Artifact!$B$2:$B$385,B269,Artifact!$K$2:$K$385,"&gt;15")+COUNTIFS(Log!$A$2:$A$49,B269,Log!$H$2:$H$49,"Red")+COUNTIFS(Log!$A$2:$A$49,B269,Log!$I$2:$I$49,"Red")&gt;0,"No","Yes")</f>
        <v/>
      </c>
    </row>
    <row r="270">
      <c r="A270" t="inlineStr">
        <is>
          <t>SIMULATED Commercial FA Study</t>
        </is>
      </c>
      <c r="B270" t="inlineStr">
        <is>
          <t>P42</t>
        </is>
      </c>
      <c r="C270" t="inlineStr">
        <is>
          <t>M</t>
        </is>
      </c>
      <c r="D270" t="n">
        <v>18</v>
      </c>
      <c r="E270" t="inlineStr">
        <is>
          <t>B_C1first</t>
        </is>
      </c>
      <c r="F270" t="inlineStr">
        <is>
          <t>Stimulus</t>
        </is>
      </c>
      <c r="G270" t="inlineStr">
        <is>
          <t>Commercial_1B</t>
        </is>
      </c>
      <c r="H270" t="n">
        <v>87000</v>
      </c>
      <c r="I270" t="n">
        <v>54000</v>
      </c>
      <c r="J270" t="inlineStr">
        <is>
          <t>Commercial_1B</t>
        </is>
      </c>
      <c r="K270" s="4" t="n">
        <v>-0.1384</v>
      </c>
      <c r="L270" t="inlineStr">
        <is>
          <t>Frontal Asymmetry (Enobio EEG)</t>
        </is>
      </c>
      <c r="M270">
        <f>LEFT(E270,1)</f>
        <v/>
      </c>
      <c r="N270">
        <f>MID(E270,3,10)</f>
        <v/>
      </c>
      <c r="O270">
        <f>IF(F270="Stimulus",IF(LEFT(G270,8)="Baseline",G270,IF(LEFT(G270,12)="Commercial_1","C1","C2")),IF(G270="KeyScene","KeyScene",IF(LEFT(J270,12)="Commercial_1","EndScene_C1","EndScene_C2")))</f>
        <v/>
      </c>
      <c r="P270">
        <f>IF(COUNTIFS(Artifact!$B$2:$B$385,B270,Artifact!$K$2:$K$385,"&gt;25")+COUNTIFS(Log!$A$2:$A$49,B270,Log!$H$2:$H$49,"Red")+COUNTIFS(Log!$A$2:$A$49,B270,Log!$I$2:$I$49,"Red")&gt;0,"No","Yes")</f>
        <v/>
      </c>
      <c r="Q270">
        <f>IF(COUNTIFS(Artifact!$B$2:$B$385,B270,Artifact!$K$2:$K$385,"&gt;15")+COUNTIFS(Log!$A$2:$A$49,B270,Log!$H$2:$H$49,"Red")+COUNTIFS(Log!$A$2:$A$49,B270,Log!$I$2:$I$49,"Red")&gt;0,"No","Yes")</f>
        <v/>
      </c>
    </row>
    <row r="271">
      <c r="A271" t="inlineStr">
        <is>
          <t>SIMULATED Commercial FA Study</t>
        </is>
      </c>
      <c r="B271" t="inlineStr">
        <is>
          <t>P42</t>
        </is>
      </c>
      <c r="C271" t="inlineStr">
        <is>
          <t>M</t>
        </is>
      </c>
      <c r="D271" t="n">
        <v>18</v>
      </c>
      <c r="E271" t="inlineStr">
        <is>
          <t>B_C1first</t>
        </is>
      </c>
      <c r="F271" t="inlineStr">
        <is>
          <t>Stimulus</t>
        </is>
      </c>
      <c r="G271" t="inlineStr">
        <is>
          <t>Baseline_2</t>
        </is>
      </c>
      <c r="H271" t="n">
        <v>166000</v>
      </c>
      <c r="I271" t="n">
        <v>60000</v>
      </c>
      <c r="J271" t="inlineStr">
        <is>
          <t>Baseline_2</t>
        </is>
      </c>
      <c r="K271" s="4" t="n">
        <v>-0.2213</v>
      </c>
      <c r="L271" t="inlineStr">
        <is>
          <t>Frontal Asymmetry (Enobio EEG)</t>
        </is>
      </c>
      <c r="M271">
        <f>LEFT(E271,1)</f>
        <v/>
      </c>
      <c r="N271">
        <f>MID(E271,3,10)</f>
        <v/>
      </c>
      <c r="O271">
        <f>IF(F271="Stimulus",IF(LEFT(G271,8)="Baseline",G271,IF(LEFT(G271,12)="Commercial_1","C1","C2")),IF(G271="KeyScene","KeyScene",IF(LEFT(J271,12)="Commercial_1","EndScene_C1","EndScene_C2")))</f>
        <v/>
      </c>
      <c r="P271">
        <f>IF(COUNTIFS(Artifact!$B$2:$B$385,B271,Artifact!$K$2:$K$385,"&gt;25")+COUNTIFS(Log!$A$2:$A$49,B271,Log!$H$2:$H$49,"Red")+COUNTIFS(Log!$A$2:$A$49,B271,Log!$I$2:$I$49,"Red")&gt;0,"No","Yes")</f>
        <v/>
      </c>
      <c r="Q271">
        <f>IF(COUNTIFS(Artifact!$B$2:$B$385,B271,Artifact!$K$2:$K$385,"&gt;15")+COUNTIFS(Log!$A$2:$A$49,B271,Log!$H$2:$H$49,"Red")+COUNTIFS(Log!$A$2:$A$49,B271,Log!$I$2:$I$49,"Red")&gt;0,"No","Yes")</f>
        <v/>
      </c>
    </row>
    <row r="272">
      <c r="A272" t="inlineStr">
        <is>
          <t>SIMULATED Commercial FA Study</t>
        </is>
      </c>
      <c r="B272" t="inlineStr">
        <is>
          <t>P42</t>
        </is>
      </c>
      <c r="C272" t="inlineStr">
        <is>
          <t>M</t>
        </is>
      </c>
      <c r="D272" t="n">
        <v>18</v>
      </c>
      <c r="E272" t="inlineStr">
        <is>
          <t>B_C1first</t>
        </is>
      </c>
      <c r="F272" t="inlineStr">
        <is>
          <t>Stimulus</t>
        </is>
      </c>
      <c r="G272" t="inlineStr">
        <is>
          <t>Commercial_2</t>
        </is>
      </c>
      <c r="H272" t="n">
        <v>226000</v>
      </c>
      <c r="I272" t="n">
        <v>60000</v>
      </c>
      <c r="J272" t="inlineStr">
        <is>
          <t>Commercial_2</t>
        </is>
      </c>
      <c r="K272" s="4" t="n">
        <v>-0.1415</v>
      </c>
      <c r="L272" t="inlineStr">
        <is>
          <t>Frontal Asymmetry (Enobio EEG)</t>
        </is>
      </c>
      <c r="M272">
        <f>LEFT(E272,1)</f>
        <v/>
      </c>
      <c r="N272">
        <f>MID(E272,3,10)</f>
        <v/>
      </c>
      <c r="O272">
        <f>IF(F272="Stimulus",IF(LEFT(G272,8)="Baseline",G272,IF(LEFT(G272,12)="Commercial_1","C1","C2")),IF(G272="KeyScene","KeyScene",IF(LEFT(J272,12)="Commercial_1","EndScene_C1","EndScene_C2")))</f>
        <v/>
      </c>
      <c r="P272">
        <f>IF(COUNTIFS(Artifact!$B$2:$B$385,B272,Artifact!$K$2:$K$385,"&gt;25")+COUNTIFS(Log!$A$2:$A$49,B272,Log!$H$2:$H$49,"Red")+COUNTIFS(Log!$A$2:$A$49,B272,Log!$I$2:$I$49,"Red")&gt;0,"No","Yes")</f>
        <v/>
      </c>
      <c r="Q272">
        <f>IF(COUNTIFS(Artifact!$B$2:$B$385,B272,Artifact!$K$2:$K$385,"&gt;15")+COUNTIFS(Log!$A$2:$A$49,B272,Log!$H$2:$H$49,"Red")+COUNTIFS(Log!$A$2:$A$49,B272,Log!$I$2:$I$49,"Red")&gt;0,"No","Yes")</f>
        <v/>
      </c>
    </row>
    <row r="273">
      <c r="A273" t="inlineStr">
        <is>
          <t>SIMULATED Commercial FA Study</t>
        </is>
      </c>
      <c r="B273" t="inlineStr">
        <is>
          <t>P42</t>
        </is>
      </c>
      <c r="C273" t="inlineStr">
        <is>
          <t>M</t>
        </is>
      </c>
      <c r="D273" t="n">
        <v>18</v>
      </c>
      <c r="E273" t="inlineStr">
        <is>
          <t>B_C1first</t>
        </is>
      </c>
      <c r="F273" t="inlineStr">
        <is>
          <t>Annotation</t>
        </is>
      </c>
      <c r="G273" t="inlineStr">
        <is>
          <t>EndScene</t>
        </is>
      </c>
      <c r="H273" t="n">
        <v>131000</v>
      </c>
      <c r="I273" t="n">
        <v>10000</v>
      </c>
      <c r="J273" t="inlineStr">
        <is>
          <t>Commercial_1B</t>
        </is>
      </c>
      <c r="K273" s="4" t="n">
        <v>0.0445</v>
      </c>
      <c r="L273" t="inlineStr">
        <is>
          <t>Frontal Asymmetry (Enobio EEG)</t>
        </is>
      </c>
      <c r="M273">
        <f>LEFT(E273,1)</f>
        <v/>
      </c>
      <c r="N273">
        <f>MID(E273,3,10)</f>
        <v/>
      </c>
      <c r="O273">
        <f>IF(F273="Stimulus",IF(LEFT(G273,8)="Baseline",G273,IF(LEFT(G273,12)="Commercial_1","C1","C2")),IF(G273="KeyScene","KeyScene",IF(LEFT(J273,12)="Commercial_1","EndScene_C1","EndScene_C2")))</f>
        <v/>
      </c>
      <c r="P273">
        <f>IF(COUNTIFS(Artifact!$B$2:$B$385,B273,Artifact!$K$2:$K$385,"&gt;25")+COUNTIFS(Log!$A$2:$A$49,B273,Log!$H$2:$H$49,"Red")+COUNTIFS(Log!$A$2:$A$49,B273,Log!$I$2:$I$49,"Red")&gt;0,"No","Yes")</f>
        <v/>
      </c>
      <c r="Q273">
        <f>IF(COUNTIFS(Artifact!$B$2:$B$385,B273,Artifact!$K$2:$K$385,"&gt;15")+COUNTIFS(Log!$A$2:$A$49,B273,Log!$H$2:$H$49,"Red")+COUNTIFS(Log!$A$2:$A$49,B273,Log!$I$2:$I$49,"Red")&gt;0,"No","Yes")</f>
        <v/>
      </c>
    </row>
    <row r="274">
      <c r="A274" t="inlineStr">
        <is>
          <t>SIMULATED Commercial FA Study</t>
        </is>
      </c>
      <c r="B274" t="inlineStr">
        <is>
          <t>P42</t>
        </is>
      </c>
      <c r="C274" t="inlineStr">
        <is>
          <t>M</t>
        </is>
      </c>
      <c r="D274" t="n">
        <v>18</v>
      </c>
      <c r="E274" t="inlineStr">
        <is>
          <t>B_C1first</t>
        </is>
      </c>
      <c r="F274" t="inlineStr">
        <is>
          <t>Annotation</t>
        </is>
      </c>
      <c r="G274" t="inlineStr">
        <is>
          <t>EndScene</t>
        </is>
      </c>
      <c r="H274" t="n">
        <v>276000</v>
      </c>
      <c r="I274" t="n">
        <v>10000</v>
      </c>
      <c r="J274" t="inlineStr">
        <is>
          <t>Commercial_2</t>
        </is>
      </c>
      <c r="K274" s="4" t="n">
        <v>-0.105</v>
      </c>
      <c r="L274" t="inlineStr">
        <is>
          <t>Frontal Asymmetry (Enobio EEG)</t>
        </is>
      </c>
      <c r="M274">
        <f>LEFT(E274,1)</f>
        <v/>
      </c>
      <c r="N274">
        <f>MID(E274,3,10)</f>
        <v/>
      </c>
      <c r="O274">
        <f>IF(F274="Stimulus",IF(LEFT(G274,8)="Baseline",G274,IF(LEFT(G274,12)="Commercial_1","C1","C2")),IF(G274="KeyScene","KeyScene",IF(LEFT(J274,12)="Commercial_1","EndScene_C1","EndScene_C2")))</f>
        <v/>
      </c>
      <c r="P274">
        <f>IF(COUNTIFS(Artifact!$B$2:$B$385,B274,Artifact!$K$2:$K$385,"&gt;25")+COUNTIFS(Log!$A$2:$A$49,B274,Log!$H$2:$H$49,"Red")+COUNTIFS(Log!$A$2:$A$49,B274,Log!$I$2:$I$49,"Red")&gt;0,"No","Yes")</f>
        <v/>
      </c>
      <c r="Q274">
        <f>IF(COUNTIFS(Artifact!$B$2:$B$385,B274,Artifact!$K$2:$K$385,"&gt;15")+COUNTIFS(Log!$A$2:$A$49,B274,Log!$H$2:$H$49,"Red")+COUNTIFS(Log!$A$2:$A$49,B274,Log!$I$2:$I$49,"Red")&gt;0,"No","Yes")</f>
        <v/>
      </c>
    </row>
    <row r="275">
      <c r="A275" t="inlineStr">
        <is>
          <t>SIMULATED Commercial FA Study</t>
        </is>
      </c>
      <c r="B275" t="inlineStr">
        <is>
          <t>P43</t>
        </is>
      </c>
      <c r="C275" t="inlineStr">
        <is>
          <t>M</t>
        </is>
      </c>
      <c r="D275" t="n">
        <v>22</v>
      </c>
      <c r="E275" t="inlineStr">
        <is>
          <t>B_C2first</t>
        </is>
      </c>
      <c r="F275" t="inlineStr">
        <is>
          <t>Stimulus</t>
        </is>
      </c>
      <c r="G275" t="inlineStr">
        <is>
          <t>Baseline_1</t>
        </is>
      </c>
      <c r="H275" t="n">
        <v>21000</v>
      </c>
      <c r="I275" t="n">
        <v>60000</v>
      </c>
      <c r="J275" t="inlineStr">
        <is>
          <t>Baseline_1</t>
        </is>
      </c>
      <c r="K275" s="4" t="n">
        <v>-0.1279</v>
      </c>
      <c r="L275" t="inlineStr">
        <is>
          <t>Frontal Asymmetry (Enobio EEG)</t>
        </is>
      </c>
      <c r="M275">
        <f>LEFT(E275,1)</f>
        <v/>
      </c>
      <c r="N275">
        <f>MID(E275,3,10)</f>
        <v/>
      </c>
      <c r="O275">
        <f>IF(F275="Stimulus",IF(LEFT(G275,8)="Baseline",G275,IF(LEFT(G275,12)="Commercial_1","C1","C2")),IF(G275="KeyScene","KeyScene",IF(LEFT(J275,12)="Commercial_1","EndScene_C1","EndScene_C2")))</f>
        <v/>
      </c>
      <c r="P275">
        <f>IF(COUNTIFS(Artifact!$B$2:$B$385,B275,Artifact!$K$2:$K$385,"&gt;25")+COUNTIFS(Log!$A$2:$A$49,B275,Log!$H$2:$H$49,"Red")+COUNTIFS(Log!$A$2:$A$49,B275,Log!$I$2:$I$49,"Red")&gt;0,"No","Yes")</f>
        <v/>
      </c>
      <c r="Q275">
        <f>IF(COUNTIFS(Artifact!$B$2:$B$385,B275,Artifact!$K$2:$K$385,"&gt;15")+COUNTIFS(Log!$A$2:$A$49,B275,Log!$H$2:$H$49,"Red")+COUNTIFS(Log!$A$2:$A$49,B275,Log!$I$2:$I$49,"Red")&gt;0,"No","Yes")</f>
        <v/>
      </c>
    </row>
    <row r="276">
      <c r="A276" t="inlineStr">
        <is>
          <t>SIMULATED Commercial FA Study</t>
        </is>
      </c>
      <c r="B276" t="inlineStr">
        <is>
          <t>P43</t>
        </is>
      </c>
      <c r="C276" t="inlineStr">
        <is>
          <t>M</t>
        </is>
      </c>
      <c r="D276" t="n">
        <v>22</v>
      </c>
      <c r="E276" t="inlineStr">
        <is>
          <t>B_C2first</t>
        </is>
      </c>
      <c r="F276" t="inlineStr">
        <is>
          <t>Stimulus</t>
        </is>
      </c>
      <c r="G276" t="inlineStr">
        <is>
          <t>Commercial_2</t>
        </is>
      </c>
      <c r="H276" t="n">
        <v>81000</v>
      </c>
      <c r="I276" t="n">
        <v>60000</v>
      </c>
      <c r="J276" t="inlineStr">
        <is>
          <t>Commercial_2</t>
        </is>
      </c>
      <c r="K276" s="4" t="n">
        <v>-0.073</v>
      </c>
      <c r="L276" t="inlineStr">
        <is>
          <t>Frontal Asymmetry (Enobio EEG)</t>
        </is>
      </c>
      <c r="M276">
        <f>LEFT(E276,1)</f>
        <v/>
      </c>
      <c r="N276">
        <f>MID(E276,3,10)</f>
        <v/>
      </c>
      <c r="O276">
        <f>IF(F276="Stimulus",IF(LEFT(G276,8)="Baseline",G276,IF(LEFT(G276,12)="Commercial_1","C1","C2")),IF(G276="KeyScene","KeyScene",IF(LEFT(J276,12)="Commercial_1","EndScene_C1","EndScene_C2")))</f>
        <v/>
      </c>
      <c r="P276">
        <f>IF(COUNTIFS(Artifact!$B$2:$B$385,B276,Artifact!$K$2:$K$385,"&gt;25")+COUNTIFS(Log!$A$2:$A$49,B276,Log!$H$2:$H$49,"Red")+COUNTIFS(Log!$A$2:$A$49,B276,Log!$I$2:$I$49,"Red")&gt;0,"No","Yes")</f>
        <v/>
      </c>
      <c r="Q276">
        <f>IF(COUNTIFS(Artifact!$B$2:$B$385,B276,Artifact!$K$2:$K$385,"&gt;15")+COUNTIFS(Log!$A$2:$A$49,B276,Log!$H$2:$H$49,"Red")+COUNTIFS(Log!$A$2:$A$49,B276,Log!$I$2:$I$49,"Red")&gt;0,"No","Yes")</f>
        <v/>
      </c>
    </row>
    <row r="277">
      <c r="A277" t="inlineStr">
        <is>
          <t>SIMULATED Commercial FA Study</t>
        </is>
      </c>
      <c r="B277" t="inlineStr">
        <is>
          <t>P43</t>
        </is>
      </c>
      <c r="C277" t="inlineStr">
        <is>
          <t>M</t>
        </is>
      </c>
      <c r="D277" t="n">
        <v>22</v>
      </c>
      <c r="E277" t="inlineStr">
        <is>
          <t>B_C2first</t>
        </is>
      </c>
      <c r="F277" t="inlineStr">
        <is>
          <t>Stimulus</t>
        </is>
      </c>
      <c r="G277" t="inlineStr">
        <is>
          <t>Baseline_2</t>
        </is>
      </c>
      <c r="H277" t="n">
        <v>175000</v>
      </c>
      <c r="I277" t="n">
        <v>60000</v>
      </c>
      <c r="J277" t="inlineStr">
        <is>
          <t>Baseline_2</t>
        </is>
      </c>
      <c r="K277" s="4" t="n">
        <v>-0.1473</v>
      </c>
      <c r="L277" t="inlineStr">
        <is>
          <t>Frontal Asymmetry (Enobio EEG)</t>
        </is>
      </c>
      <c r="M277">
        <f>LEFT(E277,1)</f>
        <v/>
      </c>
      <c r="N277">
        <f>MID(E277,3,10)</f>
        <v/>
      </c>
      <c r="O277">
        <f>IF(F277="Stimulus",IF(LEFT(G277,8)="Baseline",G277,IF(LEFT(G277,12)="Commercial_1","C1","C2")),IF(G277="KeyScene","KeyScene",IF(LEFT(J277,12)="Commercial_1","EndScene_C1","EndScene_C2")))</f>
        <v/>
      </c>
      <c r="P277">
        <f>IF(COUNTIFS(Artifact!$B$2:$B$385,B277,Artifact!$K$2:$K$385,"&gt;25")+COUNTIFS(Log!$A$2:$A$49,B277,Log!$H$2:$H$49,"Red")+COUNTIFS(Log!$A$2:$A$49,B277,Log!$I$2:$I$49,"Red")&gt;0,"No","Yes")</f>
        <v/>
      </c>
      <c r="Q277">
        <f>IF(COUNTIFS(Artifact!$B$2:$B$385,B277,Artifact!$K$2:$K$385,"&gt;15")+COUNTIFS(Log!$A$2:$A$49,B277,Log!$H$2:$H$49,"Red")+COUNTIFS(Log!$A$2:$A$49,B277,Log!$I$2:$I$49,"Red")&gt;0,"No","Yes")</f>
        <v/>
      </c>
    </row>
    <row r="278">
      <c r="A278" t="inlineStr">
        <is>
          <t>SIMULATED Commercial FA Study</t>
        </is>
      </c>
      <c r="B278" t="inlineStr">
        <is>
          <t>P43</t>
        </is>
      </c>
      <c r="C278" t="inlineStr">
        <is>
          <t>M</t>
        </is>
      </c>
      <c r="D278" t="n">
        <v>22</v>
      </c>
      <c r="E278" t="inlineStr">
        <is>
          <t>B_C2first</t>
        </is>
      </c>
      <c r="F278" t="inlineStr">
        <is>
          <t>Stimulus</t>
        </is>
      </c>
      <c r="G278" t="inlineStr">
        <is>
          <t>Commercial_1B</t>
        </is>
      </c>
      <c r="H278" t="n">
        <v>235000</v>
      </c>
      <c r="I278" t="n">
        <v>54000</v>
      </c>
      <c r="J278" t="inlineStr">
        <is>
          <t>Commercial_1B</t>
        </is>
      </c>
      <c r="K278" s="4" t="n">
        <v>-0.0829</v>
      </c>
      <c r="L278" t="inlineStr">
        <is>
          <t>Frontal Asymmetry (Enobio EEG)</t>
        </is>
      </c>
      <c r="M278">
        <f>LEFT(E278,1)</f>
        <v/>
      </c>
      <c r="N278">
        <f>MID(E278,3,10)</f>
        <v/>
      </c>
      <c r="O278">
        <f>IF(F278="Stimulus",IF(LEFT(G278,8)="Baseline",G278,IF(LEFT(G278,12)="Commercial_1","C1","C2")),IF(G278="KeyScene","KeyScene",IF(LEFT(J278,12)="Commercial_1","EndScene_C1","EndScene_C2")))</f>
        <v/>
      </c>
      <c r="P278">
        <f>IF(COUNTIFS(Artifact!$B$2:$B$385,B278,Artifact!$K$2:$K$385,"&gt;25")+COUNTIFS(Log!$A$2:$A$49,B278,Log!$H$2:$H$49,"Red")+COUNTIFS(Log!$A$2:$A$49,B278,Log!$I$2:$I$49,"Red")&gt;0,"No","Yes")</f>
        <v/>
      </c>
      <c r="Q278">
        <f>IF(COUNTIFS(Artifact!$B$2:$B$385,B278,Artifact!$K$2:$K$385,"&gt;15")+COUNTIFS(Log!$A$2:$A$49,B278,Log!$H$2:$H$49,"Red")+COUNTIFS(Log!$A$2:$A$49,B278,Log!$I$2:$I$49,"Red")&gt;0,"No","Yes")</f>
        <v/>
      </c>
    </row>
    <row r="279">
      <c r="A279" t="inlineStr">
        <is>
          <t>SIMULATED Commercial FA Study</t>
        </is>
      </c>
      <c r="B279" t="inlineStr">
        <is>
          <t>P43</t>
        </is>
      </c>
      <c r="C279" t="inlineStr">
        <is>
          <t>M</t>
        </is>
      </c>
      <c r="D279" t="n">
        <v>22</v>
      </c>
      <c r="E279" t="inlineStr">
        <is>
          <t>B_C2first</t>
        </is>
      </c>
      <c r="F279" t="inlineStr">
        <is>
          <t>Annotation</t>
        </is>
      </c>
      <c r="G279" t="inlineStr">
        <is>
          <t>EndScene</t>
        </is>
      </c>
      <c r="H279" t="n">
        <v>131000</v>
      </c>
      <c r="I279" t="n">
        <v>10000</v>
      </c>
      <c r="J279" t="inlineStr">
        <is>
          <t>Commercial_2</t>
        </is>
      </c>
      <c r="K279" s="4" t="n">
        <v>-0.09329999999999999</v>
      </c>
      <c r="L279" t="inlineStr">
        <is>
          <t>Frontal Asymmetry (Enobio EEG)</t>
        </is>
      </c>
      <c r="M279">
        <f>LEFT(E279,1)</f>
        <v/>
      </c>
      <c r="N279">
        <f>MID(E279,3,10)</f>
        <v/>
      </c>
      <c r="O279">
        <f>IF(F279="Stimulus",IF(LEFT(G279,8)="Baseline",G279,IF(LEFT(G279,12)="Commercial_1","C1","C2")),IF(G279="KeyScene","KeyScene",IF(LEFT(J279,12)="Commercial_1","EndScene_C1","EndScene_C2")))</f>
        <v/>
      </c>
      <c r="P279">
        <f>IF(COUNTIFS(Artifact!$B$2:$B$385,B279,Artifact!$K$2:$K$385,"&gt;25")+COUNTIFS(Log!$A$2:$A$49,B279,Log!$H$2:$H$49,"Red")+COUNTIFS(Log!$A$2:$A$49,B279,Log!$I$2:$I$49,"Red")&gt;0,"No","Yes")</f>
        <v/>
      </c>
      <c r="Q279">
        <f>IF(COUNTIFS(Artifact!$B$2:$B$385,B279,Artifact!$K$2:$K$385,"&gt;15")+COUNTIFS(Log!$A$2:$A$49,B279,Log!$H$2:$H$49,"Red")+COUNTIFS(Log!$A$2:$A$49,B279,Log!$I$2:$I$49,"Red")&gt;0,"No","Yes")</f>
        <v/>
      </c>
    </row>
    <row r="280">
      <c r="A280" t="inlineStr">
        <is>
          <t>SIMULATED Commercial FA Study</t>
        </is>
      </c>
      <c r="B280" t="inlineStr">
        <is>
          <t>P43</t>
        </is>
      </c>
      <c r="C280" t="inlineStr">
        <is>
          <t>M</t>
        </is>
      </c>
      <c r="D280" t="n">
        <v>22</v>
      </c>
      <c r="E280" t="inlineStr">
        <is>
          <t>B_C2first</t>
        </is>
      </c>
      <c r="F280" t="inlineStr">
        <is>
          <t>Annotation</t>
        </is>
      </c>
      <c r="G280" t="inlineStr">
        <is>
          <t>EndScene</t>
        </is>
      </c>
      <c r="H280" t="n">
        <v>279000</v>
      </c>
      <c r="I280" t="n">
        <v>10000</v>
      </c>
      <c r="J280" t="inlineStr">
        <is>
          <t>Commercial_1B</t>
        </is>
      </c>
      <c r="K280" s="4" t="n">
        <v>0.0613</v>
      </c>
      <c r="L280" t="inlineStr">
        <is>
          <t>Frontal Asymmetry (Enobio EEG)</t>
        </is>
      </c>
      <c r="M280">
        <f>LEFT(E280,1)</f>
        <v/>
      </c>
      <c r="N280">
        <f>MID(E280,3,10)</f>
        <v/>
      </c>
      <c r="O280">
        <f>IF(F280="Stimulus",IF(LEFT(G280,8)="Baseline",G280,IF(LEFT(G280,12)="Commercial_1","C1","C2")),IF(G280="KeyScene","KeyScene",IF(LEFT(J280,12)="Commercial_1","EndScene_C1","EndScene_C2")))</f>
        <v/>
      </c>
      <c r="P280">
        <f>IF(COUNTIFS(Artifact!$B$2:$B$385,B280,Artifact!$K$2:$K$385,"&gt;25")+COUNTIFS(Log!$A$2:$A$49,B280,Log!$H$2:$H$49,"Red")+COUNTIFS(Log!$A$2:$A$49,B280,Log!$I$2:$I$49,"Red")&gt;0,"No","Yes")</f>
        <v/>
      </c>
      <c r="Q280">
        <f>IF(COUNTIFS(Artifact!$B$2:$B$385,B280,Artifact!$K$2:$K$385,"&gt;15")+COUNTIFS(Log!$A$2:$A$49,B280,Log!$H$2:$H$49,"Red")+COUNTIFS(Log!$A$2:$A$49,B280,Log!$I$2:$I$49,"Red")&gt;0,"No","Yes")</f>
        <v/>
      </c>
    </row>
    <row r="281">
      <c r="A281" t="inlineStr">
        <is>
          <t>SIMULATED Commercial FA Study</t>
        </is>
      </c>
      <c r="B281" t="inlineStr">
        <is>
          <t>P44</t>
        </is>
      </c>
      <c r="C281" t="inlineStr">
        <is>
          <t>F</t>
        </is>
      </c>
      <c r="D281" t="n">
        <v>20</v>
      </c>
      <c r="E281" t="inlineStr">
        <is>
          <t>A_C2first</t>
        </is>
      </c>
      <c r="F281" t="inlineStr">
        <is>
          <t>Stimulus</t>
        </is>
      </c>
      <c r="G281" t="inlineStr">
        <is>
          <t>Baseline_1</t>
        </is>
      </c>
      <c r="H281" t="n">
        <v>22000</v>
      </c>
      <c r="I281" t="n">
        <v>60000</v>
      </c>
      <c r="J281" t="inlineStr">
        <is>
          <t>Baseline_1</t>
        </is>
      </c>
      <c r="K281" s="4" t="n">
        <v>-0.07199999999999999</v>
      </c>
      <c r="L281" t="inlineStr">
        <is>
          <t>Frontal Asymmetry (Enobio EEG)</t>
        </is>
      </c>
      <c r="M281">
        <f>LEFT(E281,1)</f>
        <v/>
      </c>
      <c r="N281">
        <f>MID(E281,3,10)</f>
        <v/>
      </c>
      <c r="O281">
        <f>IF(F281="Stimulus",IF(LEFT(G281,8)="Baseline",G281,IF(LEFT(G281,12)="Commercial_1","C1","C2")),IF(G281="KeyScene","KeyScene",IF(LEFT(J281,12)="Commercial_1","EndScene_C1","EndScene_C2")))</f>
        <v/>
      </c>
      <c r="P281">
        <f>IF(COUNTIFS(Artifact!$B$2:$B$385,B281,Artifact!$K$2:$K$385,"&gt;25")+COUNTIFS(Log!$A$2:$A$49,B281,Log!$H$2:$H$49,"Red")+COUNTIFS(Log!$A$2:$A$49,B281,Log!$I$2:$I$49,"Red")&gt;0,"No","Yes")</f>
        <v/>
      </c>
      <c r="Q281">
        <f>IF(COUNTIFS(Artifact!$B$2:$B$385,B281,Artifact!$K$2:$K$385,"&gt;15")+COUNTIFS(Log!$A$2:$A$49,B281,Log!$H$2:$H$49,"Red")+COUNTIFS(Log!$A$2:$A$49,B281,Log!$I$2:$I$49,"Red")&gt;0,"No","Yes")</f>
        <v/>
      </c>
    </row>
    <row r="282">
      <c r="A282" t="inlineStr">
        <is>
          <t>SIMULATED Commercial FA Study</t>
        </is>
      </c>
      <c r="B282" t="inlineStr">
        <is>
          <t>P44</t>
        </is>
      </c>
      <c r="C282" t="inlineStr">
        <is>
          <t>F</t>
        </is>
      </c>
      <c r="D282" t="n">
        <v>20</v>
      </c>
      <c r="E282" t="inlineStr">
        <is>
          <t>A_C2first</t>
        </is>
      </c>
      <c r="F282" t="inlineStr">
        <is>
          <t>Stimulus</t>
        </is>
      </c>
      <c r="G282" t="inlineStr">
        <is>
          <t>Commercial_2</t>
        </is>
      </c>
      <c r="H282" t="n">
        <v>82000</v>
      </c>
      <c r="I282" t="n">
        <v>60000</v>
      </c>
      <c r="J282" t="inlineStr">
        <is>
          <t>Commercial_2</t>
        </is>
      </c>
      <c r="K282" s="4" t="n">
        <v>0.0064</v>
      </c>
      <c r="L282" t="inlineStr">
        <is>
          <t>Frontal Asymmetry (Enobio EEG)</t>
        </is>
      </c>
      <c r="M282">
        <f>LEFT(E282,1)</f>
        <v/>
      </c>
      <c r="N282">
        <f>MID(E282,3,10)</f>
        <v/>
      </c>
      <c r="O282">
        <f>IF(F282="Stimulus",IF(LEFT(G282,8)="Baseline",G282,IF(LEFT(G282,12)="Commercial_1","C1","C2")),IF(G282="KeyScene","KeyScene",IF(LEFT(J282,12)="Commercial_1","EndScene_C1","EndScene_C2")))</f>
        <v/>
      </c>
      <c r="P282">
        <f>IF(COUNTIFS(Artifact!$B$2:$B$385,B282,Artifact!$K$2:$K$385,"&gt;25")+COUNTIFS(Log!$A$2:$A$49,B282,Log!$H$2:$H$49,"Red")+COUNTIFS(Log!$A$2:$A$49,B282,Log!$I$2:$I$49,"Red")&gt;0,"No","Yes")</f>
        <v/>
      </c>
      <c r="Q282">
        <f>IF(COUNTIFS(Artifact!$B$2:$B$385,B282,Artifact!$K$2:$K$385,"&gt;15")+COUNTIFS(Log!$A$2:$A$49,B282,Log!$H$2:$H$49,"Red")+COUNTIFS(Log!$A$2:$A$49,B282,Log!$I$2:$I$49,"Red")&gt;0,"No","Yes")</f>
        <v/>
      </c>
    </row>
    <row r="283">
      <c r="A283" t="inlineStr">
        <is>
          <t>SIMULATED Commercial FA Study</t>
        </is>
      </c>
      <c r="B283" t="inlineStr">
        <is>
          <t>P44</t>
        </is>
      </c>
      <c r="C283" t="inlineStr">
        <is>
          <t>F</t>
        </is>
      </c>
      <c r="D283" t="n">
        <v>20</v>
      </c>
      <c r="E283" t="inlineStr">
        <is>
          <t>A_C2first</t>
        </is>
      </c>
      <c r="F283" t="inlineStr">
        <is>
          <t>Stimulus</t>
        </is>
      </c>
      <c r="G283" t="inlineStr">
        <is>
          <t>Baseline_2</t>
        </is>
      </c>
      <c r="H283" t="n">
        <v>184000</v>
      </c>
      <c r="I283" t="n">
        <v>60000</v>
      </c>
      <c r="J283" t="inlineStr">
        <is>
          <t>Baseline_2</t>
        </is>
      </c>
      <c r="K283" s="4" t="n">
        <v>0.002</v>
      </c>
      <c r="L283" t="inlineStr">
        <is>
          <t>Frontal Asymmetry (Enobio EEG)</t>
        </is>
      </c>
      <c r="M283">
        <f>LEFT(E283,1)</f>
        <v/>
      </c>
      <c r="N283">
        <f>MID(E283,3,10)</f>
        <v/>
      </c>
      <c r="O283">
        <f>IF(F283="Stimulus",IF(LEFT(G283,8)="Baseline",G283,IF(LEFT(G283,12)="Commercial_1","C1","C2")),IF(G283="KeyScene","KeyScene",IF(LEFT(J283,12)="Commercial_1","EndScene_C1","EndScene_C2")))</f>
        <v/>
      </c>
      <c r="P283">
        <f>IF(COUNTIFS(Artifact!$B$2:$B$385,B283,Artifact!$K$2:$K$385,"&gt;25")+COUNTIFS(Log!$A$2:$A$49,B283,Log!$H$2:$H$49,"Red")+COUNTIFS(Log!$A$2:$A$49,B283,Log!$I$2:$I$49,"Red")&gt;0,"No","Yes")</f>
        <v/>
      </c>
      <c r="Q283">
        <f>IF(COUNTIFS(Artifact!$B$2:$B$385,B283,Artifact!$K$2:$K$385,"&gt;15")+COUNTIFS(Log!$A$2:$A$49,B283,Log!$H$2:$H$49,"Red")+COUNTIFS(Log!$A$2:$A$49,B283,Log!$I$2:$I$49,"Red")&gt;0,"No","Yes")</f>
        <v/>
      </c>
    </row>
    <row r="284">
      <c r="A284" t="inlineStr">
        <is>
          <t>SIMULATED Commercial FA Study</t>
        </is>
      </c>
      <c r="B284" t="inlineStr">
        <is>
          <t>P44</t>
        </is>
      </c>
      <c r="C284" t="inlineStr">
        <is>
          <t>F</t>
        </is>
      </c>
      <c r="D284" t="n">
        <v>20</v>
      </c>
      <c r="E284" t="inlineStr">
        <is>
          <t>A_C2first</t>
        </is>
      </c>
      <c r="F284" t="inlineStr">
        <is>
          <t>Stimulus</t>
        </is>
      </c>
      <c r="G284" t="inlineStr">
        <is>
          <t>Commercial_1A</t>
        </is>
      </c>
      <c r="H284" t="n">
        <v>244000</v>
      </c>
      <c r="I284" t="n">
        <v>60000</v>
      </c>
      <c r="J284" t="inlineStr">
        <is>
          <t>Commercial_1A</t>
        </is>
      </c>
      <c r="K284" s="4" t="n">
        <v>-0.0551</v>
      </c>
      <c r="L284" t="inlineStr">
        <is>
          <t>Frontal Asymmetry (Enobio EEG)</t>
        </is>
      </c>
      <c r="M284">
        <f>LEFT(E284,1)</f>
        <v/>
      </c>
      <c r="N284">
        <f>MID(E284,3,10)</f>
        <v/>
      </c>
      <c r="O284">
        <f>IF(F284="Stimulus",IF(LEFT(G284,8)="Baseline",G284,IF(LEFT(G284,12)="Commercial_1","C1","C2")),IF(G284="KeyScene","KeyScene",IF(LEFT(J284,12)="Commercial_1","EndScene_C1","EndScene_C2")))</f>
        <v/>
      </c>
      <c r="P284">
        <f>IF(COUNTIFS(Artifact!$B$2:$B$385,B284,Artifact!$K$2:$K$385,"&gt;25")+COUNTIFS(Log!$A$2:$A$49,B284,Log!$H$2:$H$49,"Red")+COUNTIFS(Log!$A$2:$A$49,B284,Log!$I$2:$I$49,"Red")&gt;0,"No","Yes")</f>
        <v/>
      </c>
      <c r="Q284">
        <f>IF(COUNTIFS(Artifact!$B$2:$B$385,B284,Artifact!$K$2:$K$385,"&gt;15")+COUNTIFS(Log!$A$2:$A$49,B284,Log!$H$2:$H$49,"Red")+COUNTIFS(Log!$A$2:$A$49,B284,Log!$I$2:$I$49,"Red")&gt;0,"No","Yes")</f>
        <v/>
      </c>
    </row>
    <row r="285">
      <c r="A285" t="inlineStr">
        <is>
          <t>SIMULATED Commercial FA Study</t>
        </is>
      </c>
      <c r="B285" t="inlineStr">
        <is>
          <t>P44</t>
        </is>
      </c>
      <c r="C285" t="inlineStr">
        <is>
          <t>F</t>
        </is>
      </c>
      <c r="D285" t="n">
        <v>20</v>
      </c>
      <c r="E285" t="inlineStr">
        <is>
          <t>A_C2first</t>
        </is>
      </c>
      <c r="F285" t="inlineStr">
        <is>
          <t>Annotation</t>
        </is>
      </c>
      <c r="G285" t="inlineStr">
        <is>
          <t>EndScene</t>
        </is>
      </c>
      <c r="H285" t="n">
        <v>132000</v>
      </c>
      <c r="I285" t="n">
        <v>10000</v>
      </c>
      <c r="J285" t="inlineStr">
        <is>
          <t>Commercial_2</t>
        </is>
      </c>
      <c r="K285" s="4" t="n">
        <v>0.08019999999999999</v>
      </c>
      <c r="L285" t="inlineStr">
        <is>
          <t>Frontal Asymmetry (Enobio EEG)</t>
        </is>
      </c>
      <c r="M285">
        <f>LEFT(E285,1)</f>
        <v/>
      </c>
      <c r="N285">
        <f>MID(E285,3,10)</f>
        <v/>
      </c>
      <c r="O285">
        <f>IF(F285="Stimulus",IF(LEFT(G285,8)="Baseline",G285,IF(LEFT(G285,12)="Commercial_1","C1","C2")),IF(G285="KeyScene","KeyScene",IF(LEFT(J285,12)="Commercial_1","EndScene_C1","EndScene_C2")))</f>
        <v/>
      </c>
      <c r="P285">
        <f>IF(COUNTIFS(Artifact!$B$2:$B$385,B285,Artifact!$K$2:$K$385,"&gt;25")+COUNTIFS(Log!$A$2:$A$49,B285,Log!$H$2:$H$49,"Red")+COUNTIFS(Log!$A$2:$A$49,B285,Log!$I$2:$I$49,"Red")&gt;0,"No","Yes")</f>
        <v/>
      </c>
      <c r="Q285">
        <f>IF(COUNTIFS(Artifact!$B$2:$B$385,B285,Artifact!$K$2:$K$385,"&gt;15")+COUNTIFS(Log!$A$2:$A$49,B285,Log!$H$2:$H$49,"Red")+COUNTIFS(Log!$A$2:$A$49,B285,Log!$I$2:$I$49,"Red")&gt;0,"No","Yes")</f>
        <v/>
      </c>
    </row>
    <row r="286">
      <c r="A286" t="inlineStr">
        <is>
          <t>SIMULATED Commercial FA Study</t>
        </is>
      </c>
      <c r="B286" t="inlineStr">
        <is>
          <t>P44</t>
        </is>
      </c>
      <c r="C286" t="inlineStr">
        <is>
          <t>F</t>
        </is>
      </c>
      <c r="D286" t="n">
        <v>20</v>
      </c>
      <c r="E286" t="inlineStr">
        <is>
          <t>A_C2first</t>
        </is>
      </c>
      <c r="F286" t="inlineStr">
        <is>
          <t>Annotation</t>
        </is>
      </c>
      <c r="G286" t="inlineStr">
        <is>
          <t>KeyScene</t>
        </is>
      </c>
      <c r="H286" t="n">
        <v>276000</v>
      </c>
      <c r="I286" t="n">
        <v>6000</v>
      </c>
      <c r="J286" t="inlineStr">
        <is>
          <t>Commercial_1A</t>
        </is>
      </c>
      <c r="K286" s="4" t="n">
        <v>0.0573</v>
      </c>
      <c r="L286" t="inlineStr">
        <is>
          <t>Frontal Asymmetry (Enobio EEG)</t>
        </is>
      </c>
      <c r="M286">
        <f>LEFT(E286,1)</f>
        <v/>
      </c>
      <c r="N286">
        <f>MID(E286,3,10)</f>
        <v/>
      </c>
      <c r="O286">
        <f>IF(F286="Stimulus",IF(LEFT(G286,8)="Baseline",G286,IF(LEFT(G286,12)="Commercial_1","C1","C2")),IF(G286="KeyScene","KeyScene",IF(LEFT(J286,12)="Commercial_1","EndScene_C1","EndScene_C2")))</f>
        <v/>
      </c>
      <c r="P286">
        <f>IF(COUNTIFS(Artifact!$B$2:$B$385,B286,Artifact!$K$2:$K$385,"&gt;25")+COUNTIFS(Log!$A$2:$A$49,B286,Log!$H$2:$H$49,"Red")+COUNTIFS(Log!$A$2:$A$49,B286,Log!$I$2:$I$49,"Red")&gt;0,"No","Yes")</f>
        <v/>
      </c>
      <c r="Q286">
        <f>IF(COUNTIFS(Artifact!$B$2:$B$385,B286,Artifact!$K$2:$K$385,"&gt;15")+COUNTIFS(Log!$A$2:$A$49,B286,Log!$H$2:$H$49,"Red")+COUNTIFS(Log!$A$2:$A$49,B286,Log!$I$2:$I$49,"Red")&gt;0,"No","Yes")</f>
        <v/>
      </c>
    </row>
    <row r="287">
      <c r="A287" t="inlineStr">
        <is>
          <t>SIMULATED Commercial FA Study</t>
        </is>
      </c>
      <c r="B287" t="inlineStr">
        <is>
          <t>P44</t>
        </is>
      </c>
      <c r="C287" t="inlineStr">
        <is>
          <t>F</t>
        </is>
      </c>
      <c r="D287" t="n">
        <v>20</v>
      </c>
      <c r="E287" t="inlineStr">
        <is>
          <t>A_C2first</t>
        </is>
      </c>
      <c r="F287" t="inlineStr">
        <is>
          <t>Annotation</t>
        </is>
      </c>
      <c r="G287" t="inlineStr">
        <is>
          <t>EndScene</t>
        </is>
      </c>
      <c r="H287" t="n">
        <v>294000</v>
      </c>
      <c r="I287" t="n">
        <v>10000</v>
      </c>
      <c r="J287" t="inlineStr">
        <is>
          <t>Commercial_1A</t>
        </is>
      </c>
      <c r="K287" s="4" t="n">
        <v>-0.109</v>
      </c>
      <c r="L287" t="inlineStr">
        <is>
          <t>Frontal Asymmetry (Enobio EEG)</t>
        </is>
      </c>
      <c r="M287">
        <f>LEFT(E287,1)</f>
        <v/>
      </c>
      <c r="N287">
        <f>MID(E287,3,10)</f>
        <v/>
      </c>
      <c r="O287">
        <f>IF(F287="Stimulus",IF(LEFT(G287,8)="Baseline",G287,IF(LEFT(G287,12)="Commercial_1","C1","C2")),IF(G287="KeyScene","KeyScene",IF(LEFT(J287,12)="Commercial_1","EndScene_C1","EndScene_C2")))</f>
        <v/>
      </c>
      <c r="P287">
        <f>IF(COUNTIFS(Artifact!$B$2:$B$385,B287,Artifact!$K$2:$K$385,"&gt;25")+COUNTIFS(Log!$A$2:$A$49,B287,Log!$H$2:$H$49,"Red")+COUNTIFS(Log!$A$2:$A$49,B287,Log!$I$2:$I$49,"Red")&gt;0,"No","Yes")</f>
        <v/>
      </c>
      <c r="Q287">
        <f>IF(COUNTIFS(Artifact!$B$2:$B$385,B287,Artifact!$K$2:$K$385,"&gt;15")+COUNTIFS(Log!$A$2:$A$49,B287,Log!$H$2:$H$49,"Red")+COUNTIFS(Log!$A$2:$A$49,B287,Log!$I$2:$I$49,"Red")&gt;0,"No","Yes")</f>
        <v/>
      </c>
    </row>
    <row r="288">
      <c r="A288" t="inlineStr">
        <is>
          <t>SIMULATED Commercial FA Study</t>
        </is>
      </c>
      <c r="B288" t="inlineStr">
        <is>
          <t>P45</t>
        </is>
      </c>
      <c r="C288" t="inlineStr">
        <is>
          <t>F</t>
        </is>
      </c>
      <c r="D288" t="n">
        <v>21</v>
      </c>
      <c r="E288" t="inlineStr">
        <is>
          <t>B_C2first</t>
        </is>
      </c>
      <c r="F288" t="inlineStr">
        <is>
          <t>Stimulus</t>
        </is>
      </c>
      <c r="G288" t="inlineStr">
        <is>
          <t>Baseline_1</t>
        </is>
      </c>
      <c r="H288" t="n">
        <v>37000</v>
      </c>
      <c r="I288" t="n">
        <v>60000</v>
      </c>
      <c r="J288" t="inlineStr">
        <is>
          <t>Baseline_1</t>
        </is>
      </c>
      <c r="K288" s="4" t="n">
        <v>0.0958</v>
      </c>
      <c r="L288" t="inlineStr">
        <is>
          <t>Frontal Asymmetry (Enobio EEG)</t>
        </is>
      </c>
      <c r="M288">
        <f>LEFT(E288,1)</f>
        <v/>
      </c>
      <c r="N288">
        <f>MID(E288,3,10)</f>
        <v/>
      </c>
      <c r="O288">
        <f>IF(F288="Stimulus",IF(LEFT(G288,8)="Baseline",G288,IF(LEFT(G288,12)="Commercial_1","C1","C2")),IF(G288="KeyScene","KeyScene",IF(LEFT(J288,12)="Commercial_1","EndScene_C1","EndScene_C2")))</f>
        <v/>
      </c>
      <c r="P288">
        <f>IF(COUNTIFS(Artifact!$B$2:$B$385,B288,Artifact!$K$2:$K$385,"&gt;25")+COUNTIFS(Log!$A$2:$A$49,B288,Log!$H$2:$H$49,"Red")+COUNTIFS(Log!$A$2:$A$49,B288,Log!$I$2:$I$49,"Red")&gt;0,"No","Yes")</f>
        <v/>
      </c>
      <c r="Q288">
        <f>IF(COUNTIFS(Artifact!$B$2:$B$385,B288,Artifact!$K$2:$K$385,"&gt;15")+COUNTIFS(Log!$A$2:$A$49,B288,Log!$H$2:$H$49,"Red")+COUNTIFS(Log!$A$2:$A$49,B288,Log!$I$2:$I$49,"Red")&gt;0,"No","Yes")</f>
        <v/>
      </c>
    </row>
    <row r="289">
      <c r="A289" t="inlineStr">
        <is>
          <t>SIMULATED Commercial FA Study</t>
        </is>
      </c>
      <c r="B289" t="inlineStr">
        <is>
          <t>P45</t>
        </is>
      </c>
      <c r="C289" t="inlineStr">
        <is>
          <t>F</t>
        </is>
      </c>
      <c r="D289" t="n">
        <v>21</v>
      </c>
      <c r="E289" t="inlineStr">
        <is>
          <t>B_C2first</t>
        </is>
      </c>
      <c r="F289" t="inlineStr">
        <is>
          <t>Stimulus</t>
        </is>
      </c>
      <c r="G289" t="inlineStr">
        <is>
          <t>Commercial_2</t>
        </is>
      </c>
      <c r="H289" t="n">
        <v>97000</v>
      </c>
      <c r="I289" t="n">
        <v>60000</v>
      </c>
      <c r="J289" t="inlineStr">
        <is>
          <t>Commercial_2</t>
        </is>
      </c>
      <c r="K289" s="4" t="n">
        <v>0.1004</v>
      </c>
      <c r="L289" t="inlineStr">
        <is>
          <t>Frontal Asymmetry (Enobio EEG)</t>
        </is>
      </c>
      <c r="M289">
        <f>LEFT(E289,1)</f>
        <v/>
      </c>
      <c r="N289">
        <f>MID(E289,3,10)</f>
        <v/>
      </c>
      <c r="O289">
        <f>IF(F289="Stimulus",IF(LEFT(G289,8)="Baseline",G289,IF(LEFT(G289,12)="Commercial_1","C1","C2")),IF(G289="KeyScene","KeyScene",IF(LEFT(J289,12)="Commercial_1","EndScene_C1","EndScene_C2")))</f>
        <v/>
      </c>
      <c r="P289">
        <f>IF(COUNTIFS(Artifact!$B$2:$B$385,B289,Artifact!$K$2:$K$385,"&gt;25")+COUNTIFS(Log!$A$2:$A$49,B289,Log!$H$2:$H$49,"Red")+COUNTIFS(Log!$A$2:$A$49,B289,Log!$I$2:$I$49,"Red")&gt;0,"No","Yes")</f>
        <v/>
      </c>
      <c r="Q289">
        <f>IF(COUNTIFS(Artifact!$B$2:$B$385,B289,Artifact!$K$2:$K$385,"&gt;15")+COUNTIFS(Log!$A$2:$A$49,B289,Log!$H$2:$H$49,"Red")+COUNTIFS(Log!$A$2:$A$49,B289,Log!$I$2:$I$49,"Red")&gt;0,"No","Yes")</f>
        <v/>
      </c>
    </row>
    <row r="290">
      <c r="A290" t="inlineStr">
        <is>
          <t>SIMULATED Commercial FA Study</t>
        </is>
      </c>
      <c r="B290" t="inlineStr">
        <is>
          <t>P45</t>
        </is>
      </c>
      <c r="C290" t="inlineStr">
        <is>
          <t>F</t>
        </is>
      </c>
      <c r="D290" t="n">
        <v>21</v>
      </c>
      <c r="E290" t="inlineStr">
        <is>
          <t>B_C2first</t>
        </is>
      </c>
      <c r="F290" t="inlineStr">
        <is>
          <t>Stimulus</t>
        </is>
      </c>
      <c r="G290" t="inlineStr">
        <is>
          <t>Baseline_2</t>
        </is>
      </c>
      <c r="H290" t="n">
        <v>205000</v>
      </c>
      <c r="I290" t="n">
        <v>60000</v>
      </c>
      <c r="J290" t="inlineStr">
        <is>
          <t>Baseline_2</t>
        </is>
      </c>
      <c r="K290" s="4" t="n">
        <v>0.1236</v>
      </c>
      <c r="L290" t="inlineStr">
        <is>
          <t>Frontal Asymmetry (Enobio EEG)</t>
        </is>
      </c>
      <c r="M290">
        <f>LEFT(E290,1)</f>
        <v/>
      </c>
      <c r="N290">
        <f>MID(E290,3,10)</f>
        <v/>
      </c>
      <c r="O290">
        <f>IF(F290="Stimulus",IF(LEFT(G290,8)="Baseline",G290,IF(LEFT(G290,12)="Commercial_1","C1","C2")),IF(G290="KeyScene","KeyScene",IF(LEFT(J290,12)="Commercial_1","EndScene_C1","EndScene_C2")))</f>
        <v/>
      </c>
      <c r="P290">
        <f>IF(COUNTIFS(Artifact!$B$2:$B$385,B290,Artifact!$K$2:$K$385,"&gt;25")+COUNTIFS(Log!$A$2:$A$49,B290,Log!$H$2:$H$49,"Red")+COUNTIFS(Log!$A$2:$A$49,B290,Log!$I$2:$I$49,"Red")&gt;0,"No","Yes")</f>
        <v/>
      </c>
      <c r="Q290">
        <f>IF(COUNTIFS(Artifact!$B$2:$B$385,B290,Artifact!$K$2:$K$385,"&gt;15")+COUNTIFS(Log!$A$2:$A$49,B290,Log!$H$2:$H$49,"Red")+COUNTIFS(Log!$A$2:$A$49,B290,Log!$I$2:$I$49,"Red")&gt;0,"No","Yes")</f>
        <v/>
      </c>
    </row>
    <row r="291">
      <c r="A291" t="inlineStr">
        <is>
          <t>SIMULATED Commercial FA Study</t>
        </is>
      </c>
      <c r="B291" t="inlineStr">
        <is>
          <t>P45</t>
        </is>
      </c>
      <c r="C291" t="inlineStr">
        <is>
          <t>F</t>
        </is>
      </c>
      <c r="D291" t="n">
        <v>21</v>
      </c>
      <c r="E291" t="inlineStr">
        <is>
          <t>B_C2first</t>
        </is>
      </c>
      <c r="F291" t="inlineStr">
        <is>
          <t>Stimulus</t>
        </is>
      </c>
      <c r="G291" t="inlineStr">
        <is>
          <t>Commercial_1B</t>
        </is>
      </c>
      <c r="H291" t="n">
        <v>265000</v>
      </c>
      <c r="I291" t="n">
        <v>54000</v>
      </c>
      <c r="J291" t="inlineStr">
        <is>
          <t>Commercial_1B</t>
        </is>
      </c>
      <c r="K291" s="4" t="n">
        <v>0.0166</v>
      </c>
      <c r="L291" t="inlineStr">
        <is>
          <t>Frontal Asymmetry (Enobio EEG)</t>
        </is>
      </c>
      <c r="M291">
        <f>LEFT(E291,1)</f>
        <v/>
      </c>
      <c r="N291">
        <f>MID(E291,3,10)</f>
        <v/>
      </c>
      <c r="O291">
        <f>IF(F291="Stimulus",IF(LEFT(G291,8)="Baseline",G291,IF(LEFT(G291,12)="Commercial_1","C1","C2")),IF(G291="KeyScene","KeyScene",IF(LEFT(J291,12)="Commercial_1","EndScene_C1","EndScene_C2")))</f>
        <v/>
      </c>
      <c r="P291">
        <f>IF(COUNTIFS(Artifact!$B$2:$B$385,B291,Artifact!$K$2:$K$385,"&gt;25")+COUNTIFS(Log!$A$2:$A$49,B291,Log!$H$2:$H$49,"Red")+COUNTIFS(Log!$A$2:$A$49,B291,Log!$I$2:$I$49,"Red")&gt;0,"No","Yes")</f>
        <v/>
      </c>
      <c r="Q291">
        <f>IF(COUNTIFS(Artifact!$B$2:$B$385,B291,Artifact!$K$2:$K$385,"&gt;15")+COUNTIFS(Log!$A$2:$A$49,B291,Log!$H$2:$H$49,"Red")+COUNTIFS(Log!$A$2:$A$49,B291,Log!$I$2:$I$49,"Red")&gt;0,"No","Yes")</f>
        <v/>
      </c>
    </row>
    <row r="292">
      <c r="A292" t="inlineStr">
        <is>
          <t>SIMULATED Commercial FA Study</t>
        </is>
      </c>
      <c r="B292" t="inlineStr">
        <is>
          <t>P45</t>
        </is>
      </c>
      <c r="C292" t="inlineStr">
        <is>
          <t>F</t>
        </is>
      </c>
      <c r="D292" t="n">
        <v>21</v>
      </c>
      <c r="E292" t="inlineStr">
        <is>
          <t>B_C2first</t>
        </is>
      </c>
      <c r="F292" t="inlineStr">
        <is>
          <t>Annotation</t>
        </is>
      </c>
      <c r="G292" t="inlineStr">
        <is>
          <t>EndScene</t>
        </is>
      </c>
      <c r="H292" t="n">
        <v>147000</v>
      </c>
      <c r="I292" t="n">
        <v>10000</v>
      </c>
      <c r="J292" t="inlineStr">
        <is>
          <t>Commercial_2</t>
        </is>
      </c>
      <c r="K292" s="4" t="n">
        <v>0.0199</v>
      </c>
      <c r="L292" t="inlineStr">
        <is>
          <t>Frontal Asymmetry (Enobio EEG)</t>
        </is>
      </c>
      <c r="M292">
        <f>LEFT(E292,1)</f>
        <v/>
      </c>
      <c r="N292">
        <f>MID(E292,3,10)</f>
        <v/>
      </c>
      <c r="O292">
        <f>IF(F292="Stimulus",IF(LEFT(G292,8)="Baseline",G292,IF(LEFT(G292,12)="Commercial_1","C1","C2")),IF(G292="KeyScene","KeyScene",IF(LEFT(J292,12)="Commercial_1","EndScene_C1","EndScene_C2")))</f>
        <v/>
      </c>
      <c r="P292">
        <f>IF(COUNTIFS(Artifact!$B$2:$B$385,B292,Artifact!$K$2:$K$385,"&gt;25")+COUNTIFS(Log!$A$2:$A$49,B292,Log!$H$2:$H$49,"Red")+COUNTIFS(Log!$A$2:$A$49,B292,Log!$I$2:$I$49,"Red")&gt;0,"No","Yes")</f>
        <v/>
      </c>
      <c r="Q292">
        <f>IF(COUNTIFS(Artifact!$B$2:$B$385,B292,Artifact!$K$2:$K$385,"&gt;15")+COUNTIFS(Log!$A$2:$A$49,B292,Log!$H$2:$H$49,"Red")+COUNTIFS(Log!$A$2:$A$49,B292,Log!$I$2:$I$49,"Red")&gt;0,"No","Yes")</f>
        <v/>
      </c>
    </row>
    <row r="293">
      <c r="A293" t="inlineStr">
        <is>
          <t>SIMULATED Commercial FA Study</t>
        </is>
      </c>
      <c r="B293" t="inlineStr">
        <is>
          <t>P45</t>
        </is>
      </c>
      <c r="C293" t="inlineStr">
        <is>
          <t>F</t>
        </is>
      </c>
      <c r="D293" t="n">
        <v>21</v>
      </c>
      <c r="E293" t="inlineStr">
        <is>
          <t>B_C2first</t>
        </is>
      </c>
      <c r="F293" t="inlineStr">
        <is>
          <t>Annotation</t>
        </is>
      </c>
      <c r="G293" t="inlineStr">
        <is>
          <t>EndScene</t>
        </is>
      </c>
      <c r="H293" t="n">
        <v>309000</v>
      </c>
      <c r="I293" t="n">
        <v>10000</v>
      </c>
      <c r="J293" t="inlineStr">
        <is>
          <t>Commercial_1B</t>
        </is>
      </c>
      <c r="K293" s="4" t="n">
        <v>-0.0402</v>
      </c>
      <c r="L293" t="inlineStr">
        <is>
          <t>Frontal Asymmetry (Enobio EEG)</t>
        </is>
      </c>
      <c r="M293">
        <f>LEFT(E293,1)</f>
        <v/>
      </c>
      <c r="N293">
        <f>MID(E293,3,10)</f>
        <v/>
      </c>
      <c r="O293">
        <f>IF(F293="Stimulus",IF(LEFT(G293,8)="Baseline",G293,IF(LEFT(G293,12)="Commercial_1","C1","C2")),IF(G293="KeyScene","KeyScene",IF(LEFT(J293,12)="Commercial_1","EndScene_C1","EndScene_C2")))</f>
        <v/>
      </c>
      <c r="P293">
        <f>IF(COUNTIFS(Artifact!$B$2:$B$385,B293,Artifact!$K$2:$K$385,"&gt;25")+COUNTIFS(Log!$A$2:$A$49,B293,Log!$H$2:$H$49,"Red")+COUNTIFS(Log!$A$2:$A$49,B293,Log!$I$2:$I$49,"Red")&gt;0,"No","Yes")</f>
        <v/>
      </c>
      <c r="Q293">
        <f>IF(COUNTIFS(Artifact!$B$2:$B$385,B293,Artifact!$K$2:$K$385,"&gt;15")+COUNTIFS(Log!$A$2:$A$49,B293,Log!$H$2:$H$49,"Red")+COUNTIFS(Log!$A$2:$A$49,B293,Log!$I$2:$I$49,"Red")&gt;0,"No","Yes")</f>
        <v/>
      </c>
    </row>
    <row r="294">
      <c r="A294" t="inlineStr">
        <is>
          <t>SIMULATED Commercial FA Study</t>
        </is>
      </c>
      <c r="B294" t="inlineStr">
        <is>
          <t>P46</t>
        </is>
      </c>
      <c r="C294" t="inlineStr">
        <is>
          <t>M</t>
        </is>
      </c>
      <c r="D294" t="n">
        <v>19</v>
      </c>
      <c r="E294" t="inlineStr">
        <is>
          <t>A_C2first</t>
        </is>
      </c>
      <c r="F294" t="inlineStr">
        <is>
          <t>Stimulus</t>
        </is>
      </c>
      <c r="G294" t="inlineStr">
        <is>
          <t>Baseline_1</t>
        </is>
      </c>
      <c r="H294" t="n">
        <v>25000</v>
      </c>
      <c r="I294" t="n">
        <v>60000</v>
      </c>
      <c r="J294" t="inlineStr">
        <is>
          <t>Baseline_1</t>
        </is>
      </c>
      <c r="K294" s="4" t="n">
        <v>-0.1108</v>
      </c>
      <c r="L294" t="inlineStr">
        <is>
          <t>Frontal Asymmetry (Enobio EEG)</t>
        </is>
      </c>
      <c r="M294">
        <f>LEFT(E294,1)</f>
        <v/>
      </c>
      <c r="N294">
        <f>MID(E294,3,10)</f>
        <v/>
      </c>
      <c r="O294">
        <f>IF(F294="Stimulus",IF(LEFT(G294,8)="Baseline",G294,IF(LEFT(G294,12)="Commercial_1","C1","C2")),IF(G294="KeyScene","KeyScene",IF(LEFT(J294,12)="Commercial_1","EndScene_C1","EndScene_C2")))</f>
        <v/>
      </c>
      <c r="P294">
        <f>IF(COUNTIFS(Artifact!$B$2:$B$385,B294,Artifact!$K$2:$K$385,"&gt;25")+COUNTIFS(Log!$A$2:$A$49,B294,Log!$H$2:$H$49,"Red")+COUNTIFS(Log!$A$2:$A$49,B294,Log!$I$2:$I$49,"Red")&gt;0,"No","Yes")</f>
        <v/>
      </c>
      <c r="Q294">
        <f>IF(COUNTIFS(Artifact!$B$2:$B$385,B294,Artifact!$K$2:$K$385,"&gt;15")+COUNTIFS(Log!$A$2:$A$49,B294,Log!$H$2:$H$49,"Red")+COUNTIFS(Log!$A$2:$A$49,B294,Log!$I$2:$I$49,"Red")&gt;0,"No","Yes")</f>
        <v/>
      </c>
    </row>
    <row r="295">
      <c r="A295" t="inlineStr">
        <is>
          <t>SIMULATED Commercial FA Study</t>
        </is>
      </c>
      <c r="B295" t="inlineStr">
        <is>
          <t>P46</t>
        </is>
      </c>
      <c r="C295" t="inlineStr">
        <is>
          <t>M</t>
        </is>
      </c>
      <c r="D295" t="n">
        <v>19</v>
      </c>
      <c r="E295" t="inlineStr">
        <is>
          <t>A_C2first</t>
        </is>
      </c>
      <c r="F295" t="inlineStr">
        <is>
          <t>Stimulus</t>
        </is>
      </c>
      <c r="G295" t="inlineStr">
        <is>
          <t>Commercial_2</t>
        </is>
      </c>
      <c r="H295" t="n">
        <v>85000</v>
      </c>
      <c r="I295" t="n">
        <v>60000</v>
      </c>
      <c r="J295" t="inlineStr">
        <is>
          <t>Commercial_2</t>
        </is>
      </c>
      <c r="K295" s="4" t="n">
        <v>-0.0707</v>
      </c>
      <c r="L295" t="inlineStr">
        <is>
          <t>Frontal Asymmetry (Enobio EEG)</t>
        </is>
      </c>
      <c r="M295">
        <f>LEFT(E295,1)</f>
        <v/>
      </c>
      <c r="N295">
        <f>MID(E295,3,10)</f>
        <v/>
      </c>
      <c r="O295">
        <f>IF(F295="Stimulus",IF(LEFT(G295,8)="Baseline",G295,IF(LEFT(G295,12)="Commercial_1","C1","C2")),IF(G295="KeyScene","KeyScene",IF(LEFT(J295,12)="Commercial_1","EndScene_C1","EndScene_C2")))</f>
        <v/>
      </c>
      <c r="P295">
        <f>IF(COUNTIFS(Artifact!$B$2:$B$385,B295,Artifact!$K$2:$K$385,"&gt;25")+COUNTIFS(Log!$A$2:$A$49,B295,Log!$H$2:$H$49,"Red")+COUNTIFS(Log!$A$2:$A$49,B295,Log!$I$2:$I$49,"Red")&gt;0,"No","Yes")</f>
        <v/>
      </c>
      <c r="Q295">
        <f>IF(COUNTIFS(Artifact!$B$2:$B$385,B295,Artifact!$K$2:$K$385,"&gt;15")+COUNTIFS(Log!$A$2:$A$49,B295,Log!$H$2:$H$49,"Red")+COUNTIFS(Log!$A$2:$A$49,B295,Log!$I$2:$I$49,"Red")&gt;0,"No","Yes")</f>
        <v/>
      </c>
    </row>
    <row r="296">
      <c r="A296" t="inlineStr">
        <is>
          <t>SIMULATED Commercial FA Study</t>
        </is>
      </c>
      <c r="B296" t="inlineStr">
        <is>
          <t>P46</t>
        </is>
      </c>
      <c r="C296" t="inlineStr">
        <is>
          <t>M</t>
        </is>
      </c>
      <c r="D296" t="n">
        <v>19</v>
      </c>
      <c r="E296" t="inlineStr">
        <is>
          <t>A_C2first</t>
        </is>
      </c>
      <c r="F296" t="inlineStr">
        <is>
          <t>Stimulus</t>
        </is>
      </c>
      <c r="G296" t="inlineStr">
        <is>
          <t>Baseline_2</t>
        </is>
      </c>
      <c r="H296" t="n">
        <v>201000</v>
      </c>
      <c r="I296" t="n">
        <v>60000</v>
      </c>
      <c r="J296" t="inlineStr">
        <is>
          <t>Baseline_2</t>
        </is>
      </c>
      <c r="K296" s="4" t="n">
        <v>-0.068</v>
      </c>
      <c r="L296" t="inlineStr">
        <is>
          <t>Frontal Asymmetry (Enobio EEG)</t>
        </is>
      </c>
      <c r="M296">
        <f>LEFT(E296,1)</f>
        <v/>
      </c>
      <c r="N296">
        <f>MID(E296,3,10)</f>
        <v/>
      </c>
      <c r="O296">
        <f>IF(F296="Stimulus",IF(LEFT(G296,8)="Baseline",G296,IF(LEFT(G296,12)="Commercial_1","C1","C2")),IF(G296="KeyScene","KeyScene",IF(LEFT(J296,12)="Commercial_1","EndScene_C1","EndScene_C2")))</f>
        <v/>
      </c>
      <c r="P296">
        <f>IF(COUNTIFS(Artifact!$B$2:$B$385,B296,Artifact!$K$2:$K$385,"&gt;25")+COUNTIFS(Log!$A$2:$A$49,B296,Log!$H$2:$H$49,"Red")+COUNTIFS(Log!$A$2:$A$49,B296,Log!$I$2:$I$49,"Red")&gt;0,"No","Yes")</f>
        <v/>
      </c>
      <c r="Q296">
        <f>IF(COUNTIFS(Artifact!$B$2:$B$385,B296,Artifact!$K$2:$K$385,"&gt;15")+COUNTIFS(Log!$A$2:$A$49,B296,Log!$H$2:$H$49,"Red")+COUNTIFS(Log!$A$2:$A$49,B296,Log!$I$2:$I$49,"Red")&gt;0,"No","Yes")</f>
        <v/>
      </c>
    </row>
    <row r="297">
      <c r="A297" t="inlineStr">
        <is>
          <t>SIMULATED Commercial FA Study</t>
        </is>
      </c>
      <c r="B297" t="inlineStr">
        <is>
          <t>P46</t>
        </is>
      </c>
      <c r="C297" t="inlineStr">
        <is>
          <t>M</t>
        </is>
      </c>
      <c r="D297" t="n">
        <v>19</v>
      </c>
      <c r="E297" t="inlineStr">
        <is>
          <t>A_C2first</t>
        </is>
      </c>
      <c r="F297" t="inlineStr">
        <is>
          <t>Stimulus</t>
        </is>
      </c>
      <c r="G297" t="inlineStr">
        <is>
          <t>Commercial_1A</t>
        </is>
      </c>
      <c r="H297" t="n">
        <v>261000</v>
      </c>
      <c r="I297" t="n">
        <v>60000</v>
      </c>
      <c r="J297" t="inlineStr">
        <is>
          <t>Commercial_1A</t>
        </is>
      </c>
      <c r="K297" s="4" t="n">
        <v>-0.1671</v>
      </c>
      <c r="L297" t="inlineStr">
        <is>
          <t>Frontal Asymmetry (Enobio EEG)</t>
        </is>
      </c>
      <c r="M297">
        <f>LEFT(E297,1)</f>
        <v/>
      </c>
      <c r="N297">
        <f>MID(E297,3,10)</f>
        <v/>
      </c>
      <c r="O297">
        <f>IF(F297="Stimulus",IF(LEFT(G297,8)="Baseline",G297,IF(LEFT(G297,12)="Commercial_1","C1","C2")),IF(G297="KeyScene","KeyScene",IF(LEFT(J297,12)="Commercial_1","EndScene_C1","EndScene_C2")))</f>
        <v/>
      </c>
      <c r="P297">
        <f>IF(COUNTIFS(Artifact!$B$2:$B$385,B297,Artifact!$K$2:$K$385,"&gt;25")+COUNTIFS(Log!$A$2:$A$49,B297,Log!$H$2:$H$49,"Red")+COUNTIFS(Log!$A$2:$A$49,B297,Log!$I$2:$I$49,"Red")&gt;0,"No","Yes")</f>
        <v/>
      </c>
      <c r="Q297">
        <f>IF(COUNTIFS(Artifact!$B$2:$B$385,B297,Artifact!$K$2:$K$385,"&gt;15")+COUNTIFS(Log!$A$2:$A$49,B297,Log!$H$2:$H$49,"Red")+COUNTIFS(Log!$A$2:$A$49,B297,Log!$I$2:$I$49,"Red")&gt;0,"No","Yes")</f>
        <v/>
      </c>
    </row>
    <row r="298">
      <c r="A298" t="inlineStr">
        <is>
          <t>SIMULATED Commercial FA Study</t>
        </is>
      </c>
      <c r="B298" t="inlineStr">
        <is>
          <t>P46</t>
        </is>
      </c>
      <c r="C298" t="inlineStr">
        <is>
          <t>M</t>
        </is>
      </c>
      <c r="D298" t="n">
        <v>19</v>
      </c>
      <c r="E298" t="inlineStr">
        <is>
          <t>A_C2first</t>
        </is>
      </c>
      <c r="F298" t="inlineStr">
        <is>
          <t>Annotation</t>
        </is>
      </c>
      <c r="G298" t="inlineStr">
        <is>
          <t>EndScene</t>
        </is>
      </c>
      <c r="H298" t="n">
        <v>135000</v>
      </c>
      <c r="I298" t="n">
        <v>10000</v>
      </c>
      <c r="J298" t="inlineStr">
        <is>
          <t>Commercial_2</t>
        </is>
      </c>
      <c r="K298" s="4" t="n">
        <v>-0.1114</v>
      </c>
      <c r="L298" t="inlineStr">
        <is>
          <t>Frontal Asymmetry (Enobio EEG)</t>
        </is>
      </c>
      <c r="M298">
        <f>LEFT(E298,1)</f>
        <v/>
      </c>
      <c r="N298">
        <f>MID(E298,3,10)</f>
        <v/>
      </c>
      <c r="O298">
        <f>IF(F298="Stimulus",IF(LEFT(G298,8)="Baseline",G298,IF(LEFT(G298,12)="Commercial_1","C1","C2")),IF(G298="KeyScene","KeyScene",IF(LEFT(J298,12)="Commercial_1","EndScene_C1","EndScene_C2")))</f>
        <v/>
      </c>
      <c r="P298">
        <f>IF(COUNTIFS(Artifact!$B$2:$B$385,B298,Artifact!$K$2:$K$385,"&gt;25")+COUNTIFS(Log!$A$2:$A$49,B298,Log!$H$2:$H$49,"Red")+COUNTIFS(Log!$A$2:$A$49,B298,Log!$I$2:$I$49,"Red")&gt;0,"No","Yes")</f>
        <v/>
      </c>
      <c r="Q298">
        <f>IF(COUNTIFS(Artifact!$B$2:$B$385,B298,Artifact!$K$2:$K$385,"&gt;15")+COUNTIFS(Log!$A$2:$A$49,B298,Log!$H$2:$H$49,"Red")+COUNTIFS(Log!$A$2:$A$49,B298,Log!$I$2:$I$49,"Red")&gt;0,"No","Yes")</f>
        <v/>
      </c>
    </row>
    <row r="299">
      <c r="A299" t="inlineStr">
        <is>
          <t>SIMULATED Commercial FA Study</t>
        </is>
      </c>
      <c r="B299" t="inlineStr">
        <is>
          <t>P46</t>
        </is>
      </c>
      <c r="C299" t="inlineStr">
        <is>
          <t>M</t>
        </is>
      </c>
      <c r="D299" t="n">
        <v>19</v>
      </c>
      <c r="E299" t="inlineStr">
        <is>
          <t>A_C2first</t>
        </is>
      </c>
      <c r="F299" t="inlineStr">
        <is>
          <t>Annotation</t>
        </is>
      </c>
      <c r="G299" t="inlineStr">
        <is>
          <t>KeyScene</t>
        </is>
      </c>
      <c r="H299" t="n">
        <v>293000</v>
      </c>
      <c r="I299" t="n">
        <v>6000</v>
      </c>
      <c r="J299" t="inlineStr">
        <is>
          <t>Commercial_1A</t>
        </is>
      </c>
      <c r="K299" s="4" t="n">
        <v>0.053</v>
      </c>
      <c r="L299" t="inlineStr">
        <is>
          <t>Frontal Asymmetry (Enobio EEG)</t>
        </is>
      </c>
      <c r="M299">
        <f>LEFT(E299,1)</f>
        <v/>
      </c>
      <c r="N299">
        <f>MID(E299,3,10)</f>
        <v/>
      </c>
      <c r="O299">
        <f>IF(F299="Stimulus",IF(LEFT(G299,8)="Baseline",G299,IF(LEFT(G299,12)="Commercial_1","C1","C2")),IF(G299="KeyScene","KeyScene",IF(LEFT(J299,12)="Commercial_1","EndScene_C1","EndScene_C2")))</f>
        <v/>
      </c>
      <c r="P299">
        <f>IF(COUNTIFS(Artifact!$B$2:$B$385,B299,Artifact!$K$2:$K$385,"&gt;25")+COUNTIFS(Log!$A$2:$A$49,B299,Log!$H$2:$H$49,"Red")+COUNTIFS(Log!$A$2:$A$49,B299,Log!$I$2:$I$49,"Red")&gt;0,"No","Yes")</f>
        <v/>
      </c>
      <c r="Q299">
        <f>IF(COUNTIFS(Artifact!$B$2:$B$385,B299,Artifact!$K$2:$K$385,"&gt;15")+COUNTIFS(Log!$A$2:$A$49,B299,Log!$H$2:$H$49,"Red")+COUNTIFS(Log!$A$2:$A$49,B299,Log!$I$2:$I$49,"Red")&gt;0,"No","Yes")</f>
        <v/>
      </c>
    </row>
    <row r="300">
      <c r="A300" t="inlineStr">
        <is>
          <t>SIMULATED Commercial FA Study</t>
        </is>
      </c>
      <c r="B300" t="inlineStr">
        <is>
          <t>P46</t>
        </is>
      </c>
      <c r="C300" t="inlineStr">
        <is>
          <t>M</t>
        </is>
      </c>
      <c r="D300" t="n">
        <v>19</v>
      </c>
      <c r="E300" t="inlineStr">
        <is>
          <t>A_C2first</t>
        </is>
      </c>
      <c r="F300" t="inlineStr">
        <is>
          <t>Annotation</t>
        </is>
      </c>
      <c r="G300" t="inlineStr">
        <is>
          <t>EndScene</t>
        </is>
      </c>
      <c r="H300" t="n">
        <v>311000</v>
      </c>
      <c r="I300" t="n">
        <v>10000</v>
      </c>
      <c r="J300" t="inlineStr">
        <is>
          <t>Commercial_1A</t>
        </is>
      </c>
      <c r="K300" s="4" t="n">
        <v>-0.1806</v>
      </c>
      <c r="L300" t="inlineStr">
        <is>
          <t>Frontal Asymmetry (Enobio EEG)</t>
        </is>
      </c>
      <c r="M300">
        <f>LEFT(E300,1)</f>
        <v/>
      </c>
      <c r="N300">
        <f>MID(E300,3,10)</f>
        <v/>
      </c>
      <c r="O300">
        <f>IF(F300="Stimulus",IF(LEFT(G300,8)="Baseline",G300,IF(LEFT(G300,12)="Commercial_1","C1","C2")),IF(G300="KeyScene","KeyScene",IF(LEFT(J300,12)="Commercial_1","EndScene_C1","EndScene_C2")))</f>
        <v/>
      </c>
      <c r="P300">
        <f>IF(COUNTIFS(Artifact!$B$2:$B$385,B300,Artifact!$K$2:$K$385,"&gt;25")+COUNTIFS(Log!$A$2:$A$49,B300,Log!$H$2:$H$49,"Red")+COUNTIFS(Log!$A$2:$A$49,B300,Log!$I$2:$I$49,"Red")&gt;0,"No","Yes")</f>
        <v/>
      </c>
      <c r="Q300">
        <f>IF(COUNTIFS(Artifact!$B$2:$B$385,B300,Artifact!$K$2:$K$385,"&gt;15")+COUNTIFS(Log!$A$2:$A$49,B300,Log!$H$2:$H$49,"Red")+COUNTIFS(Log!$A$2:$A$49,B300,Log!$I$2:$I$49,"Red")&gt;0,"No","Yes")</f>
        <v/>
      </c>
    </row>
    <row r="301">
      <c r="A301" t="inlineStr">
        <is>
          <t>SIMULATED Commercial FA Study</t>
        </is>
      </c>
      <c r="B301" t="inlineStr">
        <is>
          <t>P47</t>
        </is>
      </c>
      <c r="C301" t="inlineStr">
        <is>
          <t>M</t>
        </is>
      </c>
      <c r="D301" t="n">
        <v>22</v>
      </c>
      <c r="E301" t="inlineStr">
        <is>
          <t>A_C1first</t>
        </is>
      </c>
      <c r="F301" t="inlineStr">
        <is>
          <t>Stimulus</t>
        </is>
      </c>
      <c r="G301" t="inlineStr">
        <is>
          <t>Baseline_1</t>
        </is>
      </c>
      <c r="H301" t="n">
        <v>27000</v>
      </c>
      <c r="I301" t="n">
        <v>60000</v>
      </c>
      <c r="J301" t="inlineStr">
        <is>
          <t>Baseline_1</t>
        </is>
      </c>
      <c r="K301" s="4" t="n">
        <v>-0.0258</v>
      </c>
      <c r="L301" t="inlineStr">
        <is>
          <t>Frontal Asymmetry (Enobio EEG)</t>
        </is>
      </c>
      <c r="M301">
        <f>LEFT(E301,1)</f>
        <v/>
      </c>
      <c r="N301">
        <f>MID(E301,3,10)</f>
        <v/>
      </c>
      <c r="O301">
        <f>IF(F301="Stimulus",IF(LEFT(G301,8)="Baseline",G301,IF(LEFT(G301,12)="Commercial_1","C1","C2")),IF(G301="KeyScene","KeyScene",IF(LEFT(J301,12)="Commercial_1","EndScene_C1","EndScene_C2")))</f>
        <v/>
      </c>
      <c r="P301">
        <f>IF(COUNTIFS(Artifact!$B$2:$B$385,B301,Artifact!$K$2:$K$385,"&gt;25")+COUNTIFS(Log!$A$2:$A$49,B301,Log!$H$2:$H$49,"Red")+COUNTIFS(Log!$A$2:$A$49,B301,Log!$I$2:$I$49,"Red")&gt;0,"No","Yes")</f>
        <v/>
      </c>
      <c r="Q301">
        <f>IF(COUNTIFS(Artifact!$B$2:$B$385,B301,Artifact!$K$2:$K$385,"&gt;15")+COUNTIFS(Log!$A$2:$A$49,B301,Log!$H$2:$H$49,"Red")+COUNTIFS(Log!$A$2:$A$49,B301,Log!$I$2:$I$49,"Red")&gt;0,"No","Yes")</f>
        <v/>
      </c>
    </row>
    <row r="302">
      <c r="A302" t="inlineStr">
        <is>
          <t>SIMULATED Commercial FA Study</t>
        </is>
      </c>
      <c r="B302" t="inlineStr">
        <is>
          <t>P47</t>
        </is>
      </c>
      <c r="C302" t="inlineStr">
        <is>
          <t>M</t>
        </is>
      </c>
      <c r="D302" t="n">
        <v>22</v>
      </c>
      <c r="E302" t="inlineStr">
        <is>
          <t>A_C1first</t>
        </is>
      </c>
      <c r="F302" t="inlineStr">
        <is>
          <t>Stimulus</t>
        </is>
      </c>
      <c r="G302" t="inlineStr">
        <is>
          <t>Commercial_1A</t>
        </is>
      </c>
      <c r="H302" t="n">
        <v>87000</v>
      </c>
      <c r="I302" t="n">
        <v>60000</v>
      </c>
      <c r="J302" t="inlineStr">
        <is>
          <t>Commercial_1A</t>
        </is>
      </c>
      <c r="K302" s="4" t="n">
        <v>-0.0641</v>
      </c>
      <c r="L302" t="inlineStr">
        <is>
          <t>Frontal Asymmetry (Enobio EEG)</t>
        </is>
      </c>
      <c r="M302">
        <f>LEFT(E302,1)</f>
        <v/>
      </c>
      <c r="N302">
        <f>MID(E302,3,10)</f>
        <v/>
      </c>
      <c r="O302">
        <f>IF(F302="Stimulus",IF(LEFT(G302,8)="Baseline",G302,IF(LEFT(G302,12)="Commercial_1","C1","C2")),IF(G302="KeyScene","KeyScene",IF(LEFT(J302,12)="Commercial_1","EndScene_C1","EndScene_C2")))</f>
        <v/>
      </c>
      <c r="P302">
        <f>IF(COUNTIFS(Artifact!$B$2:$B$385,B302,Artifact!$K$2:$K$385,"&gt;25")+COUNTIFS(Log!$A$2:$A$49,B302,Log!$H$2:$H$49,"Red")+COUNTIFS(Log!$A$2:$A$49,B302,Log!$I$2:$I$49,"Red")&gt;0,"No","Yes")</f>
        <v/>
      </c>
      <c r="Q302">
        <f>IF(COUNTIFS(Artifact!$B$2:$B$385,B302,Artifact!$K$2:$K$385,"&gt;15")+COUNTIFS(Log!$A$2:$A$49,B302,Log!$H$2:$H$49,"Red")+COUNTIFS(Log!$A$2:$A$49,B302,Log!$I$2:$I$49,"Red")&gt;0,"No","Yes")</f>
        <v/>
      </c>
    </row>
    <row r="303">
      <c r="A303" t="inlineStr">
        <is>
          <t>SIMULATED Commercial FA Study</t>
        </is>
      </c>
      <c r="B303" t="inlineStr">
        <is>
          <t>P47</t>
        </is>
      </c>
      <c r="C303" t="inlineStr">
        <is>
          <t>M</t>
        </is>
      </c>
      <c r="D303" t="n">
        <v>22</v>
      </c>
      <c r="E303" t="inlineStr">
        <is>
          <t>A_C1first</t>
        </is>
      </c>
      <c r="F303" t="inlineStr">
        <is>
          <t>Stimulus</t>
        </is>
      </c>
      <c r="G303" t="inlineStr">
        <is>
          <t>Baseline_2</t>
        </is>
      </c>
      <c r="H303" t="n">
        <v>186000</v>
      </c>
      <c r="I303" t="n">
        <v>60000</v>
      </c>
      <c r="J303" t="inlineStr">
        <is>
          <t>Baseline_2</t>
        </is>
      </c>
      <c r="K303" s="4" t="n">
        <v>-0.1242</v>
      </c>
      <c r="L303" t="inlineStr">
        <is>
          <t>Frontal Asymmetry (Enobio EEG)</t>
        </is>
      </c>
      <c r="M303">
        <f>LEFT(E303,1)</f>
        <v/>
      </c>
      <c r="N303">
        <f>MID(E303,3,10)</f>
        <v/>
      </c>
      <c r="O303">
        <f>IF(F303="Stimulus",IF(LEFT(G303,8)="Baseline",G303,IF(LEFT(G303,12)="Commercial_1","C1","C2")),IF(G303="KeyScene","KeyScene",IF(LEFT(J303,12)="Commercial_1","EndScene_C1","EndScene_C2")))</f>
        <v/>
      </c>
      <c r="P303">
        <f>IF(COUNTIFS(Artifact!$B$2:$B$385,B303,Artifact!$K$2:$K$385,"&gt;25")+COUNTIFS(Log!$A$2:$A$49,B303,Log!$H$2:$H$49,"Red")+COUNTIFS(Log!$A$2:$A$49,B303,Log!$I$2:$I$49,"Red")&gt;0,"No","Yes")</f>
        <v/>
      </c>
      <c r="Q303">
        <f>IF(COUNTIFS(Artifact!$B$2:$B$385,B303,Artifact!$K$2:$K$385,"&gt;15")+COUNTIFS(Log!$A$2:$A$49,B303,Log!$H$2:$H$49,"Red")+COUNTIFS(Log!$A$2:$A$49,B303,Log!$I$2:$I$49,"Red")&gt;0,"No","Yes")</f>
        <v/>
      </c>
    </row>
    <row r="304">
      <c r="A304" t="inlineStr">
        <is>
          <t>SIMULATED Commercial FA Study</t>
        </is>
      </c>
      <c r="B304" t="inlineStr">
        <is>
          <t>P47</t>
        </is>
      </c>
      <c r="C304" t="inlineStr">
        <is>
          <t>M</t>
        </is>
      </c>
      <c r="D304" t="n">
        <v>22</v>
      </c>
      <c r="E304" t="inlineStr">
        <is>
          <t>A_C1first</t>
        </is>
      </c>
      <c r="F304" t="inlineStr">
        <is>
          <t>Stimulus</t>
        </is>
      </c>
      <c r="G304" t="inlineStr">
        <is>
          <t>Commercial_2</t>
        </is>
      </c>
      <c r="H304" t="n">
        <v>246000</v>
      </c>
      <c r="I304" t="n">
        <v>60000</v>
      </c>
      <c r="J304" t="inlineStr">
        <is>
          <t>Commercial_2</t>
        </is>
      </c>
      <c r="K304" s="4" t="n">
        <v>-0.1269</v>
      </c>
      <c r="L304" t="inlineStr">
        <is>
          <t>Frontal Asymmetry (Enobio EEG)</t>
        </is>
      </c>
      <c r="M304">
        <f>LEFT(E304,1)</f>
        <v/>
      </c>
      <c r="N304">
        <f>MID(E304,3,10)</f>
        <v/>
      </c>
      <c r="O304">
        <f>IF(F304="Stimulus",IF(LEFT(G304,8)="Baseline",G304,IF(LEFT(G304,12)="Commercial_1","C1","C2")),IF(G304="KeyScene","KeyScene",IF(LEFT(J304,12)="Commercial_1","EndScene_C1","EndScene_C2")))</f>
        <v/>
      </c>
      <c r="P304">
        <f>IF(COUNTIFS(Artifact!$B$2:$B$385,B304,Artifact!$K$2:$K$385,"&gt;25")+COUNTIFS(Log!$A$2:$A$49,B304,Log!$H$2:$H$49,"Red")+COUNTIFS(Log!$A$2:$A$49,B304,Log!$I$2:$I$49,"Red")&gt;0,"No","Yes")</f>
        <v/>
      </c>
      <c r="Q304">
        <f>IF(COUNTIFS(Artifact!$B$2:$B$385,B304,Artifact!$K$2:$K$385,"&gt;15")+COUNTIFS(Log!$A$2:$A$49,B304,Log!$H$2:$H$49,"Red")+COUNTIFS(Log!$A$2:$A$49,B304,Log!$I$2:$I$49,"Red")&gt;0,"No","Yes")</f>
        <v/>
      </c>
    </row>
    <row r="305">
      <c r="A305" t="inlineStr">
        <is>
          <t>SIMULATED Commercial FA Study</t>
        </is>
      </c>
      <c r="B305" t="inlineStr">
        <is>
          <t>P47</t>
        </is>
      </c>
      <c r="C305" t="inlineStr">
        <is>
          <t>M</t>
        </is>
      </c>
      <c r="D305" t="n">
        <v>22</v>
      </c>
      <c r="E305" t="inlineStr">
        <is>
          <t>A_C1first</t>
        </is>
      </c>
      <c r="F305" t="inlineStr">
        <is>
          <t>Annotation</t>
        </is>
      </c>
      <c r="G305" t="inlineStr">
        <is>
          <t>KeyScene</t>
        </is>
      </c>
      <c r="H305" t="n">
        <v>119000</v>
      </c>
      <c r="I305" t="n">
        <v>6000</v>
      </c>
      <c r="J305" t="inlineStr">
        <is>
          <t>Commercial_1A</t>
        </is>
      </c>
      <c r="K305" s="4" t="n">
        <v>-0.037</v>
      </c>
      <c r="L305" t="inlineStr">
        <is>
          <t>Frontal Asymmetry (Enobio EEG)</t>
        </is>
      </c>
      <c r="M305">
        <f>LEFT(E305,1)</f>
        <v/>
      </c>
      <c r="N305">
        <f>MID(E305,3,10)</f>
        <v/>
      </c>
      <c r="O305">
        <f>IF(F305="Stimulus",IF(LEFT(G305,8)="Baseline",G305,IF(LEFT(G305,12)="Commercial_1","C1","C2")),IF(G305="KeyScene","KeyScene",IF(LEFT(J305,12)="Commercial_1","EndScene_C1","EndScene_C2")))</f>
        <v/>
      </c>
      <c r="P305">
        <f>IF(COUNTIFS(Artifact!$B$2:$B$385,B305,Artifact!$K$2:$K$385,"&gt;25")+COUNTIFS(Log!$A$2:$A$49,B305,Log!$H$2:$H$49,"Red")+COUNTIFS(Log!$A$2:$A$49,B305,Log!$I$2:$I$49,"Red")&gt;0,"No","Yes")</f>
        <v/>
      </c>
      <c r="Q305">
        <f>IF(COUNTIFS(Artifact!$B$2:$B$385,B305,Artifact!$K$2:$K$385,"&gt;15")+COUNTIFS(Log!$A$2:$A$49,B305,Log!$H$2:$H$49,"Red")+COUNTIFS(Log!$A$2:$A$49,B305,Log!$I$2:$I$49,"Red")&gt;0,"No","Yes")</f>
        <v/>
      </c>
    </row>
    <row r="306">
      <c r="A306" t="inlineStr">
        <is>
          <t>SIMULATED Commercial FA Study</t>
        </is>
      </c>
      <c r="B306" t="inlineStr">
        <is>
          <t>P47</t>
        </is>
      </c>
      <c r="C306" t="inlineStr">
        <is>
          <t>M</t>
        </is>
      </c>
      <c r="D306" t="n">
        <v>22</v>
      </c>
      <c r="E306" t="inlineStr">
        <is>
          <t>A_C1first</t>
        </is>
      </c>
      <c r="F306" t="inlineStr">
        <is>
          <t>Annotation</t>
        </is>
      </c>
      <c r="G306" t="inlineStr">
        <is>
          <t>EndScene</t>
        </is>
      </c>
      <c r="H306" t="n">
        <v>137000</v>
      </c>
      <c r="I306" t="n">
        <v>10000</v>
      </c>
      <c r="J306" t="inlineStr">
        <is>
          <t>Commercial_1A</t>
        </is>
      </c>
      <c r="K306" s="4" t="n">
        <v>0.0054</v>
      </c>
      <c r="L306" t="inlineStr">
        <is>
          <t>Frontal Asymmetry (Enobio EEG)</t>
        </is>
      </c>
      <c r="M306">
        <f>LEFT(E306,1)</f>
        <v/>
      </c>
      <c r="N306">
        <f>MID(E306,3,10)</f>
        <v/>
      </c>
      <c r="O306">
        <f>IF(F306="Stimulus",IF(LEFT(G306,8)="Baseline",G306,IF(LEFT(G306,12)="Commercial_1","C1","C2")),IF(G306="KeyScene","KeyScene",IF(LEFT(J306,12)="Commercial_1","EndScene_C1","EndScene_C2")))</f>
        <v/>
      </c>
      <c r="P306">
        <f>IF(COUNTIFS(Artifact!$B$2:$B$385,B306,Artifact!$K$2:$K$385,"&gt;25")+COUNTIFS(Log!$A$2:$A$49,B306,Log!$H$2:$H$49,"Red")+COUNTIFS(Log!$A$2:$A$49,B306,Log!$I$2:$I$49,"Red")&gt;0,"No","Yes")</f>
        <v/>
      </c>
      <c r="Q306">
        <f>IF(COUNTIFS(Artifact!$B$2:$B$385,B306,Artifact!$K$2:$K$385,"&gt;15")+COUNTIFS(Log!$A$2:$A$49,B306,Log!$H$2:$H$49,"Red")+COUNTIFS(Log!$A$2:$A$49,B306,Log!$I$2:$I$49,"Red")&gt;0,"No","Yes")</f>
        <v/>
      </c>
    </row>
    <row r="307">
      <c r="A307" t="inlineStr">
        <is>
          <t>SIMULATED Commercial FA Study</t>
        </is>
      </c>
      <c r="B307" t="inlineStr">
        <is>
          <t>P47</t>
        </is>
      </c>
      <c r="C307" t="inlineStr">
        <is>
          <t>M</t>
        </is>
      </c>
      <c r="D307" t="n">
        <v>22</v>
      </c>
      <c r="E307" t="inlineStr">
        <is>
          <t>A_C1first</t>
        </is>
      </c>
      <c r="F307" t="inlineStr">
        <is>
          <t>Annotation</t>
        </is>
      </c>
      <c r="G307" t="inlineStr">
        <is>
          <t>EndScene</t>
        </is>
      </c>
      <c r="H307" t="n">
        <v>296000</v>
      </c>
      <c r="I307" t="n">
        <v>10000</v>
      </c>
      <c r="J307" t="inlineStr">
        <is>
          <t>Commercial_2</t>
        </is>
      </c>
      <c r="K307" s="4" t="n">
        <v>-0.1321</v>
      </c>
      <c r="L307" t="inlineStr">
        <is>
          <t>Frontal Asymmetry (Enobio EEG)</t>
        </is>
      </c>
      <c r="M307">
        <f>LEFT(E307,1)</f>
        <v/>
      </c>
      <c r="N307">
        <f>MID(E307,3,10)</f>
        <v/>
      </c>
      <c r="O307">
        <f>IF(F307="Stimulus",IF(LEFT(G307,8)="Baseline",G307,IF(LEFT(G307,12)="Commercial_1","C1","C2")),IF(G307="KeyScene","KeyScene",IF(LEFT(J307,12)="Commercial_1","EndScene_C1","EndScene_C2")))</f>
        <v/>
      </c>
      <c r="P307">
        <f>IF(COUNTIFS(Artifact!$B$2:$B$385,B307,Artifact!$K$2:$K$385,"&gt;25")+COUNTIFS(Log!$A$2:$A$49,B307,Log!$H$2:$H$49,"Red")+COUNTIFS(Log!$A$2:$A$49,B307,Log!$I$2:$I$49,"Red")&gt;0,"No","Yes")</f>
        <v/>
      </c>
      <c r="Q307">
        <f>IF(COUNTIFS(Artifact!$B$2:$B$385,B307,Artifact!$K$2:$K$385,"&gt;15")+COUNTIFS(Log!$A$2:$A$49,B307,Log!$H$2:$H$49,"Red")+COUNTIFS(Log!$A$2:$A$49,B307,Log!$I$2:$I$49,"Red")&gt;0,"No","Yes")</f>
        <v/>
      </c>
    </row>
    <row r="308">
      <c r="A308" t="inlineStr">
        <is>
          <t>SIMULATED Commercial FA Study</t>
        </is>
      </c>
      <c r="B308" t="inlineStr">
        <is>
          <t>P48</t>
        </is>
      </c>
      <c r="C308" t="inlineStr">
        <is>
          <t>F</t>
        </is>
      </c>
      <c r="D308" t="n">
        <v>21</v>
      </c>
      <c r="E308" t="inlineStr">
        <is>
          <t>B_C1first</t>
        </is>
      </c>
      <c r="F308" t="inlineStr">
        <is>
          <t>Stimulus</t>
        </is>
      </c>
      <c r="G308" t="inlineStr">
        <is>
          <t>Baseline_1</t>
        </is>
      </c>
      <c r="H308" t="n">
        <v>39000</v>
      </c>
      <c r="I308" t="n">
        <v>60000</v>
      </c>
      <c r="J308" t="inlineStr">
        <is>
          <t>Baseline_1</t>
        </is>
      </c>
      <c r="K308" s="4" t="n">
        <v>-0.0921</v>
      </c>
      <c r="L308" t="inlineStr">
        <is>
          <t>Frontal Asymmetry (Enobio EEG)</t>
        </is>
      </c>
      <c r="M308">
        <f>LEFT(E308,1)</f>
        <v/>
      </c>
      <c r="N308">
        <f>MID(E308,3,10)</f>
        <v/>
      </c>
      <c r="O308">
        <f>IF(F308="Stimulus",IF(LEFT(G308,8)="Baseline",G308,IF(LEFT(G308,12)="Commercial_1","C1","C2")),IF(G308="KeyScene","KeyScene",IF(LEFT(J308,12)="Commercial_1","EndScene_C1","EndScene_C2")))</f>
        <v/>
      </c>
      <c r="P308">
        <f>IF(COUNTIFS(Artifact!$B$2:$B$385,B308,Artifact!$K$2:$K$385,"&gt;25")+COUNTIFS(Log!$A$2:$A$49,B308,Log!$H$2:$H$49,"Red")+COUNTIFS(Log!$A$2:$A$49,B308,Log!$I$2:$I$49,"Red")&gt;0,"No","Yes")</f>
        <v/>
      </c>
      <c r="Q308">
        <f>IF(COUNTIFS(Artifact!$B$2:$B$385,B308,Artifact!$K$2:$K$385,"&gt;15")+COUNTIFS(Log!$A$2:$A$49,B308,Log!$H$2:$H$49,"Red")+COUNTIFS(Log!$A$2:$A$49,B308,Log!$I$2:$I$49,"Red")&gt;0,"No","Yes")</f>
        <v/>
      </c>
    </row>
    <row r="309">
      <c r="A309" t="inlineStr">
        <is>
          <t>SIMULATED Commercial FA Study</t>
        </is>
      </c>
      <c r="B309" t="inlineStr">
        <is>
          <t>P48</t>
        </is>
      </c>
      <c r="C309" t="inlineStr">
        <is>
          <t>F</t>
        </is>
      </c>
      <c r="D309" t="n">
        <v>21</v>
      </c>
      <c r="E309" t="inlineStr">
        <is>
          <t>B_C1first</t>
        </is>
      </c>
      <c r="F309" t="inlineStr">
        <is>
          <t>Stimulus</t>
        </is>
      </c>
      <c r="G309" t="inlineStr">
        <is>
          <t>Commercial_1B</t>
        </is>
      </c>
      <c r="H309" t="n">
        <v>99000</v>
      </c>
      <c r="I309" t="n">
        <v>54000</v>
      </c>
      <c r="J309" t="inlineStr">
        <is>
          <t>Commercial_1B</t>
        </is>
      </c>
      <c r="K309" s="4" t="n">
        <v>-0.0898</v>
      </c>
      <c r="L309" t="inlineStr">
        <is>
          <t>Frontal Asymmetry (Enobio EEG)</t>
        </is>
      </c>
      <c r="M309">
        <f>LEFT(E309,1)</f>
        <v/>
      </c>
      <c r="N309">
        <f>MID(E309,3,10)</f>
        <v/>
      </c>
      <c r="O309">
        <f>IF(F309="Stimulus",IF(LEFT(G309,8)="Baseline",G309,IF(LEFT(G309,12)="Commercial_1","C1","C2")),IF(G309="KeyScene","KeyScene",IF(LEFT(J309,12)="Commercial_1","EndScene_C1","EndScene_C2")))</f>
        <v/>
      </c>
      <c r="P309">
        <f>IF(COUNTIFS(Artifact!$B$2:$B$385,B309,Artifact!$K$2:$K$385,"&gt;25")+COUNTIFS(Log!$A$2:$A$49,B309,Log!$H$2:$H$49,"Red")+COUNTIFS(Log!$A$2:$A$49,B309,Log!$I$2:$I$49,"Red")&gt;0,"No","Yes")</f>
        <v/>
      </c>
      <c r="Q309">
        <f>IF(COUNTIFS(Artifact!$B$2:$B$385,B309,Artifact!$K$2:$K$385,"&gt;15")+COUNTIFS(Log!$A$2:$A$49,B309,Log!$H$2:$H$49,"Red")+COUNTIFS(Log!$A$2:$A$49,B309,Log!$I$2:$I$49,"Red")&gt;0,"No","Yes")</f>
        <v/>
      </c>
    </row>
    <row r="310">
      <c r="A310" t="inlineStr">
        <is>
          <t>SIMULATED Commercial FA Study</t>
        </is>
      </c>
      <c r="B310" t="inlineStr">
        <is>
          <t>P48</t>
        </is>
      </c>
      <c r="C310" t="inlineStr">
        <is>
          <t>F</t>
        </is>
      </c>
      <c r="D310" t="n">
        <v>21</v>
      </c>
      <c r="E310" t="inlineStr">
        <is>
          <t>B_C1first</t>
        </is>
      </c>
      <c r="F310" t="inlineStr">
        <is>
          <t>Stimulus</t>
        </is>
      </c>
      <c r="G310" t="inlineStr">
        <is>
          <t>Baseline_2</t>
        </is>
      </c>
      <c r="H310" t="n">
        <v>189000</v>
      </c>
      <c r="I310" t="n">
        <v>60000</v>
      </c>
      <c r="J310" t="inlineStr">
        <is>
          <t>Baseline_2</t>
        </is>
      </c>
      <c r="K310" s="4" t="n">
        <v>-0.1239</v>
      </c>
      <c r="L310" t="inlineStr">
        <is>
          <t>Frontal Asymmetry (Enobio EEG)</t>
        </is>
      </c>
      <c r="M310">
        <f>LEFT(E310,1)</f>
        <v/>
      </c>
      <c r="N310">
        <f>MID(E310,3,10)</f>
        <v/>
      </c>
      <c r="O310">
        <f>IF(F310="Stimulus",IF(LEFT(G310,8)="Baseline",G310,IF(LEFT(G310,12)="Commercial_1","C1","C2")),IF(G310="KeyScene","KeyScene",IF(LEFT(J310,12)="Commercial_1","EndScene_C1","EndScene_C2")))</f>
        <v/>
      </c>
      <c r="P310">
        <f>IF(COUNTIFS(Artifact!$B$2:$B$385,B310,Artifact!$K$2:$K$385,"&gt;25")+COUNTIFS(Log!$A$2:$A$49,B310,Log!$H$2:$H$49,"Red")+COUNTIFS(Log!$A$2:$A$49,B310,Log!$I$2:$I$49,"Red")&gt;0,"No","Yes")</f>
        <v/>
      </c>
      <c r="Q310">
        <f>IF(COUNTIFS(Artifact!$B$2:$B$385,B310,Artifact!$K$2:$K$385,"&gt;15")+COUNTIFS(Log!$A$2:$A$49,B310,Log!$H$2:$H$49,"Red")+COUNTIFS(Log!$A$2:$A$49,B310,Log!$I$2:$I$49,"Red")&gt;0,"No","Yes")</f>
        <v/>
      </c>
    </row>
    <row r="311">
      <c r="A311" t="inlineStr">
        <is>
          <t>SIMULATED Commercial FA Study</t>
        </is>
      </c>
      <c r="B311" t="inlineStr">
        <is>
          <t>P48</t>
        </is>
      </c>
      <c r="C311" t="inlineStr">
        <is>
          <t>F</t>
        </is>
      </c>
      <c r="D311" t="n">
        <v>21</v>
      </c>
      <c r="E311" t="inlineStr">
        <is>
          <t>B_C1first</t>
        </is>
      </c>
      <c r="F311" t="inlineStr">
        <is>
          <t>Stimulus</t>
        </is>
      </c>
      <c r="G311" t="inlineStr">
        <is>
          <t>Commercial_2</t>
        </is>
      </c>
      <c r="H311" t="n">
        <v>249000</v>
      </c>
      <c r="I311" t="n">
        <v>60000</v>
      </c>
      <c r="J311" t="inlineStr">
        <is>
          <t>Commercial_2</t>
        </is>
      </c>
      <c r="K311" s="4" t="n">
        <v>-0.1287</v>
      </c>
      <c r="L311" t="inlineStr">
        <is>
          <t>Frontal Asymmetry (Enobio EEG)</t>
        </is>
      </c>
      <c r="M311">
        <f>LEFT(E311,1)</f>
        <v/>
      </c>
      <c r="N311">
        <f>MID(E311,3,10)</f>
        <v/>
      </c>
      <c r="O311">
        <f>IF(F311="Stimulus",IF(LEFT(G311,8)="Baseline",G311,IF(LEFT(G311,12)="Commercial_1","C1","C2")),IF(G311="KeyScene","KeyScene",IF(LEFT(J311,12)="Commercial_1","EndScene_C1","EndScene_C2")))</f>
        <v/>
      </c>
      <c r="P311">
        <f>IF(COUNTIFS(Artifact!$B$2:$B$385,B311,Artifact!$K$2:$K$385,"&gt;25")+COUNTIFS(Log!$A$2:$A$49,B311,Log!$H$2:$H$49,"Red")+COUNTIFS(Log!$A$2:$A$49,B311,Log!$I$2:$I$49,"Red")&gt;0,"No","Yes")</f>
        <v/>
      </c>
      <c r="Q311">
        <f>IF(COUNTIFS(Artifact!$B$2:$B$385,B311,Artifact!$K$2:$K$385,"&gt;15")+COUNTIFS(Log!$A$2:$A$49,B311,Log!$H$2:$H$49,"Red")+COUNTIFS(Log!$A$2:$A$49,B311,Log!$I$2:$I$49,"Red")&gt;0,"No","Yes")</f>
        <v/>
      </c>
    </row>
    <row r="312">
      <c r="A312" t="inlineStr">
        <is>
          <t>SIMULATED Commercial FA Study</t>
        </is>
      </c>
      <c r="B312" t="inlineStr">
        <is>
          <t>P48</t>
        </is>
      </c>
      <c r="C312" t="inlineStr">
        <is>
          <t>F</t>
        </is>
      </c>
      <c r="D312" t="n">
        <v>21</v>
      </c>
      <c r="E312" t="inlineStr">
        <is>
          <t>B_C1first</t>
        </is>
      </c>
      <c r="F312" t="inlineStr">
        <is>
          <t>Annotation</t>
        </is>
      </c>
      <c r="G312" t="inlineStr">
        <is>
          <t>EndScene</t>
        </is>
      </c>
      <c r="H312" t="n">
        <v>143000</v>
      </c>
      <c r="I312" t="n">
        <v>10000</v>
      </c>
      <c r="J312" t="inlineStr">
        <is>
          <t>Commercial_1B</t>
        </is>
      </c>
      <c r="K312" s="4" t="n">
        <v>-0.0367</v>
      </c>
      <c r="L312" t="inlineStr">
        <is>
          <t>Frontal Asymmetry (Enobio EEG)</t>
        </is>
      </c>
      <c r="M312">
        <f>LEFT(E312,1)</f>
        <v/>
      </c>
      <c r="N312">
        <f>MID(E312,3,10)</f>
        <v/>
      </c>
      <c r="O312">
        <f>IF(F312="Stimulus",IF(LEFT(G312,8)="Baseline",G312,IF(LEFT(G312,12)="Commercial_1","C1","C2")),IF(G312="KeyScene","KeyScene",IF(LEFT(J312,12)="Commercial_1","EndScene_C1","EndScene_C2")))</f>
        <v/>
      </c>
      <c r="P312">
        <f>IF(COUNTIFS(Artifact!$B$2:$B$385,B312,Artifact!$K$2:$K$385,"&gt;25")+COUNTIFS(Log!$A$2:$A$49,B312,Log!$H$2:$H$49,"Red")+COUNTIFS(Log!$A$2:$A$49,B312,Log!$I$2:$I$49,"Red")&gt;0,"No","Yes")</f>
        <v/>
      </c>
      <c r="Q312">
        <f>IF(COUNTIFS(Artifact!$B$2:$B$385,B312,Artifact!$K$2:$K$385,"&gt;15")+COUNTIFS(Log!$A$2:$A$49,B312,Log!$H$2:$H$49,"Red")+COUNTIFS(Log!$A$2:$A$49,B312,Log!$I$2:$I$49,"Red")&gt;0,"No","Yes")</f>
        <v/>
      </c>
    </row>
    <row r="313">
      <c r="A313" t="inlineStr">
        <is>
          <t>SIMULATED Commercial FA Study</t>
        </is>
      </c>
      <c r="B313" t="inlineStr">
        <is>
          <t>P48</t>
        </is>
      </c>
      <c r="C313" t="inlineStr">
        <is>
          <t>F</t>
        </is>
      </c>
      <c r="D313" t="n">
        <v>21</v>
      </c>
      <c r="E313" t="inlineStr">
        <is>
          <t>B_C1first</t>
        </is>
      </c>
      <c r="F313" t="inlineStr">
        <is>
          <t>Annotation</t>
        </is>
      </c>
      <c r="G313" t="inlineStr">
        <is>
          <t>EndScene</t>
        </is>
      </c>
      <c r="H313" t="n">
        <v>299000</v>
      </c>
      <c r="I313" t="n">
        <v>10000</v>
      </c>
      <c r="J313" t="inlineStr">
        <is>
          <t>Commercial_2</t>
        </is>
      </c>
      <c r="K313" s="4" t="n">
        <v>-0.1907</v>
      </c>
      <c r="L313" t="inlineStr">
        <is>
          <t>Frontal Asymmetry (Enobio EEG)</t>
        </is>
      </c>
      <c r="M313">
        <f>LEFT(E313,1)</f>
        <v/>
      </c>
      <c r="N313">
        <f>MID(E313,3,10)</f>
        <v/>
      </c>
      <c r="O313">
        <f>IF(F313="Stimulus",IF(LEFT(G313,8)="Baseline",G313,IF(LEFT(G313,12)="Commercial_1","C1","C2")),IF(G313="KeyScene","KeyScene",IF(LEFT(J313,12)="Commercial_1","EndScene_C1","EndScene_C2")))</f>
        <v/>
      </c>
      <c r="P313">
        <f>IF(COUNTIFS(Artifact!$B$2:$B$385,B313,Artifact!$K$2:$K$385,"&gt;25")+COUNTIFS(Log!$A$2:$A$49,B313,Log!$H$2:$H$49,"Red")+COUNTIFS(Log!$A$2:$A$49,B313,Log!$I$2:$I$49,"Red")&gt;0,"No","Yes")</f>
        <v/>
      </c>
      <c r="Q313">
        <f>IF(COUNTIFS(Artifact!$B$2:$B$385,B313,Artifact!$K$2:$K$385,"&gt;15")+COUNTIFS(Log!$A$2:$A$49,B313,Log!$H$2:$H$49,"Red")+COUNTIFS(Log!$A$2:$A$49,B313,Log!$I$2:$I$49,"Red")&gt;0,"No","Yes")</f>
        <v/>
      </c>
    </row>
  </sheetData>
  <autoFilter ref="A1:Q3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7" customWidth="1" min="2" max="2"/>
    <col width="8" customWidth="1" min="3" max="3"/>
    <col width="8" customWidth="1" min="4" max="4"/>
    <col width="11" customWidth="1" min="5" max="5"/>
    <col width="12" customWidth="1" min="6" max="6"/>
    <col width="15" customWidth="1" min="7" max="7"/>
    <col width="12" customWidth="1" min="8" max="8"/>
    <col width="15" customWidth="1" min="9" max="9"/>
    <col width="17" customWidth="1" min="10" max="10"/>
    <col width="22" customWidth="1" min="11" max="11"/>
    <col width="22" customWidth="1" min="12" max="12"/>
    <col width="14" customWidth="1" min="13" max="13"/>
    <col width="14" customWidth="1" min="14" max="14"/>
    <col width="14" customWidth="1" min="15" max="15"/>
    <col width="14" customWidth="1" min="16" max="16"/>
    <col width="14" customWidth="1" min="17" max="17"/>
  </cols>
  <sheetData>
    <row r="1">
      <c r="A1" s="2" t="inlineStr">
        <is>
          <t>Study Name</t>
        </is>
      </c>
      <c r="B1" s="2" t="inlineStr">
        <is>
          <t>Respondent Name</t>
        </is>
      </c>
      <c r="C1" s="2" t="inlineStr">
        <is>
          <t>Gender</t>
        </is>
      </c>
      <c r="D1" s="2" t="inlineStr">
        <is>
          <t>Age</t>
        </is>
      </c>
      <c r="E1" s="2" t="inlineStr">
        <is>
          <t>Group</t>
        </is>
      </c>
      <c r="F1" s="2" t="inlineStr">
        <is>
          <t>Type</t>
        </is>
      </c>
      <c r="G1" s="2" t="inlineStr">
        <is>
          <t>Label</t>
        </is>
      </c>
      <c r="H1" s="2" t="inlineStr">
        <is>
          <t>Start (ms)</t>
        </is>
      </c>
      <c r="I1" s="2" t="inlineStr">
        <is>
          <t>Duration (ms)</t>
        </is>
      </c>
      <c r="J1" s="2" t="inlineStr">
        <is>
          <t>Parent Stimulus</t>
        </is>
      </c>
      <c r="K1" s="2" t="inlineStr">
        <is>
          <t>Mean Frontal Asymmetry Alpha</t>
        </is>
      </c>
      <c r="L1" s="2" t="inlineStr">
        <is>
          <t>Algorithm Device Name</t>
        </is>
      </c>
      <c r="M1" s="3" t="inlineStr">
        <is>
          <t>Version</t>
        </is>
      </c>
      <c r="N1" s="3" t="inlineStr">
        <is>
          <t>Order</t>
        </is>
      </c>
      <c r="O1" s="3" t="inlineStr">
        <is>
          <t>Role</t>
        </is>
      </c>
      <c r="P1" s="3" t="inlineStr">
        <is>
          <t>Keep</t>
        </is>
      </c>
      <c r="Q1" s="3" t="inlineStr">
        <is>
          <t>Keep15</t>
        </is>
      </c>
    </row>
    <row r="2">
      <c r="A2" t="inlineStr">
        <is>
          <t>SIMULATED Commercial FA Study</t>
        </is>
      </c>
      <c r="B2" t="inlineStr">
        <is>
          <t>P01</t>
        </is>
      </c>
      <c r="C2" t="inlineStr">
        <is>
          <t>F</t>
        </is>
      </c>
      <c r="D2" t="n">
        <v>22</v>
      </c>
      <c r="E2" t="inlineStr">
        <is>
          <t>B_C2first</t>
        </is>
      </c>
      <c r="F2" t="inlineStr">
        <is>
          <t>Stimulus</t>
        </is>
      </c>
      <c r="G2" t="inlineStr">
        <is>
          <t>Baseline_1</t>
        </is>
      </c>
      <c r="H2" t="n">
        <v>35000</v>
      </c>
      <c r="I2" t="n">
        <v>60000</v>
      </c>
      <c r="J2" t="inlineStr">
        <is>
          <t>Baseline_1</t>
        </is>
      </c>
      <c r="K2" s="4" t="n">
        <v>0.5144</v>
      </c>
      <c r="L2" t="inlineStr">
        <is>
          <t>Frontal Asymmetry (Enobio EEG)</t>
        </is>
      </c>
      <c r="M2">
        <f>LEFT(E2,1)</f>
        <v/>
      </c>
      <c r="N2">
        <f>MID(E2,3,10)</f>
        <v/>
      </c>
      <c r="O2">
        <f>IF(F2="Stimulus",IF(LEFT(G2,8)="Baseline",G2,IF(LEFT(G2,12)="Commercial_1","C1","C2")),IF(G2="KeyScene","KeyScene",IF(LEFT(J2,12)="Commercial_1","EndScene_C1","EndScene_C2")))</f>
        <v/>
      </c>
      <c r="P2">
        <f>IF(COUNTIFS(Artifact!$B$2:$B$385,B2,Artifact!$K$2:$K$385,"&gt;25")+COUNTIFS(Log!$A$2:$A$49,B2,Log!$H$2:$H$49,"Red")+COUNTIFS(Log!$A$2:$A$49,B2,Log!$I$2:$I$49,"Red")&gt;0,"No","Yes")</f>
        <v/>
      </c>
      <c r="Q2">
        <f>IF(COUNTIFS(Artifact!$B$2:$B$385,B2,Artifact!$K$2:$K$385,"&gt;15")+COUNTIFS(Log!$A$2:$A$49,B2,Log!$H$2:$H$49,"Red")+COUNTIFS(Log!$A$2:$A$49,B2,Log!$I$2:$I$49,"Red")&gt;0,"No","Yes")</f>
        <v/>
      </c>
    </row>
    <row r="3">
      <c r="A3" t="inlineStr">
        <is>
          <t>SIMULATED Commercial FA Study</t>
        </is>
      </c>
      <c r="B3" t="inlineStr">
        <is>
          <t>P01</t>
        </is>
      </c>
      <c r="C3" t="inlineStr">
        <is>
          <t>F</t>
        </is>
      </c>
      <c r="D3" t="n">
        <v>22</v>
      </c>
      <c r="E3" t="inlineStr">
        <is>
          <t>B_C2first</t>
        </is>
      </c>
      <c r="F3" t="inlineStr">
        <is>
          <t>Stimulus</t>
        </is>
      </c>
      <c r="G3" t="inlineStr">
        <is>
          <t>Commercial_2</t>
        </is>
      </c>
      <c r="H3" t="n">
        <v>95000</v>
      </c>
      <c r="I3" t="n">
        <v>60000</v>
      </c>
      <c r="J3" t="inlineStr">
        <is>
          <t>Commercial_2</t>
        </is>
      </c>
      <c r="K3" s="4" t="n">
        <v>0.4972</v>
      </c>
      <c r="L3" t="inlineStr">
        <is>
          <t>Frontal Asymmetry (Enobio EEG)</t>
        </is>
      </c>
      <c r="M3">
        <f>LEFT(E3,1)</f>
        <v/>
      </c>
      <c r="N3">
        <f>MID(E3,3,10)</f>
        <v/>
      </c>
      <c r="O3">
        <f>IF(F3="Stimulus",IF(LEFT(G3,8)="Baseline",G3,IF(LEFT(G3,12)="Commercial_1","C1","C2")),IF(G3="KeyScene","KeyScene",IF(LEFT(J3,12)="Commercial_1","EndScene_C1","EndScene_C2")))</f>
        <v/>
      </c>
      <c r="P3">
        <f>IF(COUNTIFS(Artifact!$B$2:$B$385,B3,Artifact!$K$2:$K$385,"&gt;25")+COUNTIFS(Log!$A$2:$A$49,B3,Log!$H$2:$H$49,"Red")+COUNTIFS(Log!$A$2:$A$49,B3,Log!$I$2:$I$49,"Red")&gt;0,"No","Yes")</f>
        <v/>
      </c>
      <c r="Q3">
        <f>IF(COUNTIFS(Artifact!$B$2:$B$385,B3,Artifact!$K$2:$K$385,"&gt;15")+COUNTIFS(Log!$A$2:$A$49,B3,Log!$H$2:$H$49,"Red")+COUNTIFS(Log!$A$2:$A$49,B3,Log!$I$2:$I$49,"Red")&gt;0,"No","Yes")</f>
        <v/>
      </c>
    </row>
    <row r="4">
      <c r="A4" t="inlineStr">
        <is>
          <t>SIMULATED Commercial FA Study</t>
        </is>
      </c>
      <c r="B4" t="inlineStr">
        <is>
          <t>P01</t>
        </is>
      </c>
      <c r="C4" t="inlineStr">
        <is>
          <t>F</t>
        </is>
      </c>
      <c r="D4" t="n">
        <v>22</v>
      </c>
      <c r="E4" t="inlineStr">
        <is>
          <t>B_C2first</t>
        </is>
      </c>
      <c r="F4" t="inlineStr">
        <is>
          <t>Stimulus</t>
        </is>
      </c>
      <c r="G4" t="inlineStr">
        <is>
          <t>Baseline_2</t>
        </is>
      </c>
      <c r="H4" t="n">
        <v>203000</v>
      </c>
      <c r="I4" t="n">
        <v>60000</v>
      </c>
      <c r="J4" t="inlineStr">
        <is>
          <t>Baseline_2</t>
        </is>
      </c>
      <c r="K4" s="4" t="n">
        <v>0.4845</v>
      </c>
      <c r="L4" t="inlineStr">
        <is>
          <t>Frontal Asymmetry (Enobio EEG)</t>
        </is>
      </c>
      <c r="M4">
        <f>LEFT(E4,1)</f>
        <v/>
      </c>
      <c r="N4">
        <f>MID(E4,3,10)</f>
        <v/>
      </c>
      <c r="O4">
        <f>IF(F4="Stimulus",IF(LEFT(G4,8)="Baseline",G4,IF(LEFT(G4,12)="Commercial_1","C1","C2")),IF(G4="KeyScene","KeyScene",IF(LEFT(J4,12)="Commercial_1","EndScene_C1","EndScene_C2")))</f>
        <v/>
      </c>
      <c r="P4">
        <f>IF(COUNTIFS(Artifact!$B$2:$B$385,B4,Artifact!$K$2:$K$385,"&gt;25")+COUNTIFS(Log!$A$2:$A$49,B4,Log!$H$2:$H$49,"Red")+COUNTIFS(Log!$A$2:$A$49,B4,Log!$I$2:$I$49,"Red")&gt;0,"No","Yes")</f>
        <v/>
      </c>
      <c r="Q4">
        <f>IF(COUNTIFS(Artifact!$B$2:$B$385,B4,Artifact!$K$2:$K$385,"&gt;15")+COUNTIFS(Log!$A$2:$A$49,B4,Log!$H$2:$H$49,"Red")+COUNTIFS(Log!$A$2:$A$49,B4,Log!$I$2:$I$49,"Red")&gt;0,"No","Yes")</f>
        <v/>
      </c>
    </row>
    <row r="5">
      <c r="A5" t="inlineStr">
        <is>
          <t>SIMULATED Commercial FA Study</t>
        </is>
      </c>
      <c r="B5" t="inlineStr">
        <is>
          <t>P01</t>
        </is>
      </c>
      <c r="C5" t="inlineStr">
        <is>
          <t>F</t>
        </is>
      </c>
      <c r="D5" t="n">
        <v>22</v>
      </c>
      <c r="E5" t="inlineStr">
        <is>
          <t>B_C2first</t>
        </is>
      </c>
      <c r="F5" t="inlineStr">
        <is>
          <t>Stimulus</t>
        </is>
      </c>
      <c r="G5" t="inlineStr">
        <is>
          <t>Commercial_1B</t>
        </is>
      </c>
      <c r="H5" t="n">
        <v>263000</v>
      </c>
      <c r="I5" t="n">
        <v>54000</v>
      </c>
      <c r="J5" t="inlineStr">
        <is>
          <t>Commercial_1B</t>
        </is>
      </c>
      <c r="K5" s="4" t="n">
        <v>0.5385</v>
      </c>
      <c r="L5" t="inlineStr">
        <is>
          <t>Frontal Asymmetry (Enobio EEG)</t>
        </is>
      </c>
      <c r="M5">
        <f>LEFT(E5,1)</f>
        <v/>
      </c>
      <c r="N5">
        <f>MID(E5,3,10)</f>
        <v/>
      </c>
      <c r="O5">
        <f>IF(F5="Stimulus",IF(LEFT(G5,8)="Baseline",G5,IF(LEFT(G5,12)="Commercial_1","C1","C2")),IF(G5="KeyScene","KeyScene",IF(LEFT(J5,12)="Commercial_1","EndScene_C1","EndScene_C2")))</f>
        <v/>
      </c>
      <c r="P5">
        <f>IF(COUNTIFS(Artifact!$B$2:$B$385,B5,Artifact!$K$2:$K$385,"&gt;25")+COUNTIFS(Log!$A$2:$A$49,B5,Log!$H$2:$H$49,"Red")+COUNTIFS(Log!$A$2:$A$49,B5,Log!$I$2:$I$49,"Red")&gt;0,"No","Yes")</f>
        <v/>
      </c>
      <c r="Q5">
        <f>IF(COUNTIFS(Artifact!$B$2:$B$385,B5,Artifact!$K$2:$K$385,"&gt;15")+COUNTIFS(Log!$A$2:$A$49,B5,Log!$H$2:$H$49,"Red")+COUNTIFS(Log!$A$2:$A$49,B5,Log!$I$2:$I$49,"Red")&gt;0,"No","Yes")</f>
        <v/>
      </c>
    </row>
    <row r="6">
      <c r="A6" t="inlineStr">
        <is>
          <t>SIMULATED Commercial FA Study</t>
        </is>
      </c>
      <c r="B6" t="inlineStr">
        <is>
          <t>P01</t>
        </is>
      </c>
      <c r="C6" t="inlineStr">
        <is>
          <t>F</t>
        </is>
      </c>
      <c r="D6" t="n">
        <v>22</v>
      </c>
      <c r="E6" t="inlineStr">
        <is>
          <t>B_C2first</t>
        </is>
      </c>
      <c r="F6" t="inlineStr">
        <is>
          <t>Annotation</t>
        </is>
      </c>
      <c r="G6" t="inlineStr">
        <is>
          <t>EndScene</t>
        </is>
      </c>
      <c r="H6" t="n">
        <v>145000</v>
      </c>
      <c r="I6" t="n">
        <v>10000</v>
      </c>
      <c r="J6" t="inlineStr">
        <is>
          <t>Commercial_2</t>
        </is>
      </c>
      <c r="K6" s="4" t="n">
        <v>0.5426</v>
      </c>
      <c r="L6" t="inlineStr">
        <is>
          <t>Frontal Asymmetry (Enobio EEG)</t>
        </is>
      </c>
      <c r="M6">
        <f>LEFT(E6,1)</f>
        <v/>
      </c>
      <c r="N6">
        <f>MID(E6,3,10)</f>
        <v/>
      </c>
      <c r="O6">
        <f>IF(F6="Stimulus",IF(LEFT(G6,8)="Baseline",G6,IF(LEFT(G6,12)="Commercial_1","C1","C2")),IF(G6="KeyScene","KeyScene",IF(LEFT(J6,12)="Commercial_1","EndScene_C1","EndScene_C2")))</f>
        <v/>
      </c>
      <c r="P6">
        <f>IF(COUNTIFS(Artifact!$B$2:$B$385,B6,Artifact!$K$2:$K$385,"&gt;25")+COUNTIFS(Log!$A$2:$A$49,B6,Log!$H$2:$H$49,"Red")+COUNTIFS(Log!$A$2:$A$49,B6,Log!$I$2:$I$49,"Red")&gt;0,"No","Yes")</f>
        <v/>
      </c>
      <c r="Q6">
        <f>IF(COUNTIFS(Artifact!$B$2:$B$385,B6,Artifact!$K$2:$K$385,"&gt;15")+COUNTIFS(Log!$A$2:$A$49,B6,Log!$H$2:$H$49,"Red")+COUNTIFS(Log!$A$2:$A$49,B6,Log!$I$2:$I$49,"Red")&gt;0,"No","Yes")</f>
        <v/>
      </c>
    </row>
    <row r="7">
      <c r="A7" t="inlineStr">
        <is>
          <t>SIMULATED Commercial FA Study</t>
        </is>
      </c>
      <c r="B7" t="inlineStr">
        <is>
          <t>P01</t>
        </is>
      </c>
      <c r="C7" t="inlineStr">
        <is>
          <t>F</t>
        </is>
      </c>
      <c r="D7" t="n">
        <v>22</v>
      </c>
      <c r="E7" t="inlineStr">
        <is>
          <t>B_C2first</t>
        </is>
      </c>
      <c r="F7" t="inlineStr">
        <is>
          <t>Annotation</t>
        </is>
      </c>
      <c r="G7" t="inlineStr">
        <is>
          <t>EndScene</t>
        </is>
      </c>
      <c r="H7" t="n">
        <v>307000</v>
      </c>
      <c r="I7" t="n">
        <v>10000</v>
      </c>
      <c r="J7" t="inlineStr">
        <is>
          <t>Commercial_1B</t>
        </is>
      </c>
      <c r="K7" s="4" t="n">
        <v>0.5988</v>
      </c>
      <c r="L7" t="inlineStr">
        <is>
          <t>Frontal Asymmetry (Enobio EEG)</t>
        </is>
      </c>
      <c r="M7">
        <f>LEFT(E7,1)</f>
        <v/>
      </c>
      <c r="N7">
        <f>MID(E7,3,10)</f>
        <v/>
      </c>
      <c r="O7">
        <f>IF(F7="Stimulus",IF(LEFT(G7,8)="Baseline",G7,IF(LEFT(G7,12)="Commercial_1","C1","C2")),IF(G7="KeyScene","KeyScene",IF(LEFT(J7,12)="Commercial_1","EndScene_C1","EndScene_C2")))</f>
        <v/>
      </c>
      <c r="P7">
        <f>IF(COUNTIFS(Artifact!$B$2:$B$385,B7,Artifact!$K$2:$K$385,"&gt;25")+COUNTIFS(Log!$A$2:$A$49,B7,Log!$H$2:$H$49,"Red")+COUNTIFS(Log!$A$2:$A$49,B7,Log!$I$2:$I$49,"Red")&gt;0,"No","Yes")</f>
        <v/>
      </c>
      <c r="Q7">
        <f>IF(COUNTIFS(Artifact!$B$2:$B$385,B7,Artifact!$K$2:$K$385,"&gt;15")+COUNTIFS(Log!$A$2:$A$49,B7,Log!$H$2:$H$49,"Red")+COUNTIFS(Log!$A$2:$A$49,B7,Log!$I$2:$I$49,"Red")&gt;0,"No","Yes")</f>
        <v/>
      </c>
    </row>
    <row r="8">
      <c r="A8" t="inlineStr">
        <is>
          <t>SIMULATED Commercial FA Study</t>
        </is>
      </c>
      <c r="B8" t="inlineStr">
        <is>
          <t>P02</t>
        </is>
      </c>
      <c r="C8" t="inlineStr">
        <is>
          <t>F</t>
        </is>
      </c>
      <c r="D8" t="n">
        <v>22</v>
      </c>
      <c r="E8" t="inlineStr">
        <is>
          <t>A_C2first</t>
        </is>
      </c>
      <c r="F8" t="inlineStr">
        <is>
          <t>Stimulus</t>
        </is>
      </c>
      <c r="G8" t="inlineStr">
        <is>
          <t>Baseline_1</t>
        </is>
      </c>
      <c r="H8" t="n">
        <v>35000</v>
      </c>
      <c r="I8" t="n">
        <v>60000</v>
      </c>
      <c r="J8" t="inlineStr">
        <is>
          <t>Baseline_1</t>
        </is>
      </c>
      <c r="K8" s="4" t="n">
        <v>0.6723</v>
      </c>
      <c r="L8" t="inlineStr">
        <is>
          <t>Frontal Asymmetry (Enobio EEG)</t>
        </is>
      </c>
      <c r="M8">
        <f>LEFT(E8,1)</f>
        <v/>
      </c>
      <c r="N8">
        <f>MID(E8,3,10)</f>
        <v/>
      </c>
      <c r="O8">
        <f>IF(F8="Stimulus",IF(LEFT(G8,8)="Baseline",G8,IF(LEFT(G8,12)="Commercial_1","C1","C2")),IF(G8="KeyScene","KeyScene",IF(LEFT(J8,12)="Commercial_1","EndScene_C1","EndScene_C2")))</f>
        <v/>
      </c>
      <c r="P8">
        <f>IF(COUNTIFS(Artifact!$B$2:$B$385,B8,Artifact!$K$2:$K$385,"&gt;25")+COUNTIFS(Log!$A$2:$A$49,B8,Log!$H$2:$H$49,"Red")+COUNTIFS(Log!$A$2:$A$49,B8,Log!$I$2:$I$49,"Red")&gt;0,"No","Yes")</f>
        <v/>
      </c>
      <c r="Q8">
        <f>IF(COUNTIFS(Artifact!$B$2:$B$385,B8,Artifact!$K$2:$K$385,"&gt;15")+COUNTIFS(Log!$A$2:$A$49,B8,Log!$H$2:$H$49,"Red")+COUNTIFS(Log!$A$2:$A$49,B8,Log!$I$2:$I$49,"Red")&gt;0,"No","Yes")</f>
        <v/>
      </c>
    </row>
    <row r="9">
      <c r="A9" t="inlineStr">
        <is>
          <t>SIMULATED Commercial FA Study</t>
        </is>
      </c>
      <c r="B9" t="inlineStr">
        <is>
          <t>P02</t>
        </is>
      </c>
      <c r="C9" t="inlineStr">
        <is>
          <t>F</t>
        </is>
      </c>
      <c r="D9" t="n">
        <v>22</v>
      </c>
      <c r="E9" t="inlineStr">
        <is>
          <t>A_C2first</t>
        </is>
      </c>
      <c r="F9" t="inlineStr">
        <is>
          <t>Stimulus</t>
        </is>
      </c>
      <c r="G9" t="inlineStr">
        <is>
          <t>Commercial_2</t>
        </is>
      </c>
      <c r="H9" t="n">
        <v>95000</v>
      </c>
      <c r="I9" t="n">
        <v>60000</v>
      </c>
      <c r="J9" t="inlineStr">
        <is>
          <t>Commercial_2</t>
        </is>
      </c>
      <c r="K9" s="4" t="n">
        <v>0.6684</v>
      </c>
      <c r="L9" t="inlineStr">
        <is>
          <t>Frontal Asymmetry (Enobio EEG)</t>
        </is>
      </c>
      <c r="M9">
        <f>LEFT(E9,1)</f>
        <v/>
      </c>
      <c r="N9">
        <f>MID(E9,3,10)</f>
        <v/>
      </c>
      <c r="O9">
        <f>IF(F9="Stimulus",IF(LEFT(G9,8)="Baseline",G9,IF(LEFT(G9,12)="Commercial_1","C1","C2")),IF(G9="KeyScene","KeyScene",IF(LEFT(J9,12)="Commercial_1","EndScene_C1","EndScene_C2")))</f>
        <v/>
      </c>
      <c r="P9">
        <f>IF(COUNTIFS(Artifact!$B$2:$B$385,B9,Artifact!$K$2:$K$385,"&gt;25")+COUNTIFS(Log!$A$2:$A$49,B9,Log!$H$2:$H$49,"Red")+COUNTIFS(Log!$A$2:$A$49,B9,Log!$I$2:$I$49,"Red")&gt;0,"No","Yes")</f>
        <v/>
      </c>
      <c r="Q9">
        <f>IF(COUNTIFS(Artifact!$B$2:$B$385,B9,Artifact!$K$2:$K$385,"&gt;15")+COUNTIFS(Log!$A$2:$A$49,B9,Log!$H$2:$H$49,"Red")+COUNTIFS(Log!$A$2:$A$49,B9,Log!$I$2:$I$49,"Red")&gt;0,"No","Yes")</f>
        <v/>
      </c>
    </row>
    <row r="10">
      <c r="A10" t="inlineStr">
        <is>
          <t>SIMULATED Commercial FA Study</t>
        </is>
      </c>
      <c r="B10" t="inlineStr">
        <is>
          <t>P02</t>
        </is>
      </c>
      <c r="C10" t="inlineStr">
        <is>
          <t>F</t>
        </is>
      </c>
      <c r="D10" t="n">
        <v>22</v>
      </c>
      <c r="E10" t="inlineStr">
        <is>
          <t>A_C2first</t>
        </is>
      </c>
      <c r="F10" t="inlineStr">
        <is>
          <t>Stimulus</t>
        </is>
      </c>
      <c r="G10" t="inlineStr">
        <is>
          <t>Baseline_2</t>
        </is>
      </c>
      <c r="H10" t="n">
        <v>197000</v>
      </c>
      <c r="I10" t="n">
        <v>60000</v>
      </c>
      <c r="J10" t="inlineStr">
        <is>
          <t>Baseline_2</t>
        </is>
      </c>
      <c r="K10" s="4" t="n">
        <v>0.6153999999999999</v>
      </c>
      <c r="L10" t="inlineStr">
        <is>
          <t>Frontal Asymmetry (Enobio EEG)</t>
        </is>
      </c>
      <c r="M10">
        <f>LEFT(E10,1)</f>
        <v/>
      </c>
      <c r="N10">
        <f>MID(E10,3,10)</f>
        <v/>
      </c>
      <c r="O10">
        <f>IF(F10="Stimulus",IF(LEFT(G10,8)="Baseline",G10,IF(LEFT(G10,12)="Commercial_1","C1","C2")),IF(G10="KeyScene","KeyScene",IF(LEFT(J10,12)="Commercial_1","EndScene_C1","EndScene_C2")))</f>
        <v/>
      </c>
      <c r="P10">
        <f>IF(COUNTIFS(Artifact!$B$2:$B$385,B10,Artifact!$K$2:$K$385,"&gt;25")+COUNTIFS(Log!$A$2:$A$49,B10,Log!$H$2:$H$49,"Red")+COUNTIFS(Log!$A$2:$A$49,B10,Log!$I$2:$I$49,"Red")&gt;0,"No","Yes")</f>
        <v/>
      </c>
      <c r="Q10">
        <f>IF(COUNTIFS(Artifact!$B$2:$B$385,B10,Artifact!$K$2:$K$385,"&gt;15")+COUNTIFS(Log!$A$2:$A$49,B10,Log!$H$2:$H$49,"Red")+COUNTIFS(Log!$A$2:$A$49,B10,Log!$I$2:$I$49,"Red")&gt;0,"No","Yes")</f>
        <v/>
      </c>
    </row>
    <row r="11">
      <c r="A11" t="inlineStr">
        <is>
          <t>SIMULATED Commercial FA Study</t>
        </is>
      </c>
      <c r="B11" t="inlineStr">
        <is>
          <t>P02</t>
        </is>
      </c>
      <c r="C11" t="inlineStr">
        <is>
          <t>F</t>
        </is>
      </c>
      <c r="D11" t="n">
        <v>22</v>
      </c>
      <c r="E11" t="inlineStr">
        <is>
          <t>A_C2first</t>
        </is>
      </c>
      <c r="F11" t="inlineStr">
        <is>
          <t>Stimulus</t>
        </is>
      </c>
      <c r="G11" t="inlineStr">
        <is>
          <t>Commercial_1A</t>
        </is>
      </c>
      <c r="H11" t="n">
        <v>257000</v>
      </c>
      <c r="I11" t="n">
        <v>60000</v>
      </c>
      <c r="J11" t="inlineStr">
        <is>
          <t>Commercial_1A</t>
        </is>
      </c>
      <c r="K11" s="4" t="n">
        <v>0.5911</v>
      </c>
      <c r="L11" t="inlineStr">
        <is>
          <t>Frontal Asymmetry (Enobio EEG)</t>
        </is>
      </c>
      <c r="M11">
        <f>LEFT(E11,1)</f>
        <v/>
      </c>
      <c r="N11">
        <f>MID(E11,3,10)</f>
        <v/>
      </c>
      <c r="O11">
        <f>IF(F11="Stimulus",IF(LEFT(G11,8)="Baseline",G11,IF(LEFT(G11,12)="Commercial_1","C1","C2")),IF(G11="KeyScene","KeyScene",IF(LEFT(J11,12)="Commercial_1","EndScene_C1","EndScene_C2")))</f>
        <v/>
      </c>
      <c r="P11">
        <f>IF(COUNTIFS(Artifact!$B$2:$B$385,B11,Artifact!$K$2:$K$385,"&gt;25")+COUNTIFS(Log!$A$2:$A$49,B11,Log!$H$2:$H$49,"Red")+COUNTIFS(Log!$A$2:$A$49,B11,Log!$I$2:$I$49,"Red")&gt;0,"No","Yes")</f>
        <v/>
      </c>
      <c r="Q11">
        <f>IF(COUNTIFS(Artifact!$B$2:$B$385,B11,Artifact!$K$2:$K$385,"&gt;15")+COUNTIFS(Log!$A$2:$A$49,B11,Log!$H$2:$H$49,"Red")+COUNTIFS(Log!$A$2:$A$49,B11,Log!$I$2:$I$49,"Red")&gt;0,"No","Yes")</f>
        <v/>
      </c>
    </row>
    <row r="12">
      <c r="A12" t="inlineStr">
        <is>
          <t>SIMULATED Commercial FA Study</t>
        </is>
      </c>
      <c r="B12" t="inlineStr">
        <is>
          <t>P02</t>
        </is>
      </c>
      <c r="C12" t="inlineStr">
        <is>
          <t>F</t>
        </is>
      </c>
      <c r="D12" t="n">
        <v>22</v>
      </c>
      <c r="E12" t="inlineStr">
        <is>
          <t>A_C2first</t>
        </is>
      </c>
      <c r="F12" t="inlineStr">
        <is>
          <t>Annotation</t>
        </is>
      </c>
      <c r="G12" t="inlineStr">
        <is>
          <t>EndScene</t>
        </is>
      </c>
      <c r="H12" t="n">
        <v>145000</v>
      </c>
      <c r="I12" t="n">
        <v>10000</v>
      </c>
      <c r="J12" t="inlineStr">
        <is>
          <t>Commercial_2</t>
        </is>
      </c>
      <c r="K12" s="4" t="n">
        <v>0.7472</v>
      </c>
      <c r="L12" t="inlineStr">
        <is>
          <t>Frontal Asymmetry (Enobio EEG)</t>
        </is>
      </c>
      <c r="M12">
        <f>LEFT(E12,1)</f>
        <v/>
      </c>
      <c r="N12">
        <f>MID(E12,3,10)</f>
        <v/>
      </c>
      <c r="O12">
        <f>IF(F12="Stimulus",IF(LEFT(G12,8)="Baseline",G12,IF(LEFT(G12,12)="Commercial_1","C1","C2")),IF(G12="KeyScene","KeyScene",IF(LEFT(J12,12)="Commercial_1","EndScene_C1","EndScene_C2")))</f>
        <v/>
      </c>
      <c r="P12">
        <f>IF(COUNTIFS(Artifact!$B$2:$B$385,B12,Artifact!$K$2:$K$385,"&gt;25")+COUNTIFS(Log!$A$2:$A$49,B12,Log!$H$2:$H$49,"Red")+COUNTIFS(Log!$A$2:$A$49,B12,Log!$I$2:$I$49,"Red")&gt;0,"No","Yes")</f>
        <v/>
      </c>
      <c r="Q12">
        <f>IF(COUNTIFS(Artifact!$B$2:$B$385,B12,Artifact!$K$2:$K$385,"&gt;15")+COUNTIFS(Log!$A$2:$A$49,B12,Log!$H$2:$H$49,"Red")+COUNTIFS(Log!$A$2:$A$49,B12,Log!$I$2:$I$49,"Red")&gt;0,"No","Yes")</f>
        <v/>
      </c>
    </row>
    <row r="13">
      <c r="A13" t="inlineStr">
        <is>
          <t>SIMULATED Commercial FA Study</t>
        </is>
      </c>
      <c r="B13" t="inlineStr">
        <is>
          <t>P02</t>
        </is>
      </c>
      <c r="C13" t="inlineStr">
        <is>
          <t>F</t>
        </is>
      </c>
      <c r="D13" t="n">
        <v>22</v>
      </c>
      <c r="E13" t="inlineStr">
        <is>
          <t>A_C2first</t>
        </is>
      </c>
      <c r="F13" t="inlineStr">
        <is>
          <t>Annotation</t>
        </is>
      </c>
      <c r="G13" t="inlineStr">
        <is>
          <t>KeyScene</t>
        </is>
      </c>
      <c r="H13" t="n">
        <v>289000</v>
      </c>
      <c r="I13" t="n">
        <v>6000</v>
      </c>
      <c r="J13" t="inlineStr">
        <is>
          <t>Commercial_1A</t>
        </is>
      </c>
      <c r="K13" s="4" t="n">
        <v>0.5858</v>
      </c>
      <c r="L13" t="inlineStr">
        <is>
          <t>Frontal Asymmetry (Enobio EEG)</t>
        </is>
      </c>
      <c r="M13">
        <f>LEFT(E13,1)</f>
        <v/>
      </c>
      <c r="N13">
        <f>MID(E13,3,10)</f>
        <v/>
      </c>
      <c r="O13">
        <f>IF(F13="Stimulus",IF(LEFT(G13,8)="Baseline",G13,IF(LEFT(G13,12)="Commercial_1","C1","C2")),IF(G13="KeyScene","KeyScene",IF(LEFT(J13,12)="Commercial_1","EndScene_C1","EndScene_C2")))</f>
        <v/>
      </c>
      <c r="P13">
        <f>IF(COUNTIFS(Artifact!$B$2:$B$385,B13,Artifact!$K$2:$K$385,"&gt;25")+COUNTIFS(Log!$A$2:$A$49,B13,Log!$H$2:$H$49,"Red")+COUNTIFS(Log!$A$2:$A$49,B13,Log!$I$2:$I$49,"Red")&gt;0,"No","Yes")</f>
        <v/>
      </c>
      <c r="Q13">
        <f>IF(COUNTIFS(Artifact!$B$2:$B$385,B13,Artifact!$K$2:$K$385,"&gt;15")+COUNTIFS(Log!$A$2:$A$49,B13,Log!$H$2:$H$49,"Red")+COUNTIFS(Log!$A$2:$A$49,B13,Log!$I$2:$I$49,"Red")&gt;0,"No","Yes")</f>
        <v/>
      </c>
    </row>
    <row r="14">
      <c r="A14" t="inlineStr">
        <is>
          <t>SIMULATED Commercial FA Study</t>
        </is>
      </c>
      <c r="B14" t="inlineStr">
        <is>
          <t>P02</t>
        </is>
      </c>
      <c r="C14" t="inlineStr">
        <is>
          <t>F</t>
        </is>
      </c>
      <c r="D14" t="n">
        <v>22</v>
      </c>
      <c r="E14" t="inlineStr">
        <is>
          <t>A_C2first</t>
        </is>
      </c>
      <c r="F14" t="inlineStr">
        <is>
          <t>Annotation</t>
        </is>
      </c>
      <c r="G14" t="inlineStr">
        <is>
          <t>EndScene</t>
        </is>
      </c>
      <c r="H14" t="n">
        <v>307000</v>
      </c>
      <c r="I14" t="n">
        <v>10000</v>
      </c>
      <c r="J14" t="inlineStr">
        <is>
          <t>Commercial_1A</t>
        </is>
      </c>
      <c r="K14" s="4" t="n">
        <v>0.7441</v>
      </c>
      <c r="L14" t="inlineStr">
        <is>
          <t>Frontal Asymmetry (Enobio EEG)</t>
        </is>
      </c>
      <c r="M14">
        <f>LEFT(E14,1)</f>
        <v/>
      </c>
      <c r="N14">
        <f>MID(E14,3,10)</f>
        <v/>
      </c>
      <c r="O14">
        <f>IF(F14="Stimulus",IF(LEFT(G14,8)="Baseline",G14,IF(LEFT(G14,12)="Commercial_1","C1","C2")),IF(G14="KeyScene","KeyScene",IF(LEFT(J14,12)="Commercial_1","EndScene_C1","EndScene_C2")))</f>
        <v/>
      </c>
      <c r="P14">
        <f>IF(COUNTIFS(Artifact!$B$2:$B$385,B14,Artifact!$K$2:$K$385,"&gt;25")+COUNTIFS(Log!$A$2:$A$49,B14,Log!$H$2:$H$49,"Red")+COUNTIFS(Log!$A$2:$A$49,B14,Log!$I$2:$I$49,"Red")&gt;0,"No","Yes")</f>
        <v/>
      </c>
      <c r="Q14">
        <f>IF(COUNTIFS(Artifact!$B$2:$B$385,B14,Artifact!$K$2:$K$385,"&gt;15")+COUNTIFS(Log!$A$2:$A$49,B14,Log!$H$2:$H$49,"Red")+COUNTIFS(Log!$A$2:$A$49,B14,Log!$I$2:$I$49,"Red")&gt;0,"No","Yes")</f>
        <v/>
      </c>
    </row>
    <row r="15">
      <c r="A15" t="inlineStr">
        <is>
          <t>SIMULATED Commercial FA Study</t>
        </is>
      </c>
      <c r="B15" t="inlineStr">
        <is>
          <t>P03</t>
        </is>
      </c>
      <c r="C15" t="inlineStr">
        <is>
          <t>M</t>
        </is>
      </c>
      <c r="D15" t="n">
        <v>26</v>
      </c>
      <c r="E15" t="inlineStr">
        <is>
          <t>B_C1first</t>
        </is>
      </c>
      <c r="F15" t="inlineStr">
        <is>
          <t>Stimulus</t>
        </is>
      </c>
      <c r="G15" t="inlineStr">
        <is>
          <t>Baseline_1</t>
        </is>
      </c>
      <c r="H15" t="n">
        <v>33000</v>
      </c>
      <c r="I15" t="n">
        <v>60000</v>
      </c>
      <c r="J15" t="inlineStr">
        <is>
          <t>Baseline_1</t>
        </is>
      </c>
      <c r="K15" s="4" t="n">
        <v>0.8599</v>
      </c>
      <c r="L15" t="inlineStr">
        <is>
          <t>Frontal Asymmetry (Enobio EEG)</t>
        </is>
      </c>
      <c r="M15">
        <f>LEFT(E15,1)</f>
        <v/>
      </c>
      <c r="N15">
        <f>MID(E15,3,10)</f>
        <v/>
      </c>
      <c r="O15">
        <f>IF(F15="Stimulus",IF(LEFT(G15,8)="Baseline",G15,IF(LEFT(G15,12)="Commercial_1","C1","C2")),IF(G15="KeyScene","KeyScene",IF(LEFT(J15,12)="Commercial_1","EndScene_C1","EndScene_C2")))</f>
        <v/>
      </c>
      <c r="P15">
        <f>IF(COUNTIFS(Artifact!$B$2:$B$385,B15,Artifact!$K$2:$K$385,"&gt;25")+COUNTIFS(Log!$A$2:$A$49,B15,Log!$H$2:$H$49,"Red")+COUNTIFS(Log!$A$2:$A$49,B15,Log!$I$2:$I$49,"Red")&gt;0,"No","Yes")</f>
        <v/>
      </c>
      <c r="Q15">
        <f>IF(COUNTIFS(Artifact!$B$2:$B$385,B15,Artifact!$K$2:$K$385,"&gt;15")+COUNTIFS(Log!$A$2:$A$49,B15,Log!$H$2:$H$49,"Red")+COUNTIFS(Log!$A$2:$A$49,B15,Log!$I$2:$I$49,"Red")&gt;0,"No","Yes")</f>
        <v/>
      </c>
    </row>
    <row r="16">
      <c r="A16" t="inlineStr">
        <is>
          <t>SIMULATED Commercial FA Study</t>
        </is>
      </c>
      <c r="B16" t="inlineStr">
        <is>
          <t>P03</t>
        </is>
      </c>
      <c r="C16" t="inlineStr">
        <is>
          <t>M</t>
        </is>
      </c>
      <c r="D16" t="n">
        <v>26</v>
      </c>
      <c r="E16" t="inlineStr">
        <is>
          <t>B_C1first</t>
        </is>
      </c>
      <c r="F16" t="inlineStr">
        <is>
          <t>Stimulus</t>
        </is>
      </c>
      <c r="G16" t="inlineStr">
        <is>
          <t>Commercial_1B</t>
        </is>
      </c>
      <c r="H16" t="n">
        <v>93000</v>
      </c>
      <c r="I16" t="n">
        <v>54000</v>
      </c>
      <c r="J16" t="inlineStr">
        <is>
          <t>Commercial_1B</t>
        </is>
      </c>
      <c r="K16" s="4" t="n">
        <v>0.778</v>
      </c>
      <c r="L16" t="inlineStr">
        <is>
          <t>Frontal Asymmetry (Enobio EEG)</t>
        </is>
      </c>
      <c r="M16">
        <f>LEFT(E16,1)</f>
        <v/>
      </c>
      <c r="N16">
        <f>MID(E16,3,10)</f>
        <v/>
      </c>
      <c r="O16">
        <f>IF(F16="Stimulus",IF(LEFT(G16,8)="Baseline",G16,IF(LEFT(G16,12)="Commercial_1","C1","C2")),IF(G16="KeyScene","KeyScene",IF(LEFT(J16,12)="Commercial_1","EndScene_C1","EndScene_C2")))</f>
        <v/>
      </c>
      <c r="P16">
        <f>IF(COUNTIFS(Artifact!$B$2:$B$385,B16,Artifact!$K$2:$K$385,"&gt;25")+COUNTIFS(Log!$A$2:$A$49,B16,Log!$H$2:$H$49,"Red")+COUNTIFS(Log!$A$2:$A$49,B16,Log!$I$2:$I$49,"Red")&gt;0,"No","Yes")</f>
        <v/>
      </c>
      <c r="Q16">
        <f>IF(COUNTIFS(Artifact!$B$2:$B$385,B16,Artifact!$K$2:$K$385,"&gt;15")+COUNTIFS(Log!$A$2:$A$49,B16,Log!$H$2:$H$49,"Red")+COUNTIFS(Log!$A$2:$A$49,B16,Log!$I$2:$I$49,"Red")&gt;0,"No","Yes")</f>
        <v/>
      </c>
    </row>
    <row r="17">
      <c r="A17" t="inlineStr">
        <is>
          <t>SIMULATED Commercial FA Study</t>
        </is>
      </c>
      <c r="B17" t="inlineStr">
        <is>
          <t>P03</t>
        </is>
      </c>
      <c r="C17" t="inlineStr">
        <is>
          <t>M</t>
        </is>
      </c>
      <c r="D17" t="n">
        <v>26</v>
      </c>
      <c r="E17" t="inlineStr">
        <is>
          <t>B_C1first</t>
        </is>
      </c>
      <c r="F17" t="inlineStr">
        <is>
          <t>Stimulus</t>
        </is>
      </c>
      <c r="G17" t="inlineStr">
        <is>
          <t>Baseline_2</t>
        </is>
      </c>
      <c r="H17" t="n">
        <v>196000</v>
      </c>
      <c r="I17" t="n">
        <v>60000</v>
      </c>
      <c r="J17" t="inlineStr">
        <is>
          <t>Baseline_2</t>
        </is>
      </c>
      <c r="K17" s="4" t="n">
        <v>0.8421999999999999</v>
      </c>
      <c r="L17" t="inlineStr">
        <is>
          <t>Frontal Asymmetry (Enobio EEG)</t>
        </is>
      </c>
      <c r="M17">
        <f>LEFT(E17,1)</f>
        <v/>
      </c>
      <c r="N17">
        <f>MID(E17,3,10)</f>
        <v/>
      </c>
      <c r="O17">
        <f>IF(F17="Stimulus",IF(LEFT(G17,8)="Baseline",G17,IF(LEFT(G17,12)="Commercial_1","C1","C2")),IF(G17="KeyScene","KeyScene",IF(LEFT(J17,12)="Commercial_1","EndScene_C1","EndScene_C2")))</f>
        <v/>
      </c>
      <c r="P17">
        <f>IF(COUNTIFS(Artifact!$B$2:$B$385,B17,Artifact!$K$2:$K$385,"&gt;25")+COUNTIFS(Log!$A$2:$A$49,B17,Log!$H$2:$H$49,"Red")+COUNTIFS(Log!$A$2:$A$49,B17,Log!$I$2:$I$49,"Red")&gt;0,"No","Yes")</f>
        <v/>
      </c>
      <c r="Q17">
        <f>IF(COUNTIFS(Artifact!$B$2:$B$385,B17,Artifact!$K$2:$K$385,"&gt;15")+COUNTIFS(Log!$A$2:$A$49,B17,Log!$H$2:$H$49,"Red")+COUNTIFS(Log!$A$2:$A$49,B17,Log!$I$2:$I$49,"Red")&gt;0,"No","Yes")</f>
        <v/>
      </c>
    </row>
    <row r="18">
      <c r="A18" t="inlineStr">
        <is>
          <t>SIMULATED Commercial FA Study</t>
        </is>
      </c>
      <c r="B18" t="inlineStr">
        <is>
          <t>P03</t>
        </is>
      </c>
      <c r="C18" t="inlineStr">
        <is>
          <t>M</t>
        </is>
      </c>
      <c r="D18" t="n">
        <v>26</v>
      </c>
      <c r="E18" t="inlineStr">
        <is>
          <t>B_C1first</t>
        </is>
      </c>
      <c r="F18" t="inlineStr">
        <is>
          <t>Stimulus</t>
        </is>
      </c>
      <c r="G18" t="inlineStr">
        <is>
          <t>Commercial_2</t>
        </is>
      </c>
      <c r="H18" t="n">
        <v>256000</v>
      </c>
      <c r="I18" t="n">
        <v>60000</v>
      </c>
      <c r="J18" t="inlineStr">
        <is>
          <t>Commercial_2</t>
        </is>
      </c>
      <c r="K18" s="4" t="n">
        <v>0.8325</v>
      </c>
      <c r="L18" t="inlineStr">
        <is>
          <t>Frontal Asymmetry (Enobio EEG)</t>
        </is>
      </c>
      <c r="M18">
        <f>LEFT(E18,1)</f>
        <v/>
      </c>
      <c r="N18">
        <f>MID(E18,3,10)</f>
        <v/>
      </c>
      <c r="O18">
        <f>IF(F18="Stimulus",IF(LEFT(G18,8)="Baseline",G18,IF(LEFT(G18,12)="Commercial_1","C1","C2")),IF(G18="KeyScene","KeyScene",IF(LEFT(J18,12)="Commercial_1","EndScene_C1","EndScene_C2")))</f>
        <v/>
      </c>
      <c r="P18">
        <f>IF(COUNTIFS(Artifact!$B$2:$B$385,B18,Artifact!$K$2:$K$385,"&gt;25")+COUNTIFS(Log!$A$2:$A$49,B18,Log!$H$2:$H$49,"Red")+COUNTIFS(Log!$A$2:$A$49,B18,Log!$I$2:$I$49,"Red")&gt;0,"No","Yes")</f>
        <v/>
      </c>
      <c r="Q18">
        <f>IF(COUNTIFS(Artifact!$B$2:$B$385,B18,Artifact!$K$2:$K$385,"&gt;15")+COUNTIFS(Log!$A$2:$A$49,B18,Log!$H$2:$H$49,"Red")+COUNTIFS(Log!$A$2:$A$49,B18,Log!$I$2:$I$49,"Red")&gt;0,"No","Yes")</f>
        <v/>
      </c>
    </row>
    <row r="19">
      <c r="A19" t="inlineStr">
        <is>
          <t>SIMULATED Commercial FA Study</t>
        </is>
      </c>
      <c r="B19" t="inlineStr">
        <is>
          <t>P03</t>
        </is>
      </c>
      <c r="C19" t="inlineStr">
        <is>
          <t>M</t>
        </is>
      </c>
      <c r="D19" t="n">
        <v>26</v>
      </c>
      <c r="E19" t="inlineStr">
        <is>
          <t>B_C1first</t>
        </is>
      </c>
      <c r="F19" t="inlineStr">
        <is>
          <t>Annotation</t>
        </is>
      </c>
      <c r="G19" t="inlineStr">
        <is>
          <t>EndScene</t>
        </is>
      </c>
      <c r="H19" t="n">
        <v>137000</v>
      </c>
      <c r="I19" t="n">
        <v>10000</v>
      </c>
      <c r="J19" t="inlineStr">
        <is>
          <t>Commercial_1B</t>
        </is>
      </c>
      <c r="K19" s="4" t="n">
        <v>0.9146</v>
      </c>
      <c r="L19" t="inlineStr">
        <is>
          <t>Frontal Asymmetry (Enobio EEG)</t>
        </is>
      </c>
      <c r="M19">
        <f>LEFT(E19,1)</f>
        <v/>
      </c>
      <c r="N19">
        <f>MID(E19,3,10)</f>
        <v/>
      </c>
      <c r="O19">
        <f>IF(F19="Stimulus",IF(LEFT(G19,8)="Baseline",G19,IF(LEFT(G19,12)="Commercial_1","C1","C2")),IF(G19="KeyScene","KeyScene",IF(LEFT(J19,12)="Commercial_1","EndScene_C1","EndScene_C2")))</f>
        <v/>
      </c>
      <c r="P19">
        <f>IF(COUNTIFS(Artifact!$B$2:$B$385,B19,Artifact!$K$2:$K$385,"&gt;25")+COUNTIFS(Log!$A$2:$A$49,B19,Log!$H$2:$H$49,"Red")+COUNTIFS(Log!$A$2:$A$49,B19,Log!$I$2:$I$49,"Red")&gt;0,"No","Yes")</f>
        <v/>
      </c>
      <c r="Q19">
        <f>IF(COUNTIFS(Artifact!$B$2:$B$385,B19,Artifact!$K$2:$K$385,"&gt;15")+COUNTIFS(Log!$A$2:$A$49,B19,Log!$H$2:$H$49,"Red")+COUNTIFS(Log!$A$2:$A$49,B19,Log!$I$2:$I$49,"Red")&gt;0,"No","Yes")</f>
        <v/>
      </c>
    </row>
    <row r="20">
      <c r="A20" t="inlineStr">
        <is>
          <t>SIMULATED Commercial FA Study</t>
        </is>
      </c>
      <c r="B20" t="inlineStr">
        <is>
          <t>P03</t>
        </is>
      </c>
      <c r="C20" t="inlineStr">
        <is>
          <t>M</t>
        </is>
      </c>
      <c r="D20" t="n">
        <v>26</v>
      </c>
      <c r="E20" t="inlineStr">
        <is>
          <t>B_C1first</t>
        </is>
      </c>
      <c r="F20" t="inlineStr">
        <is>
          <t>Annotation</t>
        </is>
      </c>
      <c r="G20" t="inlineStr">
        <is>
          <t>EndScene</t>
        </is>
      </c>
      <c r="H20" t="n">
        <v>306000</v>
      </c>
      <c r="I20" t="n">
        <v>10000</v>
      </c>
      <c r="J20" t="inlineStr">
        <is>
          <t>Commercial_2</t>
        </is>
      </c>
      <c r="K20" s="4" t="n">
        <v>0.8236</v>
      </c>
      <c r="L20" t="inlineStr">
        <is>
          <t>Frontal Asymmetry (Enobio EEG)</t>
        </is>
      </c>
      <c r="M20">
        <f>LEFT(E20,1)</f>
        <v/>
      </c>
      <c r="N20">
        <f>MID(E20,3,10)</f>
        <v/>
      </c>
      <c r="O20">
        <f>IF(F20="Stimulus",IF(LEFT(G20,8)="Baseline",G20,IF(LEFT(G20,12)="Commercial_1","C1","C2")),IF(G20="KeyScene","KeyScene",IF(LEFT(J20,12)="Commercial_1","EndScene_C1","EndScene_C2")))</f>
        <v/>
      </c>
      <c r="P20">
        <f>IF(COUNTIFS(Artifact!$B$2:$B$385,B20,Artifact!$K$2:$K$385,"&gt;25")+COUNTIFS(Log!$A$2:$A$49,B20,Log!$H$2:$H$49,"Red")+COUNTIFS(Log!$A$2:$A$49,B20,Log!$I$2:$I$49,"Red")&gt;0,"No","Yes")</f>
        <v/>
      </c>
      <c r="Q20">
        <f>IF(COUNTIFS(Artifact!$B$2:$B$385,B20,Artifact!$K$2:$K$385,"&gt;15")+COUNTIFS(Log!$A$2:$A$49,B20,Log!$H$2:$H$49,"Red")+COUNTIFS(Log!$A$2:$A$49,B20,Log!$I$2:$I$49,"Red")&gt;0,"No","Yes")</f>
        <v/>
      </c>
    </row>
    <row r="21">
      <c r="A21" t="inlineStr">
        <is>
          <t>SIMULATED Commercial FA Study</t>
        </is>
      </c>
      <c r="B21" t="inlineStr">
        <is>
          <t>P04</t>
        </is>
      </c>
      <c r="C21" t="inlineStr">
        <is>
          <t>M</t>
        </is>
      </c>
      <c r="D21" t="n">
        <v>22</v>
      </c>
      <c r="E21" t="inlineStr">
        <is>
          <t>A_C1first</t>
        </is>
      </c>
      <c r="F21" t="inlineStr">
        <is>
          <t>Stimulus</t>
        </is>
      </c>
      <c r="G21" t="inlineStr">
        <is>
          <t>Baseline_1</t>
        </is>
      </c>
      <c r="H21" t="n">
        <v>24000</v>
      </c>
      <c r="I21" t="n">
        <v>60000</v>
      </c>
      <c r="J21" t="inlineStr">
        <is>
          <t>Baseline_1</t>
        </is>
      </c>
      <c r="K21" s="4" t="n">
        <v>1.2196</v>
      </c>
      <c r="L21" t="inlineStr">
        <is>
          <t>Frontal Asymmetry (Enobio EEG)</t>
        </is>
      </c>
      <c r="M21">
        <f>LEFT(E21,1)</f>
        <v/>
      </c>
      <c r="N21">
        <f>MID(E21,3,10)</f>
        <v/>
      </c>
      <c r="O21">
        <f>IF(F21="Stimulus",IF(LEFT(G21,8)="Baseline",G21,IF(LEFT(G21,12)="Commercial_1","C1","C2")),IF(G21="KeyScene","KeyScene",IF(LEFT(J21,12)="Commercial_1","EndScene_C1","EndScene_C2")))</f>
        <v/>
      </c>
      <c r="P21">
        <f>IF(COUNTIFS(Artifact!$B$2:$B$385,B21,Artifact!$K$2:$K$385,"&gt;25")+COUNTIFS(Log!$A$2:$A$49,B21,Log!$H$2:$H$49,"Red")+COUNTIFS(Log!$A$2:$A$49,B21,Log!$I$2:$I$49,"Red")&gt;0,"No","Yes")</f>
        <v/>
      </c>
      <c r="Q21">
        <f>IF(COUNTIFS(Artifact!$B$2:$B$385,B21,Artifact!$K$2:$K$385,"&gt;15")+COUNTIFS(Log!$A$2:$A$49,B21,Log!$H$2:$H$49,"Red")+COUNTIFS(Log!$A$2:$A$49,B21,Log!$I$2:$I$49,"Red")&gt;0,"No","Yes")</f>
        <v/>
      </c>
    </row>
    <row r="22">
      <c r="A22" t="inlineStr">
        <is>
          <t>SIMULATED Commercial FA Study</t>
        </is>
      </c>
      <c r="B22" t="inlineStr">
        <is>
          <t>P04</t>
        </is>
      </c>
      <c r="C22" t="inlineStr">
        <is>
          <t>M</t>
        </is>
      </c>
      <c r="D22" t="n">
        <v>22</v>
      </c>
      <c r="E22" t="inlineStr">
        <is>
          <t>A_C1first</t>
        </is>
      </c>
      <c r="F22" t="inlineStr">
        <is>
          <t>Stimulus</t>
        </is>
      </c>
      <c r="G22" t="inlineStr">
        <is>
          <t>Commercial_1A</t>
        </is>
      </c>
      <c r="H22" t="n">
        <v>84000</v>
      </c>
      <c r="I22" t="n">
        <v>60000</v>
      </c>
      <c r="J22" t="inlineStr">
        <is>
          <t>Commercial_1A</t>
        </is>
      </c>
      <c r="K22" s="4" t="n">
        <v>1.2577</v>
      </c>
      <c r="L22" t="inlineStr">
        <is>
          <t>Frontal Asymmetry (Enobio EEG)</t>
        </is>
      </c>
      <c r="M22">
        <f>LEFT(E22,1)</f>
        <v/>
      </c>
      <c r="N22">
        <f>MID(E22,3,10)</f>
        <v/>
      </c>
      <c r="O22">
        <f>IF(F22="Stimulus",IF(LEFT(G22,8)="Baseline",G22,IF(LEFT(G22,12)="Commercial_1","C1","C2")),IF(G22="KeyScene","KeyScene",IF(LEFT(J22,12)="Commercial_1","EndScene_C1","EndScene_C2")))</f>
        <v/>
      </c>
      <c r="P22">
        <f>IF(COUNTIFS(Artifact!$B$2:$B$385,B22,Artifact!$K$2:$K$385,"&gt;25")+COUNTIFS(Log!$A$2:$A$49,B22,Log!$H$2:$H$49,"Red")+COUNTIFS(Log!$A$2:$A$49,B22,Log!$I$2:$I$49,"Red")&gt;0,"No","Yes")</f>
        <v/>
      </c>
      <c r="Q22">
        <f>IF(COUNTIFS(Artifact!$B$2:$B$385,B22,Artifact!$K$2:$K$385,"&gt;15")+COUNTIFS(Log!$A$2:$A$49,B22,Log!$H$2:$H$49,"Red")+COUNTIFS(Log!$A$2:$A$49,B22,Log!$I$2:$I$49,"Red")&gt;0,"No","Yes")</f>
        <v/>
      </c>
    </row>
    <row r="23">
      <c r="A23" t="inlineStr">
        <is>
          <t>SIMULATED Commercial FA Study</t>
        </is>
      </c>
      <c r="B23" t="inlineStr">
        <is>
          <t>P04</t>
        </is>
      </c>
      <c r="C23" t="inlineStr">
        <is>
          <t>M</t>
        </is>
      </c>
      <c r="D23" t="n">
        <v>22</v>
      </c>
      <c r="E23" t="inlineStr">
        <is>
          <t>A_C1first</t>
        </is>
      </c>
      <c r="F23" t="inlineStr">
        <is>
          <t>Stimulus</t>
        </is>
      </c>
      <c r="G23" t="inlineStr">
        <is>
          <t>Baseline_2</t>
        </is>
      </c>
      <c r="H23" t="n">
        <v>199000</v>
      </c>
      <c r="I23" t="n">
        <v>60000</v>
      </c>
      <c r="J23" t="inlineStr">
        <is>
          <t>Baseline_2</t>
        </is>
      </c>
      <c r="K23" s="4" t="n">
        <v>1.2244</v>
      </c>
      <c r="L23" t="inlineStr">
        <is>
          <t>Frontal Asymmetry (Enobio EEG)</t>
        </is>
      </c>
      <c r="M23">
        <f>LEFT(E23,1)</f>
        <v/>
      </c>
      <c r="N23">
        <f>MID(E23,3,10)</f>
        <v/>
      </c>
      <c r="O23">
        <f>IF(F23="Stimulus",IF(LEFT(G23,8)="Baseline",G23,IF(LEFT(G23,12)="Commercial_1","C1","C2")),IF(G23="KeyScene","KeyScene",IF(LEFT(J23,12)="Commercial_1","EndScene_C1","EndScene_C2")))</f>
        <v/>
      </c>
      <c r="P23">
        <f>IF(COUNTIFS(Artifact!$B$2:$B$385,B23,Artifact!$K$2:$K$385,"&gt;25")+COUNTIFS(Log!$A$2:$A$49,B23,Log!$H$2:$H$49,"Red")+COUNTIFS(Log!$A$2:$A$49,B23,Log!$I$2:$I$49,"Red")&gt;0,"No","Yes")</f>
        <v/>
      </c>
      <c r="Q23">
        <f>IF(COUNTIFS(Artifact!$B$2:$B$385,B23,Artifact!$K$2:$K$385,"&gt;15")+COUNTIFS(Log!$A$2:$A$49,B23,Log!$H$2:$H$49,"Red")+COUNTIFS(Log!$A$2:$A$49,B23,Log!$I$2:$I$49,"Red")&gt;0,"No","Yes")</f>
        <v/>
      </c>
    </row>
    <row r="24">
      <c r="A24" t="inlineStr">
        <is>
          <t>SIMULATED Commercial FA Study</t>
        </is>
      </c>
      <c r="B24" t="inlineStr">
        <is>
          <t>P04</t>
        </is>
      </c>
      <c r="C24" t="inlineStr">
        <is>
          <t>M</t>
        </is>
      </c>
      <c r="D24" t="n">
        <v>22</v>
      </c>
      <c r="E24" t="inlineStr">
        <is>
          <t>A_C1first</t>
        </is>
      </c>
      <c r="F24" t="inlineStr">
        <is>
          <t>Stimulus</t>
        </is>
      </c>
      <c r="G24" t="inlineStr">
        <is>
          <t>Commercial_2</t>
        </is>
      </c>
      <c r="H24" t="n">
        <v>259000</v>
      </c>
      <c r="I24" t="n">
        <v>60000</v>
      </c>
      <c r="J24" t="inlineStr">
        <is>
          <t>Commercial_2</t>
        </is>
      </c>
      <c r="K24" s="4" t="n">
        <v>1.2225</v>
      </c>
      <c r="L24" t="inlineStr">
        <is>
          <t>Frontal Asymmetry (Enobio EEG)</t>
        </is>
      </c>
      <c r="M24">
        <f>LEFT(E24,1)</f>
        <v/>
      </c>
      <c r="N24">
        <f>MID(E24,3,10)</f>
        <v/>
      </c>
      <c r="O24">
        <f>IF(F24="Stimulus",IF(LEFT(G24,8)="Baseline",G24,IF(LEFT(G24,12)="Commercial_1","C1","C2")),IF(G24="KeyScene","KeyScene",IF(LEFT(J24,12)="Commercial_1","EndScene_C1","EndScene_C2")))</f>
        <v/>
      </c>
      <c r="P24">
        <f>IF(COUNTIFS(Artifact!$B$2:$B$385,B24,Artifact!$K$2:$K$385,"&gt;25")+COUNTIFS(Log!$A$2:$A$49,B24,Log!$H$2:$H$49,"Red")+COUNTIFS(Log!$A$2:$A$49,B24,Log!$I$2:$I$49,"Red")&gt;0,"No","Yes")</f>
        <v/>
      </c>
      <c r="Q24">
        <f>IF(COUNTIFS(Artifact!$B$2:$B$385,B24,Artifact!$K$2:$K$385,"&gt;15")+COUNTIFS(Log!$A$2:$A$49,B24,Log!$H$2:$H$49,"Red")+COUNTIFS(Log!$A$2:$A$49,B24,Log!$I$2:$I$49,"Red")&gt;0,"No","Yes")</f>
        <v/>
      </c>
    </row>
    <row r="25">
      <c r="A25" t="inlineStr">
        <is>
          <t>SIMULATED Commercial FA Study</t>
        </is>
      </c>
      <c r="B25" t="inlineStr">
        <is>
          <t>P04</t>
        </is>
      </c>
      <c r="C25" t="inlineStr">
        <is>
          <t>M</t>
        </is>
      </c>
      <c r="D25" t="n">
        <v>22</v>
      </c>
      <c r="E25" t="inlineStr">
        <is>
          <t>A_C1first</t>
        </is>
      </c>
      <c r="F25" t="inlineStr">
        <is>
          <t>Annotation</t>
        </is>
      </c>
      <c r="G25" t="inlineStr">
        <is>
          <t>KeyScene</t>
        </is>
      </c>
      <c r="H25" t="n">
        <v>116000</v>
      </c>
      <c r="I25" t="n">
        <v>6000</v>
      </c>
      <c r="J25" t="inlineStr">
        <is>
          <t>Commercial_1A</t>
        </is>
      </c>
      <c r="K25" s="4" t="n">
        <v>1.3414</v>
      </c>
      <c r="L25" t="inlineStr">
        <is>
          <t>Frontal Asymmetry (Enobio EEG)</t>
        </is>
      </c>
      <c r="M25">
        <f>LEFT(E25,1)</f>
        <v/>
      </c>
      <c r="N25">
        <f>MID(E25,3,10)</f>
        <v/>
      </c>
      <c r="O25">
        <f>IF(F25="Stimulus",IF(LEFT(G25,8)="Baseline",G25,IF(LEFT(G25,12)="Commercial_1","C1","C2")),IF(G25="KeyScene","KeyScene",IF(LEFT(J25,12)="Commercial_1","EndScene_C1","EndScene_C2")))</f>
        <v/>
      </c>
      <c r="P25">
        <f>IF(COUNTIFS(Artifact!$B$2:$B$385,B25,Artifact!$K$2:$K$385,"&gt;25")+COUNTIFS(Log!$A$2:$A$49,B25,Log!$H$2:$H$49,"Red")+COUNTIFS(Log!$A$2:$A$49,B25,Log!$I$2:$I$49,"Red")&gt;0,"No","Yes")</f>
        <v/>
      </c>
      <c r="Q25">
        <f>IF(COUNTIFS(Artifact!$B$2:$B$385,B25,Artifact!$K$2:$K$385,"&gt;15")+COUNTIFS(Log!$A$2:$A$49,B25,Log!$H$2:$H$49,"Red")+COUNTIFS(Log!$A$2:$A$49,B25,Log!$I$2:$I$49,"Red")&gt;0,"No","Yes")</f>
        <v/>
      </c>
    </row>
    <row r="26">
      <c r="A26" t="inlineStr">
        <is>
          <t>SIMULATED Commercial FA Study</t>
        </is>
      </c>
      <c r="B26" t="inlineStr">
        <is>
          <t>P04</t>
        </is>
      </c>
      <c r="C26" t="inlineStr">
        <is>
          <t>M</t>
        </is>
      </c>
      <c r="D26" t="n">
        <v>22</v>
      </c>
      <c r="E26" t="inlineStr">
        <is>
          <t>A_C1first</t>
        </is>
      </c>
      <c r="F26" t="inlineStr">
        <is>
          <t>Annotation</t>
        </is>
      </c>
      <c r="G26" t="inlineStr">
        <is>
          <t>EndScene</t>
        </is>
      </c>
      <c r="H26" t="n">
        <v>134000</v>
      </c>
      <c r="I26" t="n">
        <v>10000</v>
      </c>
      <c r="J26" t="inlineStr">
        <is>
          <t>Commercial_1A</t>
        </is>
      </c>
      <c r="K26" s="4" t="n">
        <v>1.2188</v>
      </c>
      <c r="L26" t="inlineStr">
        <is>
          <t>Frontal Asymmetry (Enobio EEG)</t>
        </is>
      </c>
      <c r="M26">
        <f>LEFT(E26,1)</f>
        <v/>
      </c>
      <c r="N26">
        <f>MID(E26,3,10)</f>
        <v/>
      </c>
      <c r="O26">
        <f>IF(F26="Stimulus",IF(LEFT(G26,8)="Baseline",G26,IF(LEFT(G26,12)="Commercial_1","C1","C2")),IF(G26="KeyScene","KeyScene",IF(LEFT(J26,12)="Commercial_1","EndScene_C1","EndScene_C2")))</f>
        <v/>
      </c>
      <c r="P26">
        <f>IF(COUNTIFS(Artifact!$B$2:$B$385,B26,Artifact!$K$2:$K$385,"&gt;25")+COUNTIFS(Log!$A$2:$A$49,B26,Log!$H$2:$H$49,"Red")+COUNTIFS(Log!$A$2:$A$49,B26,Log!$I$2:$I$49,"Red")&gt;0,"No","Yes")</f>
        <v/>
      </c>
      <c r="Q26">
        <f>IF(COUNTIFS(Artifact!$B$2:$B$385,B26,Artifact!$K$2:$K$385,"&gt;15")+COUNTIFS(Log!$A$2:$A$49,B26,Log!$H$2:$H$49,"Red")+COUNTIFS(Log!$A$2:$A$49,B26,Log!$I$2:$I$49,"Red")&gt;0,"No","Yes")</f>
        <v/>
      </c>
    </row>
    <row r="27">
      <c r="A27" t="inlineStr">
        <is>
          <t>SIMULATED Commercial FA Study</t>
        </is>
      </c>
      <c r="B27" t="inlineStr">
        <is>
          <t>P04</t>
        </is>
      </c>
      <c r="C27" t="inlineStr">
        <is>
          <t>M</t>
        </is>
      </c>
      <c r="D27" t="n">
        <v>22</v>
      </c>
      <c r="E27" t="inlineStr">
        <is>
          <t>A_C1first</t>
        </is>
      </c>
      <c r="F27" t="inlineStr">
        <is>
          <t>Annotation</t>
        </is>
      </c>
      <c r="G27" t="inlineStr">
        <is>
          <t>EndScene</t>
        </is>
      </c>
      <c r="H27" t="n">
        <v>309000</v>
      </c>
      <c r="I27" t="n">
        <v>10000</v>
      </c>
      <c r="J27" t="inlineStr">
        <is>
          <t>Commercial_2</t>
        </is>
      </c>
      <c r="K27" s="4" t="n">
        <v>1.2726</v>
      </c>
      <c r="L27" t="inlineStr">
        <is>
          <t>Frontal Asymmetry (Enobio EEG)</t>
        </is>
      </c>
      <c r="M27">
        <f>LEFT(E27,1)</f>
        <v/>
      </c>
      <c r="N27">
        <f>MID(E27,3,10)</f>
        <v/>
      </c>
      <c r="O27">
        <f>IF(F27="Stimulus",IF(LEFT(G27,8)="Baseline",G27,IF(LEFT(G27,12)="Commercial_1","C1","C2")),IF(G27="KeyScene","KeyScene",IF(LEFT(J27,12)="Commercial_1","EndScene_C1","EndScene_C2")))</f>
        <v/>
      </c>
      <c r="P27">
        <f>IF(COUNTIFS(Artifact!$B$2:$B$385,B27,Artifact!$K$2:$K$385,"&gt;25")+COUNTIFS(Log!$A$2:$A$49,B27,Log!$H$2:$H$49,"Red")+COUNTIFS(Log!$A$2:$A$49,B27,Log!$I$2:$I$49,"Red")&gt;0,"No","Yes")</f>
        <v/>
      </c>
      <c r="Q27">
        <f>IF(COUNTIFS(Artifact!$B$2:$B$385,B27,Artifact!$K$2:$K$385,"&gt;15")+COUNTIFS(Log!$A$2:$A$49,B27,Log!$H$2:$H$49,"Red")+COUNTIFS(Log!$A$2:$A$49,B27,Log!$I$2:$I$49,"Red")&gt;0,"No","Yes")</f>
        <v/>
      </c>
    </row>
    <row r="28">
      <c r="A28" t="inlineStr">
        <is>
          <t>SIMULATED Commercial FA Study</t>
        </is>
      </c>
      <c r="B28" t="inlineStr">
        <is>
          <t>P05</t>
        </is>
      </c>
      <c r="C28" t="inlineStr">
        <is>
          <t>M</t>
        </is>
      </c>
      <c r="D28" t="n">
        <v>19</v>
      </c>
      <c r="E28" t="inlineStr">
        <is>
          <t>A_C1first</t>
        </is>
      </c>
      <c r="F28" t="inlineStr">
        <is>
          <t>Stimulus</t>
        </is>
      </c>
      <c r="G28" t="inlineStr">
        <is>
          <t>Baseline_1</t>
        </is>
      </c>
      <c r="H28" t="n">
        <v>32000</v>
      </c>
      <c r="I28" t="n">
        <v>60000</v>
      </c>
      <c r="J28" t="inlineStr">
        <is>
          <t>Baseline_1</t>
        </is>
      </c>
      <c r="K28" s="4" t="n">
        <v>0.8322000000000001</v>
      </c>
      <c r="L28" t="inlineStr">
        <is>
          <t>Frontal Asymmetry (Enobio EEG)</t>
        </is>
      </c>
      <c r="M28">
        <f>LEFT(E28,1)</f>
        <v/>
      </c>
      <c r="N28">
        <f>MID(E28,3,10)</f>
        <v/>
      </c>
      <c r="O28">
        <f>IF(F28="Stimulus",IF(LEFT(G28,8)="Baseline",G28,IF(LEFT(G28,12)="Commercial_1","C1","C2")),IF(G28="KeyScene","KeyScene",IF(LEFT(J28,12)="Commercial_1","EndScene_C1","EndScene_C2")))</f>
        <v/>
      </c>
      <c r="P28">
        <f>IF(COUNTIFS(Artifact!$B$2:$B$385,B28,Artifact!$K$2:$K$385,"&gt;25")+COUNTIFS(Log!$A$2:$A$49,B28,Log!$H$2:$H$49,"Red")+COUNTIFS(Log!$A$2:$A$49,B28,Log!$I$2:$I$49,"Red")&gt;0,"No","Yes")</f>
        <v/>
      </c>
      <c r="Q28">
        <f>IF(COUNTIFS(Artifact!$B$2:$B$385,B28,Artifact!$K$2:$K$385,"&gt;15")+COUNTIFS(Log!$A$2:$A$49,B28,Log!$H$2:$H$49,"Red")+COUNTIFS(Log!$A$2:$A$49,B28,Log!$I$2:$I$49,"Red")&gt;0,"No","Yes")</f>
        <v/>
      </c>
    </row>
    <row r="29">
      <c r="A29" t="inlineStr">
        <is>
          <t>SIMULATED Commercial FA Study</t>
        </is>
      </c>
      <c r="B29" t="inlineStr">
        <is>
          <t>P05</t>
        </is>
      </c>
      <c r="C29" t="inlineStr">
        <is>
          <t>M</t>
        </is>
      </c>
      <c r="D29" t="n">
        <v>19</v>
      </c>
      <c r="E29" t="inlineStr">
        <is>
          <t>A_C1first</t>
        </is>
      </c>
      <c r="F29" t="inlineStr">
        <is>
          <t>Stimulus</t>
        </is>
      </c>
      <c r="G29" t="inlineStr">
        <is>
          <t>Commercial_1A</t>
        </is>
      </c>
      <c r="H29" t="n">
        <v>92000</v>
      </c>
      <c r="I29" t="n">
        <v>60000</v>
      </c>
      <c r="J29" t="inlineStr">
        <is>
          <t>Commercial_1A</t>
        </is>
      </c>
      <c r="K29" s="4" t="n">
        <v>0.8975</v>
      </c>
      <c r="L29" t="inlineStr">
        <is>
          <t>Frontal Asymmetry (Enobio EEG)</t>
        </is>
      </c>
      <c r="M29">
        <f>LEFT(E29,1)</f>
        <v/>
      </c>
      <c r="N29">
        <f>MID(E29,3,10)</f>
        <v/>
      </c>
      <c r="O29">
        <f>IF(F29="Stimulus",IF(LEFT(G29,8)="Baseline",G29,IF(LEFT(G29,12)="Commercial_1","C1","C2")),IF(G29="KeyScene","KeyScene",IF(LEFT(J29,12)="Commercial_1","EndScene_C1","EndScene_C2")))</f>
        <v/>
      </c>
      <c r="P29">
        <f>IF(COUNTIFS(Artifact!$B$2:$B$385,B29,Artifact!$K$2:$K$385,"&gt;25")+COUNTIFS(Log!$A$2:$A$49,B29,Log!$H$2:$H$49,"Red")+COUNTIFS(Log!$A$2:$A$49,B29,Log!$I$2:$I$49,"Red")&gt;0,"No","Yes")</f>
        <v/>
      </c>
      <c r="Q29">
        <f>IF(COUNTIFS(Artifact!$B$2:$B$385,B29,Artifact!$K$2:$K$385,"&gt;15")+COUNTIFS(Log!$A$2:$A$49,B29,Log!$H$2:$H$49,"Red")+COUNTIFS(Log!$A$2:$A$49,B29,Log!$I$2:$I$49,"Red")&gt;0,"No","Yes")</f>
        <v/>
      </c>
    </row>
    <row r="30">
      <c r="A30" t="inlineStr">
        <is>
          <t>SIMULATED Commercial FA Study</t>
        </is>
      </c>
      <c r="B30" t="inlineStr">
        <is>
          <t>P05</t>
        </is>
      </c>
      <c r="C30" t="inlineStr">
        <is>
          <t>M</t>
        </is>
      </c>
      <c r="D30" t="n">
        <v>19</v>
      </c>
      <c r="E30" t="inlineStr">
        <is>
          <t>A_C1first</t>
        </is>
      </c>
      <c r="F30" t="inlineStr">
        <is>
          <t>Stimulus</t>
        </is>
      </c>
      <c r="G30" t="inlineStr">
        <is>
          <t>Baseline_2</t>
        </is>
      </c>
      <c r="H30" t="n">
        <v>195000</v>
      </c>
      <c r="I30" t="n">
        <v>60000</v>
      </c>
      <c r="J30" t="inlineStr">
        <is>
          <t>Baseline_2</t>
        </is>
      </c>
      <c r="K30" s="4" t="n">
        <v>0.8522</v>
      </c>
      <c r="L30" t="inlineStr">
        <is>
          <t>Frontal Asymmetry (Enobio EEG)</t>
        </is>
      </c>
      <c r="M30">
        <f>LEFT(E30,1)</f>
        <v/>
      </c>
      <c r="N30">
        <f>MID(E30,3,10)</f>
        <v/>
      </c>
      <c r="O30">
        <f>IF(F30="Stimulus",IF(LEFT(G30,8)="Baseline",G30,IF(LEFT(G30,12)="Commercial_1","C1","C2")),IF(G30="KeyScene","KeyScene",IF(LEFT(J30,12)="Commercial_1","EndScene_C1","EndScene_C2")))</f>
        <v/>
      </c>
      <c r="P30">
        <f>IF(COUNTIFS(Artifact!$B$2:$B$385,B30,Artifact!$K$2:$K$385,"&gt;25")+COUNTIFS(Log!$A$2:$A$49,B30,Log!$H$2:$H$49,"Red")+COUNTIFS(Log!$A$2:$A$49,B30,Log!$I$2:$I$49,"Red")&gt;0,"No","Yes")</f>
        <v/>
      </c>
      <c r="Q30">
        <f>IF(COUNTIFS(Artifact!$B$2:$B$385,B30,Artifact!$K$2:$K$385,"&gt;15")+COUNTIFS(Log!$A$2:$A$49,B30,Log!$H$2:$H$49,"Red")+COUNTIFS(Log!$A$2:$A$49,B30,Log!$I$2:$I$49,"Red")&gt;0,"No","Yes")</f>
        <v/>
      </c>
    </row>
    <row r="31">
      <c r="A31" t="inlineStr">
        <is>
          <t>SIMULATED Commercial FA Study</t>
        </is>
      </c>
      <c r="B31" t="inlineStr">
        <is>
          <t>P05</t>
        </is>
      </c>
      <c r="C31" t="inlineStr">
        <is>
          <t>M</t>
        </is>
      </c>
      <c r="D31" t="n">
        <v>19</v>
      </c>
      <c r="E31" t="inlineStr">
        <is>
          <t>A_C1first</t>
        </is>
      </c>
      <c r="F31" t="inlineStr">
        <is>
          <t>Stimulus</t>
        </is>
      </c>
      <c r="G31" t="inlineStr">
        <is>
          <t>Commercial_2</t>
        </is>
      </c>
      <c r="H31" t="n">
        <v>255000</v>
      </c>
      <c r="I31" t="n">
        <v>60000</v>
      </c>
      <c r="J31" t="inlineStr">
        <is>
          <t>Commercial_2</t>
        </is>
      </c>
      <c r="K31" s="4" t="n">
        <v>0.8681</v>
      </c>
      <c r="L31" t="inlineStr">
        <is>
          <t>Frontal Asymmetry (Enobio EEG)</t>
        </is>
      </c>
      <c r="M31">
        <f>LEFT(E31,1)</f>
        <v/>
      </c>
      <c r="N31">
        <f>MID(E31,3,10)</f>
        <v/>
      </c>
      <c r="O31">
        <f>IF(F31="Stimulus",IF(LEFT(G31,8)="Baseline",G31,IF(LEFT(G31,12)="Commercial_1","C1","C2")),IF(G31="KeyScene","KeyScene",IF(LEFT(J31,12)="Commercial_1","EndScene_C1","EndScene_C2")))</f>
        <v/>
      </c>
      <c r="P31">
        <f>IF(COUNTIFS(Artifact!$B$2:$B$385,B31,Artifact!$K$2:$K$385,"&gt;25")+COUNTIFS(Log!$A$2:$A$49,B31,Log!$H$2:$H$49,"Red")+COUNTIFS(Log!$A$2:$A$49,B31,Log!$I$2:$I$49,"Red")&gt;0,"No","Yes")</f>
        <v/>
      </c>
      <c r="Q31">
        <f>IF(COUNTIFS(Artifact!$B$2:$B$385,B31,Artifact!$K$2:$K$385,"&gt;15")+COUNTIFS(Log!$A$2:$A$49,B31,Log!$H$2:$H$49,"Red")+COUNTIFS(Log!$A$2:$A$49,B31,Log!$I$2:$I$49,"Red")&gt;0,"No","Yes")</f>
        <v/>
      </c>
    </row>
    <row r="32">
      <c r="A32" t="inlineStr">
        <is>
          <t>SIMULATED Commercial FA Study</t>
        </is>
      </c>
      <c r="B32" t="inlineStr">
        <is>
          <t>P05</t>
        </is>
      </c>
      <c r="C32" t="inlineStr">
        <is>
          <t>M</t>
        </is>
      </c>
      <c r="D32" t="n">
        <v>19</v>
      </c>
      <c r="E32" t="inlineStr">
        <is>
          <t>A_C1first</t>
        </is>
      </c>
      <c r="F32" t="inlineStr">
        <is>
          <t>Annotation</t>
        </is>
      </c>
      <c r="G32" t="inlineStr">
        <is>
          <t>KeyScene</t>
        </is>
      </c>
      <c r="H32" t="n">
        <v>124000</v>
      </c>
      <c r="I32" t="n">
        <v>6000</v>
      </c>
      <c r="J32" t="inlineStr">
        <is>
          <t>Commercial_1A</t>
        </is>
      </c>
      <c r="K32" s="4" t="n">
        <v>1.0378</v>
      </c>
      <c r="L32" t="inlineStr">
        <is>
          <t>Frontal Asymmetry (Enobio EEG)</t>
        </is>
      </c>
      <c r="M32">
        <f>LEFT(E32,1)</f>
        <v/>
      </c>
      <c r="N32">
        <f>MID(E32,3,10)</f>
        <v/>
      </c>
      <c r="O32">
        <f>IF(F32="Stimulus",IF(LEFT(G32,8)="Baseline",G32,IF(LEFT(G32,12)="Commercial_1","C1","C2")),IF(G32="KeyScene","KeyScene",IF(LEFT(J32,12)="Commercial_1","EndScene_C1","EndScene_C2")))</f>
        <v/>
      </c>
      <c r="P32">
        <f>IF(COUNTIFS(Artifact!$B$2:$B$385,B32,Artifact!$K$2:$K$385,"&gt;25")+COUNTIFS(Log!$A$2:$A$49,B32,Log!$H$2:$H$49,"Red")+COUNTIFS(Log!$A$2:$A$49,B32,Log!$I$2:$I$49,"Red")&gt;0,"No","Yes")</f>
        <v/>
      </c>
      <c r="Q32">
        <f>IF(COUNTIFS(Artifact!$B$2:$B$385,B32,Artifact!$K$2:$K$385,"&gt;15")+COUNTIFS(Log!$A$2:$A$49,B32,Log!$H$2:$H$49,"Red")+COUNTIFS(Log!$A$2:$A$49,B32,Log!$I$2:$I$49,"Red")&gt;0,"No","Yes")</f>
        <v/>
      </c>
    </row>
    <row r="33">
      <c r="A33" t="inlineStr">
        <is>
          <t>SIMULATED Commercial FA Study</t>
        </is>
      </c>
      <c r="B33" t="inlineStr">
        <is>
          <t>P05</t>
        </is>
      </c>
      <c r="C33" t="inlineStr">
        <is>
          <t>M</t>
        </is>
      </c>
      <c r="D33" t="n">
        <v>19</v>
      </c>
      <c r="E33" t="inlineStr">
        <is>
          <t>A_C1first</t>
        </is>
      </c>
      <c r="F33" t="inlineStr">
        <is>
          <t>Annotation</t>
        </is>
      </c>
      <c r="G33" t="inlineStr">
        <is>
          <t>EndScene</t>
        </is>
      </c>
      <c r="H33" t="n">
        <v>142000</v>
      </c>
      <c r="I33" t="n">
        <v>10000</v>
      </c>
      <c r="J33" t="inlineStr">
        <is>
          <t>Commercial_1A</t>
        </is>
      </c>
      <c r="K33" s="4" t="n">
        <v>0.9713000000000001</v>
      </c>
      <c r="L33" t="inlineStr">
        <is>
          <t>Frontal Asymmetry (Enobio EEG)</t>
        </is>
      </c>
      <c r="M33">
        <f>LEFT(E33,1)</f>
        <v/>
      </c>
      <c r="N33">
        <f>MID(E33,3,10)</f>
        <v/>
      </c>
      <c r="O33">
        <f>IF(F33="Stimulus",IF(LEFT(G33,8)="Baseline",G33,IF(LEFT(G33,12)="Commercial_1","C1","C2")),IF(G33="KeyScene","KeyScene",IF(LEFT(J33,12)="Commercial_1","EndScene_C1","EndScene_C2")))</f>
        <v/>
      </c>
      <c r="P33">
        <f>IF(COUNTIFS(Artifact!$B$2:$B$385,B33,Artifact!$K$2:$K$385,"&gt;25")+COUNTIFS(Log!$A$2:$A$49,B33,Log!$H$2:$H$49,"Red")+COUNTIFS(Log!$A$2:$A$49,B33,Log!$I$2:$I$49,"Red")&gt;0,"No","Yes")</f>
        <v/>
      </c>
      <c r="Q33">
        <f>IF(COUNTIFS(Artifact!$B$2:$B$385,B33,Artifact!$K$2:$K$385,"&gt;15")+COUNTIFS(Log!$A$2:$A$49,B33,Log!$H$2:$H$49,"Red")+COUNTIFS(Log!$A$2:$A$49,B33,Log!$I$2:$I$49,"Red")&gt;0,"No","Yes")</f>
        <v/>
      </c>
    </row>
    <row r="34">
      <c r="A34" t="inlineStr">
        <is>
          <t>SIMULATED Commercial FA Study</t>
        </is>
      </c>
      <c r="B34" t="inlineStr">
        <is>
          <t>P05</t>
        </is>
      </c>
      <c r="C34" t="inlineStr">
        <is>
          <t>M</t>
        </is>
      </c>
      <c r="D34" t="n">
        <v>19</v>
      </c>
      <c r="E34" t="inlineStr">
        <is>
          <t>A_C1first</t>
        </is>
      </c>
      <c r="F34" t="inlineStr">
        <is>
          <t>Annotation</t>
        </is>
      </c>
      <c r="G34" t="inlineStr">
        <is>
          <t>EndScene</t>
        </is>
      </c>
      <c r="H34" t="n">
        <v>305000</v>
      </c>
      <c r="I34" t="n">
        <v>10000</v>
      </c>
      <c r="J34" t="inlineStr">
        <is>
          <t>Commercial_2</t>
        </is>
      </c>
      <c r="K34" s="4" t="n">
        <v>0.9267</v>
      </c>
      <c r="L34" t="inlineStr">
        <is>
          <t>Frontal Asymmetry (Enobio EEG)</t>
        </is>
      </c>
      <c r="M34">
        <f>LEFT(E34,1)</f>
        <v/>
      </c>
      <c r="N34">
        <f>MID(E34,3,10)</f>
        <v/>
      </c>
      <c r="O34">
        <f>IF(F34="Stimulus",IF(LEFT(G34,8)="Baseline",G34,IF(LEFT(G34,12)="Commercial_1","C1","C2")),IF(G34="KeyScene","KeyScene",IF(LEFT(J34,12)="Commercial_1","EndScene_C1","EndScene_C2")))</f>
        <v/>
      </c>
      <c r="P34">
        <f>IF(COUNTIFS(Artifact!$B$2:$B$385,B34,Artifact!$K$2:$K$385,"&gt;25")+COUNTIFS(Log!$A$2:$A$49,B34,Log!$H$2:$H$49,"Red")+COUNTIFS(Log!$A$2:$A$49,B34,Log!$I$2:$I$49,"Red")&gt;0,"No","Yes")</f>
        <v/>
      </c>
      <c r="Q34">
        <f>IF(COUNTIFS(Artifact!$B$2:$B$385,B34,Artifact!$K$2:$K$385,"&gt;15")+COUNTIFS(Log!$A$2:$A$49,B34,Log!$H$2:$H$49,"Red")+COUNTIFS(Log!$A$2:$A$49,B34,Log!$I$2:$I$49,"Red")&gt;0,"No","Yes")</f>
        <v/>
      </c>
    </row>
    <row r="35">
      <c r="A35" t="inlineStr">
        <is>
          <t>SIMULATED Commercial FA Study</t>
        </is>
      </c>
      <c r="B35" t="inlineStr">
        <is>
          <t>P06</t>
        </is>
      </c>
      <c r="C35" t="inlineStr">
        <is>
          <t>M</t>
        </is>
      </c>
      <c r="D35" t="n">
        <v>25</v>
      </c>
      <c r="E35" t="inlineStr">
        <is>
          <t>B_C2first</t>
        </is>
      </c>
      <c r="F35" t="inlineStr">
        <is>
          <t>Stimulus</t>
        </is>
      </c>
      <c r="G35" t="inlineStr">
        <is>
          <t>Baseline_1</t>
        </is>
      </c>
      <c r="H35" t="n">
        <v>25000</v>
      </c>
      <c r="I35" t="n">
        <v>60000</v>
      </c>
      <c r="J35" t="inlineStr">
        <is>
          <t>Baseline_1</t>
        </is>
      </c>
      <c r="K35" s="4" t="n">
        <v>0.6586</v>
      </c>
      <c r="L35" t="inlineStr">
        <is>
          <t>Frontal Asymmetry (Enobio EEG)</t>
        </is>
      </c>
      <c r="M35">
        <f>LEFT(E35,1)</f>
        <v/>
      </c>
      <c r="N35">
        <f>MID(E35,3,10)</f>
        <v/>
      </c>
      <c r="O35">
        <f>IF(F35="Stimulus",IF(LEFT(G35,8)="Baseline",G35,IF(LEFT(G35,12)="Commercial_1","C1","C2")),IF(G35="KeyScene","KeyScene",IF(LEFT(J35,12)="Commercial_1","EndScene_C1","EndScene_C2")))</f>
        <v/>
      </c>
      <c r="P35">
        <f>IF(COUNTIFS(Artifact!$B$2:$B$385,B35,Artifact!$K$2:$K$385,"&gt;25")+COUNTIFS(Log!$A$2:$A$49,B35,Log!$H$2:$H$49,"Red")+COUNTIFS(Log!$A$2:$A$49,B35,Log!$I$2:$I$49,"Red")&gt;0,"No","Yes")</f>
        <v/>
      </c>
      <c r="Q35">
        <f>IF(COUNTIFS(Artifact!$B$2:$B$385,B35,Artifact!$K$2:$K$385,"&gt;15")+COUNTIFS(Log!$A$2:$A$49,B35,Log!$H$2:$H$49,"Red")+COUNTIFS(Log!$A$2:$A$49,B35,Log!$I$2:$I$49,"Red")&gt;0,"No","Yes")</f>
        <v/>
      </c>
    </row>
    <row r="36">
      <c r="A36" t="inlineStr">
        <is>
          <t>SIMULATED Commercial FA Study</t>
        </is>
      </c>
      <c r="B36" t="inlineStr">
        <is>
          <t>P06</t>
        </is>
      </c>
      <c r="C36" t="inlineStr">
        <is>
          <t>M</t>
        </is>
      </c>
      <c r="D36" t="n">
        <v>25</v>
      </c>
      <c r="E36" t="inlineStr">
        <is>
          <t>B_C2first</t>
        </is>
      </c>
      <c r="F36" t="inlineStr">
        <is>
          <t>Stimulus</t>
        </is>
      </c>
      <c r="G36" t="inlineStr">
        <is>
          <t>Commercial_2</t>
        </is>
      </c>
      <c r="H36" t="n">
        <v>85000</v>
      </c>
      <c r="I36" t="n">
        <v>60000</v>
      </c>
      <c r="J36" t="inlineStr">
        <is>
          <t>Commercial_2</t>
        </is>
      </c>
      <c r="K36" s="4" t="n">
        <v>0.6788</v>
      </c>
      <c r="L36" t="inlineStr">
        <is>
          <t>Frontal Asymmetry (Enobio EEG)</t>
        </is>
      </c>
      <c r="M36">
        <f>LEFT(E36,1)</f>
        <v/>
      </c>
      <c r="N36">
        <f>MID(E36,3,10)</f>
        <v/>
      </c>
      <c r="O36">
        <f>IF(F36="Stimulus",IF(LEFT(G36,8)="Baseline",G36,IF(LEFT(G36,12)="Commercial_1","C1","C2")),IF(G36="KeyScene","KeyScene",IF(LEFT(J36,12)="Commercial_1","EndScene_C1","EndScene_C2")))</f>
        <v/>
      </c>
      <c r="P36">
        <f>IF(COUNTIFS(Artifact!$B$2:$B$385,B36,Artifact!$K$2:$K$385,"&gt;25")+COUNTIFS(Log!$A$2:$A$49,B36,Log!$H$2:$H$49,"Red")+COUNTIFS(Log!$A$2:$A$49,B36,Log!$I$2:$I$49,"Red")&gt;0,"No","Yes")</f>
        <v/>
      </c>
      <c r="Q36">
        <f>IF(COUNTIFS(Artifact!$B$2:$B$385,B36,Artifact!$K$2:$K$385,"&gt;15")+COUNTIFS(Log!$A$2:$A$49,B36,Log!$H$2:$H$49,"Red")+COUNTIFS(Log!$A$2:$A$49,B36,Log!$I$2:$I$49,"Red")&gt;0,"No","Yes")</f>
        <v/>
      </c>
    </row>
    <row r="37">
      <c r="A37" t="inlineStr">
        <is>
          <t>SIMULATED Commercial FA Study</t>
        </is>
      </c>
      <c r="B37" t="inlineStr">
        <is>
          <t>P06</t>
        </is>
      </c>
      <c r="C37" t="inlineStr">
        <is>
          <t>M</t>
        </is>
      </c>
      <c r="D37" t="n">
        <v>25</v>
      </c>
      <c r="E37" t="inlineStr">
        <is>
          <t>B_C2first</t>
        </is>
      </c>
      <c r="F37" t="inlineStr">
        <is>
          <t>Stimulus</t>
        </is>
      </c>
      <c r="G37" t="inlineStr">
        <is>
          <t>Baseline_2</t>
        </is>
      </c>
      <c r="H37" t="n">
        <v>202000</v>
      </c>
      <c r="I37" t="n">
        <v>60000</v>
      </c>
      <c r="J37" t="inlineStr">
        <is>
          <t>Baseline_2</t>
        </is>
      </c>
      <c r="K37" s="4" t="n">
        <v>0.6838</v>
      </c>
      <c r="L37" t="inlineStr">
        <is>
          <t>Frontal Asymmetry (Enobio EEG)</t>
        </is>
      </c>
      <c r="M37">
        <f>LEFT(E37,1)</f>
        <v/>
      </c>
      <c r="N37">
        <f>MID(E37,3,10)</f>
        <v/>
      </c>
      <c r="O37">
        <f>IF(F37="Stimulus",IF(LEFT(G37,8)="Baseline",G37,IF(LEFT(G37,12)="Commercial_1","C1","C2")),IF(G37="KeyScene","KeyScene",IF(LEFT(J37,12)="Commercial_1","EndScene_C1","EndScene_C2")))</f>
        <v/>
      </c>
      <c r="P37">
        <f>IF(COUNTIFS(Artifact!$B$2:$B$385,B37,Artifact!$K$2:$K$385,"&gt;25")+COUNTIFS(Log!$A$2:$A$49,B37,Log!$H$2:$H$49,"Red")+COUNTIFS(Log!$A$2:$A$49,B37,Log!$I$2:$I$49,"Red")&gt;0,"No","Yes")</f>
        <v/>
      </c>
      <c r="Q37">
        <f>IF(COUNTIFS(Artifact!$B$2:$B$385,B37,Artifact!$K$2:$K$385,"&gt;15")+COUNTIFS(Log!$A$2:$A$49,B37,Log!$H$2:$H$49,"Red")+COUNTIFS(Log!$A$2:$A$49,B37,Log!$I$2:$I$49,"Red")&gt;0,"No","Yes")</f>
        <v/>
      </c>
    </row>
    <row r="38">
      <c r="A38" t="inlineStr">
        <is>
          <t>SIMULATED Commercial FA Study</t>
        </is>
      </c>
      <c r="B38" t="inlineStr">
        <is>
          <t>P06</t>
        </is>
      </c>
      <c r="C38" t="inlineStr">
        <is>
          <t>M</t>
        </is>
      </c>
      <c r="D38" t="n">
        <v>25</v>
      </c>
      <c r="E38" t="inlineStr">
        <is>
          <t>B_C2first</t>
        </is>
      </c>
      <c r="F38" t="inlineStr">
        <is>
          <t>Stimulus</t>
        </is>
      </c>
      <c r="G38" t="inlineStr">
        <is>
          <t>Commercial_1B</t>
        </is>
      </c>
      <c r="H38" t="n">
        <v>262000</v>
      </c>
      <c r="I38" t="n">
        <v>54000</v>
      </c>
      <c r="J38" t="inlineStr">
        <is>
          <t>Commercial_1B</t>
        </is>
      </c>
      <c r="K38" s="4" t="n">
        <v>0.6781</v>
      </c>
      <c r="L38" t="inlineStr">
        <is>
          <t>Frontal Asymmetry (Enobio EEG)</t>
        </is>
      </c>
      <c r="M38">
        <f>LEFT(E38,1)</f>
        <v/>
      </c>
      <c r="N38">
        <f>MID(E38,3,10)</f>
        <v/>
      </c>
      <c r="O38">
        <f>IF(F38="Stimulus",IF(LEFT(G38,8)="Baseline",G38,IF(LEFT(G38,12)="Commercial_1","C1","C2")),IF(G38="KeyScene","KeyScene",IF(LEFT(J38,12)="Commercial_1","EndScene_C1","EndScene_C2")))</f>
        <v/>
      </c>
      <c r="P38">
        <f>IF(COUNTIFS(Artifact!$B$2:$B$385,B38,Artifact!$K$2:$K$385,"&gt;25")+COUNTIFS(Log!$A$2:$A$49,B38,Log!$H$2:$H$49,"Red")+COUNTIFS(Log!$A$2:$A$49,B38,Log!$I$2:$I$49,"Red")&gt;0,"No","Yes")</f>
        <v/>
      </c>
      <c r="Q38">
        <f>IF(COUNTIFS(Artifact!$B$2:$B$385,B38,Artifact!$K$2:$K$385,"&gt;15")+COUNTIFS(Log!$A$2:$A$49,B38,Log!$H$2:$H$49,"Red")+COUNTIFS(Log!$A$2:$A$49,B38,Log!$I$2:$I$49,"Red")&gt;0,"No","Yes")</f>
        <v/>
      </c>
    </row>
    <row r="39">
      <c r="A39" t="inlineStr">
        <is>
          <t>SIMULATED Commercial FA Study</t>
        </is>
      </c>
      <c r="B39" t="inlineStr">
        <is>
          <t>P06</t>
        </is>
      </c>
      <c r="C39" t="inlineStr">
        <is>
          <t>M</t>
        </is>
      </c>
      <c r="D39" t="n">
        <v>25</v>
      </c>
      <c r="E39" t="inlineStr">
        <is>
          <t>B_C2first</t>
        </is>
      </c>
      <c r="F39" t="inlineStr">
        <is>
          <t>Annotation</t>
        </is>
      </c>
      <c r="G39" t="inlineStr">
        <is>
          <t>EndScene</t>
        </is>
      </c>
      <c r="H39" t="n">
        <v>135000</v>
      </c>
      <c r="I39" t="n">
        <v>10000</v>
      </c>
      <c r="J39" t="inlineStr">
        <is>
          <t>Commercial_2</t>
        </is>
      </c>
      <c r="K39" s="4" t="n">
        <v>0.6657999999999999</v>
      </c>
      <c r="L39" t="inlineStr">
        <is>
          <t>Frontal Asymmetry (Enobio EEG)</t>
        </is>
      </c>
      <c r="M39">
        <f>LEFT(E39,1)</f>
        <v/>
      </c>
      <c r="N39">
        <f>MID(E39,3,10)</f>
        <v/>
      </c>
      <c r="O39">
        <f>IF(F39="Stimulus",IF(LEFT(G39,8)="Baseline",G39,IF(LEFT(G39,12)="Commercial_1","C1","C2")),IF(G39="KeyScene","KeyScene",IF(LEFT(J39,12)="Commercial_1","EndScene_C1","EndScene_C2")))</f>
        <v/>
      </c>
      <c r="P39">
        <f>IF(COUNTIFS(Artifact!$B$2:$B$385,B39,Artifact!$K$2:$K$385,"&gt;25")+COUNTIFS(Log!$A$2:$A$49,B39,Log!$H$2:$H$49,"Red")+COUNTIFS(Log!$A$2:$A$49,B39,Log!$I$2:$I$49,"Red")&gt;0,"No","Yes")</f>
        <v/>
      </c>
      <c r="Q39">
        <f>IF(COUNTIFS(Artifact!$B$2:$B$385,B39,Artifact!$K$2:$K$385,"&gt;15")+COUNTIFS(Log!$A$2:$A$49,B39,Log!$H$2:$H$49,"Red")+COUNTIFS(Log!$A$2:$A$49,B39,Log!$I$2:$I$49,"Red")&gt;0,"No","Yes")</f>
        <v/>
      </c>
    </row>
    <row r="40">
      <c r="A40" t="inlineStr">
        <is>
          <t>SIMULATED Commercial FA Study</t>
        </is>
      </c>
      <c r="B40" t="inlineStr">
        <is>
          <t>P06</t>
        </is>
      </c>
      <c r="C40" t="inlineStr">
        <is>
          <t>M</t>
        </is>
      </c>
      <c r="D40" t="n">
        <v>25</v>
      </c>
      <c r="E40" t="inlineStr">
        <is>
          <t>B_C2first</t>
        </is>
      </c>
      <c r="F40" t="inlineStr">
        <is>
          <t>Annotation</t>
        </is>
      </c>
      <c r="G40" t="inlineStr">
        <is>
          <t>EndScene</t>
        </is>
      </c>
      <c r="H40" t="n">
        <v>306000</v>
      </c>
      <c r="I40" t="n">
        <v>10000</v>
      </c>
      <c r="J40" t="inlineStr">
        <is>
          <t>Commercial_1B</t>
        </is>
      </c>
      <c r="K40" s="4" t="n">
        <v>0.6429</v>
      </c>
      <c r="L40" t="inlineStr">
        <is>
          <t>Frontal Asymmetry (Enobio EEG)</t>
        </is>
      </c>
      <c r="M40">
        <f>LEFT(E40,1)</f>
        <v/>
      </c>
      <c r="N40">
        <f>MID(E40,3,10)</f>
        <v/>
      </c>
      <c r="O40">
        <f>IF(F40="Stimulus",IF(LEFT(G40,8)="Baseline",G40,IF(LEFT(G40,12)="Commercial_1","C1","C2")),IF(G40="KeyScene","KeyScene",IF(LEFT(J40,12)="Commercial_1","EndScene_C1","EndScene_C2")))</f>
        <v/>
      </c>
      <c r="P40">
        <f>IF(COUNTIFS(Artifact!$B$2:$B$385,B40,Artifact!$K$2:$K$385,"&gt;25")+COUNTIFS(Log!$A$2:$A$49,B40,Log!$H$2:$H$49,"Red")+COUNTIFS(Log!$A$2:$A$49,B40,Log!$I$2:$I$49,"Red")&gt;0,"No","Yes")</f>
        <v/>
      </c>
      <c r="Q40">
        <f>IF(COUNTIFS(Artifact!$B$2:$B$385,B40,Artifact!$K$2:$K$385,"&gt;15")+COUNTIFS(Log!$A$2:$A$49,B40,Log!$H$2:$H$49,"Red")+COUNTIFS(Log!$A$2:$A$49,B40,Log!$I$2:$I$49,"Red")&gt;0,"No","Yes")</f>
        <v/>
      </c>
    </row>
    <row r="41">
      <c r="A41" t="inlineStr">
        <is>
          <t>SIMULATED Commercial FA Study</t>
        </is>
      </c>
      <c r="B41" t="inlineStr">
        <is>
          <t>P07</t>
        </is>
      </c>
      <c r="C41" t="inlineStr">
        <is>
          <t>M</t>
        </is>
      </c>
      <c r="D41" t="n">
        <v>24</v>
      </c>
      <c r="E41" t="inlineStr">
        <is>
          <t>B_C1first</t>
        </is>
      </c>
      <c r="F41" t="inlineStr">
        <is>
          <t>Stimulus</t>
        </is>
      </c>
      <c r="G41" t="inlineStr">
        <is>
          <t>Baseline_1</t>
        </is>
      </c>
      <c r="H41" t="n">
        <v>38000</v>
      </c>
      <c r="I41" t="n">
        <v>60000</v>
      </c>
      <c r="J41" t="inlineStr">
        <is>
          <t>Baseline_1</t>
        </is>
      </c>
      <c r="K41" s="4" t="n">
        <v>0.7372</v>
      </c>
      <c r="L41" t="inlineStr">
        <is>
          <t>Frontal Asymmetry (Enobio EEG)</t>
        </is>
      </c>
      <c r="M41">
        <f>LEFT(E41,1)</f>
        <v/>
      </c>
      <c r="N41">
        <f>MID(E41,3,10)</f>
        <v/>
      </c>
      <c r="O41">
        <f>IF(F41="Stimulus",IF(LEFT(G41,8)="Baseline",G41,IF(LEFT(G41,12)="Commercial_1","C1","C2")),IF(G41="KeyScene","KeyScene",IF(LEFT(J41,12)="Commercial_1","EndScene_C1","EndScene_C2")))</f>
        <v/>
      </c>
      <c r="P41">
        <f>IF(COUNTIFS(Artifact!$B$2:$B$385,B41,Artifact!$K$2:$K$385,"&gt;25")+COUNTIFS(Log!$A$2:$A$49,B41,Log!$H$2:$H$49,"Red")+COUNTIFS(Log!$A$2:$A$49,B41,Log!$I$2:$I$49,"Red")&gt;0,"No","Yes")</f>
        <v/>
      </c>
      <c r="Q41">
        <f>IF(COUNTIFS(Artifact!$B$2:$B$385,B41,Artifact!$K$2:$K$385,"&gt;15")+COUNTIFS(Log!$A$2:$A$49,B41,Log!$H$2:$H$49,"Red")+COUNTIFS(Log!$A$2:$A$49,B41,Log!$I$2:$I$49,"Red")&gt;0,"No","Yes")</f>
        <v/>
      </c>
    </row>
    <row r="42">
      <c r="A42" t="inlineStr">
        <is>
          <t>SIMULATED Commercial FA Study</t>
        </is>
      </c>
      <c r="B42" t="inlineStr">
        <is>
          <t>P07</t>
        </is>
      </c>
      <c r="C42" t="inlineStr">
        <is>
          <t>M</t>
        </is>
      </c>
      <c r="D42" t="n">
        <v>24</v>
      </c>
      <c r="E42" t="inlineStr">
        <is>
          <t>B_C1first</t>
        </is>
      </c>
      <c r="F42" t="inlineStr">
        <is>
          <t>Stimulus</t>
        </is>
      </c>
      <c r="G42" t="inlineStr">
        <is>
          <t>Commercial_1B</t>
        </is>
      </c>
      <c r="H42" t="n">
        <v>98000</v>
      </c>
      <c r="I42" t="n">
        <v>54000</v>
      </c>
      <c r="J42" t="inlineStr">
        <is>
          <t>Commercial_1B</t>
        </is>
      </c>
      <c r="K42" s="4" t="n">
        <v>0.6634</v>
      </c>
      <c r="L42" t="inlineStr">
        <is>
          <t>Frontal Asymmetry (Enobio EEG)</t>
        </is>
      </c>
      <c r="M42">
        <f>LEFT(E42,1)</f>
        <v/>
      </c>
      <c r="N42">
        <f>MID(E42,3,10)</f>
        <v/>
      </c>
      <c r="O42">
        <f>IF(F42="Stimulus",IF(LEFT(G42,8)="Baseline",G42,IF(LEFT(G42,12)="Commercial_1","C1","C2")),IF(G42="KeyScene","KeyScene",IF(LEFT(J42,12)="Commercial_1","EndScene_C1","EndScene_C2")))</f>
        <v/>
      </c>
      <c r="P42">
        <f>IF(COUNTIFS(Artifact!$B$2:$B$385,B42,Artifact!$K$2:$K$385,"&gt;25")+COUNTIFS(Log!$A$2:$A$49,B42,Log!$H$2:$H$49,"Red")+COUNTIFS(Log!$A$2:$A$49,B42,Log!$I$2:$I$49,"Red")&gt;0,"No","Yes")</f>
        <v/>
      </c>
      <c r="Q42">
        <f>IF(COUNTIFS(Artifact!$B$2:$B$385,B42,Artifact!$K$2:$K$385,"&gt;15")+COUNTIFS(Log!$A$2:$A$49,B42,Log!$H$2:$H$49,"Red")+COUNTIFS(Log!$A$2:$A$49,B42,Log!$I$2:$I$49,"Red")&gt;0,"No","Yes")</f>
        <v/>
      </c>
    </row>
    <row r="43">
      <c r="A43" t="inlineStr">
        <is>
          <t>SIMULATED Commercial FA Study</t>
        </is>
      </c>
      <c r="B43" t="inlineStr">
        <is>
          <t>P07</t>
        </is>
      </c>
      <c r="C43" t="inlineStr">
        <is>
          <t>M</t>
        </is>
      </c>
      <c r="D43" t="n">
        <v>24</v>
      </c>
      <c r="E43" t="inlineStr">
        <is>
          <t>B_C1first</t>
        </is>
      </c>
      <c r="F43" t="inlineStr">
        <is>
          <t>Stimulus</t>
        </is>
      </c>
      <c r="G43" t="inlineStr">
        <is>
          <t>Baseline_2</t>
        </is>
      </c>
      <c r="H43" t="n">
        <v>183000</v>
      </c>
      <c r="I43" t="n">
        <v>60000</v>
      </c>
      <c r="J43" t="inlineStr">
        <is>
          <t>Baseline_2</t>
        </is>
      </c>
      <c r="K43" s="4" t="n">
        <v>0.7007</v>
      </c>
      <c r="L43" t="inlineStr">
        <is>
          <t>Frontal Asymmetry (Enobio EEG)</t>
        </is>
      </c>
      <c r="M43">
        <f>LEFT(E43,1)</f>
        <v/>
      </c>
      <c r="N43">
        <f>MID(E43,3,10)</f>
        <v/>
      </c>
      <c r="O43">
        <f>IF(F43="Stimulus",IF(LEFT(G43,8)="Baseline",G43,IF(LEFT(G43,12)="Commercial_1","C1","C2")),IF(G43="KeyScene","KeyScene",IF(LEFT(J43,12)="Commercial_1","EndScene_C1","EndScene_C2")))</f>
        <v/>
      </c>
      <c r="P43">
        <f>IF(COUNTIFS(Artifact!$B$2:$B$385,B43,Artifact!$K$2:$K$385,"&gt;25")+COUNTIFS(Log!$A$2:$A$49,B43,Log!$H$2:$H$49,"Red")+COUNTIFS(Log!$A$2:$A$49,B43,Log!$I$2:$I$49,"Red")&gt;0,"No","Yes")</f>
        <v/>
      </c>
      <c r="Q43">
        <f>IF(COUNTIFS(Artifact!$B$2:$B$385,B43,Artifact!$K$2:$K$385,"&gt;15")+COUNTIFS(Log!$A$2:$A$49,B43,Log!$H$2:$H$49,"Red")+COUNTIFS(Log!$A$2:$A$49,B43,Log!$I$2:$I$49,"Red")&gt;0,"No","Yes")</f>
        <v/>
      </c>
    </row>
    <row r="44">
      <c r="A44" t="inlineStr">
        <is>
          <t>SIMULATED Commercial FA Study</t>
        </is>
      </c>
      <c r="B44" t="inlineStr">
        <is>
          <t>P07</t>
        </is>
      </c>
      <c r="C44" t="inlineStr">
        <is>
          <t>M</t>
        </is>
      </c>
      <c r="D44" t="n">
        <v>24</v>
      </c>
      <c r="E44" t="inlineStr">
        <is>
          <t>B_C1first</t>
        </is>
      </c>
      <c r="F44" t="inlineStr">
        <is>
          <t>Stimulus</t>
        </is>
      </c>
      <c r="G44" t="inlineStr">
        <is>
          <t>Commercial_2</t>
        </is>
      </c>
      <c r="H44" t="n">
        <v>243000</v>
      </c>
      <c r="I44" t="n">
        <v>60000</v>
      </c>
      <c r="J44" t="inlineStr">
        <is>
          <t>Commercial_2</t>
        </is>
      </c>
      <c r="K44" s="4" t="n">
        <v>0.7196</v>
      </c>
      <c r="L44" t="inlineStr">
        <is>
          <t>Frontal Asymmetry (Enobio EEG)</t>
        </is>
      </c>
      <c r="M44">
        <f>LEFT(E44,1)</f>
        <v/>
      </c>
      <c r="N44">
        <f>MID(E44,3,10)</f>
        <v/>
      </c>
      <c r="O44">
        <f>IF(F44="Stimulus",IF(LEFT(G44,8)="Baseline",G44,IF(LEFT(G44,12)="Commercial_1","C1","C2")),IF(G44="KeyScene","KeyScene",IF(LEFT(J44,12)="Commercial_1","EndScene_C1","EndScene_C2")))</f>
        <v/>
      </c>
      <c r="P44">
        <f>IF(COUNTIFS(Artifact!$B$2:$B$385,B44,Artifact!$K$2:$K$385,"&gt;25")+COUNTIFS(Log!$A$2:$A$49,B44,Log!$H$2:$H$49,"Red")+COUNTIFS(Log!$A$2:$A$49,B44,Log!$I$2:$I$49,"Red")&gt;0,"No","Yes")</f>
        <v/>
      </c>
      <c r="Q44">
        <f>IF(COUNTIFS(Artifact!$B$2:$B$385,B44,Artifact!$K$2:$K$385,"&gt;15")+COUNTIFS(Log!$A$2:$A$49,B44,Log!$H$2:$H$49,"Red")+COUNTIFS(Log!$A$2:$A$49,B44,Log!$I$2:$I$49,"Red")&gt;0,"No","Yes")</f>
        <v/>
      </c>
    </row>
    <row r="45">
      <c r="A45" t="inlineStr">
        <is>
          <t>SIMULATED Commercial FA Study</t>
        </is>
      </c>
      <c r="B45" t="inlineStr">
        <is>
          <t>P07</t>
        </is>
      </c>
      <c r="C45" t="inlineStr">
        <is>
          <t>M</t>
        </is>
      </c>
      <c r="D45" t="n">
        <v>24</v>
      </c>
      <c r="E45" t="inlineStr">
        <is>
          <t>B_C1first</t>
        </is>
      </c>
      <c r="F45" t="inlineStr">
        <is>
          <t>Annotation</t>
        </is>
      </c>
      <c r="G45" t="inlineStr">
        <is>
          <t>EndScene</t>
        </is>
      </c>
      <c r="H45" t="n">
        <v>142000</v>
      </c>
      <c r="I45" t="n">
        <v>10000</v>
      </c>
      <c r="J45" t="inlineStr">
        <is>
          <t>Commercial_1B</t>
        </is>
      </c>
      <c r="K45" s="4" t="n">
        <v>0.7449</v>
      </c>
      <c r="L45" t="inlineStr">
        <is>
          <t>Frontal Asymmetry (Enobio EEG)</t>
        </is>
      </c>
      <c r="M45">
        <f>LEFT(E45,1)</f>
        <v/>
      </c>
      <c r="N45">
        <f>MID(E45,3,10)</f>
        <v/>
      </c>
      <c r="O45">
        <f>IF(F45="Stimulus",IF(LEFT(G45,8)="Baseline",G45,IF(LEFT(G45,12)="Commercial_1","C1","C2")),IF(G45="KeyScene","KeyScene",IF(LEFT(J45,12)="Commercial_1","EndScene_C1","EndScene_C2")))</f>
        <v/>
      </c>
      <c r="P45">
        <f>IF(COUNTIFS(Artifact!$B$2:$B$385,B45,Artifact!$K$2:$K$385,"&gt;25")+COUNTIFS(Log!$A$2:$A$49,B45,Log!$H$2:$H$49,"Red")+COUNTIFS(Log!$A$2:$A$49,B45,Log!$I$2:$I$49,"Red")&gt;0,"No","Yes")</f>
        <v/>
      </c>
      <c r="Q45">
        <f>IF(COUNTIFS(Artifact!$B$2:$B$385,B45,Artifact!$K$2:$K$385,"&gt;15")+COUNTIFS(Log!$A$2:$A$49,B45,Log!$H$2:$H$49,"Red")+COUNTIFS(Log!$A$2:$A$49,B45,Log!$I$2:$I$49,"Red")&gt;0,"No","Yes")</f>
        <v/>
      </c>
    </row>
    <row r="46">
      <c r="A46" t="inlineStr">
        <is>
          <t>SIMULATED Commercial FA Study</t>
        </is>
      </c>
      <c r="B46" t="inlineStr">
        <is>
          <t>P07</t>
        </is>
      </c>
      <c r="C46" t="inlineStr">
        <is>
          <t>M</t>
        </is>
      </c>
      <c r="D46" t="n">
        <v>24</v>
      </c>
      <c r="E46" t="inlineStr">
        <is>
          <t>B_C1first</t>
        </is>
      </c>
      <c r="F46" t="inlineStr">
        <is>
          <t>Annotation</t>
        </is>
      </c>
      <c r="G46" t="inlineStr">
        <is>
          <t>EndScene</t>
        </is>
      </c>
      <c r="H46" t="n">
        <v>293000</v>
      </c>
      <c r="I46" t="n">
        <v>10000</v>
      </c>
      <c r="J46" t="inlineStr">
        <is>
          <t>Commercial_2</t>
        </is>
      </c>
      <c r="K46" s="4" t="n">
        <v>0.6875</v>
      </c>
      <c r="L46" t="inlineStr">
        <is>
          <t>Frontal Asymmetry (Enobio EEG)</t>
        </is>
      </c>
      <c r="M46">
        <f>LEFT(E46,1)</f>
        <v/>
      </c>
      <c r="N46">
        <f>MID(E46,3,10)</f>
        <v/>
      </c>
      <c r="O46">
        <f>IF(F46="Stimulus",IF(LEFT(G46,8)="Baseline",G46,IF(LEFT(G46,12)="Commercial_1","C1","C2")),IF(G46="KeyScene","KeyScene",IF(LEFT(J46,12)="Commercial_1","EndScene_C1","EndScene_C2")))</f>
        <v/>
      </c>
      <c r="P46">
        <f>IF(COUNTIFS(Artifact!$B$2:$B$385,B46,Artifact!$K$2:$K$385,"&gt;25")+COUNTIFS(Log!$A$2:$A$49,B46,Log!$H$2:$H$49,"Red")+COUNTIFS(Log!$A$2:$A$49,B46,Log!$I$2:$I$49,"Red")&gt;0,"No","Yes")</f>
        <v/>
      </c>
      <c r="Q46">
        <f>IF(COUNTIFS(Artifact!$B$2:$B$385,B46,Artifact!$K$2:$K$385,"&gt;15")+COUNTIFS(Log!$A$2:$A$49,B46,Log!$H$2:$H$49,"Red")+COUNTIFS(Log!$A$2:$A$49,B46,Log!$I$2:$I$49,"Red")&gt;0,"No","Yes")</f>
        <v/>
      </c>
    </row>
    <row r="47">
      <c r="A47" t="inlineStr">
        <is>
          <t>SIMULATED Commercial FA Study</t>
        </is>
      </c>
      <c r="B47" t="inlineStr">
        <is>
          <t>P08</t>
        </is>
      </c>
      <c r="C47" t="inlineStr">
        <is>
          <t>F</t>
        </is>
      </c>
      <c r="D47" t="n">
        <v>20</v>
      </c>
      <c r="E47" t="inlineStr">
        <is>
          <t>A_C2first</t>
        </is>
      </c>
      <c r="F47" t="inlineStr">
        <is>
          <t>Stimulus</t>
        </is>
      </c>
      <c r="G47" t="inlineStr">
        <is>
          <t>Baseline_1</t>
        </is>
      </c>
      <c r="H47" t="n">
        <v>27000</v>
      </c>
      <c r="I47" t="n">
        <v>60000</v>
      </c>
      <c r="J47" t="inlineStr">
        <is>
          <t>Baseline_1</t>
        </is>
      </c>
      <c r="K47" s="4" t="n">
        <v>0.9107</v>
      </c>
      <c r="L47" t="inlineStr">
        <is>
          <t>Frontal Asymmetry (Enobio EEG)</t>
        </is>
      </c>
      <c r="M47">
        <f>LEFT(E47,1)</f>
        <v/>
      </c>
      <c r="N47">
        <f>MID(E47,3,10)</f>
        <v/>
      </c>
      <c r="O47">
        <f>IF(F47="Stimulus",IF(LEFT(G47,8)="Baseline",G47,IF(LEFT(G47,12)="Commercial_1","C1","C2")),IF(G47="KeyScene","KeyScene",IF(LEFT(J47,12)="Commercial_1","EndScene_C1","EndScene_C2")))</f>
        <v/>
      </c>
      <c r="P47">
        <f>IF(COUNTIFS(Artifact!$B$2:$B$385,B47,Artifact!$K$2:$K$385,"&gt;25")+COUNTIFS(Log!$A$2:$A$49,B47,Log!$H$2:$H$49,"Red")+COUNTIFS(Log!$A$2:$A$49,B47,Log!$I$2:$I$49,"Red")&gt;0,"No","Yes")</f>
        <v/>
      </c>
      <c r="Q47">
        <f>IF(COUNTIFS(Artifact!$B$2:$B$385,B47,Artifact!$K$2:$K$385,"&gt;15")+COUNTIFS(Log!$A$2:$A$49,B47,Log!$H$2:$H$49,"Red")+COUNTIFS(Log!$A$2:$A$49,B47,Log!$I$2:$I$49,"Red")&gt;0,"No","Yes")</f>
        <v/>
      </c>
    </row>
    <row r="48">
      <c r="A48" t="inlineStr">
        <is>
          <t>SIMULATED Commercial FA Study</t>
        </is>
      </c>
      <c r="B48" t="inlineStr">
        <is>
          <t>P08</t>
        </is>
      </c>
      <c r="C48" t="inlineStr">
        <is>
          <t>F</t>
        </is>
      </c>
      <c r="D48" t="n">
        <v>20</v>
      </c>
      <c r="E48" t="inlineStr">
        <is>
          <t>A_C2first</t>
        </is>
      </c>
      <c r="F48" t="inlineStr">
        <is>
          <t>Stimulus</t>
        </is>
      </c>
      <c r="G48" t="inlineStr">
        <is>
          <t>Commercial_2</t>
        </is>
      </c>
      <c r="H48" t="n">
        <v>87000</v>
      </c>
      <c r="I48" t="n">
        <v>60000</v>
      </c>
      <c r="J48" t="inlineStr">
        <is>
          <t>Commercial_2</t>
        </is>
      </c>
      <c r="K48" s="4" t="n">
        <v>0.9273</v>
      </c>
      <c r="L48" t="inlineStr">
        <is>
          <t>Frontal Asymmetry (Enobio EEG)</t>
        </is>
      </c>
      <c r="M48">
        <f>LEFT(E48,1)</f>
        <v/>
      </c>
      <c r="N48">
        <f>MID(E48,3,10)</f>
        <v/>
      </c>
      <c r="O48">
        <f>IF(F48="Stimulus",IF(LEFT(G48,8)="Baseline",G48,IF(LEFT(G48,12)="Commercial_1","C1","C2")),IF(G48="KeyScene","KeyScene",IF(LEFT(J48,12)="Commercial_1","EndScene_C1","EndScene_C2")))</f>
        <v/>
      </c>
      <c r="P48">
        <f>IF(COUNTIFS(Artifact!$B$2:$B$385,B48,Artifact!$K$2:$K$385,"&gt;25")+COUNTIFS(Log!$A$2:$A$49,B48,Log!$H$2:$H$49,"Red")+COUNTIFS(Log!$A$2:$A$49,B48,Log!$I$2:$I$49,"Red")&gt;0,"No","Yes")</f>
        <v/>
      </c>
      <c r="Q48">
        <f>IF(COUNTIFS(Artifact!$B$2:$B$385,B48,Artifact!$K$2:$K$385,"&gt;15")+COUNTIFS(Log!$A$2:$A$49,B48,Log!$H$2:$H$49,"Red")+COUNTIFS(Log!$A$2:$A$49,B48,Log!$I$2:$I$49,"Red")&gt;0,"No","Yes")</f>
        <v/>
      </c>
    </row>
    <row r="49">
      <c r="A49" t="inlineStr">
        <is>
          <t>SIMULATED Commercial FA Study</t>
        </is>
      </c>
      <c r="B49" t="inlineStr">
        <is>
          <t>P08</t>
        </is>
      </c>
      <c r="C49" t="inlineStr">
        <is>
          <t>F</t>
        </is>
      </c>
      <c r="D49" t="n">
        <v>20</v>
      </c>
      <c r="E49" t="inlineStr">
        <is>
          <t>A_C2first</t>
        </is>
      </c>
      <c r="F49" t="inlineStr">
        <is>
          <t>Stimulus</t>
        </is>
      </c>
      <c r="G49" t="inlineStr">
        <is>
          <t>Baseline_2</t>
        </is>
      </c>
      <c r="H49" t="n">
        <v>200000</v>
      </c>
      <c r="I49" t="n">
        <v>60000</v>
      </c>
      <c r="J49" t="inlineStr">
        <is>
          <t>Baseline_2</t>
        </is>
      </c>
      <c r="K49" s="4" t="n">
        <v>0.8778</v>
      </c>
      <c r="L49" t="inlineStr">
        <is>
          <t>Frontal Asymmetry (Enobio EEG)</t>
        </is>
      </c>
      <c r="M49">
        <f>LEFT(E49,1)</f>
        <v/>
      </c>
      <c r="N49">
        <f>MID(E49,3,10)</f>
        <v/>
      </c>
      <c r="O49">
        <f>IF(F49="Stimulus",IF(LEFT(G49,8)="Baseline",G49,IF(LEFT(G49,12)="Commercial_1","C1","C2")),IF(G49="KeyScene","KeyScene",IF(LEFT(J49,12)="Commercial_1","EndScene_C1","EndScene_C2")))</f>
        <v/>
      </c>
      <c r="P49">
        <f>IF(COUNTIFS(Artifact!$B$2:$B$385,B49,Artifact!$K$2:$K$385,"&gt;25")+COUNTIFS(Log!$A$2:$A$49,B49,Log!$H$2:$H$49,"Red")+COUNTIFS(Log!$A$2:$A$49,B49,Log!$I$2:$I$49,"Red")&gt;0,"No","Yes")</f>
        <v/>
      </c>
      <c r="Q49">
        <f>IF(COUNTIFS(Artifact!$B$2:$B$385,B49,Artifact!$K$2:$K$385,"&gt;15")+COUNTIFS(Log!$A$2:$A$49,B49,Log!$H$2:$H$49,"Red")+COUNTIFS(Log!$A$2:$A$49,B49,Log!$I$2:$I$49,"Red")&gt;0,"No","Yes")</f>
        <v/>
      </c>
    </row>
    <row r="50">
      <c r="A50" t="inlineStr">
        <is>
          <t>SIMULATED Commercial FA Study</t>
        </is>
      </c>
      <c r="B50" t="inlineStr">
        <is>
          <t>P08</t>
        </is>
      </c>
      <c r="C50" t="inlineStr">
        <is>
          <t>F</t>
        </is>
      </c>
      <c r="D50" t="n">
        <v>20</v>
      </c>
      <c r="E50" t="inlineStr">
        <is>
          <t>A_C2first</t>
        </is>
      </c>
      <c r="F50" t="inlineStr">
        <is>
          <t>Stimulus</t>
        </is>
      </c>
      <c r="G50" t="inlineStr">
        <is>
          <t>Commercial_1A</t>
        </is>
      </c>
      <c r="H50" t="n">
        <v>260000</v>
      </c>
      <c r="I50" t="n">
        <v>60000</v>
      </c>
      <c r="J50" t="inlineStr">
        <is>
          <t>Commercial_1A</t>
        </is>
      </c>
      <c r="K50" s="4" t="n">
        <v>0.9236</v>
      </c>
      <c r="L50" t="inlineStr">
        <is>
          <t>Frontal Asymmetry (Enobio EEG)</t>
        </is>
      </c>
      <c r="M50">
        <f>LEFT(E50,1)</f>
        <v/>
      </c>
      <c r="N50">
        <f>MID(E50,3,10)</f>
        <v/>
      </c>
      <c r="O50">
        <f>IF(F50="Stimulus",IF(LEFT(G50,8)="Baseline",G50,IF(LEFT(G50,12)="Commercial_1","C1","C2")),IF(G50="KeyScene","KeyScene",IF(LEFT(J50,12)="Commercial_1","EndScene_C1","EndScene_C2")))</f>
        <v/>
      </c>
      <c r="P50">
        <f>IF(COUNTIFS(Artifact!$B$2:$B$385,B50,Artifact!$K$2:$K$385,"&gt;25")+COUNTIFS(Log!$A$2:$A$49,B50,Log!$H$2:$H$49,"Red")+COUNTIFS(Log!$A$2:$A$49,B50,Log!$I$2:$I$49,"Red")&gt;0,"No","Yes")</f>
        <v/>
      </c>
      <c r="Q50">
        <f>IF(COUNTIFS(Artifact!$B$2:$B$385,B50,Artifact!$K$2:$K$385,"&gt;15")+COUNTIFS(Log!$A$2:$A$49,B50,Log!$H$2:$H$49,"Red")+COUNTIFS(Log!$A$2:$A$49,B50,Log!$I$2:$I$49,"Red")&gt;0,"No","Yes")</f>
        <v/>
      </c>
    </row>
    <row r="51">
      <c r="A51" t="inlineStr">
        <is>
          <t>SIMULATED Commercial FA Study</t>
        </is>
      </c>
      <c r="B51" t="inlineStr">
        <is>
          <t>P08</t>
        </is>
      </c>
      <c r="C51" t="inlineStr">
        <is>
          <t>F</t>
        </is>
      </c>
      <c r="D51" t="n">
        <v>20</v>
      </c>
      <c r="E51" t="inlineStr">
        <is>
          <t>A_C2first</t>
        </is>
      </c>
      <c r="F51" t="inlineStr">
        <is>
          <t>Annotation</t>
        </is>
      </c>
      <c r="G51" t="inlineStr">
        <is>
          <t>EndScene</t>
        </is>
      </c>
      <c r="H51" t="n">
        <v>137000</v>
      </c>
      <c r="I51" t="n">
        <v>10000</v>
      </c>
      <c r="J51" t="inlineStr">
        <is>
          <t>Commercial_2</t>
        </is>
      </c>
      <c r="K51" s="4" t="n">
        <v>0.8612</v>
      </c>
      <c r="L51" t="inlineStr">
        <is>
          <t>Frontal Asymmetry (Enobio EEG)</t>
        </is>
      </c>
      <c r="M51">
        <f>LEFT(E51,1)</f>
        <v/>
      </c>
      <c r="N51">
        <f>MID(E51,3,10)</f>
        <v/>
      </c>
      <c r="O51">
        <f>IF(F51="Stimulus",IF(LEFT(G51,8)="Baseline",G51,IF(LEFT(G51,12)="Commercial_1","C1","C2")),IF(G51="KeyScene","KeyScene",IF(LEFT(J51,12)="Commercial_1","EndScene_C1","EndScene_C2")))</f>
        <v/>
      </c>
      <c r="P51">
        <f>IF(COUNTIFS(Artifact!$B$2:$B$385,B51,Artifact!$K$2:$K$385,"&gt;25")+COUNTIFS(Log!$A$2:$A$49,B51,Log!$H$2:$H$49,"Red")+COUNTIFS(Log!$A$2:$A$49,B51,Log!$I$2:$I$49,"Red")&gt;0,"No","Yes")</f>
        <v/>
      </c>
      <c r="Q51">
        <f>IF(COUNTIFS(Artifact!$B$2:$B$385,B51,Artifact!$K$2:$K$385,"&gt;15")+COUNTIFS(Log!$A$2:$A$49,B51,Log!$H$2:$H$49,"Red")+COUNTIFS(Log!$A$2:$A$49,B51,Log!$I$2:$I$49,"Red")&gt;0,"No","Yes")</f>
        <v/>
      </c>
    </row>
    <row r="52">
      <c r="A52" t="inlineStr">
        <is>
          <t>SIMULATED Commercial FA Study</t>
        </is>
      </c>
      <c r="B52" t="inlineStr">
        <is>
          <t>P08</t>
        </is>
      </c>
      <c r="C52" t="inlineStr">
        <is>
          <t>F</t>
        </is>
      </c>
      <c r="D52" t="n">
        <v>20</v>
      </c>
      <c r="E52" t="inlineStr">
        <is>
          <t>A_C2first</t>
        </is>
      </c>
      <c r="F52" t="inlineStr">
        <is>
          <t>Annotation</t>
        </is>
      </c>
      <c r="G52" t="inlineStr">
        <is>
          <t>KeyScene</t>
        </is>
      </c>
      <c r="H52" t="n">
        <v>292000</v>
      </c>
      <c r="I52" t="n">
        <v>6000</v>
      </c>
      <c r="J52" t="inlineStr">
        <is>
          <t>Commercial_1A</t>
        </is>
      </c>
      <c r="K52" s="4" t="n">
        <v>0.9622000000000001</v>
      </c>
      <c r="L52" t="inlineStr">
        <is>
          <t>Frontal Asymmetry (Enobio EEG)</t>
        </is>
      </c>
      <c r="M52">
        <f>LEFT(E52,1)</f>
        <v/>
      </c>
      <c r="N52">
        <f>MID(E52,3,10)</f>
        <v/>
      </c>
      <c r="O52">
        <f>IF(F52="Stimulus",IF(LEFT(G52,8)="Baseline",G52,IF(LEFT(G52,12)="Commercial_1","C1","C2")),IF(G52="KeyScene","KeyScene",IF(LEFT(J52,12)="Commercial_1","EndScene_C1","EndScene_C2")))</f>
        <v/>
      </c>
      <c r="P52">
        <f>IF(COUNTIFS(Artifact!$B$2:$B$385,B52,Artifact!$K$2:$K$385,"&gt;25")+COUNTIFS(Log!$A$2:$A$49,B52,Log!$H$2:$H$49,"Red")+COUNTIFS(Log!$A$2:$A$49,B52,Log!$I$2:$I$49,"Red")&gt;0,"No","Yes")</f>
        <v/>
      </c>
      <c r="Q52">
        <f>IF(COUNTIFS(Artifact!$B$2:$B$385,B52,Artifact!$K$2:$K$385,"&gt;15")+COUNTIFS(Log!$A$2:$A$49,B52,Log!$H$2:$H$49,"Red")+COUNTIFS(Log!$A$2:$A$49,B52,Log!$I$2:$I$49,"Red")&gt;0,"No","Yes")</f>
        <v/>
      </c>
    </row>
    <row r="53">
      <c r="A53" t="inlineStr">
        <is>
          <t>SIMULATED Commercial FA Study</t>
        </is>
      </c>
      <c r="B53" t="inlineStr">
        <is>
          <t>P08</t>
        </is>
      </c>
      <c r="C53" t="inlineStr">
        <is>
          <t>F</t>
        </is>
      </c>
      <c r="D53" t="n">
        <v>20</v>
      </c>
      <c r="E53" t="inlineStr">
        <is>
          <t>A_C2first</t>
        </is>
      </c>
      <c r="F53" t="inlineStr">
        <is>
          <t>Annotation</t>
        </is>
      </c>
      <c r="G53" t="inlineStr">
        <is>
          <t>EndScene</t>
        </is>
      </c>
      <c r="H53" t="n">
        <v>310000</v>
      </c>
      <c r="I53" t="n">
        <v>10000</v>
      </c>
      <c r="J53" t="inlineStr">
        <is>
          <t>Commercial_1A</t>
        </is>
      </c>
      <c r="K53" s="4" t="n">
        <v>0.8908</v>
      </c>
      <c r="L53" t="inlineStr">
        <is>
          <t>Frontal Asymmetry (Enobio EEG)</t>
        </is>
      </c>
      <c r="M53">
        <f>LEFT(E53,1)</f>
        <v/>
      </c>
      <c r="N53">
        <f>MID(E53,3,10)</f>
        <v/>
      </c>
      <c r="O53">
        <f>IF(F53="Stimulus",IF(LEFT(G53,8)="Baseline",G53,IF(LEFT(G53,12)="Commercial_1","C1","C2")),IF(G53="KeyScene","KeyScene",IF(LEFT(J53,12)="Commercial_1","EndScene_C1","EndScene_C2")))</f>
        <v/>
      </c>
      <c r="P53">
        <f>IF(COUNTIFS(Artifact!$B$2:$B$385,B53,Artifact!$K$2:$K$385,"&gt;25")+COUNTIFS(Log!$A$2:$A$49,B53,Log!$H$2:$H$49,"Red")+COUNTIFS(Log!$A$2:$A$49,B53,Log!$I$2:$I$49,"Red")&gt;0,"No","Yes")</f>
        <v/>
      </c>
      <c r="Q53">
        <f>IF(COUNTIFS(Artifact!$B$2:$B$385,B53,Artifact!$K$2:$K$385,"&gt;15")+COUNTIFS(Log!$A$2:$A$49,B53,Log!$H$2:$H$49,"Red")+COUNTIFS(Log!$A$2:$A$49,B53,Log!$I$2:$I$49,"Red")&gt;0,"No","Yes")</f>
        <v/>
      </c>
    </row>
    <row r="54">
      <c r="A54" t="inlineStr">
        <is>
          <t>SIMULATED Commercial FA Study</t>
        </is>
      </c>
      <c r="B54" t="inlineStr">
        <is>
          <t>P09</t>
        </is>
      </c>
      <c r="C54" t="inlineStr">
        <is>
          <t>F</t>
        </is>
      </c>
      <c r="D54" t="n">
        <v>24</v>
      </c>
      <c r="E54" t="inlineStr">
        <is>
          <t>A_C1first</t>
        </is>
      </c>
      <c r="F54" t="inlineStr">
        <is>
          <t>Stimulus</t>
        </is>
      </c>
      <c r="G54" t="inlineStr">
        <is>
          <t>Baseline_1</t>
        </is>
      </c>
      <c r="H54" t="n">
        <v>30000</v>
      </c>
      <c r="I54" t="n">
        <v>60000</v>
      </c>
      <c r="J54" t="inlineStr">
        <is>
          <t>Baseline_1</t>
        </is>
      </c>
      <c r="K54" s="4" t="n">
        <v>0.3863</v>
      </c>
      <c r="L54" t="inlineStr">
        <is>
          <t>Frontal Asymmetry (Enobio EEG)</t>
        </is>
      </c>
      <c r="M54">
        <f>LEFT(E54,1)</f>
        <v/>
      </c>
      <c r="N54">
        <f>MID(E54,3,10)</f>
        <v/>
      </c>
      <c r="O54">
        <f>IF(F54="Stimulus",IF(LEFT(G54,8)="Baseline",G54,IF(LEFT(G54,12)="Commercial_1","C1","C2")),IF(G54="KeyScene","KeyScene",IF(LEFT(J54,12)="Commercial_1","EndScene_C1","EndScene_C2")))</f>
        <v/>
      </c>
      <c r="P54">
        <f>IF(COUNTIFS(Artifact!$B$2:$B$385,B54,Artifact!$K$2:$K$385,"&gt;25")+COUNTIFS(Log!$A$2:$A$49,B54,Log!$H$2:$H$49,"Red")+COUNTIFS(Log!$A$2:$A$49,B54,Log!$I$2:$I$49,"Red")&gt;0,"No","Yes")</f>
        <v/>
      </c>
      <c r="Q54">
        <f>IF(COUNTIFS(Artifact!$B$2:$B$385,B54,Artifact!$K$2:$K$385,"&gt;15")+COUNTIFS(Log!$A$2:$A$49,B54,Log!$H$2:$H$49,"Red")+COUNTIFS(Log!$A$2:$A$49,B54,Log!$I$2:$I$49,"Red")&gt;0,"No","Yes")</f>
        <v/>
      </c>
    </row>
    <row r="55">
      <c r="A55" t="inlineStr">
        <is>
          <t>SIMULATED Commercial FA Study</t>
        </is>
      </c>
      <c r="B55" t="inlineStr">
        <is>
          <t>P09</t>
        </is>
      </c>
      <c r="C55" t="inlineStr">
        <is>
          <t>F</t>
        </is>
      </c>
      <c r="D55" t="n">
        <v>24</v>
      </c>
      <c r="E55" t="inlineStr">
        <is>
          <t>A_C1first</t>
        </is>
      </c>
      <c r="F55" t="inlineStr">
        <is>
          <t>Stimulus</t>
        </is>
      </c>
      <c r="G55" t="inlineStr">
        <is>
          <t>Commercial_1A</t>
        </is>
      </c>
      <c r="H55" t="n">
        <v>90000</v>
      </c>
      <c r="I55" t="n">
        <v>60000</v>
      </c>
      <c r="J55" t="inlineStr">
        <is>
          <t>Commercial_1A</t>
        </is>
      </c>
      <c r="K55" s="4" t="n">
        <v>0.4866</v>
      </c>
      <c r="L55" t="inlineStr">
        <is>
          <t>Frontal Asymmetry (Enobio EEG)</t>
        </is>
      </c>
      <c r="M55">
        <f>LEFT(E55,1)</f>
        <v/>
      </c>
      <c r="N55">
        <f>MID(E55,3,10)</f>
        <v/>
      </c>
      <c r="O55">
        <f>IF(F55="Stimulus",IF(LEFT(G55,8)="Baseline",G55,IF(LEFT(G55,12)="Commercial_1","C1","C2")),IF(G55="KeyScene","KeyScene",IF(LEFT(J55,12)="Commercial_1","EndScene_C1","EndScene_C2")))</f>
        <v/>
      </c>
      <c r="P55">
        <f>IF(COUNTIFS(Artifact!$B$2:$B$385,B55,Artifact!$K$2:$K$385,"&gt;25")+COUNTIFS(Log!$A$2:$A$49,B55,Log!$H$2:$H$49,"Red")+COUNTIFS(Log!$A$2:$A$49,B55,Log!$I$2:$I$49,"Red")&gt;0,"No","Yes")</f>
        <v/>
      </c>
      <c r="Q55">
        <f>IF(COUNTIFS(Artifact!$B$2:$B$385,B55,Artifact!$K$2:$K$385,"&gt;15")+COUNTIFS(Log!$A$2:$A$49,B55,Log!$H$2:$H$49,"Red")+COUNTIFS(Log!$A$2:$A$49,B55,Log!$I$2:$I$49,"Red")&gt;0,"No","Yes")</f>
        <v/>
      </c>
    </row>
    <row r="56">
      <c r="A56" t="inlineStr">
        <is>
          <t>SIMULATED Commercial FA Study</t>
        </is>
      </c>
      <c r="B56" t="inlineStr">
        <is>
          <t>P09</t>
        </is>
      </c>
      <c r="C56" t="inlineStr">
        <is>
          <t>F</t>
        </is>
      </c>
      <c r="D56" t="n">
        <v>24</v>
      </c>
      <c r="E56" t="inlineStr">
        <is>
          <t>A_C1first</t>
        </is>
      </c>
      <c r="F56" t="inlineStr">
        <is>
          <t>Stimulus</t>
        </is>
      </c>
      <c r="G56" t="inlineStr">
        <is>
          <t>Baseline_2</t>
        </is>
      </c>
      <c r="H56" t="n">
        <v>189000</v>
      </c>
      <c r="I56" t="n">
        <v>60000</v>
      </c>
      <c r="J56" t="inlineStr">
        <is>
          <t>Baseline_2</t>
        </is>
      </c>
      <c r="K56" s="4" t="n">
        <v>0.3982</v>
      </c>
      <c r="L56" t="inlineStr">
        <is>
          <t>Frontal Asymmetry (Enobio EEG)</t>
        </is>
      </c>
      <c r="M56">
        <f>LEFT(E56,1)</f>
        <v/>
      </c>
      <c r="N56">
        <f>MID(E56,3,10)</f>
        <v/>
      </c>
      <c r="O56">
        <f>IF(F56="Stimulus",IF(LEFT(G56,8)="Baseline",G56,IF(LEFT(G56,12)="Commercial_1","C1","C2")),IF(G56="KeyScene","KeyScene",IF(LEFT(J56,12)="Commercial_1","EndScene_C1","EndScene_C2")))</f>
        <v/>
      </c>
      <c r="P56">
        <f>IF(COUNTIFS(Artifact!$B$2:$B$385,B56,Artifact!$K$2:$K$385,"&gt;25")+COUNTIFS(Log!$A$2:$A$49,B56,Log!$H$2:$H$49,"Red")+COUNTIFS(Log!$A$2:$A$49,B56,Log!$I$2:$I$49,"Red")&gt;0,"No","Yes")</f>
        <v/>
      </c>
      <c r="Q56">
        <f>IF(COUNTIFS(Artifact!$B$2:$B$385,B56,Artifact!$K$2:$K$385,"&gt;15")+COUNTIFS(Log!$A$2:$A$49,B56,Log!$H$2:$H$49,"Red")+COUNTIFS(Log!$A$2:$A$49,B56,Log!$I$2:$I$49,"Red")&gt;0,"No","Yes")</f>
        <v/>
      </c>
    </row>
    <row r="57">
      <c r="A57" t="inlineStr">
        <is>
          <t>SIMULATED Commercial FA Study</t>
        </is>
      </c>
      <c r="B57" t="inlineStr">
        <is>
          <t>P09</t>
        </is>
      </c>
      <c r="C57" t="inlineStr">
        <is>
          <t>F</t>
        </is>
      </c>
      <c r="D57" t="n">
        <v>24</v>
      </c>
      <c r="E57" t="inlineStr">
        <is>
          <t>A_C1first</t>
        </is>
      </c>
      <c r="F57" t="inlineStr">
        <is>
          <t>Stimulus</t>
        </is>
      </c>
      <c r="G57" t="inlineStr">
        <is>
          <t>Commercial_2</t>
        </is>
      </c>
      <c r="H57" t="n">
        <v>249000</v>
      </c>
      <c r="I57" t="n">
        <v>60000</v>
      </c>
      <c r="J57" t="inlineStr">
        <is>
          <t>Commercial_2</t>
        </is>
      </c>
      <c r="K57" s="4" t="n">
        <v>0.501</v>
      </c>
      <c r="L57" t="inlineStr">
        <is>
          <t>Frontal Asymmetry (Enobio EEG)</t>
        </is>
      </c>
      <c r="M57">
        <f>LEFT(E57,1)</f>
        <v/>
      </c>
      <c r="N57">
        <f>MID(E57,3,10)</f>
        <v/>
      </c>
      <c r="O57">
        <f>IF(F57="Stimulus",IF(LEFT(G57,8)="Baseline",G57,IF(LEFT(G57,12)="Commercial_1","C1","C2")),IF(G57="KeyScene","KeyScene",IF(LEFT(J57,12)="Commercial_1","EndScene_C1","EndScene_C2")))</f>
        <v/>
      </c>
      <c r="P57">
        <f>IF(COUNTIFS(Artifact!$B$2:$B$385,B57,Artifact!$K$2:$K$385,"&gt;25")+COUNTIFS(Log!$A$2:$A$49,B57,Log!$H$2:$H$49,"Red")+COUNTIFS(Log!$A$2:$A$49,B57,Log!$I$2:$I$49,"Red")&gt;0,"No","Yes")</f>
        <v/>
      </c>
      <c r="Q57">
        <f>IF(COUNTIFS(Artifact!$B$2:$B$385,B57,Artifact!$K$2:$K$385,"&gt;15")+COUNTIFS(Log!$A$2:$A$49,B57,Log!$H$2:$H$49,"Red")+COUNTIFS(Log!$A$2:$A$49,B57,Log!$I$2:$I$49,"Red")&gt;0,"No","Yes")</f>
        <v/>
      </c>
    </row>
    <row r="58">
      <c r="A58" t="inlineStr">
        <is>
          <t>SIMULATED Commercial FA Study</t>
        </is>
      </c>
      <c r="B58" t="inlineStr">
        <is>
          <t>P09</t>
        </is>
      </c>
      <c r="C58" t="inlineStr">
        <is>
          <t>F</t>
        </is>
      </c>
      <c r="D58" t="n">
        <v>24</v>
      </c>
      <c r="E58" t="inlineStr">
        <is>
          <t>A_C1first</t>
        </is>
      </c>
      <c r="F58" t="inlineStr">
        <is>
          <t>Annotation</t>
        </is>
      </c>
      <c r="G58" t="inlineStr">
        <is>
          <t>KeyScene</t>
        </is>
      </c>
      <c r="H58" t="n">
        <v>122000</v>
      </c>
      <c r="I58" t="n">
        <v>6000</v>
      </c>
      <c r="J58" t="inlineStr">
        <is>
          <t>Commercial_1A</t>
        </is>
      </c>
      <c r="K58" s="4" t="n">
        <v>0.4325</v>
      </c>
      <c r="L58" t="inlineStr">
        <is>
          <t>Frontal Asymmetry (Enobio EEG)</t>
        </is>
      </c>
      <c r="M58">
        <f>LEFT(E58,1)</f>
        <v/>
      </c>
      <c r="N58">
        <f>MID(E58,3,10)</f>
        <v/>
      </c>
      <c r="O58">
        <f>IF(F58="Stimulus",IF(LEFT(G58,8)="Baseline",G58,IF(LEFT(G58,12)="Commercial_1","C1","C2")),IF(G58="KeyScene","KeyScene",IF(LEFT(J58,12)="Commercial_1","EndScene_C1","EndScene_C2")))</f>
        <v/>
      </c>
      <c r="P58">
        <f>IF(COUNTIFS(Artifact!$B$2:$B$385,B58,Artifact!$K$2:$K$385,"&gt;25")+COUNTIFS(Log!$A$2:$A$49,B58,Log!$H$2:$H$49,"Red")+COUNTIFS(Log!$A$2:$A$49,B58,Log!$I$2:$I$49,"Red")&gt;0,"No","Yes")</f>
        <v/>
      </c>
      <c r="Q58">
        <f>IF(COUNTIFS(Artifact!$B$2:$B$385,B58,Artifact!$K$2:$K$385,"&gt;15")+COUNTIFS(Log!$A$2:$A$49,B58,Log!$H$2:$H$49,"Red")+COUNTIFS(Log!$A$2:$A$49,B58,Log!$I$2:$I$49,"Red")&gt;0,"No","Yes")</f>
        <v/>
      </c>
    </row>
    <row r="59">
      <c r="A59" t="inlineStr">
        <is>
          <t>SIMULATED Commercial FA Study</t>
        </is>
      </c>
      <c r="B59" t="inlineStr">
        <is>
          <t>P09</t>
        </is>
      </c>
      <c r="C59" t="inlineStr">
        <is>
          <t>F</t>
        </is>
      </c>
      <c r="D59" t="n">
        <v>24</v>
      </c>
      <c r="E59" t="inlineStr">
        <is>
          <t>A_C1first</t>
        </is>
      </c>
      <c r="F59" t="inlineStr">
        <is>
          <t>Annotation</t>
        </is>
      </c>
      <c r="G59" t="inlineStr">
        <is>
          <t>EndScene</t>
        </is>
      </c>
      <c r="H59" t="n">
        <v>140000</v>
      </c>
      <c r="I59" t="n">
        <v>10000</v>
      </c>
      <c r="J59" t="inlineStr">
        <is>
          <t>Commercial_1A</t>
        </is>
      </c>
      <c r="K59" s="4" t="n">
        <v>0.5439000000000001</v>
      </c>
      <c r="L59" t="inlineStr">
        <is>
          <t>Frontal Asymmetry (Enobio EEG)</t>
        </is>
      </c>
      <c r="M59">
        <f>LEFT(E59,1)</f>
        <v/>
      </c>
      <c r="N59">
        <f>MID(E59,3,10)</f>
        <v/>
      </c>
      <c r="O59">
        <f>IF(F59="Stimulus",IF(LEFT(G59,8)="Baseline",G59,IF(LEFT(G59,12)="Commercial_1","C1","C2")),IF(G59="KeyScene","KeyScene",IF(LEFT(J59,12)="Commercial_1","EndScene_C1","EndScene_C2")))</f>
        <v/>
      </c>
      <c r="P59">
        <f>IF(COUNTIFS(Artifact!$B$2:$B$385,B59,Artifact!$K$2:$K$385,"&gt;25")+COUNTIFS(Log!$A$2:$A$49,B59,Log!$H$2:$H$49,"Red")+COUNTIFS(Log!$A$2:$A$49,B59,Log!$I$2:$I$49,"Red")&gt;0,"No","Yes")</f>
        <v/>
      </c>
      <c r="Q59">
        <f>IF(COUNTIFS(Artifact!$B$2:$B$385,B59,Artifact!$K$2:$K$385,"&gt;15")+COUNTIFS(Log!$A$2:$A$49,B59,Log!$H$2:$H$49,"Red")+COUNTIFS(Log!$A$2:$A$49,B59,Log!$I$2:$I$49,"Red")&gt;0,"No","Yes")</f>
        <v/>
      </c>
    </row>
    <row r="60">
      <c r="A60" t="inlineStr">
        <is>
          <t>SIMULATED Commercial FA Study</t>
        </is>
      </c>
      <c r="B60" t="inlineStr">
        <is>
          <t>P09</t>
        </is>
      </c>
      <c r="C60" t="inlineStr">
        <is>
          <t>F</t>
        </is>
      </c>
      <c r="D60" t="n">
        <v>24</v>
      </c>
      <c r="E60" t="inlineStr">
        <is>
          <t>A_C1first</t>
        </is>
      </c>
      <c r="F60" t="inlineStr">
        <is>
          <t>Annotation</t>
        </is>
      </c>
      <c r="G60" t="inlineStr">
        <is>
          <t>EndScene</t>
        </is>
      </c>
      <c r="H60" t="n">
        <v>299000</v>
      </c>
      <c r="I60" t="n">
        <v>10000</v>
      </c>
      <c r="J60" t="inlineStr">
        <is>
          <t>Commercial_2</t>
        </is>
      </c>
      <c r="K60" s="4" t="n">
        <v>0.378</v>
      </c>
      <c r="L60" t="inlineStr">
        <is>
          <t>Frontal Asymmetry (Enobio EEG)</t>
        </is>
      </c>
      <c r="M60">
        <f>LEFT(E60,1)</f>
        <v/>
      </c>
      <c r="N60">
        <f>MID(E60,3,10)</f>
        <v/>
      </c>
      <c r="O60">
        <f>IF(F60="Stimulus",IF(LEFT(G60,8)="Baseline",G60,IF(LEFT(G60,12)="Commercial_1","C1","C2")),IF(G60="KeyScene","KeyScene",IF(LEFT(J60,12)="Commercial_1","EndScene_C1","EndScene_C2")))</f>
        <v/>
      </c>
      <c r="P60">
        <f>IF(COUNTIFS(Artifact!$B$2:$B$385,B60,Artifact!$K$2:$K$385,"&gt;25")+COUNTIFS(Log!$A$2:$A$49,B60,Log!$H$2:$H$49,"Red")+COUNTIFS(Log!$A$2:$A$49,B60,Log!$I$2:$I$49,"Red")&gt;0,"No","Yes")</f>
        <v/>
      </c>
      <c r="Q60">
        <f>IF(COUNTIFS(Artifact!$B$2:$B$385,B60,Artifact!$K$2:$K$385,"&gt;15")+COUNTIFS(Log!$A$2:$A$49,B60,Log!$H$2:$H$49,"Red")+COUNTIFS(Log!$A$2:$A$49,B60,Log!$I$2:$I$49,"Red")&gt;0,"No","Yes")</f>
        <v/>
      </c>
    </row>
    <row r="61">
      <c r="A61" t="inlineStr">
        <is>
          <t>SIMULATED Commercial FA Study</t>
        </is>
      </c>
      <c r="B61" t="inlineStr">
        <is>
          <t>P10</t>
        </is>
      </c>
      <c r="C61" t="inlineStr">
        <is>
          <t>F</t>
        </is>
      </c>
      <c r="D61" t="n">
        <v>20</v>
      </c>
      <c r="E61" t="inlineStr">
        <is>
          <t>B_C1first</t>
        </is>
      </c>
      <c r="F61" t="inlineStr">
        <is>
          <t>Stimulus</t>
        </is>
      </c>
      <c r="G61" t="inlineStr">
        <is>
          <t>Baseline_1</t>
        </is>
      </c>
      <c r="H61" t="n">
        <v>30000</v>
      </c>
      <c r="I61" t="n">
        <v>60000</v>
      </c>
      <c r="J61" t="inlineStr">
        <is>
          <t>Baseline_1</t>
        </is>
      </c>
      <c r="K61" s="4" t="n">
        <v>0.5672</v>
      </c>
      <c r="L61" t="inlineStr">
        <is>
          <t>Frontal Asymmetry (Enobio EEG)</t>
        </is>
      </c>
      <c r="M61">
        <f>LEFT(E61,1)</f>
        <v/>
      </c>
      <c r="N61">
        <f>MID(E61,3,10)</f>
        <v/>
      </c>
      <c r="O61">
        <f>IF(F61="Stimulus",IF(LEFT(G61,8)="Baseline",G61,IF(LEFT(G61,12)="Commercial_1","C1","C2")),IF(G61="KeyScene","KeyScene",IF(LEFT(J61,12)="Commercial_1","EndScene_C1","EndScene_C2")))</f>
        <v/>
      </c>
      <c r="P61">
        <f>IF(COUNTIFS(Artifact!$B$2:$B$385,B61,Artifact!$K$2:$K$385,"&gt;25")+COUNTIFS(Log!$A$2:$A$49,B61,Log!$H$2:$H$49,"Red")+COUNTIFS(Log!$A$2:$A$49,B61,Log!$I$2:$I$49,"Red")&gt;0,"No","Yes")</f>
        <v/>
      </c>
      <c r="Q61">
        <f>IF(COUNTIFS(Artifact!$B$2:$B$385,B61,Artifact!$K$2:$K$385,"&gt;15")+COUNTIFS(Log!$A$2:$A$49,B61,Log!$H$2:$H$49,"Red")+COUNTIFS(Log!$A$2:$A$49,B61,Log!$I$2:$I$49,"Red")&gt;0,"No","Yes")</f>
        <v/>
      </c>
    </row>
    <row r="62">
      <c r="A62" t="inlineStr">
        <is>
          <t>SIMULATED Commercial FA Study</t>
        </is>
      </c>
      <c r="B62" t="inlineStr">
        <is>
          <t>P10</t>
        </is>
      </c>
      <c r="C62" t="inlineStr">
        <is>
          <t>F</t>
        </is>
      </c>
      <c r="D62" t="n">
        <v>20</v>
      </c>
      <c r="E62" t="inlineStr">
        <is>
          <t>B_C1first</t>
        </is>
      </c>
      <c r="F62" t="inlineStr">
        <is>
          <t>Stimulus</t>
        </is>
      </c>
      <c r="G62" t="inlineStr">
        <is>
          <t>Commercial_1B</t>
        </is>
      </c>
      <c r="H62" t="n">
        <v>90000</v>
      </c>
      <c r="I62" t="n">
        <v>54000</v>
      </c>
      <c r="J62" t="inlineStr">
        <is>
          <t>Commercial_1B</t>
        </is>
      </c>
      <c r="K62" s="4" t="n">
        <v>0.6593</v>
      </c>
      <c r="L62" t="inlineStr">
        <is>
          <t>Frontal Asymmetry (Enobio EEG)</t>
        </is>
      </c>
      <c r="M62">
        <f>LEFT(E62,1)</f>
        <v/>
      </c>
      <c r="N62">
        <f>MID(E62,3,10)</f>
        <v/>
      </c>
      <c r="O62">
        <f>IF(F62="Stimulus",IF(LEFT(G62,8)="Baseline",G62,IF(LEFT(G62,12)="Commercial_1","C1","C2")),IF(G62="KeyScene","KeyScene",IF(LEFT(J62,12)="Commercial_1","EndScene_C1","EndScene_C2")))</f>
        <v/>
      </c>
      <c r="P62">
        <f>IF(COUNTIFS(Artifact!$B$2:$B$385,B62,Artifact!$K$2:$K$385,"&gt;25")+COUNTIFS(Log!$A$2:$A$49,B62,Log!$H$2:$H$49,"Red")+COUNTIFS(Log!$A$2:$A$49,B62,Log!$I$2:$I$49,"Red")&gt;0,"No","Yes")</f>
        <v/>
      </c>
      <c r="Q62">
        <f>IF(COUNTIFS(Artifact!$B$2:$B$385,B62,Artifact!$K$2:$K$385,"&gt;15")+COUNTIFS(Log!$A$2:$A$49,B62,Log!$H$2:$H$49,"Red")+COUNTIFS(Log!$A$2:$A$49,B62,Log!$I$2:$I$49,"Red")&gt;0,"No","Yes")</f>
        <v/>
      </c>
    </row>
    <row r="63">
      <c r="A63" t="inlineStr">
        <is>
          <t>SIMULATED Commercial FA Study</t>
        </is>
      </c>
      <c r="B63" t="inlineStr">
        <is>
          <t>P10</t>
        </is>
      </c>
      <c r="C63" t="inlineStr">
        <is>
          <t>F</t>
        </is>
      </c>
      <c r="D63" t="n">
        <v>20</v>
      </c>
      <c r="E63" t="inlineStr">
        <is>
          <t>B_C1first</t>
        </is>
      </c>
      <c r="F63" t="inlineStr">
        <is>
          <t>Stimulus</t>
        </is>
      </c>
      <c r="G63" t="inlineStr">
        <is>
          <t>Baseline_2</t>
        </is>
      </c>
      <c r="H63" t="n">
        <v>185000</v>
      </c>
      <c r="I63" t="n">
        <v>60000</v>
      </c>
      <c r="J63" t="inlineStr">
        <is>
          <t>Baseline_2</t>
        </is>
      </c>
      <c r="K63" s="4" t="n">
        <v>0.6057</v>
      </c>
      <c r="L63" t="inlineStr">
        <is>
          <t>Frontal Asymmetry (Enobio EEG)</t>
        </is>
      </c>
      <c r="M63">
        <f>LEFT(E63,1)</f>
        <v/>
      </c>
      <c r="N63">
        <f>MID(E63,3,10)</f>
        <v/>
      </c>
      <c r="O63">
        <f>IF(F63="Stimulus",IF(LEFT(G63,8)="Baseline",G63,IF(LEFT(G63,12)="Commercial_1","C1","C2")),IF(G63="KeyScene","KeyScene",IF(LEFT(J63,12)="Commercial_1","EndScene_C1","EndScene_C2")))</f>
        <v/>
      </c>
      <c r="P63">
        <f>IF(COUNTIFS(Artifact!$B$2:$B$385,B63,Artifact!$K$2:$K$385,"&gt;25")+COUNTIFS(Log!$A$2:$A$49,B63,Log!$H$2:$H$49,"Red")+COUNTIFS(Log!$A$2:$A$49,B63,Log!$I$2:$I$49,"Red")&gt;0,"No","Yes")</f>
        <v/>
      </c>
      <c r="Q63">
        <f>IF(COUNTIFS(Artifact!$B$2:$B$385,B63,Artifact!$K$2:$K$385,"&gt;15")+COUNTIFS(Log!$A$2:$A$49,B63,Log!$H$2:$H$49,"Red")+COUNTIFS(Log!$A$2:$A$49,B63,Log!$I$2:$I$49,"Red")&gt;0,"No","Yes")</f>
        <v/>
      </c>
    </row>
    <row r="64">
      <c r="A64" t="inlineStr">
        <is>
          <t>SIMULATED Commercial FA Study</t>
        </is>
      </c>
      <c r="B64" t="inlineStr">
        <is>
          <t>P10</t>
        </is>
      </c>
      <c r="C64" t="inlineStr">
        <is>
          <t>F</t>
        </is>
      </c>
      <c r="D64" t="n">
        <v>20</v>
      </c>
      <c r="E64" t="inlineStr">
        <is>
          <t>B_C1first</t>
        </is>
      </c>
      <c r="F64" t="inlineStr">
        <is>
          <t>Stimulus</t>
        </is>
      </c>
      <c r="G64" t="inlineStr">
        <is>
          <t>Commercial_2</t>
        </is>
      </c>
      <c r="H64" t="n">
        <v>245000</v>
      </c>
      <c r="I64" t="n">
        <v>60000</v>
      </c>
      <c r="J64" t="inlineStr">
        <is>
          <t>Commercial_2</t>
        </is>
      </c>
      <c r="K64" s="4" t="n">
        <v>0.6236</v>
      </c>
      <c r="L64" t="inlineStr">
        <is>
          <t>Frontal Asymmetry (Enobio EEG)</t>
        </is>
      </c>
      <c r="M64">
        <f>LEFT(E64,1)</f>
        <v/>
      </c>
      <c r="N64">
        <f>MID(E64,3,10)</f>
        <v/>
      </c>
      <c r="O64">
        <f>IF(F64="Stimulus",IF(LEFT(G64,8)="Baseline",G64,IF(LEFT(G64,12)="Commercial_1","C1","C2")),IF(G64="KeyScene","KeyScene",IF(LEFT(J64,12)="Commercial_1","EndScene_C1","EndScene_C2")))</f>
        <v/>
      </c>
      <c r="P64">
        <f>IF(COUNTIFS(Artifact!$B$2:$B$385,B64,Artifact!$K$2:$K$385,"&gt;25")+COUNTIFS(Log!$A$2:$A$49,B64,Log!$H$2:$H$49,"Red")+COUNTIFS(Log!$A$2:$A$49,B64,Log!$I$2:$I$49,"Red")&gt;0,"No","Yes")</f>
        <v/>
      </c>
      <c r="Q64">
        <f>IF(COUNTIFS(Artifact!$B$2:$B$385,B64,Artifact!$K$2:$K$385,"&gt;15")+COUNTIFS(Log!$A$2:$A$49,B64,Log!$H$2:$H$49,"Red")+COUNTIFS(Log!$A$2:$A$49,B64,Log!$I$2:$I$49,"Red")&gt;0,"No","Yes")</f>
        <v/>
      </c>
    </row>
    <row r="65">
      <c r="A65" t="inlineStr">
        <is>
          <t>SIMULATED Commercial FA Study</t>
        </is>
      </c>
      <c r="B65" t="inlineStr">
        <is>
          <t>P10</t>
        </is>
      </c>
      <c r="C65" t="inlineStr">
        <is>
          <t>F</t>
        </is>
      </c>
      <c r="D65" t="n">
        <v>20</v>
      </c>
      <c r="E65" t="inlineStr">
        <is>
          <t>B_C1first</t>
        </is>
      </c>
      <c r="F65" t="inlineStr">
        <is>
          <t>Annotation</t>
        </is>
      </c>
      <c r="G65" t="inlineStr">
        <is>
          <t>EndScene</t>
        </is>
      </c>
      <c r="H65" t="n">
        <v>134000</v>
      </c>
      <c r="I65" t="n">
        <v>10000</v>
      </c>
      <c r="J65" t="inlineStr">
        <is>
          <t>Commercial_1B</t>
        </is>
      </c>
      <c r="K65" s="4" t="n">
        <v>0.6521</v>
      </c>
      <c r="L65" t="inlineStr">
        <is>
          <t>Frontal Asymmetry (Enobio EEG)</t>
        </is>
      </c>
      <c r="M65">
        <f>LEFT(E65,1)</f>
        <v/>
      </c>
      <c r="N65">
        <f>MID(E65,3,10)</f>
        <v/>
      </c>
      <c r="O65">
        <f>IF(F65="Stimulus",IF(LEFT(G65,8)="Baseline",G65,IF(LEFT(G65,12)="Commercial_1","C1","C2")),IF(G65="KeyScene","KeyScene",IF(LEFT(J65,12)="Commercial_1","EndScene_C1","EndScene_C2")))</f>
        <v/>
      </c>
      <c r="P65">
        <f>IF(COUNTIFS(Artifact!$B$2:$B$385,B65,Artifact!$K$2:$K$385,"&gt;25")+COUNTIFS(Log!$A$2:$A$49,B65,Log!$H$2:$H$49,"Red")+COUNTIFS(Log!$A$2:$A$49,B65,Log!$I$2:$I$49,"Red")&gt;0,"No","Yes")</f>
        <v/>
      </c>
      <c r="Q65">
        <f>IF(COUNTIFS(Artifact!$B$2:$B$385,B65,Artifact!$K$2:$K$385,"&gt;15")+COUNTIFS(Log!$A$2:$A$49,B65,Log!$H$2:$H$49,"Red")+COUNTIFS(Log!$A$2:$A$49,B65,Log!$I$2:$I$49,"Red")&gt;0,"No","Yes")</f>
        <v/>
      </c>
    </row>
    <row r="66">
      <c r="A66" t="inlineStr">
        <is>
          <t>SIMULATED Commercial FA Study</t>
        </is>
      </c>
      <c r="B66" t="inlineStr">
        <is>
          <t>P10</t>
        </is>
      </c>
      <c r="C66" t="inlineStr">
        <is>
          <t>F</t>
        </is>
      </c>
      <c r="D66" t="n">
        <v>20</v>
      </c>
      <c r="E66" t="inlineStr">
        <is>
          <t>B_C1first</t>
        </is>
      </c>
      <c r="F66" t="inlineStr">
        <is>
          <t>Annotation</t>
        </is>
      </c>
      <c r="G66" t="inlineStr">
        <is>
          <t>EndScene</t>
        </is>
      </c>
      <c r="H66" t="n">
        <v>295000</v>
      </c>
      <c r="I66" t="n">
        <v>10000</v>
      </c>
      <c r="J66" t="inlineStr">
        <is>
          <t>Commercial_2</t>
        </is>
      </c>
      <c r="K66" s="4" t="n">
        <v>0.5687</v>
      </c>
      <c r="L66" t="inlineStr">
        <is>
          <t>Frontal Asymmetry (Enobio EEG)</t>
        </is>
      </c>
      <c r="M66">
        <f>LEFT(E66,1)</f>
        <v/>
      </c>
      <c r="N66">
        <f>MID(E66,3,10)</f>
        <v/>
      </c>
      <c r="O66">
        <f>IF(F66="Stimulus",IF(LEFT(G66,8)="Baseline",G66,IF(LEFT(G66,12)="Commercial_1","C1","C2")),IF(G66="KeyScene","KeyScene",IF(LEFT(J66,12)="Commercial_1","EndScene_C1","EndScene_C2")))</f>
        <v/>
      </c>
      <c r="P66">
        <f>IF(COUNTIFS(Artifact!$B$2:$B$385,B66,Artifact!$K$2:$K$385,"&gt;25")+COUNTIFS(Log!$A$2:$A$49,B66,Log!$H$2:$H$49,"Red")+COUNTIFS(Log!$A$2:$A$49,B66,Log!$I$2:$I$49,"Red")&gt;0,"No","Yes")</f>
        <v/>
      </c>
      <c r="Q66">
        <f>IF(COUNTIFS(Artifact!$B$2:$B$385,B66,Artifact!$K$2:$K$385,"&gt;15")+COUNTIFS(Log!$A$2:$A$49,B66,Log!$H$2:$H$49,"Red")+COUNTIFS(Log!$A$2:$A$49,B66,Log!$I$2:$I$49,"Red")&gt;0,"No","Yes")</f>
        <v/>
      </c>
    </row>
    <row r="67">
      <c r="A67" t="inlineStr">
        <is>
          <t>SIMULATED Commercial FA Study</t>
        </is>
      </c>
      <c r="B67" t="inlineStr">
        <is>
          <t>P11</t>
        </is>
      </c>
      <c r="C67" t="inlineStr">
        <is>
          <t>F</t>
        </is>
      </c>
      <c r="D67" t="n">
        <v>21</v>
      </c>
      <c r="E67" t="inlineStr">
        <is>
          <t>A_C2first</t>
        </is>
      </c>
      <c r="F67" t="inlineStr">
        <is>
          <t>Stimulus</t>
        </is>
      </c>
      <c r="G67" t="inlineStr">
        <is>
          <t>Baseline_1</t>
        </is>
      </c>
      <c r="H67" t="n">
        <v>34000</v>
      </c>
      <c r="I67" t="n">
        <v>60000</v>
      </c>
      <c r="J67" t="inlineStr">
        <is>
          <t>Baseline_1</t>
        </is>
      </c>
      <c r="K67" s="4" t="n">
        <v>0.8708</v>
      </c>
      <c r="L67" t="inlineStr">
        <is>
          <t>Frontal Asymmetry (Enobio EEG)</t>
        </is>
      </c>
      <c r="M67">
        <f>LEFT(E67,1)</f>
        <v/>
      </c>
      <c r="N67">
        <f>MID(E67,3,10)</f>
        <v/>
      </c>
      <c r="O67">
        <f>IF(F67="Stimulus",IF(LEFT(G67,8)="Baseline",G67,IF(LEFT(G67,12)="Commercial_1","C1","C2")),IF(G67="KeyScene","KeyScene",IF(LEFT(J67,12)="Commercial_1","EndScene_C1","EndScene_C2")))</f>
        <v/>
      </c>
      <c r="P67">
        <f>IF(COUNTIFS(Artifact!$B$2:$B$385,B67,Artifact!$K$2:$K$385,"&gt;25")+COUNTIFS(Log!$A$2:$A$49,B67,Log!$H$2:$H$49,"Red")+COUNTIFS(Log!$A$2:$A$49,B67,Log!$I$2:$I$49,"Red")&gt;0,"No","Yes")</f>
        <v/>
      </c>
      <c r="Q67">
        <f>IF(COUNTIFS(Artifact!$B$2:$B$385,B67,Artifact!$K$2:$K$385,"&gt;15")+COUNTIFS(Log!$A$2:$A$49,B67,Log!$H$2:$H$49,"Red")+COUNTIFS(Log!$A$2:$A$49,B67,Log!$I$2:$I$49,"Red")&gt;0,"No","Yes")</f>
        <v/>
      </c>
    </row>
    <row r="68">
      <c r="A68" t="inlineStr">
        <is>
          <t>SIMULATED Commercial FA Study</t>
        </is>
      </c>
      <c r="B68" t="inlineStr">
        <is>
          <t>P11</t>
        </is>
      </c>
      <c r="C68" t="inlineStr">
        <is>
          <t>F</t>
        </is>
      </c>
      <c r="D68" t="n">
        <v>21</v>
      </c>
      <c r="E68" t="inlineStr">
        <is>
          <t>A_C2first</t>
        </is>
      </c>
      <c r="F68" t="inlineStr">
        <is>
          <t>Stimulus</t>
        </is>
      </c>
      <c r="G68" t="inlineStr">
        <is>
          <t>Commercial_2</t>
        </is>
      </c>
      <c r="H68" t="n">
        <v>94000</v>
      </c>
      <c r="I68" t="n">
        <v>60000</v>
      </c>
      <c r="J68" t="inlineStr">
        <is>
          <t>Commercial_2</t>
        </is>
      </c>
      <c r="K68" s="4" t="n">
        <v>0.8547</v>
      </c>
      <c r="L68" t="inlineStr">
        <is>
          <t>Frontal Asymmetry (Enobio EEG)</t>
        </is>
      </c>
      <c r="M68">
        <f>LEFT(E68,1)</f>
        <v/>
      </c>
      <c r="N68">
        <f>MID(E68,3,10)</f>
        <v/>
      </c>
      <c r="O68">
        <f>IF(F68="Stimulus",IF(LEFT(G68,8)="Baseline",G68,IF(LEFT(G68,12)="Commercial_1","C1","C2")),IF(G68="KeyScene","KeyScene",IF(LEFT(J68,12)="Commercial_1","EndScene_C1","EndScene_C2")))</f>
        <v/>
      </c>
      <c r="P68">
        <f>IF(COUNTIFS(Artifact!$B$2:$B$385,B68,Artifact!$K$2:$K$385,"&gt;25")+COUNTIFS(Log!$A$2:$A$49,B68,Log!$H$2:$H$49,"Red")+COUNTIFS(Log!$A$2:$A$49,B68,Log!$I$2:$I$49,"Red")&gt;0,"No","Yes")</f>
        <v/>
      </c>
      <c r="Q68">
        <f>IF(COUNTIFS(Artifact!$B$2:$B$385,B68,Artifact!$K$2:$K$385,"&gt;15")+COUNTIFS(Log!$A$2:$A$49,B68,Log!$H$2:$H$49,"Red")+COUNTIFS(Log!$A$2:$A$49,B68,Log!$I$2:$I$49,"Red")&gt;0,"No","Yes")</f>
        <v/>
      </c>
    </row>
    <row r="69">
      <c r="A69" t="inlineStr">
        <is>
          <t>SIMULATED Commercial FA Study</t>
        </is>
      </c>
      <c r="B69" t="inlineStr">
        <is>
          <t>P11</t>
        </is>
      </c>
      <c r="C69" t="inlineStr">
        <is>
          <t>F</t>
        </is>
      </c>
      <c r="D69" t="n">
        <v>21</v>
      </c>
      <c r="E69" t="inlineStr">
        <is>
          <t>A_C2first</t>
        </is>
      </c>
      <c r="F69" t="inlineStr">
        <is>
          <t>Stimulus</t>
        </is>
      </c>
      <c r="G69" t="inlineStr">
        <is>
          <t>Baseline_2</t>
        </is>
      </c>
      <c r="H69" t="n">
        <v>181000</v>
      </c>
      <c r="I69" t="n">
        <v>60000</v>
      </c>
      <c r="J69" t="inlineStr">
        <is>
          <t>Baseline_2</t>
        </is>
      </c>
      <c r="K69" s="4" t="n">
        <v>0.8754</v>
      </c>
      <c r="L69" t="inlineStr">
        <is>
          <t>Frontal Asymmetry (Enobio EEG)</t>
        </is>
      </c>
      <c r="M69">
        <f>LEFT(E69,1)</f>
        <v/>
      </c>
      <c r="N69">
        <f>MID(E69,3,10)</f>
        <v/>
      </c>
      <c r="O69">
        <f>IF(F69="Stimulus",IF(LEFT(G69,8)="Baseline",G69,IF(LEFT(G69,12)="Commercial_1","C1","C2")),IF(G69="KeyScene","KeyScene",IF(LEFT(J69,12)="Commercial_1","EndScene_C1","EndScene_C2")))</f>
        <v/>
      </c>
      <c r="P69">
        <f>IF(COUNTIFS(Artifact!$B$2:$B$385,B69,Artifact!$K$2:$K$385,"&gt;25")+COUNTIFS(Log!$A$2:$A$49,B69,Log!$H$2:$H$49,"Red")+COUNTIFS(Log!$A$2:$A$49,B69,Log!$I$2:$I$49,"Red")&gt;0,"No","Yes")</f>
        <v/>
      </c>
      <c r="Q69">
        <f>IF(COUNTIFS(Artifact!$B$2:$B$385,B69,Artifact!$K$2:$K$385,"&gt;15")+COUNTIFS(Log!$A$2:$A$49,B69,Log!$H$2:$H$49,"Red")+COUNTIFS(Log!$A$2:$A$49,B69,Log!$I$2:$I$49,"Red")&gt;0,"No","Yes")</f>
        <v/>
      </c>
    </row>
    <row r="70">
      <c r="A70" t="inlineStr">
        <is>
          <t>SIMULATED Commercial FA Study</t>
        </is>
      </c>
      <c r="B70" t="inlineStr">
        <is>
          <t>P11</t>
        </is>
      </c>
      <c r="C70" t="inlineStr">
        <is>
          <t>F</t>
        </is>
      </c>
      <c r="D70" t="n">
        <v>21</v>
      </c>
      <c r="E70" t="inlineStr">
        <is>
          <t>A_C2first</t>
        </is>
      </c>
      <c r="F70" t="inlineStr">
        <is>
          <t>Stimulus</t>
        </is>
      </c>
      <c r="G70" t="inlineStr">
        <is>
          <t>Commercial_1A</t>
        </is>
      </c>
      <c r="H70" t="n">
        <v>241000</v>
      </c>
      <c r="I70" t="n">
        <v>60000</v>
      </c>
      <c r="J70" t="inlineStr">
        <is>
          <t>Commercial_1A</t>
        </is>
      </c>
      <c r="K70" s="4" t="n">
        <v>0.8603</v>
      </c>
      <c r="L70" t="inlineStr">
        <is>
          <t>Frontal Asymmetry (Enobio EEG)</t>
        </is>
      </c>
      <c r="M70">
        <f>LEFT(E70,1)</f>
        <v/>
      </c>
      <c r="N70">
        <f>MID(E70,3,10)</f>
        <v/>
      </c>
      <c r="O70">
        <f>IF(F70="Stimulus",IF(LEFT(G70,8)="Baseline",G70,IF(LEFT(G70,12)="Commercial_1","C1","C2")),IF(G70="KeyScene","KeyScene",IF(LEFT(J70,12)="Commercial_1","EndScene_C1","EndScene_C2")))</f>
        <v/>
      </c>
      <c r="P70">
        <f>IF(COUNTIFS(Artifact!$B$2:$B$385,B70,Artifact!$K$2:$K$385,"&gt;25")+COUNTIFS(Log!$A$2:$A$49,B70,Log!$H$2:$H$49,"Red")+COUNTIFS(Log!$A$2:$A$49,B70,Log!$I$2:$I$49,"Red")&gt;0,"No","Yes")</f>
        <v/>
      </c>
      <c r="Q70">
        <f>IF(COUNTIFS(Artifact!$B$2:$B$385,B70,Artifact!$K$2:$K$385,"&gt;15")+COUNTIFS(Log!$A$2:$A$49,B70,Log!$H$2:$H$49,"Red")+COUNTIFS(Log!$A$2:$A$49,B70,Log!$I$2:$I$49,"Red")&gt;0,"No","Yes")</f>
        <v/>
      </c>
    </row>
    <row r="71">
      <c r="A71" t="inlineStr">
        <is>
          <t>SIMULATED Commercial FA Study</t>
        </is>
      </c>
      <c r="B71" t="inlineStr">
        <is>
          <t>P11</t>
        </is>
      </c>
      <c r="C71" t="inlineStr">
        <is>
          <t>F</t>
        </is>
      </c>
      <c r="D71" t="n">
        <v>21</v>
      </c>
      <c r="E71" t="inlineStr">
        <is>
          <t>A_C2first</t>
        </is>
      </c>
      <c r="F71" t="inlineStr">
        <is>
          <t>Annotation</t>
        </is>
      </c>
      <c r="G71" t="inlineStr">
        <is>
          <t>EndScene</t>
        </is>
      </c>
      <c r="H71" t="n">
        <v>144000</v>
      </c>
      <c r="I71" t="n">
        <v>10000</v>
      </c>
      <c r="J71" t="inlineStr">
        <is>
          <t>Commercial_2</t>
        </is>
      </c>
      <c r="K71" s="4" t="n">
        <v>0.9814000000000001</v>
      </c>
      <c r="L71" t="inlineStr">
        <is>
          <t>Frontal Asymmetry (Enobio EEG)</t>
        </is>
      </c>
      <c r="M71">
        <f>LEFT(E71,1)</f>
        <v/>
      </c>
      <c r="N71">
        <f>MID(E71,3,10)</f>
        <v/>
      </c>
      <c r="O71">
        <f>IF(F71="Stimulus",IF(LEFT(G71,8)="Baseline",G71,IF(LEFT(G71,12)="Commercial_1","C1","C2")),IF(G71="KeyScene","KeyScene",IF(LEFT(J71,12)="Commercial_1","EndScene_C1","EndScene_C2")))</f>
        <v/>
      </c>
      <c r="P71">
        <f>IF(COUNTIFS(Artifact!$B$2:$B$385,B71,Artifact!$K$2:$K$385,"&gt;25")+COUNTIFS(Log!$A$2:$A$49,B71,Log!$H$2:$H$49,"Red")+COUNTIFS(Log!$A$2:$A$49,B71,Log!$I$2:$I$49,"Red")&gt;0,"No","Yes")</f>
        <v/>
      </c>
      <c r="Q71">
        <f>IF(COUNTIFS(Artifact!$B$2:$B$385,B71,Artifact!$K$2:$K$385,"&gt;15")+COUNTIFS(Log!$A$2:$A$49,B71,Log!$H$2:$H$49,"Red")+COUNTIFS(Log!$A$2:$A$49,B71,Log!$I$2:$I$49,"Red")&gt;0,"No","Yes")</f>
        <v/>
      </c>
    </row>
    <row r="72">
      <c r="A72" t="inlineStr">
        <is>
          <t>SIMULATED Commercial FA Study</t>
        </is>
      </c>
      <c r="B72" t="inlineStr">
        <is>
          <t>P11</t>
        </is>
      </c>
      <c r="C72" t="inlineStr">
        <is>
          <t>F</t>
        </is>
      </c>
      <c r="D72" t="n">
        <v>21</v>
      </c>
      <c r="E72" t="inlineStr">
        <is>
          <t>A_C2first</t>
        </is>
      </c>
      <c r="F72" t="inlineStr">
        <is>
          <t>Annotation</t>
        </is>
      </c>
      <c r="G72" t="inlineStr">
        <is>
          <t>KeyScene</t>
        </is>
      </c>
      <c r="H72" t="n">
        <v>273000</v>
      </c>
      <c r="I72" t="n">
        <v>6000</v>
      </c>
      <c r="J72" t="inlineStr">
        <is>
          <t>Commercial_1A</t>
        </is>
      </c>
      <c r="K72" s="4" t="n">
        <v>0.8104</v>
      </c>
      <c r="L72" t="inlineStr">
        <is>
          <t>Frontal Asymmetry (Enobio EEG)</t>
        </is>
      </c>
      <c r="M72">
        <f>LEFT(E72,1)</f>
        <v/>
      </c>
      <c r="N72">
        <f>MID(E72,3,10)</f>
        <v/>
      </c>
      <c r="O72">
        <f>IF(F72="Stimulus",IF(LEFT(G72,8)="Baseline",G72,IF(LEFT(G72,12)="Commercial_1","C1","C2")),IF(G72="KeyScene","KeyScene",IF(LEFT(J72,12)="Commercial_1","EndScene_C1","EndScene_C2")))</f>
        <v/>
      </c>
      <c r="P72">
        <f>IF(COUNTIFS(Artifact!$B$2:$B$385,B72,Artifact!$K$2:$K$385,"&gt;25")+COUNTIFS(Log!$A$2:$A$49,B72,Log!$H$2:$H$49,"Red")+COUNTIFS(Log!$A$2:$A$49,B72,Log!$I$2:$I$49,"Red")&gt;0,"No","Yes")</f>
        <v/>
      </c>
      <c r="Q72">
        <f>IF(COUNTIFS(Artifact!$B$2:$B$385,B72,Artifact!$K$2:$K$385,"&gt;15")+COUNTIFS(Log!$A$2:$A$49,B72,Log!$H$2:$H$49,"Red")+COUNTIFS(Log!$A$2:$A$49,B72,Log!$I$2:$I$49,"Red")&gt;0,"No","Yes")</f>
        <v/>
      </c>
    </row>
    <row r="73">
      <c r="A73" t="inlineStr">
        <is>
          <t>SIMULATED Commercial FA Study</t>
        </is>
      </c>
      <c r="B73" t="inlineStr">
        <is>
          <t>P11</t>
        </is>
      </c>
      <c r="C73" t="inlineStr">
        <is>
          <t>F</t>
        </is>
      </c>
      <c r="D73" t="n">
        <v>21</v>
      </c>
      <c r="E73" t="inlineStr">
        <is>
          <t>A_C2first</t>
        </is>
      </c>
      <c r="F73" t="inlineStr">
        <is>
          <t>Annotation</t>
        </is>
      </c>
      <c r="G73" t="inlineStr">
        <is>
          <t>EndScene</t>
        </is>
      </c>
      <c r="H73" t="n">
        <v>291000</v>
      </c>
      <c r="I73" t="n">
        <v>10000</v>
      </c>
      <c r="J73" t="inlineStr">
        <is>
          <t>Commercial_1A</t>
        </is>
      </c>
      <c r="K73" s="4" t="n">
        <v>0.8773</v>
      </c>
      <c r="L73" t="inlineStr">
        <is>
          <t>Frontal Asymmetry (Enobio EEG)</t>
        </is>
      </c>
      <c r="M73">
        <f>LEFT(E73,1)</f>
        <v/>
      </c>
      <c r="N73">
        <f>MID(E73,3,10)</f>
        <v/>
      </c>
      <c r="O73">
        <f>IF(F73="Stimulus",IF(LEFT(G73,8)="Baseline",G73,IF(LEFT(G73,12)="Commercial_1","C1","C2")),IF(G73="KeyScene","KeyScene",IF(LEFT(J73,12)="Commercial_1","EndScene_C1","EndScene_C2")))</f>
        <v/>
      </c>
      <c r="P73">
        <f>IF(COUNTIFS(Artifact!$B$2:$B$385,B73,Artifact!$K$2:$K$385,"&gt;25")+COUNTIFS(Log!$A$2:$A$49,B73,Log!$H$2:$H$49,"Red")+COUNTIFS(Log!$A$2:$A$49,B73,Log!$I$2:$I$49,"Red")&gt;0,"No","Yes")</f>
        <v/>
      </c>
      <c r="Q73">
        <f>IF(COUNTIFS(Artifact!$B$2:$B$385,B73,Artifact!$K$2:$K$385,"&gt;15")+COUNTIFS(Log!$A$2:$A$49,B73,Log!$H$2:$H$49,"Red")+COUNTIFS(Log!$A$2:$A$49,B73,Log!$I$2:$I$49,"Red")&gt;0,"No","Yes")</f>
        <v/>
      </c>
    </row>
    <row r="74">
      <c r="A74" t="inlineStr">
        <is>
          <t>SIMULATED Commercial FA Study</t>
        </is>
      </c>
      <c r="B74" t="inlineStr">
        <is>
          <t>P12</t>
        </is>
      </c>
      <c r="C74" t="inlineStr">
        <is>
          <t>M</t>
        </is>
      </c>
      <c r="D74" t="n">
        <v>24</v>
      </c>
      <c r="E74" t="inlineStr">
        <is>
          <t>B_C2first</t>
        </is>
      </c>
      <c r="F74" t="inlineStr">
        <is>
          <t>Stimulus</t>
        </is>
      </c>
      <c r="G74" t="inlineStr">
        <is>
          <t>Baseline_1</t>
        </is>
      </c>
      <c r="H74" t="n">
        <v>30000</v>
      </c>
      <c r="I74" t="n">
        <v>60000</v>
      </c>
      <c r="J74" t="inlineStr">
        <is>
          <t>Baseline_1</t>
        </is>
      </c>
      <c r="K74" s="4" t="n">
        <v>0.7244</v>
      </c>
      <c r="L74" t="inlineStr">
        <is>
          <t>Frontal Asymmetry (Enobio EEG)</t>
        </is>
      </c>
      <c r="M74">
        <f>LEFT(E74,1)</f>
        <v/>
      </c>
      <c r="N74">
        <f>MID(E74,3,10)</f>
        <v/>
      </c>
      <c r="O74">
        <f>IF(F74="Stimulus",IF(LEFT(G74,8)="Baseline",G74,IF(LEFT(G74,12)="Commercial_1","C1","C2")),IF(G74="KeyScene","KeyScene",IF(LEFT(J74,12)="Commercial_1","EndScene_C1","EndScene_C2")))</f>
        <v/>
      </c>
      <c r="P74">
        <f>IF(COUNTIFS(Artifact!$B$2:$B$385,B74,Artifact!$K$2:$K$385,"&gt;25")+COUNTIFS(Log!$A$2:$A$49,B74,Log!$H$2:$H$49,"Red")+COUNTIFS(Log!$A$2:$A$49,B74,Log!$I$2:$I$49,"Red")&gt;0,"No","Yes")</f>
        <v/>
      </c>
      <c r="Q74">
        <f>IF(COUNTIFS(Artifact!$B$2:$B$385,B74,Artifact!$K$2:$K$385,"&gt;15")+COUNTIFS(Log!$A$2:$A$49,B74,Log!$H$2:$H$49,"Red")+COUNTIFS(Log!$A$2:$A$49,B74,Log!$I$2:$I$49,"Red")&gt;0,"No","Yes")</f>
        <v/>
      </c>
    </row>
    <row r="75">
      <c r="A75" t="inlineStr">
        <is>
          <t>SIMULATED Commercial FA Study</t>
        </is>
      </c>
      <c r="B75" t="inlineStr">
        <is>
          <t>P12</t>
        </is>
      </c>
      <c r="C75" t="inlineStr">
        <is>
          <t>M</t>
        </is>
      </c>
      <c r="D75" t="n">
        <v>24</v>
      </c>
      <c r="E75" t="inlineStr">
        <is>
          <t>B_C2first</t>
        </is>
      </c>
      <c r="F75" t="inlineStr">
        <is>
          <t>Stimulus</t>
        </is>
      </c>
      <c r="G75" t="inlineStr">
        <is>
          <t>Commercial_2</t>
        </is>
      </c>
      <c r="H75" t="n">
        <v>90000</v>
      </c>
      <c r="I75" t="n">
        <v>60000</v>
      </c>
      <c r="J75" t="inlineStr">
        <is>
          <t>Commercial_2</t>
        </is>
      </c>
      <c r="K75" s="4" t="n">
        <v>0.6945</v>
      </c>
      <c r="L75" t="inlineStr">
        <is>
          <t>Frontal Asymmetry (Enobio EEG)</t>
        </is>
      </c>
      <c r="M75">
        <f>LEFT(E75,1)</f>
        <v/>
      </c>
      <c r="N75">
        <f>MID(E75,3,10)</f>
        <v/>
      </c>
      <c r="O75">
        <f>IF(F75="Stimulus",IF(LEFT(G75,8)="Baseline",G75,IF(LEFT(G75,12)="Commercial_1","C1","C2")),IF(G75="KeyScene","KeyScene",IF(LEFT(J75,12)="Commercial_1","EndScene_C1","EndScene_C2")))</f>
        <v/>
      </c>
      <c r="P75">
        <f>IF(COUNTIFS(Artifact!$B$2:$B$385,B75,Artifact!$K$2:$K$385,"&gt;25")+COUNTIFS(Log!$A$2:$A$49,B75,Log!$H$2:$H$49,"Red")+COUNTIFS(Log!$A$2:$A$49,B75,Log!$I$2:$I$49,"Red")&gt;0,"No","Yes")</f>
        <v/>
      </c>
      <c r="Q75">
        <f>IF(COUNTIFS(Artifact!$B$2:$B$385,B75,Artifact!$K$2:$K$385,"&gt;15")+COUNTIFS(Log!$A$2:$A$49,B75,Log!$H$2:$H$49,"Red")+COUNTIFS(Log!$A$2:$A$49,B75,Log!$I$2:$I$49,"Red")&gt;0,"No","Yes")</f>
        <v/>
      </c>
    </row>
    <row r="76">
      <c r="A76" t="inlineStr">
        <is>
          <t>SIMULATED Commercial FA Study</t>
        </is>
      </c>
      <c r="B76" t="inlineStr">
        <is>
          <t>P12</t>
        </is>
      </c>
      <c r="C76" t="inlineStr">
        <is>
          <t>M</t>
        </is>
      </c>
      <c r="D76" t="n">
        <v>24</v>
      </c>
      <c r="E76" t="inlineStr">
        <is>
          <t>B_C2first</t>
        </is>
      </c>
      <c r="F76" t="inlineStr">
        <is>
          <t>Stimulus</t>
        </is>
      </c>
      <c r="G76" t="inlineStr">
        <is>
          <t>Baseline_2</t>
        </is>
      </c>
      <c r="H76" t="n">
        <v>182000</v>
      </c>
      <c r="I76" t="n">
        <v>60000</v>
      </c>
      <c r="J76" t="inlineStr">
        <is>
          <t>Baseline_2</t>
        </is>
      </c>
      <c r="K76" s="4" t="n">
        <v>0.6622</v>
      </c>
      <c r="L76" t="inlineStr">
        <is>
          <t>Frontal Asymmetry (Enobio EEG)</t>
        </is>
      </c>
      <c r="M76">
        <f>LEFT(E76,1)</f>
        <v/>
      </c>
      <c r="N76">
        <f>MID(E76,3,10)</f>
        <v/>
      </c>
      <c r="O76">
        <f>IF(F76="Stimulus",IF(LEFT(G76,8)="Baseline",G76,IF(LEFT(G76,12)="Commercial_1","C1","C2")),IF(G76="KeyScene","KeyScene",IF(LEFT(J76,12)="Commercial_1","EndScene_C1","EndScene_C2")))</f>
        <v/>
      </c>
      <c r="P76">
        <f>IF(COUNTIFS(Artifact!$B$2:$B$385,B76,Artifact!$K$2:$K$385,"&gt;25")+COUNTIFS(Log!$A$2:$A$49,B76,Log!$H$2:$H$49,"Red")+COUNTIFS(Log!$A$2:$A$49,B76,Log!$I$2:$I$49,"Red")&gt;0,"No","Yes")</f>
        <v/>
      </c>
      <c r="Q76">
        <f>IF(COUNTIFS(Artifact!$B$2:$B$385,B76,Artifact!$K$2:$K$385,"&gt;15")+COUNTIFS(Log!$A$2:$A$49,B76,Log!$H$2:$H$49,"Red")+COUNTIFS(Log!$A$2:$A$49,B76,Log!$I$2:$I$49,"Red")&gt;0,"No","Yes")</f>
        <v/>
      </c>
    </row>
    <row r="77">
      <c r="A77" t="inlineStr">
        <is>
          <t>SIMULATED Commercial FA Study</t>
        </is>
      </c>
      <c r="B77" t="inlineStr">
        <is>
          <t>P12</t>
        </is>
      </c>
      <c r="C77" t="inlineStr">
        <is>
          <t>M</t>
        </is>
      </c>
      <c r="D77" t="n">
        <v>24</v>
      </c>
      <c r="E77" t="inlineStr">
        <is>
          <t>B_C2first</t>
        </is>
      </c>
      <c r="F77" t="inlineStr">
        <is>
          <t>Stimulus</t>
        </is>
      </c>
      <c r="G77" t="inlineStr">
        <is>
          <t>Commercial_1B</t>
        </is>
      </c>
      <c r="H77" t="n">
        <v>242000</v>
      </c>
      <c r="I77" t="n">
        <v>54000</v>
      </c>
      <c r="J77" t="inlineStr">
        <is>
          <t>Commercial_1B</t>
        </is>
      </c>
      <c r="K77" s="4" t="n">
        <v>0.6542</v>
      </c>
      <c r="L77" t="inlineStr">
        <is>
          <t>Frontal Asymmetry (Enobio EEG)</t>
        </is>
      </c>
      <c r="M77">
        <f>LEFT(E77,1)</f>
        <v/>
      </c>
      <c r="N77">
        <f>MID(E77,3,10)</f>
        <v/>
      </c>
      <c r="O77">
        <f>IF(F77="Stimulus",IF(LEFT(G77,8)="Baseline",G77,IF(LEFT(G77,12)="Commercial_1","C1","C2")),IF(G77="KeyScene","KeyScene",IF(LEFT(J77,12)="Commercial_1","EndScene_C1","EndScene_C2")))</f>
        <v/>
      </c>
      <c r="P77">
        <f>IF(COUNTIFS(Artifact!$B$2:$B$385,B77,Artifact!$K$2:$K$385,"&gt;25")+COUNTIFS(Log!$A$2:$A$49,B77,Log!$H$2:$H$49,"Red")+COUNTIFS(Log!$A$2:$A$49,B77,Log!$I$2:$I$49,"Red")&gt;0,"No","Yes")</f>
        <v/>
      </c>
      <c r="Q77">
        <f>IF(COUNTIFS(Artifact!$B$2:$B$385,B77,Artifact!$K$2:$K$385,"&gt;15")+COUNTIFS(Log!$A$2:$A$49,B77,Log!$H$2:$H$49,"Red")+COUNTIFS(Log!$A$2:$A$49,B77,Log!$I$2:$I$49,"Red")&gt;0,"No","Yes")</f>
        <v/>
      </c>
    </row>
    <row r="78">
      <c r="A78" t="inlineStr">
        <is>
          <t>SIMULATED Commercial FA Study</t>
        </is>
      </c>
      <c r="B78" t="inlineStr">
        <is>
          <t>P12</t>
        </is>
      </c>
      <c r="C78" t="inlineStr">
        <is>
          <t>M</t>
        </is>
      </c>
      <c r="D78" t="n">
        <v>24</v>
      </c>
      <c r="E78" t="inlineStr">
        <is>
          <t>B_C2first</t>
        </is>
      </c>
      <c r="F78" t="inlineStr">
        <is>
          <t>Annotation</t>
        </is>
      </c>
      <c r="G78" t="inlineStr">
        <is>
          <t>EndScene</t>
        </is>
      </c>
      <c r="H78" t="n">
        <v>140000</v>
      </c>
      <c r="I78" t="n">
        <v>10000</v>
      </c>
      <c r="J78" t="inlineStr">
        <is>
          <t>Commercial_2</t>
        </is>
      </c>
      <c r="K78" s="4" t="n">
        <v>0.6385999999999999</v>
      </c>
      <c r="L78" t="inlineStr">
        <is>
          <t>Frontal Asymmetry (Enobio EEG)</t>
        </is>
      </c>
      <c r="M78">
        <f>LEFT(E78,1)</f>
        <v/>
      </c>
      <c r="N78">
        <f>MID(E78,3,10)</f>
        <v/>
      </c>
      <c r="O78">
        <f>IF(F78="Stimulus",IF(LEFT(G78,8)="Baseline",G78,IF(LEFT(G78,12)="Commercial_1","C1","C2")),IF(G78="KeyScene","KeyScene",IF(LEFT(J78,12)="Commercial_1","EndScene_C1","EndScene_C2")))</f>
        <v/>
      </c>
      <c r="P78">
        <f>IF(COUNTIFS(Artifact!$B$2:$B$385,B78,Artifact!$K$2:$K$385,"&gt;25")+COUNTIFS(Log!$A$2:$A$49,B78,Log!$H$2:$H$49,"Red")+COUNTIFS(Log!$A$2:$A$49,B78,Log!$I$2:$I$49,"Red")&gt;0,"No","Yes")</f>
        <v/>
      </c>
      <c r="Q78">
        <f>IF(COUNTIFS(Artifact!$B$2:$B$385,B78,Artifact!$K$2:$K$385,"&gt;15")+COUNTIFS(Log!$A$2:$A$49,B78,Log!$H$2:$H$49,"Red")+COUNTIFS(Log!$A$2:$A$49,B78,Log!$I$2:$I$49,"Red")&gt;0,"No","Yes")</f>
        <v/>
      </c>
    </row>
    <row r="79">
      <c r="A79" t="inlineStr">
        <is>
          <t>SIMULATED Commercial FA Study</t>
        </is>
      </c>
      <c r="B79" t="inlineStr">
        <is>
          <t>P12</t>
        </is>
      </c>
      <c r="C79" t="inlineStr">
        <is>
          <t>M</t>
        </is>
      </c>
      <c r="D79" t="n">
        <v>24</v>
      </c>
      <c r="E79" t="inlineStr">
        <is>
          <t>B_C2first</t>
        </is>
      </c>
      <c r="F79" t="inlineStr">
        <is>
          <t>Annotation</t>
        </is>
      </c>
      <c r="G79" t="inlineStr">
        <is>
          <t>EndScene</t>
        </is>
      </c>
      <c r="H79" t="n">
        <v>286000</v>
      </c>
      <c r="I79" t="n">
        <v>10000</v>
      </c>
      <c r="J79" t="inlineStr">
        <is>
          <t>Commercial_1B</t>
        </is>
      </c>
      <c r="K79" s="4" t="n">
        <v>0.6018</v>
      </c>
      <c r="L79" t="inlineStr">
        <is>
          <t>Frontal Asymmetry (Enobio EEG)</t>
        </is>
      </c>
      <c r="M79">
        <f>LEFT(E79,1)</f>
        <v/>
      </c>
      <c r="N79">
        <f>MID(E79,3,10)</f>
        <v/>
      </c>
      <c r="O79">
        <f>IF(F79="Stimulus",IF(LEFT(G79,8)="Baseline",G79,IF(LEFT(G79,12)="Commercial_1","C1","C2")),IF(G79="KeyScene","KeyScene",IF(LEFT(J79,12)="Commercial_1","EndScene_C1","EndScene_C2")))</f>
        <v/>
      </c>
      <c r="P79">
        <f>IF(COUNTIFS(Artifact!$B$2:$B$385,B79,Artifact!$K$2:$K$385,"&gt;25")+COUNTIFS(Log!$A$2:$A$49,B79,Log!$H$2:$H$49,"Red")+COUNTIFS(Log!$A$2:$A$49,B79,Log!$I$2:$I$49,"Red")&gt;0,"No","Yes")</f>
        <v/>
      </c>
      <c r="Q79">
        <f>IF(COUNTIFS(Artifact!$B$2:$B$385,B79,Artifact!$K$2:$K$385,"&gt;15")+COUNTIFS(Log!$A$2:$A$49,B79,Log!$H$2:$H$49,"Red")+COUNTIFS(Log!$A$2:$A$49,B79,Log!$I$2:$I$49,"Red")&gt;0,"No","Yes")</f>
        <v/>
      </c>
    </row>
    <row r="80">
      <c r="A80" t="inlineStr">
        <is>
          <t>SIMULATED Commercial FA Study</t>
        </is>
      </c>
      <c r="B80" t="inlineStr">
        <is>
          <t>P13</t>
        </is>
      </c>
      <c r="C80" t="inlineStr">
        <is>
          <t>M</t>
        </is>
      </c>
      <c r="D80" t="n">
        <v>22</v>
      </c>
      <c r="E80" t="inlineStr">
        <is>
          <t>A_C1first</t>
        </is>
      </c>
      <c r="F80" t="inlineStr">
        <is>
          <t>Stimulus</t>
        </is>
      </c>
      <c r="G80" t="inlineStr">
        <is>
          <t>Baseline_1</t>
        </is>
      </c>
      <c r="H80" t="n">
        <v>36000</v>
      </c>
      <c r="I80" t="n">
        <v>60000</v>
      </c>
      <c r="J80" t="inlineStr">
        <is>
          <t>Baseline_1</t>
        </is>
      </c>
      <c r="K80" s="4" t="n">
        <v>0.5704</v>
      </c>
      <c r="L80" t="inlineStr">
        <is>
          <t>Frontal Asymmetry (Enobio EEG)</t>
        </is>
      </c>
      <c r="M80">
        <f>LEFT(E80,1)</f>
        <v/>
      </c>
      <c r="N80">
        <f>MID(E80,3,10)</f>
        <v/>
      </c>
      <c r="O80">
        <f>IF(F80="Stimulus",IF(LEFT(G80,8)="Baseline",G80,IF(LEFT(G80,12)="Commercial_1","C1","C2")),IF(G80="KeyScene","KeyScene",IF(LEFT(J80,12)="Commercial_1","EndScene_C1","EndScene_C2")))</f>
        <v/>
      </c>
      <c r="P80">
        <f>IF(COUNTIFS(Artifact!$B$2:$B$385,B80,Artifact!$K$2:$K$385,"&gt;25")+COUNTIFS(Log!$A$2:$A$49,B80,Log!$H$2:$H$49,"Red")+COUNTIFS(Log!$A$2:$A$49,B80,Log!$I$2:$I$49,"Red")&gt;0,"No","Yes")</f>
        <v/>
      </c>
      <c r="Q80">
        <f>IF(COUNTIFS(Artifact!$B$2:$B$385,B80,Artifact!$K$2:$K$385,"&gt;15")+COUNTIFS(Log!$A$2:$A$49,B80,Log!$H$2:$H$49,"Red")+COUNTIFS(Log!$A$2:$A$49,B80,Log!$I$2:$I$49,"Red")&gt;0,"No","Yes")</f>
        <v/>
      </c>
    </row>
    <row r="81">
      <c r="A81" t="inlineStr">
        <is>
          <t>SIMULATED Commercial FA Study</t>
        </is>
      </c>
      <c r="B81" t="inlineStr">
        <is>
          <t>P13</t>
        </is>
      </c>
      <c r="C81" t="inlineStr">
        <is>
          <t>M</t>
        </is>
      </c>
      <c r="D81" t="n">
        <v>22</v>
      </c>
      <c r="E81" t="inlineStr">
        <is>
          <t>A_C1first</t>
        </is>
      </c>
      <c r="F81" t="inlineStr">
        <is>
          <t>Stimulus</t>
        </is>
      </c>
      <c r="G81" t="inlineStr">
        <is>
          <t>Commercial_1A</t>
        </is>
      </c>
      <c r="H81" t="n">
        <v>96000</v>
      </c>
      <c r="I81" t="n">
        <v>60000</v>
      </c>
      <c r="J81" t="inlineStr">
        <is>
          <t>Commercial_1A</t>
        </is>
      </c>
      <c r="K81" s="4" t="n">
        <v>0.6652</v>
      </c>
      <c r="L81" t="inlineStr">
        <is>
          <t>Frontal Asymmetry (Enobio EEG)</t>
        </is>
      </c>
      <c r="M81">
        <f>LEFT(E81,1)</f>
        <v/>
      </c>
      <c r="N81">
        <f>MID(E81,3,10)</f>
        <v/>
      </c>
      <c r="O81">
        <f>IF(F81="Stimulus",IF(LEFT(G81,8)="Baseline",G81,IF(LEFT(G81,12)="Commercial_1","C1","C2")),IF(G81="KeyScene","KeyScene",IF(LEFT(J81,12)="Commercial_1","EndScene_C1","EndScene_C2")))</f>
        <v/>
      </c>
      <c r="P81">
        <f>IF(COUNTIFS(Artifact!$B$2:$B$385,B81,Artifact!$K$2:$K$385,"&gt;25")+COUNTIFS(Log!$A$2:$A$49,B81,Log!$H$2:$H$49,"Red")+COUNTIFS(Log!$A$2:$A$49,B81,Log!$I$2:$I$49,"Red")&gt;0,"No","Yes")</f>
        <v/>
      </c>
      <c r="Q81">
        <f>IF(COUNTIFS(Artifact!$B$2:$B$385,B81,Artifact!$K$2:$K$385,"&gt;15")+COUNTIFS(Log!$A$2:$A$49,B81,Log!$H$2:$H$49,"Red")+COUNTIFS(Log!$A$2:$A$49,B81,Log!$I$2:$I$49,"Red")&gt;0,"No","Yes")</f>
        <v/>
      </c>
    </row>
    <row r="82">
      <c r="A82" t="inlineStr">
        <is>
          <t>SIMULATED Commercial FA Study</t>
        </is>
      </c>
      <c r="B82" t="inlineStr">
        <is>
          <t>P13</t>
        </is>
      </c>
      <c r="C82" t="inlineStr">
        <is>
          <t>M</t>
        </is>
      </c>
      <c r="D82" t="n">
        <v>22</v>
      </c>
      <c r="E82" t="inlineStr">
        <is>
          <t>A_C1first</t>
        </is>
      </c>
      <c r="F82" t="inlineStr">
        <is>
          <t>Stimulus</t>
        </is>
      </c>
      <c r="G82" t="inlineStr">
        <is>
          <t>Baseline_2</t>
        </is>
      </c>
      <c r="H82" t="n">
        <v>191000</v>
      </c>
      <c r="I82" t="n">
        <v>60000</v>
      </c>
      <c r="J82" t="inlineStr">
        <is>
          <t>Baseline_2</t>
        </is>
      </c>
      <c r="K82" s="4" t="n">
        <v>0.6278</v>
      </c>
      <c r="L82" t="inlineStr">
        <is>
          <t>Frontal Asymmetry (Enobio EEG)</t>
        </is>
      </c>
      <c r="M82">
        <f>LEFT(E82,1)</f>
        <v/>
      </c>
      <c r="N82">
        <f>MID(E82,3,10)</f>
        <v/>
      </c>
      <c r="O82">
        <f>IF(F82="Stimulus",IF(LEFT(G82,8)="Baseline",G82,IF(LEFT(G82,12)="Commercial_1","C1","C2")),IF(G82="KeyScene","KeyScene",IF(LEFT(J82,12)="Commercial_1","EndScene_C1","EndScene_C2")))</f>
        <v/>
      </c>
      <c r="P82">
        <f>IF(COUNTIFS(Artifact!$B$2:$B$385,B82,Artifact!$K$2:$K$385,"&gt;25")+COUNTIFS(Log!$A$2:$A$49,B82,Log!$H$2:$H$49,"Red")+COUNTIFS(Log!$A$2:$A$49,B82,Log!$I$2:$I$49,"Red")&gt;0,"No","Yes")</f>
        <v/>
      </c>
      <c r="Q82">
        <f>IF(COUNTIFS(Artifact!$B$2:$B$385,B82,Artifact!$K$2:$K$385,"&gt;15")+COUNTIFS(Log!$A$2:$A$49,B82,Log!$H$2:$H$49,"Red")+COUNTIFS(Log!$A$2:$A$49,B82,Log!$I$2:$I$49,"Red")&gt;0,"No","Yes")</f>
        <v/>
      </c>
    </row>
    <row r="83">
      <c r="A83" t="inlineStr">
        <is>
          <t>SIMULATED Commercial FA Study</t>
        </is>
      </c>
      <c r="B83" t="inlineStr">
        <is>
          <t>P13</t>
        </is>
      </c>
      <c r="C83" t="inlineStr">
        <is>
          <t>M</t>
        </is>
      </c>
      <c r="D83" t="n">
        <v>22</v>
      </c>
      <c r="E83" t="inlineStr">
        <is>
          <t>A_C1first</t>
        </is>
      </c>
      <c r="F83" t="inlineStr">
        <is>
          <t>Stimulus</t>
        </is>
      </c>
      <c r="G83" t="inlineStr">
        <is>
          <t>Commercial_2</t>
        </is>
      </c>
      <c r="H83" t="n">
        <v>251000</v>
      </c>
      <c r="I83" t="n">
        <v>60000</v>
      </c>
      <c r="J83" t="inlineStr">
        <is>
          <t>Commercial_2</t>
        </is>
      </c>
      <c r="K83" s="4" t="n">
        <v>0.5926</v>
      </c>
      <c r="L83" t="inlineStr">
        <is>
          <t>Frontal Asymmetry (Enobio EEG)</t>
        </is>
      </c>
      <c r="M83">
        <f>LEFT(E83,1)</f>
        <v/>
      </c>
      <c r="N83">
        <f>MID(E83,3,10)</f>
        <v/>
      </c>
      <c r="O83">
        <f>IF(F83="Stimulus",IF(LEFT(G83,8)="Baseline",G83,IF(LEFT(G83,12)="Commercial_1","C1","C2")),IF(G83="KeyScene","KeyScene",IF(LEFT(J83,12)="Commercial_1","EndScene_C1","EndScene_C2")))</f>
        <v/>
      </c>
      <c r="P83">
        <f>IF(COUNTIFS(Artifact!$B$2:$B$385,B83,Artifact!$K$2:$K$385,"&gt;25")+COUNTIFS(Log!$A$2:$A$49,B83,Log!$H$2:$H$49,"Red")+COUNTIFS(Log!$A$2:$A$49,B83,Log!$I$2:$I$49,"Red")&gt;0,"No","Yes")</f>
        <v/>
      </c>
      <c r="Q83">
        <f>IF(COUNTIFS(Artifact!$B$2:$B$385,B83,Artifact!$K$2:$K$385,"&gt;15")+COUNTIFS(Log!$A$2:$A$49,B83,Log!$H$2:$H$49,"Red")+COUNTIFS(Log!$A$2:$A$49,B83,Log!$I$2:$I$49,"Red")&gt;0,"No","Yes")</f>
        <v/>
      </c>
    </row>
    <row r="84">
      <c r="A84" t="inlineStr">
        <is>
          <t>SIMULATED Commercial FA Study</t>
        </is>
      </c>
      <c r="B84" t="inlineStr">
        <is>
          <t>P13</t>
        </is>
      </c>
      <c r="C84" t="inlineStr">
        <is>
          <t>M</t>
        </is>
      </c>
      <c r="D84" t="n">
        <v>22</v>
      </c>
      <c r="E84" t="inlineStr">
        <is>
          <t>A_C1first</t>
        </is>
      </c>
      <c r="F84" t="inlineStr">
        <is>
          <t>Annotation</t>
        </is>
      </c>
      <c r="G84" t="inlineStr">
        <is>
          <t>KeyScene</t>
        </is>
      </c>
      <c r="H84" t="n">
        <v>128000</v>
      </c>
      <c r="I84" t="n">
        <v>6000</v>
      </c>
      <c r="J84" t="inlineStr">
        <is>
          <t>Commercial_1A</t>
        </is>
      </c>
      <c r="K84" s="4" t="n">
        <v>0.6595</v>
      </c>
      <c r="L84" t="inlineStr">
        <is>
          <t>Frontal Asymmetry (Enobio EEG)</t>
        </is>
      </c>
      <c r="M84">
        <f>LEFT(E84,1)</f>
        <v/>
      </c>
      <c r="N84">
        <f>MID(E84,3,10)</f>
        <v/>
      </c>
      <c r="O84">
        <f>IF(F84="Stimulus",IF(LEFT(G84,8)="Baseline",G84,IF(LEFT(G84,12)="Commercial_1","C1","C2")),IF(G84="KeyScene","KeyScene",IF(LEFT(J84,12)="Commercial_1","EndScene_C1","EndScene_C2")))</f>
        <v/>
      </c>
      <c r="P84">
        <f>IF(COUNTIFS(Artifact!$B$2:$B$385,B84,Artifact!$K$2:$K$385,"&gt;25")+COUNTIFS(Log!$A$2:$A$49,B84,Log!$H$2:$H$49,"Red")+COUNTIFS(Log!$A$2:$A$49,B84,Log!$I$2:$I$49,"Red")&gt;0,"No","Yes")</f>
        <v/>
      </c>
      <c r="Q84">
        <f>IF(COUNTIFS(Artifact!$B$2:$B$385,B84,Artifact!$K$2:$K$385,"&gt;15")+COUNTIFS(Log!$A$2:$A$49,B84,Log!$H$2:$H$49,"Red")+COUNTIFS(Log!$A$2:$A$49,B84,Log!$I$2:$I$49,"Red")&gt;0,"No","Yes")</f>
        <v/>
      </c>
    </row>
    <row r="85">
      <c r="A85" t="inlineStr">
        <is>
          <t>SIMULATED Commercial FA Study</t>
        </is>
      </c>
      <c r="B85" t="inlineStr">
        <is>
          <t>P13</t>
        </is>
      </c>
      <c r="C85" t="inlineStr">
        <is>
          <t>M</t>
        </is>
      </c>
      <c r="D85" t="n">
        <v>22</v>
      </c>
      <c r="E85" t="inlineStr">
        <is>
          <t>A_C1first</t>
        </is>
      </c>
      <c r="F85" t="inlineStr">
        <is>
          <t>Annotation</t>
        </is>
      </c>
      <c r="G85" t="inlineStr">
        <is>
          <t>EndScene</t>
        </is>
      </c>
      <c r="H85" t="n">
        <v>146000</v>
      </c>
      <c r="I85" t="n">
        <v>10000</v>
      </c>
      <c r="J85" t="inlineStr">
        <is>
          <t>Commercial_1A</t>
        </is>
      </c>
      <c r="K85" s="4" t="n">
        <v>0.5770999999999999</v>
      </c>
      <c r="L85" t="inlineStr">
        <is>
          <t>Frontal Asymmetry (Enobio EEG)</t>
        </is>
      </c>
      <c r="M85">
        <f>LEFT(E85,1)</f>
        <v/>
      </c>
      <c r="N85">
        <f>MID(E85,3,10)</f>
        <v/>
      </c>
      <c r="O85">
        <f>IF(F85="Stimulus",IF(LEFT(G85,8)="Baseline",G85,IF(LEFT(G85,12)="Commercial_1","C1","C2")),IF(G85="KeyScene","KeyScene",IF(LEFT(J85,12)="Commercial_1","EndScene_C1","EndScene_C2")))</f>
        <v/>
      </c>
      <c r="P85">
        <f>IF(COUNTIFS(Artifact!$B$2:$B$385,B85,Artifact!$K$2:$K$385,"&gt;25")+COUNTIFS(Log!$A$2:$A$49,B85,Log!$H$2:$H$49,"Red")+COUNTIFS(Log!$A$2:$A$49,B85,Log!$I$2:$I$49,"Red")&gt;0,"No","Yes")</f>
        <v/>
      </c>
      <c r="Q85">
        <f>IF(COUNTIFS(Artifact!$B$2:$B$385,B85,Artifact!$K$2:$K$385,"&gt;15")+COUNTIFS(Log!$A$2:$A$49,B85,Log!$H$2:$H$49,"Red")+COUNTIFS(Log!$A$2:$A$49,B85,Log!$I$2:$I$49,"Red")&gt;0,"No","Yes")</f>
        <v/>
      </c>
    </row>
    <row r="86">
      <c r="A86" t="inlineStr">
        <is>
          <t>SIMULATED Commercial FA Study</t>
        </is>
      </c>
      <c r="B86" t="inlineStr">
        <is>
          <t>P13</t>
        </is>
      </c>
      <c r="C86" t="inlineStr">
        <is>
          <t>M</t>
        </is>
      </c>
      <c r="D86" t="n">
        <v>22</v>
      </c>
      <c r="E86" t="inlineStr">
        <is>
          <t>A_C1first</t>
        </is>
      </c>
      <c r="F86" t="inlineStr">
        <is>
          <t>Annotation</t>
        </is>
      </c>
      <c r="G86" t="inlineStr">
        <is>
          <t>EndScene</t>
        </is>
      </c>
      <c r="H86" t="n">
        <v>301000</v>
      </c>
      <c r="I86" t="n">
        <v>10000</v>
      </c>
      <c r="J86" t="inlineStr">
        <is>
          <t>Commercial_2</t>
        </is>
      </c>
      <c r="K86" s="4" t="n">
        <v>0.5635</v>
      </c>
      <c r="L86" t="inlineStr">
        <is>
          <t>Frontal Asymmetry (Enobio EEG)</t>
        </is>
      </c>
      <c r="M86">
        <f>LEFT(E86,1)</f>
        <v/>
      </c>
      <c r="N86">
        <f>MID(E86,3,10)</f>
        <v/>
      </c>
      <c r="O86">
        <f>IF(F86="Stimulus",IF(LEFT(G86,8)="Baseline",G86,IF(LEFT(G86,12)="Commercial_1","C1","C2")),IF(G86="KeyScene","KeyScene",IF(LEFT(J86,12)="Commercial_1","EndScene_C1","EndScene_C2")))</f>
        <v/>
      </c>
      <c r="P86">
        <f>IF(COUNTIFS(Artifact!$B$2:$B$385,B86,Artifact!$K$2:$K$385,"&gt;25")+COUNTIFS(Log!$A$2:$A$49,B86,Log!$H$2:$H$49,"Red")+COUNTIFS(Log!$A$2:$A$49,B86,Log!$I$2:$I$49,"Red")&gt;0,"No","Yes")</f>
        <v/>
      </c>
      <c r="Q86">
        <f>IF(COUNTIFS(Artifact!$B$2:$B$385,B86,Artifact!$K$2:$K$385,"&gt;15")+COUNTIFS(Log!$A$2:$A$49,B86,Log!$H$2:$H$49,"Red")+COUNTIFS(Log!$A$2:$A$49,B86,Log!$I$2:$I$49,"Red")&gt;0,"No","Yes")</f>
        <v/>
      </c>
    </row>
    <row r="87">
      <c r="A87" t="inlineStr">
        <is>
          <t>SIMULATED Commercial FA Study</t>
        </is>
      </c>
      <c r="B87" t="inlineStr">
        <is>
          <t>P14</t>
        </is>
      </c>
      <c r="C87" t="inlineStr">
        <is>
          <t>F</t>
        </is>
      </c>
      <c r="D87" t="n">
        <v>20</v>
      </c>
      <c r="E87" t="inlineStr">
        <is>
          <t>A_C2first</t>
        </is>
      </c>
      <c r="F87" t="inlineStr">
        <is>
          <t>Stimulus</t>
        </is>
      </c>
      <c r="G87" t="inlineStr">
        <is>
          <t>Baseline_1</t>
        </is>
      </c>
      <c r="H87" t="n">
        <v>39000</v>
      </c>
      <c r="I87" t="n">
        <v>60000</v>
      </c>
      <c r="J87" t="inlineStr">
        <is>
          <t>Baseline_1</t>
        </is>
      </c>
      <c r="K87" s="4" t="n">
        <v>0.898</v>
      </c>
      <c r="L87" t="inlineStr">
        <is>
          <t>Frontal Asymmetry (Enobio EEG)</t>
        </is>
      </c>
      <c r="M87">
        <f>LEFT(E87,1)</f>
        <v/>
      </c>
      <c r="N87">
        <f>MID(E87,3,10)</f>
        <v/>
      </c>
      <c r="O87">
        <f>IF(F87="Stimulus",IF(LEFT(G87,8)="Baseline",G87,IF(LEFT(G87,12)="Commercial_1","C1","C2")),IF(G87="KeyScene","KeyScene",IF(LEFT(J87,12)="Commercial_1","EndScene_C1","EndScene_C2")))</f>
        <v/>
      </c>
      <c r="P87">
        <f>IF(COUNTIFS(Artifact!$B$2:$B$385,B87,Artifact!$K$2:$K$385,"&gt;25")+COUNTIFS(Log!$A$2:$A$49,B87,Log!$H$2:$H$49,"Red")+COUNTIFS(Log!$A$2:$A$49,B87,Log!$I$2:$I$49,"Red")&gt;0,"No","Yes")</f>
        <v/>
      </c>
      <c r="Q87">
        <f>IF(COUNTIFS(Artifact!$B$2:$B$385,B87,Artifact!$K$2:$K$385,"&gt;15")+COUNTIFS(Log!$A$2:$A$49,B87,Log!$H$2:$H$49,"Red")+COUNTIFS(Log!$A$2:$A$49,B87,Log!$I$2:$I$49,"Red")&gt;0,"No","Yes")</f>
        <v/>
      </c>
    </row>
    <row r="88">
      <c r="A88" t="inlineStr">
        <is>
          <t>SIMULATED Commercial FA Study</t>
        </is>
      </c>
      <c r="B88" t="inlineStr">
        <is>
          <t>P14</t>
        </is>
      </c>
      <c r="C88" t="inlineStr">
        <is>
          <t>F</t>
        </is>
      </c>
      <c r="D88" t="n">
        <v>20</v>
      </c>
      <c r="E88" t="inlineStr">
        <is>
          <t>A_C2first</t>
        </is>
      </c>
      <c r="F88" t="inlineStr">
        <is>
          <t>Stimulus</t>
        </is>
      </c>
      <c r="G88" t="inlineStr">
        <is>
          <t>Commercial_2</t>
        </is>
      </c>
      <c r="H88" t="n">
        <v>99000</v>
      </c>
      <c r="I88" t="n">
        <v>60000</v>
      </c>
      <c r="J88" t="inlineStr">
        <is>
          <t>Commercial_2</t>
        </is>
      </c>
      <c r="K88" s="4" t="n">
        <v>0.8815</v>
      </c>
      <c r="L88" t="inlineStr">
        <is>
          <t>Frontal Asymmetry (Enobio EEG)</t>
        </is>
      </c>
      <c r="M88">
        <f>LEFT(E88,1)</f>
        <v/>
      </c>
      <c r="N88">
        <f>MID(E88,3,10)</f>
        <v/>
      </c>
      <c r="O88">
        <f>IF(F88="Stimulus",IF(LEFT(G88,8)="Baseline",G88,IF(LEFT(G88,12)="Commercial_1","C1","C2")),IF(G88="KeyScene","KeyScene",IF(LEFT(J88,12)="Commercial_1","EndScene_C1","EndScene_C2")))</f>
        <v/>
      </c>
      <c r="P88">
        <f>IF(COUNTIFS(Artifact!$B$2:$B$385,B88,Artifact!$K$2:$K$385,"&gt;25")+COUNTIFS(Log!$A$2:$A$49,B88,Log!$H$2:$H$49,"Red")+COUNTIFS(Log!$A$2:$A$49,B88,Log!$I$2:$I$49,"Red")&gt;0,"No","Yes")</f>
        <v/>
      </c>
      <c r="Q88">
        <f>IF(COUNTIFS(Artifact!$B$2:$B$385,B88,Artifact!$K$2:$K$385,"&gt;15")+COUNTIFS(Log!$A$2:$A$49,B88,Log!$H$2:$H$49,"Red")+COUNTIFS(Log!$A$2:$A$49,B88,Log!$I$2:$I$49,"Red")&gt;0,"No","Yes")</f>
        <v/>
      </c>
    </row>
    <row r="89">
      <c r="A89" t="inlineStr">
        <is>
          <t>SIMULATED Commercial FA Study</t>
        </is>
      </c>
      <c r="B89" t="inlineStr">
        <is>
          <t>P14</t>
        </is>
      </c>
      <c r="C89" t="inlineStr">
        <is>
          <t>F</t>
        </is>
      </c>
      <c r="D89" t="n">
        <v>20</v>
      </c>
      <c r="E89" t="inlineStr">
        <is>
          <t>A_C2first</t>
        </is>
      </c>
      <c r="F89" t="inlineStr">
        <is>
          <t>Stimulus</t>
        </is>
      </c>
      <c r="G89" t="inlineStr">
        <is>
          <t>Baseline_2</t>
        </is>
      </c>
      <c r="H89" t="n">
        <v>210000</v>
      </c>
      <c r="I89" t="n">
        <v>60000</v>
      </c>
      <c r="J89" t="inlineStr">
        <is>
          <t>Baseline_2</t>
        </is>
      </c>
      <c r="K89" s="4" t="n">
        <v>0.8784999999999999</v>
      </c>
      <c r="L89" t="inlineStr">
        <is>
          <t>Frontal Asymmetry (Enobio EEG)</t>
        </is>
      </c>
      <c r="M89">
        <f>LEFT(E89,1)</f>
        <v/>
      </c>
      <c r="N89">
        <f>MID(E89,3,10)</f>
        <v/>
      </c>
      <c r="O89">
        <f>IF(F89="Stimulus",IF(LEFT(G89,8)="Baseline",G89,IF(LEFT(G89,12)="Commercial_1","C1","C2")),IF(G89="KeyScene","KeyScene",IF(LEFT(J89,12)="Commercial_1","EndScene_C1","EndScene_C2")))</f>
        <v/>
      </c>
      <c r="P89">
        <f>IF(COUNTIFS(Artifact!$B$2:$B$385,B89,Artifact!$K$2:$K$385,"&gt;25")+COUNTIFS(Log!$A$2:$A$49,B89,Log!$H$2:$H$49,"Red")+COUNTIFS(Log!$A$2:$A$49,B89,Log!$I$2:$I$49,"Red")&gt;0,"No","Yes")</f>
        <v/>
      </c>
      <c r="Q89">
        <f>IF(COUNTIFS(Artifact!$B$2:$B$385,B89,Artifact!$K$2:$K$385,"&gt;15")+COUNTIFS(Log!$A$2:$A$49,B89,Log!$H$2:$H$49,"Red")+COUNTIFS(Log!$A$2:$A$49,B89,Log!$I$2:$I$49,"Red")&gt;0,"No","Yes")</f>
        <v/>
      </c>
    </row>
    <row r="90">
      <c r="A90" t="inlineStr">
        <is>
          <t>SIMULATED Commercial FA Study</t>
        </is>
      </c>
      <c r="B90" t="inlineStr">
        <is>
          <t>P14</t>
        </is>
      </c>
      <c r="C90" t="inlineStr">
        <is>
          <t>F</t>
        </is>
      </c>
      <c r="D90" t="n">
        <v>20</v>
      </c>
      <c r="E90" t="inlineStr">
        <is>
          <t>A_C2first</t>
        </is>
      </c>
      <c r="F90" t="inlineStr">
        <is>
          <t>Stimulus</t>
        </is>
      </c>
      <c r="G90" t="inlineStr">
        <is>
          <t>Commercial_1A</t>
        </is>
      </c>
      <c r="H90" t="n">
        <v>270000</v>
      </c>
      <c r="I90" t="n">
        <v>60000</v>
      </c>
      <c r="J90" t="inlineStr">
        <is>
          <t>Commercial_1A</t>
        </is>
      </c>
      <c r="K90" s="4" t="n">
        <v>0.9596</v>
      </c>
      <c r="L90" t="inlineStr">
        <is>
          <t>Frontal Asymmetry (Enobio EEG)</t>
        </is>
      </c>
      <c r="M90">
        <f>LEFT(E90,1)</f>
        <v/>
      </c>
      <c r="N90">
        <f>MID(E90,3,10)</f>
        <v/>
      </c>
      <c r="O90">
        <f>IF(F90="Stimulus",IF(LEFT(G90,8)="Baseline",G90,IF(LEFT(G90,12)="Commercial_1","C1","C2")),IF(G90="KeyScene","KeyScene",IF(LEFT(J90,12)="Commercial_1","EndScene_C1","EndScene_C2")))</f>
        <v/>
      </c>
      <c r="P90">
        <f>IF(COUNTIFS(Artifact!$B$2:$B$385,B90,Artifact!$K$2:$K$385,"&gt;25")+COUNTIFS(Log!$A$2:$A$49,B90,Log!$H$2:$H$49,"Red")+COUNTIFS(Log!$A$2:$A$49,B90,Log!$I$2:$I$49,"Red")&gt;0,"No","Yes")</f>
        <v/>
      </c>
      <c r="Q90">
        <f>IF(COUNTIFS(Artifact!$B$2:$B$385,B90,Artifact!$K$2:$K$385,"&gt;15")+COUNTIFS(Log!$A$2:$A$49,B90,Log!$H$2:$H$49,"Red")+COUNTIFS(Log!$A$2:$A$49,B90,Log!$I$2:$I$49,"Red")&gt;0,"No","Yes")</f>
        <v/>
      </c>
    </row>
    <row r="91">
      <c r="A91" t="inlineStr">
        <is>
          <t>SIMULATED Commercial FA Study</t>
        </is>
      </c>
      <c r="B91" t="inlineStr">
        <is>
          <t>P14</t>
        </is>
      </c>
      <c r="C91" t="inlineStr">
        <is>
          <t>F</t>
        </is>
      </c>
      <c r="D91" t="n">
        <v>20</v>
      </c>
      <c r="E91" t="inlineStr">
        <is>
          <t>A_C2first</t>
        </is>
      </c>
      <c r="F91" t="inlineStr">
        <is>
          <t>Annotation</t>
        </is>
      </c>
      <c r="G91" t="inlineStr">
        <is>
          <t>EndScene</t>
        </is>
      </c>
      <c r="H91" t="n">
        <v>149000</v>
      </c>
      <c r="I91" t="n">
        <v>10000</v>
      </c>
      <c r="J91" t="inlineStr">
        <is>
          <t>Commercial_2</t>
        </is>
      </c>
      <c r="K91" s="4" t="n">
        <v>0.8143</v>
      </c>
      <c r="L91" t="inlineStr">
        <is>
          <t>Frontal Asymmetry (Enobio EEG)</t>
        </is>
      </c>
      <c r="M91">
        <f>LEFT(E91,1)</f>
        <v/>
      </c>
      <c r="N91">
        <f>MID(E91,3,10)</f>
        <v/>
      </c>
      <c r="O91">
        <f>IF(F91="Stimulus",IF(LEFT(G91,8)="Baseline",G91,IF(LEFT(G91,12)="Commercial_1","C1","C2")),IF(G91="KeyScene","KeyScene",IF(LEFT(J91,12)="Commercial_1","EndScene_C1","EndScene_C2")))</f>
        <v/>
      </c>
      <c r="P91">
        <f>IF(COUNTIFS(Artifact!$B$2:$B$385,B91,Artifact!$K$2:$K$385,"&gt;25")+COUNTIFS(Log!$A$2:$A$49,B91,Log!$H$2:$H$49,"Red")+COUNTIFS(Log!$A$2:$A$49,B91,Log!$I$2:$I$49,"Red")&gt;0,"No","Yes")</f>
        <v/>
      </c>
      <c r="Q91">
        <f>IF(COUNTIFS(Artifact!$B$2:$B$385,B91,Artifact!$K$2:$K$385,"&gt;15")+COUNTIFS(Log!$A$2:$A$49,B91,Log!$H$2:$H$49,"Red")+COUNTIFS(Log!$A$2:$A$49,B91,Log!$I$2:$I$49,"Red")&gt;0,"No","Yes")</f>
        <v/>
      </c>
    </row>
    <row r="92">
      <c r="A92" t="inlineStr">
        <is>
          <t>SIMULATED Commercial FA Study</t>
        </is>
      </c>
      <c r="B92" t="inlineStr">
        <is>
          <t>P14</t>
        </is>
      </c>
      <c r="C92" t="inlineStr">
        <is>
          <t>F</t>
        </is>
      </c>
      <c r="D92" t="n">
        <v>20</v>
      </c>
      <c r="E92" t="inlineStr">
        <is>
          <t>A_C2first</t>
        </is>
      </c>
      <c r="F92" t="inlineStr">
        <is>
          <t>Annotation</t>
        </is>
      </c>
      <c r="G92" t="inlineStr">
        <is>
          <t>KeyScene</t>
        </is>
      </c>
      <c r="H92" t="n">
        <v>302000</v>
      </c>
      <c r="I92" t="n">
        <v>6000</v>
      </c>
      <c r="J92" t="inlineStr">
        <is>
          <t>Commercial_1A</t>
        </is>
      </c>
      <c r="K92" s="4" t="n">
        <v>1.0626</v>
      </c>
      <c r="L92" t="inlineStr">
        <is>
          <t>Frontal Asymmetry (Enobio EEG)</t>
        </is>
      </c>
      <c r="M92">
        <f>LEFT(E92,1)</f>
        <v/>
      </c>
      <c r="N92">
        <f>MID(E92,3,10)</f>
        <v/>
      </c>
      <c r="O92">
        <f>IF(F92="Stimulus",IF(LEFT(G92,8)="Baseline",G92,IF(LEFT(G92,12)="Commercial_1","C1","C2")),IF(G92="KeyScene","KeyScene",IF(LEFT(J92,12)="Commercial_1","EndScene_C1","EndScene_C2")))</f>
        <v/>
      </c>
      <c r="P92">
        <f>IF(COUNTIFS(Artifact!$B$2:$B$385,B92,Artifact!$K$2:$K$385,"&gt;25")+COUNTIFS(Log!$A$2:$A$49,B92,Log!$H$2:$H$49,"Red")+COUNTIFS(Log!$A$2:$A$49,B92,Log!$I$2:$I$49,"Red")&gt;0,"No","Yes")</f>
        <v/>
      </c>
      <c r="Q92">
        <f>IF(COUNTIFS(Artifact!$B$2:$B$385,B92,Artifact!$K$2:$K$385,"&gt;15")+COUNTIFS(Log!$A$2:$A$49,B92,Log!$H$2:$H$49,"Red")+COUNTIFS(Log!$A$2:$A$49,B92,Log!$I$2:$I$49,"Red")&gt;0,"No","Yes")</f>
        <v/>
      </c>
    </row>
    <row r="93">
      <c r="A93" t="inlineStr">
        <is>
          <t>SIMULATED Commercial FA Study</t>
        </is>
      </c>
      <c r="B93" t="inlineStr">
        <is>
          <t>P14</t>
        </is>
      </c>
      <c r="C93" t="inlineStr">
        <is>
          <t>F</t>
        </is>
      </c>
      <c r="D93" t="n">
        <v>20</v>
      </c>
      <c r="E93" t="inlineStr">
        <is>
          <t>A_C2first</t>
        </is>
      </c>
      <c r="F93" t="inlineStr">
        <is>
          <t>Annotation</t>
        </is>
      </c>
      <c r="G93" t="inlineStr">
        <is>
          <t>EndScene</t>
        </is>
      </c>
      <c r="H93" t="n">
        <v>320000</v>
      </c>
      <c r="I93" t="n">
        <v>10000</v>
      </c>
      <c r="J93" t="inlineStr">
        <is>
          <t>Commercial_1A</t>
        </is>
      </c>
      <c r="K93" s="4" t="n">
        <v>1.0462</v>
      </c>
      <c r="L93" t="inlineStr">
        <is>
          <t>Frontal Asymmetry (Enobio EEG)</t>
        </is>
      </c>
      <c r="M93">
        <f>LEFT(E93,1)</f>
        <v/>
      </c>
      <c r="N93">
        <f>MID(E93,3,10)</f>
        <v/>
      </c>
      <c r="O93">
        <f>IF(F93="Stimulus",IF(LEFT(G93,8)="Baseline",G93,IF(LEFT(G93,12)="Commercial_1","C1","C2")),IF(G93="KeyScene","KeyScene",IF(LEFT(J93,12)="Commercial_1","EndScene_C1","EndScene_C2")))</f>
        <v/>
      </c>
      <c r="P93">
        <f>IF(COUNTIFS(Artifact!$B$2:$B$385,B93,Artifact!$K$2:$K$385,"&gt;25")+COUNTIFS(Log!$A$2:$A$49,B93,Log!$H$2:$H$49,"Red")+COUNTIFS(Log!$A$2:$A$49,B93,Log!$I$2:$I$49,"Red")&gt;0,"No","Yes")</f>
        <v/>
      </c>
      <c r="Q93">
        <f>IF(COUNTIFS(Artifact!$B$2:$B$385,B93,Artifact!$K$2:$K$385,"&gt;15")+COUNTIFS(Log!$A$2:$A$49,B93,Log!$H$2:$H$49,"Red")+COUNTIFS(Log!$A$2:$A$49,B93,Log!$I$2:$I$49,"Red")&gt;0,"No","Yes")</f>
        <v/>
      </c>
    </row>
    <row r="94">
      <c r="A94" t="inlineStr">
        <is>
          <t>SIMULATED Commercial FA Study</t>
        </is>
      </c>
      <c r="B94" t="inlineStr">
        <is>
          <t>P15</t>
        </is>
      </c>
      <c r="C94" t="inlineStr">
        <is>
          <t>F</t>
        </is>
      </c>
      <c r="D94" t="n">
        <v>23</v>
      </c>
      <c r="E94" t="inlineStr">
        <is>
          <t>B_C1first</t>
        </is>
      </c>
      <c r="F94" t="inlineStr">
        <is>
          <t>Stimulus</t>
        </is>
      </c>
      <c r="G94" t="inlineStr">
        <is>
          <t>Baseline_1</t>
        </is>
      </c>
      <c r="H94" t="n">
        <v>20000</v>
      </c>
      <c r="I94" t="n">
        <v>60000</v>
      </c>
      <c r="J94" t="inlineStr">
        <is>
          <t>Baseline_1</t>
        </is>
      </c>
      <c r="K94" s="4" t="n">
        <v>0.7008</v>
      </c>
      <c r="L94" t="inlineStr">
        <is>
          <t>Frontal Asymmetry (Enobio EEG)</t>
        </is>
      </c>
      <c r="M94">
        <f>LEFT(E94,1)</f>
        <v/>
      </c>
      <c r="N94">
        <f>MID(E94,3,10)</f>
        <v/>
      </c>
      <c r="O94">
        <f>IF(F94="Stimulus",IF(LEFT(G94,8)="Baseline",G94,IF(LEFT(G94,12)="Commercial_1","C1","C2")),IF(G94="KeyScene","KeyScene",IF(LEFT(J94,12)="Commercial_1","EndScene_C1","EndScene_C2")))</f>
        <v/>
      </c>
      <c r="P94">
        <f>IF(COUNTIFS(Artifact!$B$2:$B$385,B94,Artifact!$K$2:$K$385,"&gt;25")+COUNTIFS(Log!$A$2:$A$49,B94,Log!$H$2:$H$49,"Red")+COUNTIFS(Log!$A$2:$A$49,B94,Log!$I$2:$I$49,"Red")&gt;0,"No","Yes")</f>
        <v/>
      </c>
      <c r="Q94">
        <f>IF(COUNTIFS(Artifact!$B$2:$B$385,B94,Artifact!$K$2:$K$385,"&gt;15")+COUNTIFS(Log!$A$2:$A$49,B94,Log!$H$2:$H$49,"Red")+COUNTIFS(Log!$A$2:$A$49,B94,Log!$I$2:$I$49,"Red")&gt;0,"No","Yes")</f>
        <v/>
      </c>
    </row>
    <row r="95">
      <c r="A95" t="inlineStr">
        <is>
          <t>SIMULATED Commercial FA Study</t>
        </is>
      </c>
      <c r="B95" t="inlineStr">
        <is>
          <t>P15</t>
        </is>
      </c>
      <c r="C95" t="inlineStr">
        <is>
          <t>F</t>
        </is>
      </c>
      <c r="D95" t="n">
        <v>23</v>
      </c>
      <c r="E95" t="inlineStr">
        <is>
          <t>B_C1first</t>
        </is>
      </c>
      <c r="F95" t="inlineStr">
        <is>
          <t>Stimulus</t>
        </is>
      </c>
      <c r="G95" t="inlineStr">
        <is>
          <t>Commercial_1B</t>
        </is>
      </c>
      <c r="H95" t="n">
        <v>80000</v>
      </c>
      <c r="I95" t="n">
        <v>54000</v>
      </c>
      <c r="J95" t="inlineStr">
        <is>
          <t>Commercial_1B</t>
        </is>
      </c>
      <c r="K95" s="4" t="n">
        <v>0.7489</v>
      </c>
      <c r="L95" t="inlineStr">
        <is>
          <t>Frontal Asymmetry (Enobio EEG)</t>
        </is>
      </c>
      <c r="M95">
        <f>LEFT(E95,1)</f>
        <v/>
      </c>
      <c r="N95">
        <f>MID(E95,3,10)</f>
        <v/>
      </c>
      <c r="O95">
        <f>IF(F95="Stimulus",IF(LEFT(G95,8)="Baseline",G95,IF(LEFT(G95,12)="Commercial_1","C1","C2")),IF(G95="KeyScene","KeyScene",IF(LEFT(J95,12)="Commercial_1","EndScene_C1","EndScene_C2")))</f>
        <v/>
      </c>
      <c r="P95">
        <f>IF(COUNTIFS(Artifact!$B$2:$B$385,B95,Artifact!$K$2:$K$385,"&gt;25")+COUNTIFS(Log!$A$2:$A$49,B95,Log!$H$2:$H$49,"Red")+COUNTIFS(Log!$A$2:$A$49,B95,Log!$I$2:$I$49,"Red")&gt;0,"No","Yes")</f>
        <v/>
      </c>
      <c r="Q95">
        <f>IF(COUNTIFS(Artifact!$B$2:$B$385,B95,Artifact!$K$2:$K$385,"&gt;15")+COUNTIFS(Log!$A$2:$A$49,B95,Log!$H$2:$H$49,"Red")+COUNTIFS(Log!$A$2:$A$49,B95,Log!$I$2:$I$49,"Red")&gt;0,"No","Yes")</f>
        <v/>
      </c>
    </row>
    <row r="96">
      <c r="A96" t="inlineStr">
        <is>
          <t>SIMULATED Commercial FA Study</t>
        </is>
      </c>
      <c r="B96" t="inlineStr">
        <is>
          <t>P15</t>
        </is>
      </c>
      <c r="C96" t="inlineStr">
        <is>
          <t>F</t>
        </is>
      </c>
      <c r="D96" t="n">
        <v>23</v>
      </c>
      <c r="E96" t="inlineStr">
        <is>
          <t>B_C1first</t>
        </is>
      </c>
      <c r="F96" t="inlineStr">
        <is>
          <t>Stimulus</t>
        </is>
      </c>
      <c r="G96" t="inlineStr">
        <is>
          <t>Baseline_2</t>
        </is>
      </c>
      <c r="H96" t="n">
        <v>180000</v>
      </c>
      <c r="I96" t="n">
        <v>60000</v>
      </c>
      <c r="J96" t="inlineStr">
        <is>
          <t>Baseline_2</t>
        </is>
      </c>
      <c r="K96" s="4" t="n">
        <v>0.8093</v>
      </c>
      <c r="L96" t="inlineStr">
        <is>
          <t>Frontal Asymmetry (Enobio EEG)</t>
        </is>
      </c>
      <c r="M96">
        <f>LEFT(E96,1)</f>
        <v/>
      </c>
      <c r="N96">
        <f>MID(E96,3,10)</f>
        <v/>
      </c>
      <c r="O96">
        <f>IF(F96="Stimulus",IF(LEFT(G96,8)="Baseline",G96,IF(LEFT(G96,12)="Commercial_1","C1","C2")),IF(G96="KeyScene","KeyScene",IF(LEFT(J96,12)="Commercial_1","EndScene_C1","EndScene_C2")))</f>
        <v/>
      </c>
      <c r="P96">
        <f>IF(COUNTIFS(Artifact!$B$2:$B$385,B96,Artifact!$K$2:$K$385,"&gt;25")+COUNTIFS(Log!$A$2:$A$49,B96,Log!$H$2:$H$49,"Red")+COUNTIFS(Log!$A$2:$A$49,B96,Log!$I$2:$I$49,"Red")&gt;0,"No","Yes")</f>
        <v/>
      </c>
      <c r="Q96">
        <f>IF(COUNTIFS(Artifact!$B$2:$B$385,B96,Artifact!$K$2:$K$385,"&gt;15")+COUNTIFS(Log!$A$2:$A$49,B96,Log!$H$2:$H$49,"Red")+COUNTIFS(Log!$A$2:$A$49,B96,Log!$I$2:$I$49,"Red")&gt;0,"No","Yes")</f>
        <v/>
      </c>
    </row>
    <row r="97">
      <c r="A97" t="inlineStr">
        <is>
          <t>SIMULATED Commercial FA Study</t>
        </is>
      </c>
      <c r="B97" t="inlineStr">
        <is>
          <t>P15</t>
        </is>
      </c>
      <c r="C97" t="inlineStr">
        <is>
          <t>F</t>
        </is>
      </c>
      <c r="D97" t="n">
        <v>23</v>
      </c>
      <c r="E97" t="inlineStr">
        <is>
          <t>B_C1first</t>
        </is>
      </c>
      <c r="F97" t="inlineStr">
        <is>
          <t>Stimulus</t>
        </is>
      </c>
      <c r="G97" t="inlineStr">
        <is>
          <t>Commercial_2</t>
        </is>
      </c>
      <c r="H97" t="n">
        <v>240000</v>
      </c>
      <c r="I97" t="n">
        <v>60000</v>
      </c>
      <c r="J97" t="inlineStr">
        <is>
          <t>Commercial_2</t>
        </is>
      </c>
      <c r="K97" s="4" t="n">
        <v>0.7435</v>
      </c>
      <c r="L97" t="inlineStr">
        <is>
          <t>Frontal Asymmetry (Enobio EEG)</t>
        </is>
      </c>
      <c r="M97">
        <f>LEFT(E97,1)</f>
        <v/>
      </c>
      <c r="N97">
        <f>MID(E97,3,10)</f>
        <v/>
      </c>
      <c r="O97">
        <f>IF(F97="Stimulus",IF(LEFT(G97,8)="Baseline",G97,IF(LEFT(G97,12)="Commercial_1","C1","C2")),IF(G97="KeyScene","KeyScene",IF(LEFT(J97,12)="Commercial_1","EndScene_C1","EndScene_C2")))</f>
        <v/>
      </c>
      <c r="P97">
        <f>IF(COUNTIFS(Artifact!$B$2:$B$385,B97,Artifact!$K$2:$K$385,"&gt;25")+COUNTIFS(Log!$A$2:$A$49,B97,Log!$H$2:$H$49,"Red")+COUNTIFS(Log!$A$2:$A$49,B97,Log!$I$2:$I$49,"Red")&gt;0,"No","Yes")</f>
        <v/>
      </c>
      <c r="Q97">
        <f>IF(COUNTIFS(Artifact!$B$2:$B$385,B97,Artifact!$K$2:$K$385,"&gt;15")+COUNTIFS(Log!$A$2:$A$49,B97,Log!$H$2:$H$49,"Red")+COUNTIFS(Log!$A$2:$A$49,B97,Log!$I$2:$I$49,"Red")&gt;0,"No","Yes")</f>
        <v/>
      </c>
    </row>
    <row r="98">
      <c r="A98" t="inlineStr">
        <is>
          <t>SIMULATED Commercial FA Study</t>
        </is>
      </c>
      <c r="B98" t="inlineStr">
        <is>
          <t>P15</t>
        </is>
      </c>
      <c r="C98" t="inlineStr">
        <is>
          <t>F</t>
        </is>
      </c>
      <c r="D98" t="n">
        <v>23</v>
      </c>
      <c r="E98" t="inlineStr">
        <is>
          <t>B_C1first</t>
        </is>
      </c>
      <c r="F98" t="inlineStr">
        <is>
          <t>Annotation</t>
        </is>
      </c>
      <c r="G98" t="inlineStr">
        <is>
          <t>EndScene</t>
        </is>
      </c>
      <c r="H98" t="n">
        <v>124000</v>
      </c>
      <c r="I98" t="n">
        <v>10000</v>
      </c>
      <c r="J98" t="inlineStr">
        <is>
          <t>Commercial_1B</t>
        </is>
      </c>
      <c r="K98" s="4" t="n">
        <v>0.7713</v>
      </c>
      <c r="L98" t="inlineStr">
        <is>
          <t>Frontal Asymmetry (Enobio EEG)</t>
        </is>
      </c>
      <c r="M98">
        <f>LEFT(E98,1)</f>
        <v/>
      </c>
      <c r="N98">
        <f>MID(E98,3,10)</f>
        <v/>
      </c>
      <c r="O98">
        <f>IF(F98="Stimulus",IF(LEFT(G98,8)="Baseline",G98,IF(LEFT(G98,12)="Commercial_1","C1","C2")),IF(G98="KeyScene","KeyScene",IF(LEFT(J98,12)="Commercial_1","EndScene_C1","EndScene_C2")))</f>
        <v/>
      </c>
      <c r="P98">
        <f>IF(COUNTIFS(Artifact!$B$2:$B$385,B98,Artifact!$K$2:$K$385,"&gt;25")+COUNTIFS(Log!$A$2:$A$49,B98,Log!$H$2:$H$49,"Red")+COUNTIFS(Log!$A$2:$A$49,B98,Log!$I$2:$I$49,"Red")&gt;0,"No","Yes")</f>
        <v/>
      </c>
      <c r="Q98">
        <f>IF(COUNTIFS(Artifact!$B$2:$B$385,B98,Artifact!$K$2:$K$385,"&gt;15")+COUNTIFS(Log!$A$2:$A$49,B98,Log!$H$2:$H$49,"Red")+COUNTIFS(Log!$A$2:$A$49,B98,Log!$I$2:$I$49,"Red")&gt;0,"No","Yes")</f>
        <v/>
      </c>
    </row>
    <row r="99">
      <c r="A99" t="inlineStr">
        <is>
          <t>SIMULATED Commercial FA Study</t>
        </is>
      </c>
      <c r="B99" t="inlineStr">
        <is>
          <t>P15</t>
        </is>
      </c>
      <c r="C99" t="inlineStr">
        <is>
          <t>F</t>
        </is>
      </c>
      <c r="D99" t="n">
        <v>23</v>
      </c>
      <c r="E99" t="inlineStr">
        <is>
          <t>B_C1first</t>
        </is>
      </c>
      <c r="F99" t="inlineStr">
        <is>
          <t>Annotation</t>
        </is>
      </c>
      <c r="G99" t="inlineStr">
        <is>
          <t>EndScene</t>
        </is>
      </c>
      <c r="H99" t="n">
        <v>290000</v>
      </c>
      <c r="I99" t="n">
        <v>10000</v>
      </c>
      <c r="J99" t="inlineStr">
        <is>
          <t>Commercial_2</t>
        </is>
      </c>
      <c r="K99" s="4" t="n">
        <v>0.8481</v>
      </c>
      <c r="L99" t="inlineStr">
        <is>
          <t>Frontal Asymmetry (Enobio EEG)</t>
        </is>
      </c>
      <c r="M99">
        <f>LEFT(E99,1)</f>
        <v/>
      </c>
      <c r="N99">
        <f>MID(E99,3,10)</f>
        <v/>
      </c>
      <c r="O99">
        <f>IF(F99="Stimulus",IF(LEFT(G99,8)="Baseline",G99,IF(LEFT(G99,12)="Commercial_1","C1","C2")),IF(G99="KeyScene","KeyScene",IF(LEFT(J99,12)="Commercial_1","EndScene_C1","EndScene_C2")))</f>
        <v/>
      </c>
      <c r="P99">
        <f>IF(COUNTIFS(Artifact!$B$2:$B$385,B99,Artifact!$K$2:$K$385,"&gt;25")+COUNTIFS(Log!$A$2:$A$49,B99,Log!$H$2:$H$49,"Red")+COUNTIFS(Log!$A$2:$A$49,B99,Log!$I$2:$I$49,"Red")&gt;0,"No","Yes")</f>
        <v/>
      </c>
      <c r="Q99">
        <f>IF(COUNTIFS(Artifact!$B$2:$B$385,B99,Artifact!$K$2:$K$385,"&gt;15")+COUNTIFS(Log!$A$2:$A$49,B99,Log!$H$2:$H$49,"Red")+COUNTIFS(Log!$A$2:$A$49,B99,Log!$I$2:$I$49,"Red")&gt;0,"No","Yes")</f>
        <v/>
      </c>
    </row>
    <row r="100">
      <c r="A100" t="inlineStr">
        <is>
          <t>SIMULATED Commercial FA Study</t>
        </is>
      </c>
      <c r="B100" t="inlineStr">
        <is>
          <t>P16</t>
        </is>
      </c>
      <c r="C100" t="inlineStr">
        <is>
          <t>M</t>
        </is>
      </c>
      <c r="D100" t="n">
        <v>18</v>
      </c>
      <c r="E100" t="inlineStr">
        <is>
          <t>B_C2first</t>
        </is>
      </c>
      <c r="F100" t="inlineStr">
        <is>
          <t>Stimulus</t>
        </is>
      </c>
      <c r="G100" t="inlineStr">
        <is>
          <t>Baseline_1</t>
        </is>
      </c>
      <c r="H100" t="n">
        <v>33000</v>
      </c>
      <c r="I100" t="n">
        <v>60000</v>
      </c>
      <c r="J100" t="inlineStr">
        <is>
          <t>Baseline_1</t>
        </is>
      </c>
      <c r="K100" s="4" t="n">
        <v>0.7101</v>
      </c>
      <c r="L100" t="inlineStr">
        <is>
          <t>Frontal Asymmetry (Enobio EEG)</t>
        </is>
      </c>
      <c r="M100">
        <f>LEFT(E100,1)</f>
        <v/>
      </c>
      <c r="N100">
        <f>MID(E100,3,10)</f>
        <v/>
      </c>
      <c r="O100">
        <f>IF(F100="Stimulus",IF(LEFT(G100,8)="Baseline",G100,IF(LEFT(G100,12)="Commercial_1","C1","C2")),IF(G100="KeyScene","KeyScene",IF(LEFT(J100,12)="Commercial_1","EndScene_C1","EndScene_C2")))</f>
        <v/>
      </c>
      <c r="P100">
        <f>IF(COUNTIFS(Artifact!$B$2:$B$385,B100,Artifact!$K$2:$K$385,"&gt;25")+COUNTIFS(Log!$A$2:$A$49,B100,Log!$H$2:$H$49,"Red")+COUNTIFS(Log!$A$2:$A$49,B100,Log!$I$2:$I$49,"Red")&gt;0,"No","Yes")</f>
        <v/>
      </c>
      <c r="Q100">
        <f>IF(COUNTIFS(Artifact!$B$2:$B$385,B100,Artifact!$K$2:$K$385,"&gt;15")+COUNTIFS(Log!$A$2:$A$49,B100,Log!$H$2:$H$49,"Red")+COUNTIFS(Log!$A$2:$A$49,B100,Log!$I$2:$I$49,"Red")&gt;0,"No","Yes")</f>
        <v/>
      </c>
    </row>
    <row r="101">
      <c r="A101" t="inlineStr">
        <is>
          <t>SIMULATED Commercial FA Study</t>
        </is>
      </c>
      <c r="B101" t="inlineStr">
        <is>
          <t>P16</t>
        </is>
      </c>
      <c r="C101" t="inlineStr">
        <is>
          <t>M</t>
        </is>
      </c>
      <c r="D101" t="n">
        <v>18</v>
      </c>
      <c r="E101" t="inlineStr">
        <is>
          <t>B_C2first</t>
        </is>
      </c>
      <c r="F101" t="inlineStr">
        <is>
          <t>Stimulus</t>
        </is>
      </c>
      <c r="G101" t="inlineStr">
        <is>
          <t>Commercial_2</t>
        </is>
      </c>
      <c r="H101" t="n">
        <v>93000</v>
      </c>
      <c r="I101" t="n">
        <v>60000</v>
      </c>
      <c r="J101" t="inlineStr">
        <is>
          <t>Commercial_2</t>
        </is>
      </c>
      <c r="K101" s="4" t="n">
        <v>0.7302</v>
      </c>
      <c r="L101" t="inlineStr">
        <is>
          <t>Frontal Asymmetry (Enobio EEG)</t>
        </is>
      </c>
      <c r="M101">
        <f>LEFT(E101,1)</f>
        <v/>
      </c>
      <c r="N101">
        <f>MID(E101,3,10)</f>
        <v/>
      </c>
      <c r="O101">
        <f>IF(F101="Stimulus",IF(LEFT(G101,8)="Baseline",G101,IF(LEFT(G101,12)="Commercial_1","C1","C2")),IF(G101="KeyScene","KeyScene",IF(LEFT(J101,12)="Commercial_1","EndScene_C1","EndScene_C2")))</f>
        <v/>
      </c>
      <c r="P101">
        <f>IF(COUNTIFS(Artifact!$B$2:$B$385,B101,Artifact!$K$2:$K$385,"&gt;25")+COUNTIFS(Log!$A$2:$A$49,B101,Log!$H$2:$H$49,"Red")+COUNTIFS(Log!$A$2:$A$49,B101,Log!$I$2:$I$49,"Red")&gt;0,"No","Yes")</f>
        <v/>
      </c>
      <c r="Q101">
        <f>IF(COUNTIFS(Artifact!$B$2:$B$385,B101,Artifact!$K$2:$K$385,"&gt;15")+COUNTIFS(Log!$A$2:$A$49,B101,Log!$H$2:$H$49,"Red")+COUNTIFS(Log!$A$2:$A$49,B101,Log!$I$2:$I$49,"Red")&gt;0,"No","Yes")</f>
        <v/>
      </c>
    </row>
    <row r="102">
      <c r="A102" t="inlineStr">
        <is>
          <t>SIMULATED Commercial FA Study</t>
        </is>
      </c>
      <c r="B102" t="inlineStr">
        <is>
          <t>P16</t>
        </is>
      </c>
      <c r="C102" t="inlineStr">
        <is>
          <t>M</t>
        </is>
      </c>
      <c r="D102" t="n">
        <v>18</v>
      </c>
      <c r="E102" t="inlineStr">
        <is>
          <t>B_C2first</t>
        </is>
      </c>
      <c r="F102" t="inlineStr">
        <is>
          <t>Stimulus</t>
        </is>
      </c>
      <c r="G102" t="inlineStr">
        <is>
          <t>Baseline_2</t>
        </is>
      </c>
      <c r="H102" t="n">
        <v>202000</v>
      </c>
      <c r="I102" t="n">
        <v>60000</v>
      </c>
      <c r="J102" t="inlineStr">
        <is>
          <t>Baseline_2</t>
        </is>
      </c>
      <c r="K102" s="4" t="n">
        <v>0.7514999999999999</v>
      </c>
      <c r="L102" t="inlineStr">
        <is>
          <t>Frontal Asymmetry (Enobio EEG)</t>
        </is>
      </c>
      <c r="M102">
        <f>LEFT(E102,1)</f>
        <v/>
      </c>
      <c r="N102">
        <f>MID(E102,3,10)</f>
        <v/>
      </c>
      <c r="O102">
        <f>IF(F102="Stimulus",IF(LEFT(G102,8)="Baseline",G102,IF(LEFT(G102,12)="Commercial_1","C1","C2")),IF(G102="KeyScene","KeyScene",IF(LEFT(J102,12)="Commercial_1","EndScene_C1","EndScene_C2")))</f>
        <v/>
      </c>
      <c r="P102">
        <f>IF(COUNTIFS(Artifact!$B$2:$B$385,B102,Artifact!$K$2:$K$385,"&gt;25")+COUNTIFS(Log!$A$2:$A$49,B102,Log!$H$2:$H$49,"Red")+COUNTIFS(Log!$A$2:$A$49,B102,Log!$I$2:$I$49,"Red")&gt;0,"No","Yes")</f>
        <v/>
      </c>
      <c r="Q102">
        <f>IF(COUNTIFS(Artifact!$B$2:$B$385,B102,Artifact!$K$2:$K$385,"&gt;15")+COUNTIFS(Log!$A$2:$A$49,B102,Log!$H$2:$H$49,"Red")+COUNTIFS(Log!$A$2:$A$49,B102,Log!$I$2:$I$49,"Red")&gt;0,"No","Yes")</f>
        <v/>
      </c>
    </row>
    <row r="103">
      <c r="A103" t="inlineStr">
        <is>
          <t>SIMULATED Commercial FA Study</t>
        </is>
      </c>
      <c r="B103" t="inlineStr">
        <is>
          <t>P16</t>
        </is>
      </c>
      <c r="C103" t="inlineStr">
        <is>
          <t>M</t>
        </is>
      </c>
      <c r="D103" t="n">
        <v>18</v>
      </c>
      <c r="E103" t="inlineStr">
        <is>
          <t>B_C2first</t>
        </is>
      </c>
      <c r="F103" t="inlineStr">
        <is>
          <t>Stimulus</t>
        </is>
      </c>
      <c r="G103" t="inlineStr">
        <is>
          <t>Commercial_1B</t>
        </is>
      </c>
      <c r="H103" t="n">
        <v>262000</v>
      </c>
      <c r="I103" t="n">
        <v>54000</v>
      </c>
      <c r="J103" t="inlineStr">
        <is>
          <t>Commercial_1B</t>
        </is>
      </c>
      <c r="K103" s="4" t="n">
        <v>0.6393</v>
      </c>
      <c r="L103" t="inlineStr">
        <is>
          <t>Frontal Asymmetry (Enobio EEG)</t>
        </is>
      </c>
      <c r="M103">
        <f>LEFT(E103,1)</f>
        <v/>
      </c>
      <c r="N103">
        <f>MID(E103,3,10)</f>
        <v/>
      </c>
      <c r="O103">
        <f>IF(F103="Stimulus",IF(LEFT(G103,8)="Baseline",G103,IF(LEFT(G103,12)="Commercial_1","C1","C2")),IF(G103="KeyScene","KeyScene",IF(LEFT(J103,12)="Commercial_1","EndScene_C1","EndScene_C2")))</f>
        <v/>
      </c>
      <c r="P103">
        <f>IF(COUNTIFS(Artifact!$B$2:$B$385,B103,Artifact!$K$2:$K$385,"&gt;25")+COUNTIFS(Log!$A$2:$A$49,B103,Log!$H$2:$H$49,"Red")+COUNTIFS(Log!$A$2:$A$49,B103,Log!$I$2:$I$49,"Red")&gt;0,"No","Yes")</f>
        <v/>
      </c>
      <c r="Q103">
        <f>IF(COUNTIFS(Artifact!$B$2:$B$385,B103,Artifact!$K$2:$K$385,"&gt;15")+COUNTIFS(Log!$A$2:$A$49,B103,Log!$H$2:$H$49,"Red")+COUNTIFS(Log!$A$2:$A$49,B103,Log!$I$2:$I$49,"Red")&gt;0,"No","Yes")</f>
        <v/>
      </c>
    </row>
    <row r="104">
      <c r="A104" t="inlineStr">
        <is>
          <t>SIMULATED Commercial FA Study</t>
        </is>
      </c>
      <c r="B104" t="inlineStr">
        <is>
          <t>P16</t>
        </is>
      </c>
      <c r="C104" t="inlineStr">
        <is>
          <t>M</t>
        </is>
      </c>
      <c r="D104" t="n">
        <v>18</v>
      </c>
      <c r="E104" t="inlineStr">
        <is>
          <t>B_C2first</t>
        </is>
      </c>
      <c r="F104" t="inlineStr">
        <is>
          <t>Annotation</t>
        </is>
      </c>
      <c r="G104" t="inlineStr">
        <is>
          <t>EndScene</t>
        </is>
      </c>
      <c r="H104" t="n">
        <v>143000</v>
      </c>
      <c r="I104" t="n">
        <v>10000</v>
      </c>
      <c r="J104" t="inlineStr">
        <is>
          <t>Commercial_2</t>
        </is>
      </c>
      <c r="K104" s="4" t="n">
        <v>0.8493000000000001</v>
      </c>
      <c r="L104" t="inlineStr">
        <is>
          <t>Frontal Asymmetry (Enobio EEG)</t>
        </is>
      </c>
      <c r="M104">
        <f>LEFT(E104,1)</f>
        <v/>
      </c>
      <c r="N104">
        <f>MID(E104,3,10)</f>
        <v/>
      </c>
      <c r="O104">
        <f>IF(F104="Stimulus",IF(LEFT(G104,8)="Baseline",G104,IF(LEFT(G104,12)="Commercial_1","C1","C2")),IF(G104="KeyScene","KeyScene",IF(LEFT(J104,12)="Commercial_1","EndScene_C1","EndScene_C2")))</f>
        <v/>
      </c>
      <c r="P104">
        <f>IF(COUNTIFS(Artifact!$B$2:$B$385,B104,Artifact!$K$2:$K$385,"&gt;25")+COUNTIFS(Log!$A$2:$A$49,B104,Log!$H$2:$H$49,"Red")+COUNTIFS(Log!$A$2:$A$49,B104,Log!$I$2:$I$49,"Red")&gt;0,"No","Yes")</f>
        <v/>
      </c>
      <c r="Q104">
        <f>IF(COUNTIFS(Artifact!$B$2:$B$385,B104,Artifact!$K$2:$K$385,"&gt;15")+COUNTIFS(Log!$A$2:$A$49,B104,Log!$H$2:$H$49,"Red")+COUNTIFS(Log!$A$2:$A$49,B104,Log!$I$2:$I$49,"Red")&gt;0,"No","Yes")</f>
        <v/>
      </c>
    </row>
    <row r="105">
      <c r="A105" t="inlineStr">
        <is>
          <t>SIMULATED Commercial FA Study</t>
        </is>
      </c>
      <c r="B105" t="inlineStr">
        <is>
          <t>P16</t>
        </is>
      </c>
      <c r="C105" t="inlineStr">
        <is>
          <t>M</t>
        </is>
      </c>
      <c r="D105" t="n">
        <v>18</v>
      </c>
      <c r="E105" t="inlineStr">
        <is>
          <t>B_C2first</t>
        </is>
      </c>
      <c r="F105" t="inlineStr">
        <is>
          <t>Annotation</t>
        </is>
      </c>
      <c r="G105" t="inlineStr">
        <is>
          <t>EndScene</t>
        </is>
      </c>
      <c r="H105" t="n">
        <v>306000</v>
      </c>
      <c r="I105" t="n">
        <v>10000</v>
      </c>
      <c r="J105" t="inlineStr">
        <is>
          <t>Commercial_1B</t>
        </is>
      </c>
      <c r="K105" s="4" t="n">
        <v>0.6981000000000001</v>
      </c>
      <c r="L105" t="inlineStr">
        <is>
          <t>Frontal Asymmetry (Enobio EEG)</t>
        </is>
      </c>
      <c r="M105">
        <f>LEFT(E105,1)</f>
        <v/>
      </c>
      <c r="N105">
        <f>MID(E105,3,10)</f>
        <v/>
      </c>
      <c r="O105">
        <f>IF(F105="Stimulus",IF(LEFT(G105,8)="Baseline",G105,IF(LEFT(G105,12)="Commercial_1","C1","C2")),IF(G105="KeyScene","KeyScene",IF(LEFT(J105,12)="Commercial_1","EndScene_C1","EndScene_C2")))</f>
        <v/>
      </c>
      <c r="P105">
        <f>IF(COUNTIFS(Artifact!$B$2:$B$385,B105,Artifact!$K$2:$K$385,"&gt;25")+COUNTIFS(Log!$A$2:$A$49,B105,Log!$H$2:$H$49,"Red")+COUNTIFS(Log!$A$2:$A$49,B105,Log!$I$2:$I$49,"Red")&gt;0,"No","Yes")</f>
        <v/>
      </c>
      <c r="Q105">
        <f>IF(COUNTIFS(Artifact!$B$2:$B$385,B105,Artifact!$K$2:$K$385,"&gt;15")+COUNTIFS(Log!$A$2:$A$49,B105,Log!$H$2:$H$49,"Red")+COUNTIFS(Log!$A$2:$A$49,B105,Log!$I$2:$I$49,"Red")&gt;0,"No","Yes")</f>
        <v/>
      </c>
    </row>
    <row r="106">
      <c r="A106" t="inlineStr">
        <is>
          <t>SIMULATED Commercial FA Study</t>
        </is>
      </c>
      <c r="B106" t="inlineStr">
        <is>
          <t>P17</t>
        </is>
      </c>
      <c r="C106" t="inlineStr">
        <is>
          <t>F</t>
        </is>
      </c>
      <c r="D106" t="n">
        <v>21</v>
      </c>
      <c r="E106" t="inlineStr">
        <is>
          <t>B_C2first</t>
        </is>
      </c>
      <c r="F106" t="inlineStr">
        <is>
          <t>Stimulus</t>
        </is>
      </c>
      <c r="G106" t="inlineStr">
        <is>
          <t>Baseline_1</t>
        </is>
      </c>
      <c r="H106" t="n">
        <v>20000</v>
      </c>
      <c r="I106" t="n">
        <v>60000</v>
      </c>
      <c r="J106" t="inlineStr">
        <is>
          <t>Baseline_1</t>
        </is>
      </c>
      <c r="K106" s="4" t="n">
        <v>0.8962</v>
      </c>
      <c r="L106" t="inlineStr">
        <is>
          <t>Frontal Asymmetry (Enobio EEG)</t>
        </is>
      </c>
      <c r="M106">
        <f>LEFT(E106,1)</f>
        <v/>
      </c>
      <c r="N106">
        <f>MID(E106,3,10)</f>
        <v/>
      </c>
      <c r="O106">
        <f>IF(F106="Stimulus",IF(LEFT(G106,8)="Baseline",G106,IF(LEFT(G106,12)="Commercial_1","C1","C2")),IF(G106="KeyScene","KeyScene",IF(LEFT(J106,12)="Commercial_1","EndScene_C1","EndScene_C2")))</f>
        <v/>
      </c>
      <c r="P106">
        <f>IF(COUNTIFS(Artifact!$B$2:$B$385,B106,Artifact!$K$2:$K$385,"&gt;25")+COUNTIFS(Log!$A$2:$A$49,B106,Log!$H$2:$H$49,"Red")+COUNTIFS(Log!$A$2:$A$49,B106,Log!$I$2:$I$49,"Red")&gt;0,"No","Yes")</f>
        <v/>
      </c>
      <c r="Q106">
        <f>IF(COUNTIFS(Artifact!$B$2:$B$385,B106,Artifact!$K$2:$K$385,"&gt;15")+COUNTIFS(Log!$A$2:$A$49,B106,Log!$H$2:$H$49,"Red")+COUNTIFS(Log!$A$2:$A$49,B106,Log!$I$2:$I$49,"Red")&gt;0,"No","Yes")</f>
        <v/>
      </c>
    </row>
    <row r="107">
      <c r="A107" t="inlineStr">
        <is>
          <t>SIMULATED Commercial FA Study</t>
        </is>
      </c>
      <c r="B107" t="inlineStr">
        <is>
          <t>P17</t>
        </is>
      </c>
      <c r="C107" t="inlineStr">
        <is>
          <t>F</t>
        </is>
      </c>
      <c r="D107" t="n">
        <v>21</v>
      </c>
      <c r="E107" t="inlineStr">
        <is>
          <t>B_C2first</t>
        </is>
      </c>
      <c r="F107" t="inlineStr">
        <is>
          <t>Stimulus</t>
        </is>
      </c>
      <c r="G107" t="inlineStr">
        <is>
          <t>Commercial_2</t>
        </is>
      </c>
      <c r="H107" t="n">
        <v>80000</v>
      </c>
      <c r="I107" t="n">
        <v>60000</v>
      </c>
      <c r="J107" t="inlineStr">
        <is>
          <t>Commercial_2</t>
        </is>
      </c>
      <c r="K107" s="4" t="n">
        <v>0.9188</v>
      </c>
      <c r="L107" t="inlineStr">
        <is>
          <t>Frontal Asymmetry (Enobio EEG)</t>
        </is>
      </c>
      <c r="M107">
        <f>LEFT(E107,1)</f>
        <v/>
      </c>
      <c r="N107">
        <f>MID(E107,3,10)</f>
        <v/>
      </c>
      <c r="O107">
        <f>IF(F107="Stimulus",IF(LEFT(G107,8)="Baseline",G107,IF(LEFT(G107,12)="Commercial_1","C1","C2")),IF(G107="KeyScene","KeyScene",IF(LEFT(J107,12)="Commercial_1","EndScene_C1","EndScene_C2")))</f>
        <v/>
      </c>
      <c r="P107">
        <f>IF(COUNTIFS(Artifact!$B$2:$B$385,B107,Artifact!$K$2:$K$385,"&gt;25")+COUNTIFS(Log!$A$2:$A$49,B107,Log!$H$2:$H$49,"Red")+COUNTIFS(Log!$A$2:$A$49,B107,Log!$I$2:$I$49,"Red")&gt;0,"No","Yes")</f>
        <v/>
      </c>
      <c r="Q107">
        <f>IF(COUNTIFS(Artifact!$B$2:$B$385,B107,Artifact!$K$2:$K$385,"&gt;15")+COUNTIFS(Log!$A$2:$A$49,B107,Log!$H$2:$H$49,"Red")+COUNTIFS(Log!$A$2:$A$49,B107,Log!$I$2:$I$49,"Red")&gt;0,"No","Yes")</f>
        <v/>
      </c>
    </row>
    <row r="108">
      <c r="A108" t="inlineStr">
        <is>
          <t>SIMULATED Commercial FA Study</t>
        </is>
      </c>
      <c r="B108" t="inlineStr">
        <is>
          <t>P17</t>
        </is>
      </c>
      <c r="C108" t="inlineStr">
        <is>
          <t>F</t>
        </is>
      </c>
      <c r="D108" t="n">
        <v>21</v>
      </c>
      <c r="E108" t="inlineStr">
        <is>
          <t>B_C2first</t>
        </is>
      </c>
      <c r="F108" t="inlineStr">
        <is>
          <t>Stimulus</t>
        </is>
      </c>
      <c r="G108" t="inlineStr">
        <is>
          <t>Baseline_2</t>
        </is>
      </c>
      <c r="H108" t="n">
        <v>193000</v>
      </c>
      <c r="I108" t="n">
        <v>60000</v>
      </c>
      <c r="J108" t="inlineStr">
        <is>
          <t>Baseline_2</t>
        </is>
      </c>
      <c r="K108" s="4" t="n">
        <v>0.9062</v>
      </c>
      <c r="L108" t="inlineStr">
        <is>
          <t>Frontal Asymmetry (Enobio EEG)</t>
        </is>
      </c>
      <c r="M108">
        <f>LEFT(E108,1)</f>
        <v/>
      </c>
      <c r="N108">
        <f>MID(E108,3,10)</f>
        <v/>
      </c>
      <c r="O108">
        <f>IF(F108="Stimulus",IF(LEFT(G108,8)="Baseline",G108,IF(LEFT(G108,12)="Commercial_1","C1","C2")),IF(G108="KeyScene","KeyScene",IF(LEFT(J108,12)="Commercial_1","EndScene_C1","EndScene_C2")))</f>
        <v/>
      </c>
      <c r="P108">
        <f>IF(COUNTIFS(Artifact!$B$2:$B$385,B108,Artifact!$K$2:$K$385,"&gt;25")+COUNTIFS(Log!$A$2:$A$49,B108,Log!$H$2:$H$49,"Red")+COUNTIFS(Log!$A$2:$A$49,B108,Log!$I$2:$I$49,"Red")&gt;0,"No","Yes")</f>
        <v/>
      </c>
      <c r="Q108">
        <f>IF(COUNTIFS(Artifact!$B$2:$B$385,B108,Artifact!$K$2:$K$385,"&gt;15")+COUNTIFS(Log!$A$2:$A$49,B108,Log!$H$2:$H$49,"Red")+COUNTIFS(Log!$A$2:$A$49,B108,Log!$I$2:$I$49,"Red")&gt;0,"No","Yes")</f>
        <v/>
      </c>
    </row>
    <row r="109">
      <c r="A109" t="inlineStr">
        <is>
          <t>SIMULATED Commercial FA Study</t>
        </is>
      </c>
      <c r="B109" t="inlineStr">
        <is>
          <t>P17</t>
        </is>
      </c>
      <c r="C109" t="inlineStr">
        <is>
          <t>F</t>
        </is>
      </c>
      <c r="D109" t="n">
        <v>21</v>
      </c>
      <c r="E109" t="inlineStr">
        <is>
          <t>B_C2first</t>
        </is>
      </c>
      <c r="F109" t="inlineStr">
        <is>
          <t>Stimulus</t>
        </is>
      </c>
      <c r="G109" t="inlineStr">
        <is>
          <t>Commercial_1B</t>
        </is>
      </c>
      <c r="H109" t="n">
        <v>253000</v>
      </c>
      <c r="I109" t="n">
        <v>54000</v>
      </c>
      <c r="J109" t="inlineStr">
        <is>
          <t>Commercial_1B</t>
        </is>
      </c>
      <c r="K109" s="4" t="n">
        <v>0.9441000000000001</v>
      </c>
      <c r="L109" t="inlineStr">
        <is>
          <t>Frontal Asymmetry (Enobio EEG)</t>
        </is>
      </c>
      <c r="M109">
        <f>LEFT(E109,1)</f>
        <v/>
      </c>
      <c r="N109">
        <f>MID(E109,3,10)</f>
        <v/>
      </c>
      <c r="O109">
        <f>IF(F109="Stimulus",IF(LEFT(G109,8)="Baseline",G109,IF(LEFT(G109,12)="Commercial_1","C1","C2")),IF(G109="KeyScene","KeyScene",IF(LEFT(J109,12)="Commercial_1","EndScene_C1","EndScene_C2")))</f>
        <v/>
      </c>
      <c r="P109">
        <f>IF(COUNTIFS(Artifact!$B$2:$B$385,B109,Artifact!$K$2:$K$385,"&gt;25")+COUNTIFS(Log!$A$2:$A$49,B109,Log!$H$2:$H$49,"Red")+COUNTIFS(Log!$A$2:$A$49,B109,Log!$I$2:$I$49,"Red")&gt;0,"No","Yes")</f>
        <v/>
      </c>
      <c r="Q109">
        <f>IF(COUNTIFS(Artifact!$B$2:$B$385,B109,Artifact!$K$2:$K$385,"&gt;15")+COUNTIFS(Log!$A$2:$A$49,B109,Log!$H$2:$H$49,"Red")+COUNTIFS(Log!$A$2:$A$49,B109,Log!$I$2:$I$49,"Red")&gt;0,"No","Yes")</f>
        <v/>
      </c>
    </row>
    <row r="110">
      <c r="A110" t="inlineStr">
        <is>
          <t>SIMULATED Commercial FA Study</t>
        </is>
      </c>
      <c r="B110" t="inlineStr">
        <is>
          <t>P17</t>
        </is>
      </c>
      <c r="C110" t="inlineStr">
        <is>
          <t>F</t>
        </is>
      </c>
      <c r="D110" t="n">
        <v>21</v>
      </c>
      <c r="E110" t="inlineStr">
        <is>
          <t>B_C2first</t>
        </is>
      </c>
      <c r="F110" t="inlineStr">
        <is>
          <t>Annotation</t>
        </is>
      </c>
      <c r="G110" t="inlineStr">
        <is>
          <t>EndScene</t>
        </is>
      </c>
      <c r="H110" t="n">
        <v>130000</v>
      </c>
      <c r="I110" t="n">
        <v>10000</v>
      </c>
      <c r="J110" t="inlineStr">
        <is>
          <t>Commercial_2</t>
        </is>
      </c>
      <c r="K110" s="4" t="n">
        <v>1.0406</v>
      </c>
      <c r="L110" t="inlineStr">
        <is>
          <t>Frontal Asymmetry (Enobio EEG)</t>
        </is>
      </c>
      <c r="M110">
        <f>LEFT(E110,1)</f>
        <v/>
      </c>
      <c r="N110">
        <f>MID(E110,3,10)</f>
        <v/>
      </c>
      <c r="O110">
        <f>IF(F110="Stimulus",IF(LEFT(G110,8)="Baseline",G110,IF(LEFT(G110,12)="Commercial_1","C1","C2")),IF(G110="KeyScene","KeyScene",IF(LEFT(J110,12)="Commercial_1","EndScene_C1","EndScene_C2")))</f>
        <v/>
      </c>
      <c r="P110">
        <f>IF(COUNTIFS(Artifact!$B$2:$B$385,B110,Artifact!$K$2:$K$385,"&gt;25")+COUNTIFS(Log!$A$2:$A$49,B110,Log!$H$2:$H$49,"Red")+COUNTIFS(Log!$A$2:$A$49,B110,Log!$I$2:$I$49,"Red")&gt;0,"No","Yes")</f>
        <v/>
      </c>
      <c r="Q110">
        <f>IF(COUNTIFS(Artifact!$B$2:$B$385,B110,Artifact!$K$2:$K$385,"&gt;15")+COUNTIFS(Log!$A$2:$A$49,B110,Log!$H$2:$H$49,"Red")+COUNTIFS(Log!$A$2:$A$49,B110,Log!$I$2:$I$49,"Red")&gt;0,"No","Yes")</f>
        <v/>
      </c>
    </row>
    <row r="111">
      <c r="A111" t="inlineStr">
        <is>
          <t>SIMULATED Commercial FA Study</t>
        </is>
      </c>
      <c r="B111" t="inlineStr">
        <is>
          <t>P17</t>
        </is>
      </c>
      <c r="C111" t="inlineStr">
        <is>
          <t>F</t>
        </is>
      </c>
      <c r="D111" t="n">
        <v>21</v>
      </c>
      <c r="E111" t="inlineStr">
        <is>
          <t>B_C2first</t>
        </is>
      </c>
      <c r="F111" t="inlineStr">
        <is>
          <t>Annotation</t>
        </is>
      </c>
      <c r="G111" t="inlineStr">
        <is>
          <t>EndScene</t>
        </is>
      </c>
      <c r="H111" t="n">
        <v>297000</v>
      </c>
      <c r="I111" t="n">
        <v>10000</v>
      </c>
      <c r="J111" t="inlineStr">
        <is>
          <t>Commercial_1B</t>
        </is>
      </c>
      <c r="K111" s="4" t="n">
        <v>0.8812</v>
      </c>
      <c r="L111" t="inlineStr">
        <is>
          <t>Frontal Asymmetry (Enobio EEG)</t>
        </is>
      </c>
      <c r="M111">
        <f>LEFT(E111,1)</f>
        <v/>
      </c>
      <c r="N111">
        <f>MID(E111,3,10)</f>
        <v/>
      </c>
      <c r="O111">
        <f>IF(F111="Stimulus",IF(LEFT(G111,8)="Baseline",G111,IF(LEFT(G111,12)="Commercial_1","C1","C2")),IF(G111="KeyScene","KeyScene",IF(LEFT(J111,12)="Commercial_1","EndScene_C1","EndScene_C2")))</f>
        <v/>
      </c>
      <c r="P111">
        <f>IF(COUNTIFS(Artifact!$B$2:$B$385,B111,Artifact!$K$2:$K$385,"&gt;25")+COUNTIFS(Log!$A$2:$A$49,B111,Log!$H$2:$H$49,"Red")+COUNTIFS(Log!$A$2:$A$49,B111,Log!$I$2:$I$49,"Red")&gt;0,"No","Yes")</f>
        <v/>
      </c>
      <c r="Q111">
        <f>IF(COUNTIFS(Artifact!$B$2:$B$385,B111,Artifact!$K$2:$K$385,"&gt;15")+COUNTIFS(Log!$A$2:$A$49,B111,Log!$H$2:$H$49,"Red")+COUNTIFS(Log!$A$2:$A$49,B111,Log!$I$2:$I$49,"Red")&gt;0,"No","Yes")</f>
        <v/>
      </c>
    </row>
    <row r="112">
      <c r="A112" t="inlineStr">
        <is>
          <t>SIMULATED Commercial FA Study</t>
        </is>
      </c>
      <c r="B112" t="inlineStr">
        <is>
          <t>P18</t>
        </is>
      </c>
      <c r="C112" t="inlineStr">
        <is>
          <t>F</t>
        </is>
      </c>
      <c r="D112" t="n">
        <v>25</v>
      </c>
      <c r="E112" t="inlineStr">
        <is>
          <t>A_C2first</t>
        </is>
      </c>
      <c r="F112" t="inlineStr">
        <is>
          <t>Stimulus</t>
        </is>
      </c>
      <c r="G112" t="inlineStr">
        <is>
          <t>Baseline_1</t>
        </is>
      </c>
      <c r="H112" t="n">
        <v>30000</v>
      </c>
      <c r="I112" t="n">
        <v>60000</v>
      </c>
      <c r="J112" t="inlineStr">
        <is>
          <t>Baseline_1</t>
        </is>
      </c>
      <c r="K112" s="4" t="n">
        <v>0.6641</v>
      </c>
      <c r="L112" t="inlineStr">
        <is>
          <t>Frontal Asymmetry (Enobio EEG)</t>
        </is>
      </c>
      <c r="M112">
        <f>LEFT(E112,1)</f>
        <v/>
      </c>
      <c r="N112">
        <f>MID(E112,3,10)</f>
        <v/>
      </c>
      <c r="O112">
        <f>IF(F112="Stimulus",IF(LEFT(G112,8)="Baseline",G112,IF(LEFT(G112,12)="Commercial_1","C1","C2")),IF(G112="KeyScene","KeyScene",IF(LEFT(J112,12)="Commercial_1","EndScene_C1","EndScene_C2")))</f>
        <v/>
      </c>
      <c r="P112">
        <f>IF(COUNTIFS(Artifact!$B$2:$B$385,B112,Artifact!$K$2:$K$385,"&gt;25")+COUNTIFS(Log!$A$2:$A$49,B112,Log!$H$2:$H$49,"Red")+COUNTIFS(Log!$A$2:$A$49,B112,Log!$I$2:$I$49,"Red")&gt;0,"No","Yes")</f>
        <v/>
      </c>
      <c r="Q112">
        <f>IF(COUNTIFS(Artifact!$B$2:$B$385,B112,Artifact!$K$2:$K$385,"&gt;15")+COUNTIFS(Log!$A$2:$A$49,B112,Log!$H$2:$H$49,"Red")+COUNTIFS(Log!$A$2:$A$49,B112,Log!$I$2:$I$49,"Red")&gt;0,"No","Yes")</f>
        <v/>
      </c>
    </row>
    <row r="113">
      <c r="A113" t="inlineStr">
        <is>
          <t>SIMULATED Commercial FA Study</t>
        </is>
      </c>
      <c r="B113" t="inlineStr">
        <is>
          <t>P18</t>
        </is>
      </c>
      <c r="C113" t="inlineStr">
        <is>
          <t>F</t>
        </is>
      </c>
      <c r="D113" t="n">
        <v>25</v>
      </c>
      <c r="E113" t="inlineStr">
        <is>
          <t>A_C2first</t>
        </is>
      </c>
      <c r="F113" t="inlineStr">
        <is>
          <t>Stimulus</t>
        </is>
      </c>
      <c r="G113" t="inlineStr">
        <is>
          <t>Commercial_2</t>
        </is>
      </c>
      <c r="H113" t="n">
        <v>90000</v>
      </c>
      <c r="I113" t="n">
        <v>60000</v>
      </c>
      <c r="J113" t="inlineStr">
        <is>
          <t>Commercial_2</t>
        </is>
      </c>
      <c r="K113" s="4" t="n">
        <v>0.6284999999999999</v>
      </c>
      <c r="L113" t="inlineStr">
        <is>
          <t>Frontal Asymmetry (Enobio EEG)</t>
        </is>
      </c>
      <c r="M113">
        <f>LEFT(E113,1)</f>
        <v/>
      </c>
      <c r="N113">
        <f>MID(E113,3,10)</f>
        <v/>
      </c>
      <c r="O113">
        <f>IF(F113="Stimulus",IF(LEFT(G113,8)="Baseline",G113,IF(LEFT(G113,12)="Commercial_1","C1","C2")),IF(G113="KeyScene","KeyScene",IF(LEFT(J113,12)="Commercial_1","EndScene_C1","EndScene_C2")))</f>
        <v/>
      </c>
      <c r="P113">
        <f>IF(COUNTIFS(Artifact!$B$2:$B$385,B113,Artifact!$K$2:$K$385,"&gt;25")+COUNTIFS(Log!$A$2:$A$49,B113,Log!$H$2:$H$49,"Red")+COUNTIFS(Log!$A$2:$A$49,B113,Log!$I$2:$I$49,"Red")&gt;0,"No","Yes")</f>
        <v/>
      </c>
      <c r="Q113">
        <f>IF(COUNTIFS(Artifact!$B$2:$B$385,B113,Artifact!$K$2:$K$385,"&gt;15")+COUNTIFS(Log!$A$2:$A$49,B113,Log!$H$2:$H$49,"Red")+COUNTIFS(Log!$A$2:$A$49,B113,Log!$I$2:$I$49,"Red")&gt;0,"No","Yes")</f>
        <v/>
      </c>
    </row>
    <row r="114">
      <c r="A114" t="inlineStr">
        <is>
          <t>SIMULATED Commercial FA Study</t>
        </is>
      </c>
      <c r="B114" t="inlineStr">
        <is>
          <t>P18</t>
        </is>
      </c>
      <c r="C114" t="inlineStr">
        <is>
          <t>F</t>
        </is>
      </c>
      <c r="D114" t="n">
        <v>25</v>
      </c>
      <c r="E114" t="inlineStr">
        <is>
          <t>A_C2first</t>
        </is>
      </c>
      <c r="F114" t="inlineStr">
        <is>
          <t>Stimulus</t>
        </is>
      </c>
      <c r="G114" t="inlineStr">
        <is>
          <t>Baseline_2</t>
        </is>
      </c>
      <c r="H114" t="n">
        <v>198000</v>
      </c>
      <c r="I114" t="n">
        <v>60000</v>
      </c>
      <c r="J114" t="inlineStr">
        <is>
          <t>Baseline_2</t>
        </is>
      </c>
      <c r="K114" s="4" t="n">
        <v>0.653</v>
      </c>
      <c r="L114" t="inlineStr">
        <is>
          <t>Frontal Asymmetry (Enobio EEG)</t>
        </is>
      </c>
      <c r="M114">
        <f>LEFT(E114,1)</f>
        <v/>
      </c>
      <c r="N114">
        <f>MID(E114,3,10)</f>
        <v/>
      </c>
      <c r="O114">
        <f>IF(F114="Stimulus",IF(LEFT(G114,8)="Baseline",G114,IF(LEFT(G114,12)="Commercial_1","C1","C2")),IF(G114="KeyScene","KeyScene",IF(LEFT(J114,12)="Commercial_1","EndScene_C1","EndScene_C2")))</f>
        <v/>
      </c>
      <c r="P114">
        <f>IF(COUNTIFS(Artifact!$B$2:$B$385,B114,Artifact!$K$2:$K$385,"&gt;25")+COUNTIFS(Log!$A$2:$A$49,B114,Log!$H$2:$H$49,"Red")+COUNTIFS(Log!$A$2:$A$49,B114,Log!$I$2:$I$49,"Red")&gt;0,"No","Yes")</f>
        <v/>
      </c>
      <c r="Q114">
        <f>IF(COUNTIFS(Artifact!$B$2:$B$385,B114,Artifact!$K$2:$K$385,"&gt;15")+COUNTIFS(Log!$A$2:$A$49,B114,Log!$H$2:$H$49,"Red")+COUNTIFS(Log!$A$2:$A$49,B114,Log!$I$2:$I$49,"Red")&gt;0,"No","Yes")</f>
        <v/>
      </c>
    </row>
    <row r="115">
      <c r="A115" t="inlineStr">
        <is>
          <t>SIMULATED Commercial FA Study</t>
        </is>
      </c>
      <c r="B115" t="inlineStr">
        <is>
          <t>P18</t>
        </is>
      </c>
      <c r="C115" t="inlineStr">
        <is>
          <t>F</t>
        </is>
      </c>
      <c r="D115" t="n">
        <v>25</v>
      </c>
      <c r="E115" t="inlineStr">
        <is>
          <t>A_C2first</t>
        </is>
      </c>
      <c r="F115" t="inlineStr">
        <is>
          <t>Stimulus</t>
        </is>
      </c>
      <c r="G115" t="inlineStr">
        <is>
          <t>Commercial_1A</t>
        </is>
      </c>
      <c r="H115" t="n">
        <v>258000</v>
      </c>
      <c r="I115" t="n">
        <v>60000</v>
      </c>
      <c r="J115" t="inlineStr">
        <is>
          <t>Commercial_1A</t>
        </is>
      </c>
      <c r="K115" s="4" t="n">
        <v>0.5789</v>
      </c>
      <c r="L115" t="inlineStr">
        <is>
          <t>Frontal Asymmetry (Enobio EEG)</t>
        </is>
      </c>
      <c r="M115">
        <f>LEFT(E115,1)</f>
        <v/>
      </c>
      <c r="N115">
        <f>MID(E115,3,10)</f>
        <v/>
      </c>
      <c r="O115">
        <f>IF(F115="Stimulus",IF(LEFT(G115,8)="Baseline",G115,IF(LEFT(G115,12)="Commercial_1","C1","C2")),IF(G115="KeyScene","KeyScene",IF(LEFT(J115,12)="Commercial_1","EndScene_C1","EndScene_C2")))</f>
        <v/>
      </c>
      <c r="P115">
        <f>IF(COUNTIFS(Artifact!$B$2:$B$385,B115,Artifact!$K$2:$K$385,"&gt;25")+COUNTIFS(Log!$A$2:$A$49,B115,Log!$H$2:$H$49,"Red")+COUNTIFS(Log!$A$2:$A$49,B115,Log!$I$2:$I$49,"Red")&gt;0,"No","Yes")</f>
        <v/>
      </c>
      <c r="Q115">
        <f>IF(COUNTIFS(Artifact!$B$2:$B$385,B115,Artifact!$K$2:$K$385,"&gt;15")+COUNTIFS(Log!$A$2:$A$49,B115,Log!$H$2:$H$49,"Red")+COUNTIFS(Log!$A$2:$A$49,B115,Log!$I$2:$I$49,"Red")&gt;0,"No","Yes")</f>
        <v/>
      </c>
    </row>
    <row r="116">
      <c r="A116" t="inlineStr">
        <is>
          <t>SIMULATED Commercial FA Study</t>
        </is>
      </c>
      <c r="B116" t="inlineStr">
        <is>
          <t>P18</t>
        </is>
      </c>
      <c r="C116" t="inlineStr">
        <is>
          <t>F</t>
        </is>
      </c>
      <c r="D116" t="n">
        <v>25</v>
      </c>
      <c r="E116" t="inlineStr">
        <is>
          <t>A_C2first</t>
        </is>
      </c>
      <c r="F116" t="inlineStr">
        <is>
          <t>Annotation</t>
        </is>
      </c>
      <c r="G116" t="inlineStr">
        <is>
          <t>EndScene</t>
        </is>
      </c>
      <c r="H116" t="n">
        <v>140000</v>
      </c>
      <c r="I116" t="n">
        <v>10000</v>
      </c>
      <c r="J116" t="inlineStr">
        <is>
          <t>Commercial_2</t>
        </is>
      </c>
      <c r="K116" s="4" t="n">
        <v>0.4643</v>
      </c>
      <c r="L116" t="inlineStr">
        <is>
          <t>Frontal Asymmetry (Enobio EEG)</t>
        </is>
      </c>
      <c r="M116">
        <f>LEFT(E116,1)</f>
        <v/>
      </c>
      <c r="N116">
        <f>MID(E116,3,10)</f>
        <v/>
      </c>
      <c r="O116">
        <f>IF(F116="Stimulus",IF(LEFT(G116,8)="Baseline",G116,IF(LEFT(G116,12)="Commercial_1","C1","C2")),IF(G116="KeyScene","KeyScene",IF(LEFT(J116,12)="Commercial_1","EndScene_C1","EndScene_C2")))</f>
        <v/>
      </c>
      <c r="P116">
        <f>IF(COUNTIFS(Artifact!$B$2:$B$385,B116,Artifact!$K$2:$K$385,"&gt;25")+COUNTIFS(Log!$A$2:$A$49,B116,Log!$H$2:$H$49,"Red")+COUNTIFS(Log!$A$2:$A$49,B116,Log!$I$2:$I$49,"Red")&gt;0,"No","Yes")</f>
        <v/>
      </c>
      <c r="Q116">
        <f>IF(COUNTIFS(Artifact!$B$2:$B$385,B116,Artifact!$K$2:$K$385,"&gt;15")+COUNTIFS(Log!$A$2:$A$49,B116,Log!$H$2:$H$49,"Red")+COUNTIFS(Log!$A$2:$A$49,B116,Log!$I$2:$I$49,"Red")&gt;0,"No","Yes")</f>
        <v/>
      </c>
    </row>
    <row r="117">
      <c r="A117" t="inlineStr">
        <is>
          <t>SIMULATED Commercial FA Study</t>
        </is>
      </c>
      <c r="B117" t="inlineStr">
        <is>
          <t>P18</t>
        </is>
      </c>
      <c r="C117" t="inlineStr">
        <is>
          <t>F</t>
        </is>
      </c>
      <c r="D117" t="n">
        <v>25</v>
      </c>
      <c r="E117" t="inlineStr">
        <is>
          <t>A_C2first</t>
        </is>
      </c>
      <c r="F117" t="inlineStr">
        <is>
          <t>Annotation</t>
        </is>
      </c>
      <c r="G117" t="inlineStr">
        <is>
          <t>KeyScene</t>
        </is>
      </c>
      <c r="H117" t="n">
        <v>290000</v>
      </c>
      <c r="I117" t="n">
        <v>6000</v>
      </c>
      <c r="J117" t="inlineStr">
        <is>
          <t>Commercial_1A</t>
        </is>
      </c>
      <c r="K117" s="4" t="n">
        <v>0.5824</v>
      </c>
      <c r="L117" t="inlineStr">
        <is>
          <t>Frontal Asymmetry (Enobio EEG)</t>
        </is>
      </c>
      <c r="M117">
        <f>LEFT(E117,1)</f>
        <v/>
      </c>
      <c r="N117">
        <f>MID(E117,3,10)</f>
        <v/>
      </c>
      <c r="O117">
        <f>IF(F117="Stimulus",IF(LEFT(G117,8)="Baseline",G117,IF(LEFT(G117,12)="Commercial_1","C1","C2")),IF(G117="KeyScene","KeyScene",IF(LEFT(J117,12)="Commercial_1","EndScene_C1","EndScene_C2")))</f>
        <v/>
      </c>
      <c r="P117">
        <f>IF(COUNTIFS(Artifact!$B$2:$B$385,B117,Artifact!$K$2:$K$385,"&gt;25")+COUNTIFS(Log!$A$2:$A$49,B117,Log!$H$2:$H$49,"Red")+COUNTIFS(Log!$A$2:$A$49,B117,Log!$I$2:$I$49,"Red")&gt;0,"No","Yes")</f>
        <v/>
      </c>
      <c r="Q117">
        <f>IF(COUNTIFS(Artifact!$B$2:$B$385,B117,Artifact!$K$2:$K$385,"&gt;15")+COUNTIFS(Log!$A$2:$A$49,B117,Log!$H$2:$H$49,"Red")+COUNTIFS(Log!$A$2:$A$49,B117,Log!$I$2:$I$49,"Red")&gt;0,"No","Yes")</f>
        <v/>
      </c>
    </row>
    <row r="118">
      <c r="A118" t="inlineStr">
        <is>
          <t>SIMULATED Commercial FA Study</t>
        </is>
      </c>
      <c r="B118" t="inlineStr">
        <is>
          <t>P18</t>
        </is>
      </c>
      <c r="C118" t="inlineStr">
        <is>
          <t>F</t>
        </is>
      </c>
      <c r="D118" t="n">
        <v>25</v>
      </c>
      <c r="E118" t="inlineStr">
        <is>
          <t>A_C2first</t>
        </is>
      </c>
      <c r="F118" t="inlineStr">
        <is>
          <t>Annotation</t>
        </is>
      </c>
      <c r="G118" t="inlineStr">
        <is>
          <t>EndScene</t>
        </is>
      </c>
      <c r="H118" t="n">
        <v>308000</v>
      </c>
      <c r="I118" t="n">
        <v>10000</v>
      </c>
      <c r="J118" t="inlineStr">
        <is>
          <t>Commercial_1A</t>
        </is>
      </c>
      <c r="K118" s="4" t="n">
        <v>0.5868</v>
      </c>
      <c r="L118" t="inlineStr">
        <is>
          <t>Frontal Asymmetry (Enobio EEG)</t>
        </is>
      </c>
      <c r="M118">
        <f>LEFT(E118,1)</f>
        <v/>
      </c>
      <c r="N118">
        <f>MID(E118,3,10)</f>
        <v/>
      </c>
      <c r="O118">
        <f>IF(F118="Stimulus",IF(LEFT(G118,8)="Baseline",G118,IF(LEFT(G118,12)="Commercial_1","C1","C2")),IF(G118="KeyScene","KeyScene",IF(LEFT(J118,12)="Commercial_1","EndScene_C1","EndScene_C2")))</f>
        <v/>
      </c>
      <c r="P118">
        <f>IF(COUNTIFS(Artifact!$B$2:$B$385,B118,Artifact!$K$2:$K$385,"&gt;25")+COUNTIFS(Log!$A$2:$A$49,B118,Log!$H$2:$H$49,"Red")+COUNTIFS(Log!$A$2:$A$49,B118,Log!$I$2:$I$49,"Red")&gt;0,"No","Yes")</f>
        <v/>
      </c>
      <c r="Q118">
        <f>IF(COUNTIFS(Artifact!$B$2:$B$385,B118,Artifact!$K$2:$K$385,"&gt;15")+COUNTIFS(Log!$A$2:$A$49,B118,Log!$H$2:$H$49,"Red")+COUNTIFS(Log!$A$2:$A$49,B118,Log!$I$2:$I$49,"Red")&gt;0,"No","Yes")</f>
        <v/>
      </c>
    </row>
    <row r="119">
      <c r="A119" t="inlineStr">
        <is>
          <t>SIMULATED Commercial FA Study</t>
        </is>
      </c>
      <c r="B119" t="inlineStr">
        <is>
          <t>P19</t>
        </is>
      </c>
      <c r="C119" t="inlineStr">
        <is>
          <t>M</t>
        </is>
      </c>
      <c r="D119" t="n">
        <v>18</v>
      </c>
      <c r="E119" t="inlineStr">
        <is>
          <t>B_C1first</t>
        </is>
      </c>
      <c r="F119" t="inlineStr">
        <is>
          <t>Stimulus</t>
        </is>
      </c>
      <c r="G119" t="inlineStr">
        <is>
          <t>Baseline_1</t>
        </is>
      </c>
      <c r="H119" t="n">
        <v>28000</v>
      </c>
      <c r="I119" t="n">
        <v>60000</v>
      </c>
      <c r="J119" t="inlineStr">
        <is>
          <t>Baseline_1</t>
        </is>
      </c>
      <c r="K119" s="4" t="n">
        <v>0.6546</v>
      </c>
      <c r="L119" t="inlineStr">
        <is>
          <t>Frontal Asymmetry (Enobio EEG)</t>
        </is>
      </c>
      <c r="M119">
        <f>LEFT(E119,1)</f>
        <v/>
      </c>
      <c r="N119">
        <f>MID(E119,3,10)</f>
        <v/>
      </c>
      <c r="O119">
        <f>IF(F119="Stimulus",IF(LEFT(G119,8)="Baseline",G119,IF(LEFT(G119,12)="Commercial_1","C1","C2")),IF(G119="KeyScene","KeyScene",IF(LEFT(J119,12)="Commercial_1","EndScene_C1","EndScene_C2")))</f>
        <v/>
      </c>
      <c r="P119">
        <f>IF(COUNTIFS(Artifact!$B$2:$B$385,B119,Artifact!$K$2:$K$385,"&gt;25")+COUNTIFS(Log!$A$2:$A$49,B119,Log!$H$2:$H$49,"Red")+COUNTIFS(Log!$A$2:$A$49,B119,Log!$I$2:$I$49,"Red")&gt;0,"No","Yes")</f>
        <v/>
      </c>
      <c r="Q119">
        <f>IF(COUNTIFS(Artifact!$B$2:$B$385,B119,Artifact!$K$2:$K$385,"&gt;15")+COUNTIFS(Log!$A$2:$A$49,B119,Log!$H$2:$H$49,"Red")+COUNTIFS(Log!$A$2:$A$49,B119,Log!$I$2:$I$49,"Red")&gt;0,"No","Yes")</f>
        <v/>
      </c>
    </row>
    <row r="120">
      <c r="A120" t="inlineStr">
        <is>
          <t>SIMULATED Commercial FA Study</t>
        </is>
      </c>
      <c r="B120" t="inlineStr">
        <is>
          <t>P19</t>
        </is>
      </c>
      <c r="C120" t="inlineStr">
        <is>
          <t>M</t>
        </is>
      </c>
      <c r="D120" t="n">
        <v>18</v>
      </c>
      <c r="E120" t="inlineStr">
        <is>
          <t>B_C1first</t>
        </is>
      </c>
      <c r="F120" t="inlineStr">
        <is>
          <t>Stimulus</t>
        </is>
      </c>
      <c r="G120" t="inlineStr">
        <is>
          <t>Commercial_1B</t>
        </is>
      </c>
      <c r="H120" t="n">
        <v>88000</v>
      </c>
      <c r="I120" t="n">
        <v>54000</v>
      </c>
      <c r="J120" t="inlineStr">
        <is>
          <t>Commercial_1B</t>
        </is>
      </c>
      <c r="K120" s="4" t="n">
        <v>0.6471</v>
      </c>
      <c r="L120" t="inlineStr">
        <is>
          <t>Frontal Asymmetry (Enobio EEG)</t>
        </is>
      </c>
      <c r="M120">
        <f>LEFT(E120,1)</f>
        <v/>
      </c>
      <c r="N120">
        <f>MID(E120,3,10)</f>
        <v/>
      </c>
      <c r="O120">
        <f>IF(F120="Stimulus",IF(LEFT(G120,8)="Baseline",G120,IF(LEFT(G120,12)="Commercial_1","C1","C2")),IF(G120="KeyScene","KeyScene",IF(LEFT(J120,12)="Commercial_1","EndScene_C1","EndScene_C2")))</f>
        <v/>
      </c>
      <c r="P120">
        <f>IF(COUNTIFS(Artifact!$B$2:$B$385,B120,Artifact!$K$2:$K$385,"&gt;25")+COUNTIFS(Log!$A$2:$A$49,B120,Log!$H$2:$H$49,"Red")+COUNTIFS(Log!$A$2:$A$49,B120,Log!$I$2:$I$49,"Red")&gt;0,"No","Yes")</f>
        <v/>
      </c>
      <c r="Q120">
        <f>IF(COUNTIFS(Artifact!$B$2:$B$385,B120,Artifact!$K$2:$K$385,"&gt;15")+COUNTIFS(Log!$A$2:$A$49,B120,Log!$H$2:$H$49,"Red")+COUNTIFS(Log!$A$2:$A$49,B120,Log!$I$2:$I$49,"Red")&gt;0,"No","Yes")</f>
        <v/>
      </c>
    </row>
    <row r="121">
      <c r="A121" t="inlineStr">
        <is>
          <t>SIMULATED Commercial FA Study</t>
        </is>
      </c>
      <c r="B121" t="inlineStr">
        <is>
          <t>P19</t>
        </is>
      </c>
      <c r="C121" t="inlineStr">
        <is>
          <t>M</t>
        </is>
      </c>
      <c r="D121" t="n">
        <v>18</v>
      </c>
      <c r="E121" t="inlineStr">
        <is>
          <t>B_C1first</t>
        </is>
      </c>
      <c r="F121" t="inlineStr">
        <is>
          <t>Stimulus</t>
        </is>
      </c>
      <c r="G121" t="inlineStr">
        <is>
          <t>Baseline_2</t>
        </is>
      </c>
      <c r="H121" t="n">
        <v>184000</v>
      </c>
      <c r="I121" t="n">
        <v>60000</v>
      </c>
      <c r="J121" t="inlineStr">
        <is>
          <t>Baseline_2</t>
        </is>
      </c>
      <c r="K121" s="4" t="n">
        <v>0.6196</v>
      </c>
      <c r="L121" t="inlineStr">
        <is>
          <t>Frontal Asymmetry (Enobio EEG)</t>
        </is>
      </c>
      <c r="M121">
        <f>LEFT(E121,1)</f>
        <v/>
      </c>
      <c r="N121">
        <f>MID(E121,3,10)</f>
        <v/>
      </c>
      <c r="O121">
        <f>IF(F121="Stimulus",IF(LEFT(G121,8)="Baseline",G121,IF(LEFT(G121,12)="Commercial_1","C1","C2")),IF(G121="KeyScene","KeyScene",IF(LEFT(J121,12)="Commercial_1","EndScene_C1","EndScene_C2")))</f>
        <v/>
      </c>
      <c r="P121">
        <f>IF(COUNTIFS(Artifact!$B$2:$B$385,B121,Artifact!$K$2:$K$385,"&gt;25")+COUNTIFS(Log!$A$2:$A$49,B121,Log!$H$2:$H$49,"Red")+COUNTIFS(Log!$A$2:$A$49,B121,Log!$I$2:$I$49,"Red")&gt;0,"No","Yes")</f>
        <v/>
      </c>
      <c r="Q121">
        <f>IF(COUNTIFS(Artifact!$B$2:$B$385,B121,Artifact!$K$2:$K$385,"&gt;15")+COUNTIFS(Log!$A$2:$A$49,B121,Log!$H$2:$H$49,"Red")+COUNTIFS(Log!$A$2:$A$49,B121,Log!$I$2:$I$49,"Red")&gt;0,"No","Yes")</f>
        <v/>
      </c>
    </row>
    <row r="122">
      <c r="A122" t="inlineStr">
        <is>
          <t>SIMULATED Commercial FA Study</t>
        </is>
      </c>
      <c r="B122" t="inlineStr">
        <is>
          <t>P19</t>
        </is>
      </c>
      <c r="C122" t="inlineStr">
        <is>
          <t>M</t>
        </is>
      </c>
      <c r="D122" t="n">
        <v>18</v>
      </c>
      <c r="E122" t="inlineStr">
        <is>
          <t>B_C1first</t>
        </is>
      </c>
      <c r="F122" t="inlineStr">
        <is>
          <t>Stimulus</t>
        </is>
      </c>
      <c r="G122" t="inlineStr">
        <is>
          <t>Commercial_2</t>
        </is>
      </c>
      <c r="H122" t="n">
        <v>244000</v>
      </c>
      <c r="I122" t="n">
        <v>60000</v>
      </c>
      <c r="J122" t="inlineStr">
        <is>
          <t>Commercial_2</t>
        </is>
      </c>
      <c r="K122" s="4" t="n">
        <v>0.6499</v>
      </c>
      <c r="L122" t="inlineStr">
        <is>
          <t>Frontal Asymmetry (Enobio EEG)</t>
        </is>
      </c>
      <c r="M122">
        <f>LEFT(E122,1)</f>
        <v/>
      </c>
      <c r="N122">
        <f>MID(E122,3,10)</f>
        <v/>
      </c>
      <c r="O122">
        <f>IF(F122="Stimulus",IF(LEFT(G122,8)="Baseline",G122,IF(LEFT(G122,12)="Commercial_1","C1","C2")),IF(G122="KeyScene","KeyScene",IF(LEFT(J122,12)="Commercial_1","EndScene_C1","EndScene_C2")))</f>
        <v/>
      </c>
      <c r="P122">
        <f>IF(COUNTIFS(Artifact!$B$2:$B$385,B122,Artifact!$K$2:$K$385,"&gt;25")+COUNTIFS(Log!$A$2:$A$49,B122,Log!$H$2:$H$49,"Red")+COUNTIFS(Log!$A$2:$A$49,B122,Log!$I$2:$I$49,"Red")&gt;0,"No","Yes")</f>
        <v/>
      </c>
      <c r="Q122">
        <f>IF(COUNTIFS(Artifact!$B$2:$B$385,B122,Artifact!$K$2:$K$385,"&gt;15")+COUNTIFS(Log!$A$2:$A$49,B122,Log!$H$2:$H$49,"Red")+COUNTIFS(Log!$A$2:$A$49,B122,Log!$I$2:$I$49,"Red")&gt;0,"No","Yes")</f>
        <v/>
      </c>
    </row>
    <row r="123">
      <c r="A123" t="inlineStr">
        <is>
          <t>SIMULATED Commercial FA Study</t>
        </is>
      </c>
      <c r="B123" t="inlineStr">
        <is>
          <t>P19</t>
        </is>
      </c>
      <c r="C123" t="inlineStr">
        <is>
          <t>M</t>
        </is>
      </c>
      <c r="D123" t="n">
        <v>18</v>
      </c>
      <c r="E123" t="inlineStr">
        <is>
          <t>B_C1first</t>
        </is>
      </c>
      <c r="F123" t="inlineStr">
        <is>
          <t>Annotation</t>
        </is>
      </c>
      <c r="G123" t="inlineStr">
        <is>
          <t>EndScene</t>
        </is>
      </c>
      <c r="H123" t="n">
        <v>132000</v>
      </c>
      <c r="I123" t="n">
        <v>10000</v>
      </c>
      <c r="J123" t="inlineStr">
        <is>
          <t>Commercial_1B</t>
        </is>
      </c>
      <c r="K123" s="4" t="n">
        <v>0.7215</v>
      </c>
      <c r="L123" t="inlineStr">
        <is>
          <t>Frontal Asymmetry (Enobio EEG)</t>
        </is>
      </c>
      <c r="M123">
        <f>LEFT(E123,1)</f>
        <v/>
      </c>
      <c r="N123">
        <f>MID(E123,3,10)</f>
        <v/>
      </c>
      <c r="O123">
        <f>IF(F123="Stimulus",IF(LEFT(G123,8)="Baseline",G123,IF(LEFT(G123,12)="Commercial_1","C1","C2")),IF(G123="KeyScene","KeyScene",IF(LEFT(J123,12)="Commercial_1","EndScene_C1","EndScene_C2")))</f>
        <v/>
      </c>
      <c r="P123">
        <f>IF(COUNTIFS(Artifact!$B$2:$B$385,B123,Artifact!$K$2:$K$385,"&gt;25")+COUNTIFS(Log!$A$2:$A$49,B123,Log!$H$2:$H$49,"Red")+COUNTIFS(Log!$A$2:$A$49,B123,Log!$I$2:$I$49,"Red")&gt;0,"No","Yes")</f>
        <v/>
      </c>
      <c r="Q123">
        <f>IF(COUNTIFS(Artifact!$B$2:$B$385,B123,Artifact!$K$2:$K$385,"&gt;15")+COUNTIFS(Log!$A$2:$A$49,B123,Log!$H$2:$H$49,"Red")+COUNTIFS(Log!$A$2:$A$49,B123,Log!$I$2:$I$49,"Red")&gt;0,"No","Yes")</f>
        <v/>
      </c>
    </row>
    <row r="124">
      <c r="A124" t="inlineStr">
        <is>
          <t>SIMULATED Commercial FA Study</t>
        </is>
      </c>
      <c r="B124" t="inlineStr">
        <is>
          <t>P19</t>
        </is>
      </c>
      <c r="C124" t="inlineStr">
        <is>
          <t>M</t>
        </is>
      </c>
      <c r="D124" t="n">
        <v>18</v>
      </c>
      <c r="E124" t="inlineStr">
        <is>
          <t>B_C1first</t>
        </is>
      </c>
      <c r="F124" t="inlineStr">
        <is>
          <t>Annotation</t>
        </is>
      </c>
      <c r="G124" t="inlineStr">
        <is>
          <t>EndScene</t>
        </is>
      </c>
      <c r="H124" t="n">
        <v>294000</v>
      </c>
      <c r="I124" t="n">
        <v>10000</v>
      </c>
      <c r="J124" t="inlineStr">
        <is>
          <t>Commercial_2</t>
        </is>
      </c>
      <c r="K124" s="4" t="n">
        <v>0.5472</v>
      </c>
      <c r="L124" t="inlineStr">
        <is>
          <t>Frontal Asymmetry (Enobio EEG)</t>
        </is>
      </c>
      <c r="M124">
        <f>LEFT(E124,1)</f>
        <v/>
      </c>
      <c r="N124">
        <f>MID(E124,3,10)</f>
        <v/>
      </c>
      <c r="O124">
        <f>IF(F124="Stimulus",IF(LEFT(G124,8)="Baseline",G124,IF(LEFT(G124,12)="Commercial_1","C1","C2")),IF(G124="KeyScene","KeyScene",IF(LEFT(J124,12)="Commercial_1","EndScene_C1","EndScene_C2")))</f>
        <v/>
      </c>
      <c r="P124">
        <f>IF(COUNTIFS(Artifact!$B$2:$B$385,B124,Artifact!$K$2:$K$385,"&gt;25")+COUNTIFS(Log!$A$2:$A$49,B124,Log!$H$2:$H$49,"Red")+COUNTIFS(Log!$A$2:$A$49,B124,Log!$I$2:$I$49,"Red")&gt;0,"No","Yes")</f>
        <v/>
      </c>
      <c r="Q124">
        <f>IF(COUNTIFS(Artifact!$B$2:$B$385,B124,Artifact!$K$2:$K$385,"&gt;15")+COUNTIFS(Log!$A$2:$A$49,B124,Log!$H$2:$H$49,"Red")+COUNTIFS(Log!$A$2:$A$49,B124,Log!$I$2:$I$49,"Red")&gt;0,"No","Yes")</f>
        <v/>
      </c>
    </row>
    <row r="125">
      <c r="A125" t="inlineStr">
        <is>
          <t>SIMULATED Commercial FA Study</t>
        </is>
      </c>
      <c r="B125" t="inlineStr">
        <is>
          <t>P20</t>
        </is>
      </c>
      <c r="C125" t="inlineStr">
        <is>
          <t>F</t>
        </is>
      </c>
      <c r="D125" t="n">
        <v>25</v>
      </c>
      <c r="E125" t="inlineStr">
        <is>
          <t>A_C1first</t>
        </is>
      </c>
      <c r="F125" t="inlineStr">
        <is>
          <t>Stimulus</t>
        </is>
      </c>
      <c r="G125" t="inlineStr">
        <is>
          <t>Baseline_1</t>
        </is>
      </c>
      <c r="H125" t="n">
        <v>38000</v>
      </c>
      <c r="I125" t="n">
        <v>60000</v>
      </c>
      <c r="J125" t="inlineStr">
        <is>
          <t>Baseline_1</t>
        </is>
      </c>
      <c r="K125" s="4" t="n">
        <v>0.5921</v>
      </c>
      <c r="L125" t="inlineStr">
        <is>
          <t>Frontal Asymmetry (Enobio EEG)</t>
        </is>
      </c>
      <c r="M125">
        <f>LEFT(E125,1)</f>
        <v/>
      </c>
      <c r="N125">
        <f>MID(E125,3,10)</f>
        <v/>
      </c>
      <c r="O125">
        <f>IF(F125="Stimulus",IF(LEFT(G125,8)="Baseline",G125,IF(LEFT(G125,12)="Commercial_1","C1","C2")),IF(G125="KeyScene","KeyScene",IF(LEFT(J125,12)="Commercial_1","EndScene_C1","EndScene_C2")))</f>
        <v/>
      </c>
      <c r="P125">
        <f>IF(COUNTIFS(Artifact!$B$2:$B$385,B125,Artifact!$K$2:$K$385,"&gt;25")+COUNTIFS(Log!$A$2:$A$49,B125,Log!$H$2:$H$49,"Red")+COUNTIFS(Log!$A$2:$A$49,B125,Log!$I$2:$I$49,"Red")&gt;0,"No","Yes")</f>
        <v/>
      </c>
      <c r="Q125">
        <f>IF(COUNTIFS(Artifact!$B$2:$B$385,B125,Artifact!$K$2:$K$385,"&gt;15")+COUNTIFS(Log!$A$2:$A$49,B125,Log!$H$2:$H$49,"Red")+COUNTIFS(Log!$A$2:$A$49,B125,Log!$I$2:$I$49,"Red")&gt;0,"No","Yes")</f>
        <v/>
      </c>
    </row>
    <row r="126">
      <c r="A126" t="inlineStr">
        <is>
          <t>SIMULATED Commercial FA Study</t>
        </is>
      </c>
      <c r="B126" t="inlineStr">
        <is>
          <t>P20</t>
        </is>
      </c>
      <c r="C126" t="inlineStr">
        <is>
          <t>F</t>
        </is>
      </c>
      <c r="D126" t="n">
        <v>25</v>
      </c>
      <c r="E126" t="inlineStr">
        <is>
          <t>A_C1first</t>
        </is>
      </c>
      <c r="F126" t="inlineStr">
        <is>
          <t>Stimulus</t>
        </is>
      </c>
      <c r="G126" t="inlineStr">
        <is>
          <t>Commercial_1A</t>
        </is>
      </c>
      <c r="H126" t="n">
        <v>98000</v>
      </c>
      <c r="I126" t="n">
        <v>60000</v>
      </c>
      <c r="J126" t="inlineStr">
        <is>
          <t>Commercial_1A</t>
        </is>
      </c>
      <c r="K126" s="4" t="n">
        <v>0.4752</v>
      </c>
      <c r="L126" t="inlineStr">
        <is>
          <t>Frontal Asymmetry (Enobio EEG)</t>
        </is>
      </c>
      <c r="M126">
        <f>LEFT(E126,1)</f>
        <v/>
      </c>
      <c r="N126">
        <f>MID(E126,3,10)</f>
        <v/>
      </c>
      <c r="O126">
        <f>IF(F126="Stimulus",IF(LEFT(G126,8)="Baseline",G126,IF(LEFT(G126,12)="Commercial_1","C1","C2")),IF(G126="KeyScene","KeyScene",IF(LEFT(J126,12)="Commercial_1","EndScene_C1","EndScene_C2")))</f>
        <v/>
      </c>
      <c r="P126">
        <f>IF(COUNTIFS(Artifact!$B$2:$B$385,B126,Artifact!$K$2:$K$385,"&gt;25")+COUNTIFS(Log!$A$2:$A$49,B126,Log!$H$2:$H$49,"Red")+COUNTIFS(Log!$A$2:$A$49,B126,Log!$I$2:$I$49,"Red")&gt;0,"No","Yes")</f>
        <v/>
      </c>
      <c r="Q126">
        <f>IF(COUNTIFS(Artifact!$B$2:$B$385,B126,Artifact!$K$2:$K$385,"&gt;15")+COUNTIFS(Log!$A$2:$A$49,B126,Log!$H$2:$H$49,"Red")+COUNTIFS(Log!$A$2:$A$49,B126,Log!$I$2:$I$49,"Red")&gt;0,"No","Yes")</f>
        <v/>
      </c>
    </row>
    <row r="127">
      <c r="A127" t="inlineStr">
        <is>
          <t>SIMULATED Commercial FA Study</t>
        </is>
      </c>
      <c r="B127" t="inlineStr">
        <is>
          <t>P20</t>
        </is>
      </c>
      <c r="C127" t="inlineStr">
        <is>
          <t>F</t>
        </is>
      </c>
      <c r="D127" t="n">
        <v>25</v>
      </c>
      <c r="E127" t="inlineStr">
        <is>
          <t>A_C1first</t>
        </is>
      </c>
      <c r="F127" t="inlineStr">
        <is>
          <t>Stimulus</t>
        </is>
      </c>
      <c r="G127" t="inlineStr">
        <is>
          <t>Baseline_2</t>
        </is>
      </c>
      <c r="H127" t="n">
        <v>214000</v>
      </c>
      <c r="I127" t="n">
        <v>60000</v>
      </c>
      <c r="J127" t="inlineStr">
        <is>
          <t>Baseline_2</t>
        </is>
      </c>
      <c r="K127" s="4" t="n">
        <v>0.4998</v>
      </c>
      <c r="L127" t="inlineStr">
        <is>
          <t>Frontal Asymmetry (Enobio EEG)</t>
        </is>
      </c>
      <c r="M127">
        <f>LEFT(E127,1)</f>
        <v/>
      </c>
      <c r="N127">
        <f>MID(E127,3,10)</f>
        <v/>
      </c>
      <c r="O127">
        <f>IF(F127="Stimulus",IF(LEFT(G127,8)="Baseline",G127,IF(LEFT(G127,12)="Commercial_1","C1","C2")),IF(G127="KeyScene","KeyScene",IF(LEFT(J127,12)="Commercial_1","EndScene_C1","EndScene_C2")))</f>
        <v/>
      </c>
      <c r="P127">
        <f>IF(COUNTIFS(Artifact!$B$2:$B$385,B127,Artifact!$K$2:$K$385,"&gt;25")+COUNTIFS(Log!$A$2:$A$49,B127,Log!$H$2:$H$49,"Red")+COUNTIFS(Log!$A$2:$A$49,B127,Log!$I$2:$I$49,"Red")&gt;0,"No","Yes")</f>
        <v/>
      </c>
      <c r="Q127">
        <f>IF(COUNTIFS(Artifact!$B$2:$B$385,B127,Artifact!$K$2:$K$385,"&gt;15")+COUNTIFS(Log!$A$2:$A$49,B127,Log!$H$2:$H$49,"Red")+COUNTIFS(Log!$A$2:$A$49,B127,Log!$I$2:$I$49,"Red")&gt;0,"No","Yes")</f>
        <v/>
      </c>
    </row>
    <row r="128">
      <c r="A128" t="inlineStr">
        <is>
          <t>SIMULATED Commercial FA Study</t>
        </is>
      </c>
      <c r="B128" t="inlineStr">
        <is>
          <t>P20</t>
        </is>
      </c>
      <c r="C128" t="inlineStr">
        <is>
          <t>F</t>
        </is>
      </c>
      <c r="D128" t="n">
        <v>25</v>
      </c>
      <c r="E128" t="inlineStr">
        <is>
          <t>A_C1first</t>
        </is>
      </c>
      <c r="F128" t="inlineStr">
        <is>
          <t>Stimulus</t>
        </is>
      </c>
      <c r="G128" t="inlineStr">
        <is>
          <t>Commercial_2</t>
        </is>
      </c>
      <c r="H128" t="n">
        <v>274000</v>
      </c>
      <c r="I128" t="n">
        <v>60000</v>
      </c>
      <c r="J128" t="inlineStr">
        <is>
          <t>Commercial_2</t>
        </is>
      </c>
      <c r="K128" s="4" t="n">
        <v>0.4577</v>
      </c>
      <c r="L128" t="inlineStr">
        <is>
          <t>Frontal Asymmetry (Enobio EEG)</t>
        </is>
      </c>
      <c r="M128">
        <f>LEFT(E128,1)</f>
        <v/>
      </c>
      <c r="N128">
        <f>MID(E128,3,10)</f>
        <v/>
      </c>
      <c r="O128">
        <f>IF(F128="Stimulus",IF(LEFT(G128,8)="Baseline",G128,IF(LEFT(G128,12)="Commercial_1","C1","C2")),IF(G128="KeyScene","KeyScene",IF(LEFT(J128,12)="Commercial_1","EndScene_C1","EndScene_C2")))</f>
        <v/>
      </c>
      <c r="P128">
        <f>IF(COUNTIFS(Artifact!$B$2:$B$385,B128,Artifact!$K$2:$K$385,"&gt;25")+COUNTIFS(Log!$A$2:$A$49,B128,Log!$H$2:$H$49,"Red")+COUNTIFS(Log!$A$2:$A$49,B128,Log!$I$2:$I$49,"Red")&gt;0,"No","Yes")</f>
        <v/>
      </c>
      <c r="Q128">
        <f>IF(COUNTIFS(Artifact!$B$2:$B$385,B128,Artifact!$K$2:$K$385,"&gt;15")+COUNTIFS(Log!$A$2:$A$49,B128,Log!$H$2:$H$49,"Red")+COUNTIFS(Log!$A$2:$A$49,B128,Log!$I$2:$I$49,"Red")&gt;0,"No","Yes")</f>
        <v/>
      </c>
    </row>
    <row r="129">
      <c r="A129" t="inlineStr">
        <is>
          <t>SIMULATED Commercial FA Study</t>
        </is>
      </c>
      <c r="B129" t="inlineStr">
        <is>
          <t>P20</t>
        </is>
      </c>
      <c r="C129" t="inlineStr">
        <is>
          <t>F</t>
        </is>
      </c>
      <c r="D129" t="n">
        <v>25</v>
      </c>
      <c r="E129" t="inlineStr">
        <is>
          <t>A_C1first</t>
        </is>
      </c>
      <c r="F129" t="inlineStr">
        <is>
          <t>Annotation</t>
        </is>
      </c>
      <c r="G129" t="inlineStr">
        <is>
          <t>KeyScene</t>
        </is>
      </c>
      <c r="H129" t="n">
        <v>130000</v>
      </c>
      <c r="I129" t="n">
        <v>6000</v>
      </c>
      <c r="J129" t="inlineStr">
        <is>
          <t>Commercial_1A</t>
        </is>
      </c>
      <c r="K129" s="4" t="n">
        <v>0.4046</v>
      </c>
      <c r="L129" t="inlineStr">
        <is>
          <t>Frontal Asymmetry (Enobio EEG)</t>
        </is>
      </c>
      <c r="M129">
        <f>LEFT(E129,1)</f>
        <v/>
      </c>
      <c r="N129">
        <f>MID(E129,3,10)</f>
        <v/>
      </c>
      <c r="O129">
        <f>IF(F129="Stimulus",IF(LEFT(G129,8)="Baseline",G129,IF(LEFT(G129,12)="Commercial_1","C1","C2")),IF(G129="KeyScene","KeyScene",IF(LEFT(J129,12)="Commercial_1","EndScene_C1","EndScene_C2")))</f>
        <v/>
      </c>
      <c r="P129">
        <f>IF(COUNTIFS(Artifact!$B$2:$B$385,B129,Artifact!$K$2:$K$385,"&gt;25")+COUNTIFS(Log!$A$2:$A$49,B129,Log!$H$2:$H$49,"Red")+COUNTIFS(Log!$A$2:$A$49,B129,Log!$I$2:$I$49,"Red")&gt;0,"No","Yes")</f>
        <v/>
      </c>
      <c r="Q129">
        <f>IF(COUNTIFS(Artifact!$B$2:$B$385,B129,Artifact!$K$2:$K$385,"&gt;15")+COUNTIFS(Log!$A$2:$A$49,B129,Log!$H$2:$H$49,"Red")+COUNTIFS(Log!$A$2:$A$49,B129,Log!$I$2:$I$49,"Red")&gt;0,"No","Yes")</f>
        <v/>
      </c>
    </row>
    <row r="130">
      <c r="A130" t="inlineStr">
        <is>
          <t>SIMULATED Commercial FA Study</t>
        </is>
      </c>
      <c r="B130" t="inlineStr">
        <is>
          <t>P20</t>
        </is>
      </c>
      <c r="C130" t="inlineStr">
        <is>
          <t>F</t>
        </is>
      </c>
      <c r="D130" t="n">
        <v>25</v>
      </c>
      <c r="E130" t="inlineStr">
        <is>
          <t>A_C1first</t>
        </is>
      </c>
      <c r="F130" t="inlineStr">
        <is>
          <t>Annotation</t>
        </is>
      </c>
      <c r="G130" t="inlineStr">
        <is>
          <t>EndScene</t>
        </is>
      </c>
      <c r="H130" t="n">
        <v>148000</v>
      </c>
      <c r="I130" t="n">
        <v>10000</v>
      </c>
      <c r="J130" t="inlineStr">
        <is>
          <t>Commercial_1A</t>
        </is>
      </c>
      <c r="K130" s="4" t="n">
        <v>0.4883</v>
      </c>
      <c r="L130" t="inlineStr">
        <is>
          <t>Frontal Asymmetry (Enobio EEG)</t>
        </is>
      </c>
      <c r="M130">
        <f>LEFT(E130,1)</f>
        <v/>
      </c>
      <c r="N130">
        <f>MID(E130,3,10)</f>
        <v/>
      </c>
      <c r="O130">
        <f>IF(F130="Stimulus",IF(LEFT(G130,8)="Baseline",G130,IF(LEFT(G130,12)="Commercial_1","C1","C2")),IF(G130="KeyScene","KeyScene",IF(LEFT(J130,12)="Commercial_1","EndScene_C1","EndScene_C2")))</f>
        <v/>
      </c>
      <c r="P130">
        <f>IF(COUNTIFS(Artifact!$B$2:$B$385,B130,Artifact!$K$2:$K$385,"&gt;25")+COUNTIFS(Log!$A$2:$A$49,B130,Log!$H$2:$H$49,"Red")+COUNTIFS(Log!$A$2:$A$49,B130,Log!$I$2:$I$49,"Red")&gt;0,"No","Yes")</f>
        <v/>
      </c>
      <c r="Q130">
        <f>IF(COUNTIFS(Artifact!$B$2:$B$385,B130,Artifact!$K$2:$K$385,"&gt;15")+COUNTIFS(Log!$A$2:$A$49,B130,Log!$H$2:$H$49,"Red")+COUNTIFS(Log!$A$2:$A$49,B130,Log!$I$2:$I$49,"Red")&gt;0,"No","Yes")</f>
        <v/>
      </c>
    </row>
    <row r="131">
      <c r="A131" t="inlineStr">
        <is>
          <t>SIMULATED Commercial FA Study</t>
        </is>
      </c>
      <c r="B131" t="inlineStr">
        <is>
          <t>P20</t>
        </is>
      </c>
      <c r="C131" t="inlineStr">
        <is>
          <t>F</t>
        </is>
      </c>
      <c r="D131" t="n">
        <v>25</v>
      </c>
      <c r="E131" t="inlineStr">
        <is>
          <t>A_C1first</t>
        </is>
      </c>
      <c r="F131" t="inlineStr">
        <is>
          <t>Annotation</t>
        </is>
      </c>
      <c r="G131" t="inlineStr">
        <is>
          <t>EndScene</t>
        </is>
      </c>
      <c r="H131" t="n">
        <v>324000</v>
      </c>
      <c r="I131" t="n">
        <v>10000</v>
      </c>
      <c r="J131" t="inlineStr">
        <is>
          <t>Commercial_2</t>
        </is>
      </c>
      <c r="K131" s="4" t="n">
        <v>0.5588</v>
      </c>
      <c r="L131" t="inlineStr">
        <is>
          <t>Frontal Asymmetry (Enobio EEG)</t>
        </is>
      </c>
      <c r="M131">
        <f>LEFT(E131,1)</f>
        <v/>
      </c>
      <c r="N131">
        <f>MID(E131,3,10)</f>
        <v/>
      </c>
      <c r="O131">
        <f>IF(F131="Stimulus",IF(LEFT(G131,8)="Baseline",G131,IF(LEFT(G131,12)="Commercial_1","C1","C2")),IF(G131="KeyScene","KeyScene",IF(LEFT(J131,12)="Commercial_1","EndScene_C1","EndScene_C2")))</f>
        <v/>
      </c>
      <c r="P131">
        <f>IF(COUNTIFS(Artifact!$B$2:$B$385,B131,Artifact!$K$2:$K$385,"&gt;25")+COUNTIFS(Log!$A$2:$A$49,B131,Log!$H$2:$H$49,"Red")+COUNTIFS(Log!$A$2:$A$49,B131,Log!$I$2:$I$49,"Red")&gt;0,"No","Yes")</f>
        <v/>
      </c>
      <c r="Q131">
        <f>IF(COUNTIFS(Artifact!$B$2:$B$385,B131,Artifact!$K$2:$K$385,"&gt;15")+COUNTIFS(Log!$A$2:$A$49,B131,Log!$H$2:$H$49,"Red")+COUNTIFS(Log!$A$2:$A$49,B131,Log!$I$2:$I$49,"Red")&gt;0,"No","Yes")</f>
        <v/>
      </c>
    </row>
    <row r="132">
      <c r="A132" t="inlineStr">
        <is>
          <t>SIMULATED Commercial FA Study</t>
        </is>
      </c>
      <c r="B132" t="inlineStr">
        <is>
          <t>P21</t>
        </is>
      </c>
      <c r="C132" t="inlineStr">
        <is>
          <t>F</t>
        </is>
      </c>
      <c r="D132" t="n">
        <v>25</v>
      </c>
      <c r="E132" t="inlineStr">
        <is>
          <t>B_C2first</t>
        </is>
      </c>
      <c r="F132" t="inlineStr">
        <is>
          <t>Stimulus</t>
        </is>
      </c>
      <c r="G132" t="inlineStr">
        <is>
          <t>Baseline_1</t>
        </is>
      </c>
      <c r="H132" t="n">
        <v>25000</v>
      </c>
      <c r="I132" t="n">
        <v>60000</v>
      </c>
      <c r="J132" t="inlineStr">
        <is>
          <t>Baseline_1</t>
        </is>
      </c>
      <c r="K132" s="4" t="n">
        <v>0.715</v>
      </c>
      <c r="L132" t="inlineStr">
        <is>
          <t>Frontal Asymmetry (Enobio EEG)</t>
        </is>
      </c>
      <c r="M132">
        <f>LEFT(E132,1)</f>
        <v/>
      </c>
      <c r="N132">
        <f>MID(E132,3,10)</f>
        <v/>
      </c>
      <c r="O132">
        <f>IF(F132="Stimulus",IF(LEFT(G132,8)="Baseline",G132,IF(LEFT(G132,12)="Commercial_1","C1","C2")),IF(G132="KeyScene","KeyScene",IF(LEFT(J132,12)="Commercial_1","EndScene_C1","EndScene_C2")))</f>
        <v/>
      </c>
      <c r="P132">
        <f>IF(COUNTIFS(Artifact!$B$2:$B$385,B132,Artifact!$K$2:$K$385,"&gt;25")+COUNTIFS(Log!$A$2:$A$49,B132,Log!$H$2:$H$49,"Red")+COUNTIFS(Log!$A$2:$A$49,B132,Log!$I$2:$I$49,"Red")&gt;0,"No","Yes")</f>
        <v/>
      </c>
      <c r="Q132">
        <f>IF(COUNTIFS(Artifact!$B$2:$B$385,B132,Artifact!$K$2:$K$385,"&gt;15")+COUNTIFS(Log!$A$2:$A$49,B132,Log!$H$2:$H$49,"Red")+COUNTIFS(Log!$A$2:$A$49,B132,Log!$I$2:$I$49,"Red")&gt;0,"No","Yes")</f>
        <v/>
      </c>
    </row>
    <row r="133">
      <c r="A133" t="inlineStr">
        <is>
          <t>SIMULATED Commercial FA Study</t>
        </is>
      </c>
      <c r="B133" t="inlineStr">
        <is>
          <t>P21</t>
        </is>
      </c>
      <c r="C133" t="inlineStr">
        <is>
          <t>F</t>
        </is>
      </c>
      <c r="D133" t="n">
        <v>25</v>
      </c>
      <c r="E133" t="inlineStr">
        <is>
          <t>B_C2first</t>
        </is>
      </c>
      <c r="F133" t="inlineStr">
        <is>
          <t>Stimulus</t>
        </is>
      </c>
      <c r="G133" t="inlineStr">
        <is>
          <t>Commercial_2</t>
        </is>
      </c>
      <c r="H133" t="n">
        <v>85000</v>
      </c>
      <c r="I133" t="n">
        <v>60000</v>
      </c>
      <c r="J133" t="inlineStr">
        <is>
          <t>Commercial_2</t>
        </is>
      </c>
      <c r="K133" s="4" t="n">
        <v>0.7133</v>
      </c>
      <c r="L133" t="inlineStr">
        <is>
          <t>Frontal Asymmetry (Enobio EEG)</t>
        </is>
      </c>
      <c r="M133">
        <f>LEFT(E133,1)</f>
        <v/>
      </c>
      <c r="N133">
        <f>MID(E133,3,10)</f>
        <v/>
      </c>
      <c r="O133">
        <f>IF(F133="Stimulus",IF(LEFT(G133,8)="Baseline",G133,IF(LEFT(G133,12)="Commercial_1","C1","C2")),IF(G133="KeyScene","KeyScene",IF(LEFT(J133,12)="Commercial_1","EndScene_C1","EndScene_C2")))</f>
        <v/>
      </c>
      <c r="P133">
        <f>IF(COUNTIFS(Artifact!$B$2:$B$385,B133,Artifact!$K$2:$K$385,"&gt;25")+COUNTIFS(Log!$A$2:$A$49,B133,Log!$H$2:$H$49,"Red")+COUNTIFS(Log!$A$2:$A$49,B133,Log!$I$2:$I$49,"Red")&gt;0,"No","Yes")</f>
        <v/>
      </c>
      <c r="Q133">
        <f>IF(COUNTIFS(Artifact!$B$2:$B$385,B133,Artifact!$K$2:$K$385,"&gt;15")+COUNTIFS(Log!$A$2:$A$49,B133,Log!$H$2:$H$49,"Red")+COUNTIFS(Log!$A$2:$A$49,B133,Log!$I$2:$I$49,"Red")&gt;0,"No","Yes")</f>
        <v/>
      </c>
    </row>
    <row r="134">
      <c r="A134" t="inlineStr">
        <is>
          <t>SIMULATED Commercial FA Study</t>
        </is>
      </c>
      <c r="B134" t="inlineStr">
        <is>
          <t>P21</t>
        </is>
      </c>
      <c r="C134" t="inlineStr">
        <is>
          <t>F</t>
        </is>
      </c>
      <c r="D134" t="n">
        <v>25</v>
      </c>
      <c r="E134" t="inlineStr">
        <is>
          <t>B_C2first</t>
        </is>
      </c>
      <c r="F134" t="inlineStr">
        <is>
          <t>Stimulus</t>
        </is>
      </c>
      <c r="G134" t="inlineStr">
        <is>
          <t>Baseline_2</t>
        </is>
      </c>
      <c r="H134" t="n">
        <v>188000</v>
      </c>
      <c r="I134" t="n">
        <v>60000</v>
      </c>
      <c r="J134" t="inlineStr">
        <is>
          <t>Baseline_2</t>
        </is>
      </c>
      <c r="K134" s="4" t="n">
        <v>0.7389</v>
      </c>
      <c r="L134" t="inlineStr">
        <is>
          <t>Frontal Asymmetry (Enobio EEG)</t>
        </is>
      </c>
      <c r="M134">
        <f>LEFT(E134,1)</f>
        <v/>
      </c>
      <c r="N134">
        <f>MID(E134,3,10)</f>
        <v/>
      </c>
      <c r="O134">
        <f>IF(F134="Stimulus",IF(LEFT(G134,8)="Baseline",G134,IF(LEFT(G134,12)="Commercial_1","C1","C2")),IF(G134="KeyScene","KeyScene",IF(LEFT(J134,12)="Commercial_1","EndScene_C1","EndScene_C2")))</f>
        <v/>
      </c>
      <c r="P134">
        <f>IF(COUNTIFS(Artifact!$B$2:$B$385,B134,Artifact!$K$2:$K$385,"&gt;25")+COUNTIFS(Log!$A$2:$A$49,B134,Log!$H$2:$H$49,"Red")+COUNTIFS(Log!$A$2:$A$49,B134,Log!$I$2:$I$49,"Red")&gt;0,"No","Yes")</f>
        <v/>
      </c>
      <c r="Q134">
        <f>IF(COUNTIFS(Artifact!$B$2:$B$385,B134,Artifact!$K$2:$K$385,"&gt;15")+COUNTIFS(Log!$A$2:$A$49,B134,Log!$H$2:$H$49,"Red")+COUNTIFS(Log!$A$2:$A$49,B134,Log!$I$2:$I$49,"Red")&gt;0,"No","Yes")</f>
        <v/>
      </c>
    </row>
    <row r="135">
      <c r="A135" t="inlineStr">
        <is>
          <t>SIMULATED Commercial FA Study</t>
        </is>
      </c>
      <c r="B135" t="inlineStr">
        <is>
          <t>P21</t>
        </is>
      </c>
      <c r="C135" t="inlineStr">
        <is>
          <t>F</t>
        </is>
      </c>
      <c r="D135" t="n">
        <v>25</v>
      </c>
      <c r="E135" t="inlineStr">
        <is>
          <t>B_C2first</t>
        </is>
      </c>
      <c r="F135" t="inlineStr">
        <is>
          <t>Stimulus</t>
        </is>
      </c>
      <c r="G135" t="inlineStr">
        <is>
          <t>Commercial_1B</t>
        </is>
      </c>
      <c r="H135" t="n">
        <v>248000</v>
      </c>
      <c r="I135" t="n">
        <v>54000</v>
      </c>
      <c r="J135" t="inlineStr">
        <is>
          <t>Commercial_1B</t>
        </is>
      </c>
      <c r="K135" s="4" t="n">
        <v>0.7171</v>
      </c>
      <c r="L135" t="inlineStr">
        <is>
          <t>Frontal Asymmetry (Enobio EEG)</t>
        </is>
      </c>
      <c r="M135">
        <f>LEFT(E135,1)</f>
        <v/>
      </c>
      <c r="N135">
        <f>MID(E135,3,10)</f>
        <v/>
      </c>
      <c r="O135">
        <f>IF(F135="Stimulus",IF(LEFT(G135,8)="Baseline",G135,IF(LEFT(G135,12)="Commercial_1","C1","C2")),IF(G135="KeyScene","KeyScene",IF(LEFT(J135,12)="Commercial_1","EndScene_C1","EndScene_C2")))</f>
        <v/>
      </c>
      <c r="P135">
        <f>IF(COUNTIFS(Artifact!$B$2:$B$385,B135,Artifact!$K$2:$K$385,"&gt;25")+COUNTIFS(Log!$A$2:$A$49,B135,Log!$H$2:$H$49,"Red")+COUNTIFS(Log!$A$2:$A$49,B135,Log!$I$2:$I$49,"Red")&gt;0,"No","Yes")</f>
        <v/>
      </c>
      <c r="Q135">
        <f>IF(COUNTIFS(Artifact!$B$2:$B$385,B135,Artifact!$K$2:$K$385,"&gt;15")+COUNTIFS(Log!$A$2:$A$49,B135,Log!$H$2:$H$49,"Red")+COUNTIFS(Log!$A$2:$A$49,B135,Log!$I$2:$I$49,"Red")&gt;0,"No","Yes")</f>
        <v/>
      </c>
    </row>
    <row r="136">
      <c r="A136" t="inlineStr">
        <is>
          <t>SIMULATED Commercial FA Study</t>
        </is>
      </c>
      <c r="B136" t="inlineStr">
        <is>
          <t>P21</t>
        </is>
      </c>
      <c r="C136" t="inlineStr">
        <is>
          <t>F</t>
        </is>
      </c>
      <c r="D136" t="n">
        <v>25</v>
      </c>
      <c r="E136" t="inlineStr">
        <is>
          <t>B_C2first</t>
        </is>
      </c>
      <c r="F136" t="inlineStr">
        <is>
          <t>Annotation</t>
        </is>
      </c>
      <c r="G136" t="inlineStr">
        <is>
          <t>EndScene</t>
        </is>
      </c>
      <c r="H136" t="n">
        <v>135000</v>
      </c>
      <c r="I136" t="n">
        <v>10000</v>
      </c>
      <c r="J136" t="inlineStr">
        <is>
          <t>Commercial_2</t>
        </is>
      </c>
      <c r="K136" s="4" t="n">
        <v>0.7648</v>
      </c>
      <c r="L136" t="inlineStr">
        <is>
          <t>Frontal Asymmetry (Enobio EEG)</t>
        </is>
      </c>
      <c r="M136">
        <f>LEFT(E136,1)</f>
        <v/>
      </c>
      <c r="N136">
        <f>MID(E136,3,10)</f>
        <v/>
      </c>
      <c r="O136">
        <f>IF(F136="Stimulus",IF(LEFT(G136,8)="Baseline",G136,IF(LEFT(G136,12)="Commercial_1","C1","C2")),IF(G136="KeyScene","KeyScene",IF(LEFT(J136,12)="Commercial_1","EndScene_C1","EndScene_C2")))</f>
        <v/>
      </c>
      <c r="P136">
        <f>IF(COUNTIFS(Artifact!$B$2:$B$385,B136,Artifact!$K$2:$K$385,"&gt;25")+COUNTIFS(Log!$A$2:$A$49,B136,Log!$H$2:$H$49,"Red")+COUNTIFS(Log!$A$2:$A$49,B136,Log!$I$2:$I$49,"Red")&gt;0,"No","Yes")</f>
        <v/>
      </c>
      <c r="Q136">
        <f>IF(COUNTIFS(Artifact!$B$2:$B$385,B136,Artifact!$K$2:$K$385,"&gt;15")+COUNTIFS(Log!$A$2:$A$49,B136,Log!$H$2:$H$49,"Red")+COUNTIFS(Log!$A$2:$A$49,B136,Log!$I$2:$I$49,"Red")&gt;0,"No","Yes")</f>
        <v/>
      </c>
    </row>
    <row r="137">
      <c r="A137" t="inlineStr">
        <is>
          <t>SIMULATED Commercial FA Study</t>
        </is>
      </c>
      <c r="B137" t="inlineStr">
        <is>
          <t>P21</t>
        </is>
      </c>
      <c r="C137" t="inlineStr">
        <is>
          <t>F</t>
        </is>
      </c>
      <c r="D137" t="n">
        <v>25</v>
      </c>
      <c r="E137" t="inlineStr">
        <is>
          <t>B_C2first</t>
        </is>
      </c>
      <c r="F137" t="inlineStr">
        <is>
          <t>Annotation</t>
        </is>
      </c>
      <c r="G137" t="inlineStr">
        <is>
          <t>EndScene</t>
        </is>
      </c>
      <c r="H137" t="n">
        <v>292000</v>
      </c>
      <c r="I137" t="n">
        <v>10000</v>
      </c>
      <c r="J137" t="inlineStr">
        <is>
          <t>Commercial_1B</t>
        </is>
      </c>
      <c r="K137" s="4" t="n">
        <v>0.7176</v>
      </c>
      <c r="L137" t="inlineStr">
        <is>
          <t>Frontal Asymmetry (Enobio EEG)</t>
        </is>
      </c>
      <c r="M137">
        <f>LEFT(E137,1)</f>
        <v/>
      </c>
      <c r="N137">
        <f>MID(E137,3,10)</f>
        <v/>
      </c>
      <c r="O137">
        <f>IF(F137="Stimulus",IF(LEFT(G137,8)="Baseline",G137,IF(LEFT(G137,12)="Commercial_1","C1","C2")),IF(G137="KeyScene","KeyScene",IF(LEFT(J137,12)="Commercial_1","EndScene_C1","EndScene_C2")))</f>
        <v/>
      </c>
      <c r="P137">
        <f>IF(COUNTIFS(Artifact!$B$2:$B$385,B137,Artifact!$K$2:$K$385,"&gt;25")+COUNTIFS(Log!$A$2:$A$49,B137,Log!$H$2:$H$49,"Red")+COUNTIFS(Log!$A$2:$A$49,B137,Log!$I$2:$I$49,"Red")&gt;0,"No","Yes")</f>
        <v/>
      </c>
      <c r="Q137">
        <f>IF(COUNTIFS(Artifact!$B$2:$B$385,B137,Artifact!$K$2:$K$385,"&gt;15")+COUNTIFS(Log!$A$2:$A$49,B137,Log!$H$2:$H$49,"Red")+COUNTIFS(Log!$A$2:$A$49,B137,Log!$I$2:$I$49,"Red")&gt;0,"No","Yes")</f>
        <v/>
      </c>
    </row>
    <row r="138">
      <c r="A138" t="inlineStr">
        <is>
          <t>SIMULATED Commercial FA Study</t>
        </is>
      </c>
      <c r="B138" t="inlineStr">
        <is>
          <t>P22</t>
        </is>
      </c>
      <c r="C138" t="inlineStr">
        <is>
          <t>F</t>
        </is>
      </c>
      <c r="D138" t="n">
        <v>24</v>
      </c>
      <c r="E138" t="inlineStr">
        <is>
          <t>B_C1first</t>
        </is>
      </c>
      <c r="F138" t="inlineStr">
        <is>
          <t>Stimulus</t>
        </is>
      </c>
      <c r="G138" t="inlineStr">
        <is>
          <t>Baseline_1</t>
        </is>
      </c>
      <c r="H138" t="n">
        <v>35000</v>
      </c>
      <c r="I138" t="n">
        <v>60000</v>
      </c>
      <c r="J138" t="inlineStr">
        <is>
          <t>Baseline_1</t>
        </is>
      </c>
      <c r="K138" s="4" t="n">
        <v>0.5598</v>
      </c>
      <c r="L138" t="inlineStr">
        <is>
          <t>Frontal Asymmetry (Enobio EEG)</t>
        </is>
      </c>
      <c r="M138">
        <f>LEFT(E138,1)</f>
        <v/>
      </c>
      <c r="N138">
        <f>MID(E138,3,10)</f>
        <v/>
      </c>
      <c r="O138">
        <f>IF(F138="Stimulus",IF(LEFT(G138,8)="Baseline",G138,IF(LEFT(G138,12)="Commercial_1","C1","C2")),IF(G138="KeyScene","KeyScene",IF(LEFT(J138,12)="Commercial_1","EndScene_C1","EndScene_C2")))</f>
        <v/>
      </c>
      <c r="P138">
        <f>IF(COUNTIFS(Artifact!$B$2:$B$385,B138,Artifact!$K$2:$K$385,"&gt;25")+COUNTIFS(Log!$A$2:$A$49,B138,Log!$H$2:$H$49,"Red")+COUNTIFS(Log!$A$2:$A$49,B138,Log!$I$2:$I$49,"Red")&gt;0,"No","Yes")</f>
        <v/>
      </c>
      <c r="Q138">
        <f>IF(COUNTIFS(Artifact!$B$2:$B$385,B138,Artifact!$K$2:$K$385,"&gt;15")+COUNTIFS(Log!$A$2:$A$49,B138,Log!$H$2:$H$49,"Red")+COUNTIFS(Log!$A$2:$A$49,B138,Log!$I$2:$I$49,"Red")&gt;0,"No","Yes")</f>
        <v/>
      </c>
    </row>
    <row r="139">
      <c r="A139" t="inlineStr">
        <is>
          <t>SIMULATED Commercial FA Study</t>
        </is>
      </c>
      <c r="B139" t="inlineStr">
        <is>
          <t>P22</t>
        </is>
      </c>
      <c r="C139" t="inlineStr">
        <is>
          <t>F</t>
        </is>
      </c>
      <c r="D139" t="n">
        <v>24</v>
      </c>
      <c r="E139" t="inlineStr">
        <is>
          <t>B_C1first</t>
        </is>
      </c>
      <c r="F139" t="inlineStr">
        <is>
          <t>Stimulus</t>
        </is>
      </c>
      <c r="G139" t="inlineStr">
        <is>
          <t>Commercial_1B</t>
        </is>
      </c>
      <c r="H139" t="n">
        <v>95000</v>
      </c>
      <c r="I139" t="n">
        <v>54000</v>
      </c>
      <c r="J139" t="inlineStr">
        <is>
          <t>Commercial_1B</t>
        </is>
      </c>
      <c r="K139" s="4" t="n">
        <v>0.599</v>
      </c>
      <c r="L139" t="inlineStr">
        <is>
          <t>Frontal Asymmetry (Enobio EEG)</t>
        </is>
      </c>
      <c r="M139">
        <f>LEFT(E139,1)</f>
        <v/>
      </c>
      <c r="N139">
        <f>MID(E139,3,10)</f>
        <v/>
      </c>
      <c r="O139">
        <f>IF(F139="Stimulus",IF(LEFT(G139,8)="Baseline",G139,IF(LEFT(G139,12)="Commercial_1","C1","C2")),IF(G139="KeyScene","KeyScene",IF(LEFT(J139,12)="Commercial_1","EndScene_C1","EndScene_C2")))</f>
        <v/>
      </c>
      <c r="P139">
        <f>IF(COUNTIFS(Artifact!$B$2:$B$385,B139,Artifact!$K$2:$K$385,"&gt;25")+COUNTIFS(Log!$A$2:$A$49,B139,Log!$H$2:$H$49,"Red")+COUNTIFS(Log!$A$2:$A$49,B139,Log!$I$2:$I$49,"Red")&gt;0,"No","Yes")</f>
        <v/>
      </c>
      <c r="Q139">
        <f>IF(COUNTIFS(Artifact!$B$2:$B$385,B139,Artifact!$K$2:$K$385,"&gt;15")+COUNTIFS(Log!$A$2:$A$49,B139,Log!$H$2:$H$49,"Red")+COUNTIFS(Log!$A$2:$A$49,B139,Log!$I$2:$I$49,"Red")&gt;0,"No","Yes")</f>
        <v/>
      </c>
    </row>
    <row r="140">
      <c r="A140" t="inlineStr">
        <is>
          <t>SIMULATED Commercial FA Study</t>
        </is>
      </c>
      <c r="B140" t="inlineStr">
        <is>
          <t>P22</t>
        </is>
      </c>
      <c r="C140" t="inlineStr">
        <is>
          <t>F</t>
        </is>
      </c>
      <c r="D140" t="n">
        <v>24</v>
      </c>
      <c r="E140" t="inlineStr">
        <is>
          <t>B_C1first</t>
        </is>
      </c>
      <c r="F140" t="inlineStr">
        <is>
          <t>Stimulus</t>
        </is>
      </c>
      <c r="G140" t="inlineStr">
        <is>
          <t>Baseline_2</t>
        </is>
      </c>
      <c r="H140" t="n">
        <v>179000</v>
      </c>
      <c r="I140" t="n">
        <v>60000</v>
      </c>
      <c r="J140" t="inlineStr">
        <is>
          <t>Baseline_2</t>
        </is>
      </c>
      <c r="K140" s="4" t="n">
        <v>0.5558</v>
      </c>
      <c r="L140" t="inlineStr">
        <is>
          <t>Frontal Asymmetry (Enobio EEG)</t>
        </is>
      </c>
      <c r="M140">
        <f>LEFT(E140,1)</f>
        <v/>
      </c>
      <c r="N140">
        <f>MID(E140,3,10)</f>
        <v/>
      </c>
      <c r="O140">
        <f>IF(F140="Stimulus",IF(LEFT(G140,8)="Baseline",G140,IF(LEFT(G140,12)="Commercial_1","C1","C2")),IF(G140="KeyScene","KeyScene",IF(LEFT(J140,12)="Commercial_1","EndScene_C1","EndScene_C2")))</f>
        <v/>
      </c>
      <c r="P140">
        <f>IF(COUNTIFS(Artifact!$B$2:$B$385,B140,Artifact!$K$2:$K$385,"&gt;25")+COUNTIFS(Log!$A$2:$A$49,B140,Log!$H$2:$H$49,"Red")+COUNTIFS(Log!$A$2:$A$49,B140,Log!$I$2:$I$49,"Red")&gt;0,"No","Yes")</f>
        <v/>
      </c>
      <c r="Q140">
        <f>IF(COUNTIFS(Artifact!$B$2:$B$385,B140,Artifact!$K$2:$K$385,"&gt;15")+COUNTIFS(Log!$A$2:$A$49,B140,Log!$H$2:$H$49,"Red")+COUNTIFS(Log!$A$2:$A$49,B140,Log!$I$2:$I$49,"Red")&gt;0,"No","Yes")</f>
        <v/>
      </c>
    </row>
    <row r="141">
      <c r="A141" t="inlineStr">
        <is>
          <t>SIMULATED Commercial FA Study</t>
        </is>
      </c>
      <c r="B141" t="inlineStr">
        <is>
          <t>P22</t>
        </is>
      </c>
      <c r="C141" t="inlineStr">
        <is>
          <t>F</t>
        </is>
      </c>
      <c r="D141" t="n">
        <v>24</v>
      </c>
      <c r="E141" t="inlineStr">
        <is>
          <t>B_C1first</t>
        </is>
      </c>
      <c r="F141" t="inlineStr">
        <is>
          <t>Stimulus</t>
        </is>
      </c>
      <c r="G141" t="inlineStr">
        <is>
          <t>Commercial_2</t>
        </is>
      </c>
      <c r="H141" t="n">
        <v>239000</v>
      </c>
      <c r="I141" t="n">
        <v>60000</v>
      </c>
      <c r="J141" t="inlineStr">
        <is>
          <t>Commercial_2</t>
        </is>
      </c>
      <c r="K141" s="4" t="n">
        <v>0.5138</v>
      </c>
      <c r="L141" t="inlineStr">
        <is>
          <t>Frontal Asymmetry (Enobio EEG)</t>
        </is>
      </c>
      <c r="M141">
        <f>LEFT(E141,1)</f>
        <v/>
      </c>
      <c r="N141">
        <f>MID(E141,3,10)</f>
        <v/>
      </c>
      <c r="O141">
        <f>IF(F141="Stimulus",IF(LEFT(G141,8)="Baseline",G141,IF(LEFT(G141,12)="Commercial_1","C1","C2")),IF(G141="KeyScene","KeyScene",IF(LEFT(J141,12)="Commercial_1","EndScene_C1","EndScene_C2")))</f>
        <v/>
      </c>
      <c r="P141">
        <f>IF(COUNTIFS(Artifact!$B$2:$B$385,B141,Artifact!$K$2:$K$385,"&gt;25")+COUNTIFS(Log!$A$2:$A$49,B141,Log!$H$2:$H$49,"Red")+COUNTIFS(Log!$A$2:$A$49,B141,Log!$I$2:$I$49,"Red")&gt;0,"No","Yes")</f>
        <v/>
      </c>
      <c r="Q141">
        <f>IF(COUNTIFS(Artifact!$B$2:$B$385,B141,Artifact!$K$2:$K$385,"&gt;15")+COUNTIFS(Log!$A$2:$A$49,B141,Log!$H$2:$H$49,"Red")+COUNTIFS(Log!$A$2:$A$49,B141,Log!$I$2:$I$49,"Red")&gt;0,"No","Yes")</f>
        <v/>
      </c>
    </row>
    <row r="142">
      <c r="A142" t="inlineStr">
        <is>
          <t>SIMULATED Commercial FA Study</t>
        </is>
      </c>
      <c r="B142" t="inlineStr">
        <is>
          <t>P22</t>
        </is>
      </c>
      <c r="C142" t="inlineStr">
        <is>
          <t>F</t>
        </is>
      </c>
      <c r="D142" t="n">
        <v>24</v>
      </c>
      <c r="E142" t="inlineStr">
        <is>
          <t>B_C1first</t>
        </is>
      </c>
      <c r="F142" t="inlineStr">
        <is>
          <t>Annotation</t>
        </is>
      </c>
      <c r="G142" t="inlineStr">
        <is>
          <t>EndScene</t>
        </is>
      </c>
      <c r="H142" t="n">
        <v>139000</v>
      </c>
      <c r="I142" t="n">
        <v>10000</v>
      </c>
      <c r="J142" t="inlineStr">
        <is>
          <t>Commercial_1B</t>
        </is>
      </c>
      <c r="K142" s="4" t="n">
        <v>0.6327</v>
      </c>
      <c r="L142" t="inlineStr">
        <is>
          <t>Frontal Asymmetry (Enobio EEG)</t>
        </is>
      </c>
      <c r="M142">
        <f>LEFT(E142,1)</f>
        <v/>
      </c>
      <c r="N142">
        <f>MID(E142,3,10)</f>
        <v/>
      </c>
      <c r="O142">
        <f>IF(F142="Stimulus",IF(LEFT(G142,8)="Baseline",G142,IF(LEFT(G142,12)="Commercial_1","C1","C2")),IF(G142="KeyScene","KeyScene",IF(LEFT(J142,12)="Commercial_1","EndScene_C1","EndScene_C2")))</f>
        <v/>
      </c>
      <c r="P142">
        <f>IF(COUNTIFS(Artifact!$B$2:$B$385,B142,Artifact!$K$2:$K$385,"&gt;25")+COUNTIFS(Log!$A$2:$A$49,B142,Log!$H$2:$H$49,"Red")+COUNTIFS(Log!$A$2:$A$49,B142,Log!$I$2:$I$49,"Red")&gt;0,"No","Yes")</f>
        <v/>
      </c>
      <c r="Q142">
        <f>IF(COUNTIFS(Artifact!$B$2:$B$385,B142,Artifact!$K$2:$K$385,"&gt;15")+COUNTIFS(Log!$A$2:$A$49,B142,Log!$H$2:$H$49,"Red")+COUNTIFS(Log!$A$2:$A$49,B142,Log!$I$2:$I$49,"Red")&gt;0,"No","Yes")</f>
        <v/>
      </c>
    </row>
    <row r="143">
      <c r="A143" t="inlineStr">
        <is>
          <t>SIMULATED Commercial FA Study</t>
        </is>
      </c>
      <c r="B143" t="inlineStr">
        <is>
          <t>P22</t>
        </is>
      </c>
      <c r="C143" t="inlineStr">
        <is>
          <t>F</t>
        </is>
      </c>
      <c r="D143" t="n">
        <v>24</v>
      </c>
      <c r="E143" t="inlineStr">
        <is>
          <t>B_C1first</t>
        </is>
      </c>
      <c r="F143" t="inlineStr">
        <is>
          <t>Annotation</t>
        </is>
      </c>
      <c r="G143" t="inlineStr">
        <is>
          <t>EndScene</t>
        </is>
      </c>
      <c r="H143" t="n">
        <v>289000</v>
      </c>
      <c r="I143" t="n">
        <v>10000</v>
      </c>
      <c r="J143" t="inlineStr">
        <is>
          <t>Commercial_2</t>
        </is>
      </c>
      <c r="K143" s="4" t="n">
        <v>0.6481</v>
      </c>
      <c r="L143" t="inlineStr">
        <is>
          <t>Frontal Asymmetry (Enobio EEG)</t>
        </is>
      </c>
      <c r="M143">
        <f>LEFT(E143,1)</f>
        <v/>
      </c>
      <c r="N143">
        <f>MID(E143,3,10)</f>
        <v/>
      </c>
      <c r="O143">
        <f>IF(F143="Stimulus",IF(LEFT(G143,8)="Baseline",G143,IF(LEFT(G143,12)="Commercial_1","C1","C2")),IF(G143="KeyScene","KeyScene",IF(LEFT(J143,12)="Commercial_1","EndScene_C1","EndScene_C2")))</f>
        <v/>
      </c>
      <c r="P143">
        <f>IF(COUNTIFS(Artifact!$B$2:$B$385,B143,Artifact!$K$2:$K$385,"&gt;25")+COUNTIFS(Log!$A$2:$A$49,B143,Log!$H$2:$H$49,"Red")+COUNTIFS(Log!$A$2:$A$49,B143,Log!$I$2:$I$49,"Red")&gt;0,"No","Yes")</f>
        <v/>
      </c>
      <c r="Q143">
        <f>IF(COUNTIFS(Artifact!$B$2:$B$385,B143,Artifact!$K$2:$K$385,"&gt;15")+COUNTIFS(Log!$A$2:$A$49,B143,Log!$H$2:$H$49,"Red")+COUNTIFS(Log!$A$2:$A$49,B143,Log!$I$2:$I$49,"Red")&gt;0,"No","Yes")</f>
        <v/>
      </c>
    </row>
    <row r="144">
      <c r="A144" t="inlineStr">
        <is>
          <t>SIMULATED Commercial FA Study</t>
        </is>
      </c>
      <c r="B144" t="inlineStr">
        <is>
          <t>P23</t>
        </is>
      </c>
      <c r="C144" t="inlineStr">
        <is>
          <t>F</t>
        </is>
      </c>
      <c r="D144" t="n">
        <v>22</v>
      </c>
      <c r="E144" t="inlineStr">
        <is>
          <t>A_C2first</t>
        </is>
      </c>
      <c r="F144" t="inlineStr">
        <is>
          <t>Stimulus</t>
        </is>
      </c>
      <c r="G144" t="inlineStr">
        <is>
          <t>Baseline_1</t>
        </is>
      </c>
      <c r="H144" t="n">
        <v>30000</v>
      </c>
      <c r="I144" t="n">
        <v>60000</v>
      </c>
      <c r="J144" t="inlineStr">
        <is>
          <t>Baseline_1</t>
        </is>
      </c>
      <c r="K144" s="4" t="n">
        <v>0.9009</v>
      </c>
      <c r="L144" t="inlineStr">
        <is>
          <t>Frontal Asymmetry (Enobio EEG)</t>
        </is>
      </c>
      <c r="M144">
        <f>LEFT(E144,1)</f>
        <v/>
      </c>
      <c r="N144">
        <f>MID(E144,3,10)</f>
        <v/>
      </c>
      <c r="O144">
        <f>IF(F144="Stimulus",IF(LEFT(G144,8)="Baseline",G144,IF(LEFT(G144,12)="Commercial_1","C1","C2")),IF(G144="KeyScene","KeyScene",IF(LEFT(J144,12)="Commercial_1","EndScene_C1","EndScene_C2")))</f>
        <v/>
      </c>
      <c r="P144">
        <f>IF(COUNTIFS(Artifact!$B$2:$B$385,B144,Artifact!$K$2:$K$385,"&gt;25")+COUNTIFS(Log!$A$2:$A$49,B144,Log!$H$2:$H$49,"Red")+COUNTIFS(Log!$A$2:$A$49,B144,Log!$I$2:$I$49,"Red")&gt;0,"No","Yes")</f>
        <v/>
      </c>
      <c r="Q144">
        <f>IF(COUNTIFS(Artifact!$B$2:$B$385,B144,Artifact!$K$2:$K$385,"&gt;15")+COUNTIFS(Log!$A$2:$A$49,B144,Log!$H$2:$H$49,"Red")+COUNTIFS(Log!$A$2:$A$49,B144,Log!$I$2:$I$49,"Red")&gt;0,"No","Yes")</f>
        <v/>
      </c>
    </row>
    <row r="145">
      <c r="A145" t="inlineStr">
        <is>
          <t>SIMULATED Commercial FA Study</t>
        </is>
      </c>
      <c r="B145" t="inlineStr">
        <is>
          <t>P23</t>
        </is>
      </c>
      <c r="C145" t="inlineStr">
        <is>
          <t>F</t>
        </is>
      </c>
      <c r="D145" t="n">
        <v>22</v>
      </c>
      <c r="E145" t="inlineStr">
        <is>
          <t>A_C2first</t>
        </is>
      </c>
      <c r="F145" t="inlineStr">
        <is>
          <t>Stimulus</t>
        </is>
      </c>
      <c r="G145" t="inlineStr">
        <is>
          <t>Commercial_2</t>
        </is>
      </c>
      <c r="H145" t="n">
        <v>90000</v>
      </c>
      <c r="I145" t="n">
        <v>60000</v>
      </c>
      <c r="J145" t="inlineStr">
        <is>
          <t>Commercial_2</t>
        </is>
      </c>
      <c r="K145" s="4" t="n">
        <v>0.8853</v>
      </c>
      <c r="L145" t="inlineStr">
        <is>
          <t>Frontal Asymmetry (Enobio EEG)</t>
        </is>
      </c>
      <c r="M145">
        <f>LEFT(E145,1)</f>
        <v/>
      </c>
      <c r="N145">
        <f>MID(E145,3,10)</f>
        <v/>
      </c>
      <c r="O145">
        <f>IF(F145="Stimulus",IF(LEFT(G145,8)="Baseline",G145,IF(LEFT(G145,12)="Commercial_1","C1","C2")),IF(G145="KeyScene","KeyScene",IF(LEFT(J145,12)="Commercial_1","EndScene_C1","EndScene_C2")))</f>
        <v/>
      </c>
      <c r="P145">
        <f>IF(COUNTIFS(Artifact!$B$2:$B$385,B145,Artifact!$K$2:$K$385,"&gt;25")+COUNTIFS(Log!$A$2:$A$49,B145,Log!$H$2:$H$49,"Red")+COUNTIFS(Log!$A$2:$A$49,B145,Log!$I$2:$I$49,"Red")&gt;0,"No","Yes")</f>
        <v/>
      </c>
      <c r="Q145">
        <f>IF(COUNTIFS(Artifact!$B$2:$B$385,B145,Artifact!$K$2:$K$385,"&gt;15")+COUNTIFS(Log!$A$2:$A$49,B145,Log!$H$2:$H$49,"Red")+COUNTIFS(Log!$A$2:$A$49,B145,Log!$I$2:$I$49,"Red")&gt;0,"No","Yes")</f>
        <v/>
      </c>
    </row>
    <row r="146">
      <c r="A146" t="inlineStr">
        <is>
          <t>SIMULATED Commercial FA Study</t>
        </is>
      </c>
      <c r="B146" t="inlineStr">
        <is>
          <t>P23</t>
        </is>
      </c>
      <c r="C146" t="inlineStr">
        <is>
          <t>F</t>
        </is>
      </c>
      <c r="D146" t="n">
        <v>22</v>
      </c>
      <c r="E146" t="inlineStr">
        <is>
          <t>A_C2first</t>
        </is>
      </c>
      <c r="F146" t="inlineStr">
        <is>
          <t>Stimulus</t>
        </is>
      </c>
      <c r="G146" t="inlineStr">
        <is>
          <t>Baseline_2</t>
        </is>
      </c>
      <c r="H146" t="n">
        <v>208000</v>
      </c>
      <c r="I146" t="n">
        <v>60000</v>
      </c>
      <c r="J146" t="inlineStr">
        <is>
          <t>Baseline_2</t>
        </is>
      </c>
      <c r="K146" s="4" t="n">
        <v>0.8858</v>
      </c>
      <c r="L146" t="inlineStr">
        <is>
          <t>Frontal Asymmetry (Enobio EEG)</t>
        </is>
      </c>
      <c r="M146">
        <f>LEFT(E146,1)</f>
        <v/>
      </c>
      <c r="N146">
        <f>MID(E146,3,10)</f>
        <v/>
      </c>
      <c r="O146">
        <f>IF(F146="Stimulus",IF(LEFT(G146,8)="Baseline",G146,IF(LEFT(G146,12)="Commercial_1","C1","C2")),IF(G146="KeyScene","KeyScene",IF(LEFT(J146,12)="Commercial_1","EndScene_C1","EndScene_C2")))</f>
        <v/>
      </c>
      <c r="P146">
        <f>IF(COUNTIFS(Artifact!$B$2:$B$385,B146,Artifact!$K$2:$K$385,"&gt;25")+COUNTIFS(Log!$A$2:$A$49,B146,Log!$H$2:$H$49,"Red")+COUNTIFS(Log!$A$2:$A$49,B146,Log!$I$2:$I$49,"Red")&gt;0,"No","Yes")</f>
        <v/>
      </c>
      <c r="Q146">
        <f>IF(COUNTIFS(Artifact!$B$2:$B$385,B146,Artifact!$K$2:$K$385,"&gt;15")+COUNTIFS(Log!$A$2:$A$49,B146,Log!$H$2:$H$49,"Red")+COUNTIFS(Log!$A$2:$A$49,B146,Log!$I$2:$I$49,"Red")&gt;0,"No","Yes")</f>
        <v/>
      </c>
    </row>
    <row r="147">
      <c r="A147" t="inlineStr">
        <is>
          <t>SIMULATED Commercial FA Study</t>
        </is>
      </c>
      <c r="B147" t="inlineStr">
        <is>
          <t>P23</t>
        </is>
      </c>
      <c r="C147" t="inlineStr">
        <is>
          <t>F</t>
        </is>
      </c>
      <c r="D147" t="n">
        <v>22</v>
      </c>
      <c r="E147" t="inlineStr">
        <is>
          <t>A_C2first</t>
        </is>
      </c>
      <c r="F147" t="inlineStr">
        <is>
          <t>Stimulus</t>
        </is>
      </c>
      <c r="G147" t="inlineStr">
        <is>
          <t>Commercial_1A</t>
        </is>
      </c>
      <c r="H147" t="n">
        <v>268000</v>
      </c>
      <c r="I147" t="n">
        <v>60000</v>
      </c>
      <c r="J147" t="inlineStr">
        <is>
          <t>Commercial_1A</t>
        </is>
      </c>
      <c r="K147" s="4" t="n">
        <v>0.9137999999999999</v>
      </c>
      <c r="L147" t="inlineStr">
        <is>
          <t>Frontal Asymmetry (Enobio EEG)</t>
        </is>
      </c>
      <c r="M147">
        <f>LEFT(E147,1)</f>
        <v/>
      </c>
      <c r="N147">
        <f>MID(E147,3,10)</f>
        <v/>
      </c>
      <c r="O147">
        <f>IF(F147="Stimulus",IF(LEFT(G147,8)="Baseline",G147,IF(LEFT(G147,12)="Commercial_1","C1","C2")),IF(G147="KeyScene","KeyScene",IF(LEFT(J147,12)="Commercial_1","EndScene_C1","EndScene_C2")))</f>
        <v/>
      </c>
      <c r="P147">
        <f>IF(COUNTIFS(Artifact!$B$2:$B$385,B147,Artifact!$K$2:$K$385,"&gt;25")+COUNTIFS(Log!$A$2:$A$49,B147,Log!$H$2:$H$49,"Red")+COUNTIFS(Log!$A$2:$A$49,B147,Log!$I$2:$I$49,"Red")&gt;0,"No","Yes")</f>
        <v/>
      </c>
      <c r="Q147">
        <f>IF(COUNTIFS(Artifact!$B$2:$B$385,B147,Artifact!$K$2:$K$385,"&gt;15")+COUNTIFS(Log!$A$2:$A$49,B147,Log!$H$2:$H$49,"Red")+COUNTIFS(Log!$A$2:$A$49,B147,Log!$I$2:$I$49,"Red")&gt;0,"No","Yes")</f>
        <v/>
      </c>
    </row>
    <row r="148">
      <c r="A148" t="inlineStr">
        <is>
          <t>SIMULATED Commercial FA Study</t>
        </is>
      </c>
      <c r="B148" t="inlineStr">
        <is>
          <t>P23</t>
        </is>
      </c>
      <c r="C148" t="inlineStr">
        <is>
          <t>F</t>
        </is>
      </c>
      <c r="D148" t="n">
        <v>22</v>
      </c>
      <c r="E148" t="inlineStr">
        <is>
          <t>A_C2first</t>
        </is>
      </c>
      <c r="F148" t="inlineStr">
        <is>
          <t>Annotation</t>
        </is>
      </c>
      <c r="G148" t="inlineStr">
        <is>
          <t>EndScene</t>
        </is>
      </c>
      <c r="H148" t="n">
        <v>140000</v>
      </c>
      <c r="I148" t="n">
        <v>10000</v>
      </c>
      <c r="J148" t="inlineStr">
        <is>
          <t>Commercial_2</t>
        </is>
      </c>
      <c r="K148" s="4" t="n">
        <v>0.8861</v>
      </c>
      <c r="L148" t="inlineStr">
        <is>
          <t>Frontal Asymmetry (Enobio EEG)</t>
        </is>
      </c>
      <c r="M148">
        <f>LEFT(E148,1)</f>
        <v/>
      </c>
      <c r="N148">
        <f>MID(E148,3,10)</f>
        <v/>
      </c>
      <c r="O148">
        <f>IF(F148="Stimulus",IF(LEFT(G148,8)="Baseline",G148,IF(LEFT(G148,12)="Commercial_1","C1","C2")),IF(G148="KeyScene","KeyScene",IF(LEFT(J148,12)="Commercial_1","EndScene_C1","EndScene_C2")))</f>
        <v/>
      </c>
      <c r="P148">
        <f>IF(COUNTIFS(Artifact!$B$2:$B$385,B148,Artifact!$K$2:$K$385,"&gt;25")+COUNTIFS(Log!$A$2:$A$49,B148,Log!$H$2:$H$49,"Red")+COUNTIFS(Log!$A$2:$A$49,B148,Log!$I$2:$I$49,"Red")&gt;0,"No","Yes")</f>
        <v/>
      </c>
      <c r="Q148">
        <f>IF(COUNTIFS(Artifact!$B$2:$B$385,B148,Artifact!$K$2:$K$385,"&gt;15")+COUNTIFS(Log!$A$2:$A$49,B148,Log!$H$2:$H$49,"Red")+COUNTIFS(Log!$A$2:$A$49,B148,Log!$I$2:$I$49,"Red")&gt;0,"No","Yes")</f>
        <v/>
      </c>
    </row>
    <row r="149">
      <c r="A149" t="inlineStr">
        <is>
          <t>SIMULATED Commercial FA Study</t>
        </is>
      </c>
      <c r="B149" t="inlineStr">
        <is>
          <t>P23</t>
        </is>
      </c>
      <c r="C149" t="inlineStr">
        <is>
          <t>F</t>
        </is>
      </c>
      <c r="D149" t="n">
        <v>22</v>
      </c>
      <c r="E149" t="inlineStr">
        <is>
          <t>A_C2first</t>
        </is>
      </c>
      <c r="F149" t="inlineStr">
        <is>
          <t>Annotation</t>
        </is>
      </c>
      <c r="G149" t="inlineStr">
        <is>
          <t>KeyScene</t>
        </is>
      </c>
      <c r="H149" t="n">
        <v>300000</v>
      </c>
      <c r="I149" t="n">
        <v>6000</v>
      </c>
      <c r="J149" t="inlineStr">
        <is>
          <t>Commercial_1A</t>
        </is>
      </c>
      <c r="K149" s="4" t="n">
        <v>0.9156</v>
      </c>
      <c r="L149" t="inlineStr">
        <is>
          <t>Frontal Asymmetry (Enobio EEG)</t>
        </is>
      </c>
      <c r="M149">
        <f>LEFT(E149,1)</f>
        <v/>
      </c>
      <c r="N149">
        <f>MID(E149,3,10)</f>
        <v/>
      </c>
      <c r="O149">
        <f>IF(F149="Stimulus",IF(LEFT(G149,8)="Baseline",G149,IF(LEFT(G149,12)="Commercial_1","C1","C2")),IF(G149="KeyScene","KeyScene",IF(LEFT(J149,12)="Commercial_1","EndScene_C1","EndScene_C2")))</f>
        <v/>
      </c>
      <c r="P149">
        <f>IF(COUNTIFS(Artifact!$B$2:$B$385,B149,Artifact!$K$2:$K$385,"&gt;25")+COUNTIFS(Log!$A$2:$A$49,B149,Log!$H$2:$H$49,"Red")+COUNTIFS(Log!$A$2:$A$49,B149,Log!$I$2:$I$49,"Red")&gt;0,"No","Yes")</f>
        <v/>
      </c>
      <c r="Q149">
        <f>IF(COUNTIFS(Artifact!$B$2:$B$385,B149,Artifact!$K$2:$K$385,"&gt;15")+COUNTIFS(Log!$A$2:$A$49,B149,Log!$H$2:$H$49,"Red")+COUNTIFS(Log!$A$2:$A$49,B149,Log!$I$2:$I$49,"Red")&gt;0,"No","Yes")</f>
        <v/>
      </c>
    </row>
    <row r="150">
      <c r="A150" t="inlineStr">
        <is>
          <t>SIMULATED Commercial FA Study</t>
        </is>
      </c>
      <c r="B150" t="inlineStr">
        <is>
          <t>P23</t>
        </is>
      </c>
      <c r="C150" t="inlineStr">
        <is>
          <t>F</t>
        </is>
      </c>
      <c r="D150" t="n">
        <v>22</v>
      </c>
      <c r="E150" t="inlineStr">
        <is>
          <t>A_C2first</t>
        </is>
      </c>
      <c r="F150" t="inlineStr">
        <is>
          <t>Annotation</t>
        </is>
      </c>
      <c r="G150" t="inlineStr">
        <is>
          <t>EndScene</t>
        </is>
      </c>
      <c r="H150" t="n">
        <v>318000</v>
      </c>
      <c r="I150" t="n">
        <v>10000</v>
      </c>
      <c r="J150" t="inlineStr">
        <is>
          <t>Commercial_1A</t>
        </is>
      </c>
      <c r="K150" s="4" t="n">
        <v>0.9751</v>
      </c>
      <c r="L150" t="inlineStr">
        <is>
          <t>Frontal Asymmetry (Enobio EEG)</t>
        </is>
      </c>
      <c r="M150">
        <f>LEFT(E150,1)</f>
        <v/>
      </c>
      <c r="N150">
        <f>MID(E150,3,10)</f>
        <v/>
      </c>
      <c r="O150">
        <f>IF(F150="Stimulus",IF(LEFT(G150,8)="Baseline",G150,IF(LEFT(G150,12)="Commercial_1","C1","C2")),IF(G150="KeyScene","KeyScene",IF(LEFT(J150,12)="Commercial_1","EndScene_C1","EndScene_C2")))</f>
        <v/>
      </c>
      <c r="P150">
        <f>IF(COUNTIFS(Artifact!$B$2:$B$385,B150,Artifact!$K$2:$K$385,"&gt;25")+COUNTIFS(Log!$A$2:$A$49,B150,Log!$H$2:$H$49,"Red")+COUNTIFS(Log!$A$2:$A$49,B150,Log!$I$2:$I$49,"Red")&gt;0,"No","Yes")</f>
        <v/>
      </c>
      <c r="Q150">
        <f>IF(COUNTIFS(Artifact!$B$2:$B$385,B150,Artifact!$K$2:$K$385,"&gt;15")+COUNTIFS(Log!$A$2:$A$49,B150,Log!$H$2:$H$49,"Red")+COUNTIFS(Log!$A$2:$A$49,B150,Log!$I$2:$I$49,"Red")&gt;0,"No","Yes")</f>
        <v/>
      </c>
    </row>
    <row r="151">
      <c r="A151" t="inlineStr">
        <is>
          <t>SIMULATED Commercial FA Study</t>
        </is>
      </c>
      <c r="B151" t="inlineStr">
        <is>
          <t>P24</t>
        </is>
      </c>
      <c r="C151" t="inlineStr">
        <is>
          <t>M</t>
        </is>
      </c>
      <c r="D151" t="n">
        <v>19</v>
      </c>
      <c r="E151" t="inlineStr">
        <is>
          <t>A_C1first</t>
        </is>
      </c>
      <c r="F151" t="inlineStr">
        <is>
          <t>Stimulus</t>
        </is>
      </c>
      <c r="G151" t="inlineStr">
        <is>
          <t>Baseline_1</t>
        </is>
      </c>
      <c r="H151" t="n">
        <v>25000</v>
      </c>
      <c r="I151" t="n">
        <v>60000</v>
      </c>
      <c r="J151" t="inlineStr">
        <is>
          <t>Baseline_1</t>
        </is>
      </c>
      <c r="K151" s="4" t="n">
        <v>0.9520999999999999</v>
      </c>
      <c r="L151" t="inlineStr">
        <is>
          <t>Frontal Asymmetry (Enobio EEG)</t>
        </is>
      </c>
      <c r="M151">
        <f>LEFT(E151,1)</f>
        <v/>
      </c>
      <c r="N151">
        <f>MID(E151,3,10)</f>
        <v/>
      </c>
      <c r="O151">
        <f>IF(F151="Stimulus",IF(LEFT(G151,8)="Baseline",G151,IF(LEFT(G151,12)="Commercial_1","C1","C2")),IF(G151="KeyScene","KeyScene",IF(LEFT(J151,12)="Commercial_1","EndScene_C1","EndScene_C2")))</f>
        <v/>
      </c>
      <c r="P151">
        <f>IF(COUNTIFS(Artifact!$B$2:$B$385,B151,Artifact!$K$2:$K$385,"&gt;25")+COUNTIFS(Log!$A$2:$A$49,B151,Log!$H$2:$H$49,"Red")+COUNTIFS(Log!$A$2:$A$49,B151,Log!$I$2:$I$49,"Red")&gt;0,"No","Yes")</f>
        <v/>
      </c>
      <c r="Q151">
        <f>IF(COUNTIFS(Artifact!$B$2:$B$385,B151,Artifact!$K$2:$K$385,"&gt;15")+COUNTIFS(Log!$A$2:$A$49,B151,Log!$H$2:$H$49,"Red")+COUNTIFS(Log!$A$2:$A$49,B151,Log!$I$2:$I$49,"Red")&gt;0,"No","Yes")</f>
        <v/>
      </c>
    </row>
    <row r="152">
      <c r="A152" t="inlineStr">
        <is>
          <t>SIMULATED Commercial FA Study</t>
        </is>
      </c>
      <c r="B152" t="inlineStr">
        <is>
          <t>P24</t>
        </is>
      </c>
      <c r="C152" t="inlineStr">
        <is>
          <t>M</t>
        </is>
      </c>
      <c r="D152" t="n">
        <v>19</v>
      </c>
      <c r="E152" t="inlineStr">
        <is>
          <t>A_C1first</t>
        </is>
      </c>
      <c r="F152" t="inlineStr">
        <is>
          <t>Stimulus</t>
        </is>
      </c>
      <c r="G152" t="inlineStr">
        <is>
          <t>Commercial_1A</t>
        </is>
      </c>
      <c r="H152" t="n">
        <v>85000</v>
      </c>
      <c r="I152" t="n">
        <v>60000</v>
      </c>
      <c r="J152" t="inlineStr">
        <is>
          <t>Commercial_1A</t>
        </is>
      </c>
      <c r="K152" s="4" t="n">
        <v>0.8939</v>
      </c>
      <c r="L152" t="inlineStr">
        <is>
          <t>Frontal Asymmetry (Enobio EEG)</t>
        </is>
      </c>
      <c r="M152">
        <f>LEFT(E152,1)</f>
        <v/>
      </c>
      <c r="N152">
        <f>MID(E152,3,10)</f>
        <v/>
      </c>
      <c r="O152">
        <f>IF(F152="Stimulus",IF(LEFT(G152,8)="Baseline",G152,IF(LEFT(G152,12)="Commercial_1","C1","C2")),IF(G152="KeyScene","KeyScene",IF(LEFT(J152,12)="Commercial_1","EndScene_C1","EndScene_C2")))</f>
        <v/>
      </c>
      <c r="P152">
        <f>IF(COUNTIFS(Artifact!$B$2:$B$385,B152,Artifact!$K$2:$K$385,"&gt;25")+COUNTIFS(Log!$A$2:$A$49,B152,Log!$H$2:$H$49,"Red")+COUNTIFS(Log!$A$2:$A$49,B152,Log!$I$2:$I$49,"Red")&gt;0,"No","Yes")</f>
        <v/>
      </c>
      <c r="Q152">
        <f>IF(COUNTIFS(Artifact!$B$2:$B$385,B152,Artifact!$K$2:$K$385,"&gt;15")+COUNTIFS(Log!$A$2:$A$49,B152,Log!$H$2:$H$49,"Red")+COUNTIFS(Log!$A$2:$A$49,B152,Log!$I$2:$I$49,"Red")&gt;0,"No","Yes")</f>
        <v/>
      </c>
    </row>
    <row r="153">
      <c r="A153" t="inlineStr">
        <is>
          <t>SIMULATED Commercial FA Study</t>
        </is>
      </c>
      <c r="B153" t="inlineStr">
        <is>
          <t>P24</t>
        </is>
      </c>
      <c r="C153" t="inlineStr">
        <is>
          <t>M</t>
        </is>
      </c>
      <c r="D153" t="n">
        <v>19</v>
      </c>
      <c r="E153" t="inlineStr">
        <is>
          <t>A_C1first</t>
        </is>
      </c>
      <c r="F153" t="inlineStr">
        <is>
          <t>Stimulus</t>
        </is>
      </c>
      <c r="G153" t="inlineStr">
        <is>
          <t>Baseline_2</t>
        </is>
      </c>
      <c r="H153" t="n">
        <v>188000</v>
      </c>
      <c r="I153" t="n">
        <v>60000</v>
      </c>
      <c r="J153" t="inlineStr">
        <is>
          <t>Baseline_2</t>
        </is>
      </c>
      <c r="K153" s="4" t="n">
        <v>0.9258999999999999</v>
      </c>
      <c r="L153" t="inlineStr">
        <is>
          <t>Frontal Asymmetry (Enobio EEG)</t>
        </is>
      </c>
      <c r="M153">
        <f>LEFT(E153,1)</f>
        <v/>
      </c>
      <c r="N153">
        <f>MID(E153,3,10)</f>
        <v/>
      </c>
      <c r="O153">
        <f>IF(F153="Stimulus",IF(LEFT(G153,8)="Baseline",G153,IF(LEFT(G153,12)="Commercial_1","C1","C2")),IF(G153="KeyScene","KeyScene",IF(LEFT(J153,12)="Commercial_1","EndScene_C1","EndScene_C2")))</f>
        <v/>
      </c>
      <c r="P153">
        <f>IF(COUNTIFS(Artifact!$B$2:$B$385,B153,Artifact!$K$2:$K$385,"&gt;25")+COUNTIFS(Log!$A$2:$A$49,B153,Log!$H$2:$H$49,"Red")+COUNTIFS(Log!$A$2:$A$49,B153,Log!$I$2:$I$49,"Red")&gt;0,"No","Yes")</f>
        <v/>
      </c>
      <c r="Q153">
        <f>IF(COUNTIFS(Artifact!$B$2:$B$385,B153,Artifact!$K$2:$K$385,"&gt;15")+COUNTIFS(Log!$A$2:$A$49,B153,Log!$H$2:$H$49,"Red")+COUNTIFS(Log!$A$2:$A$49,B153,Log!$I$2:$I$49,"Red")&gt;0,"No","Yes")</f>
        <v/>
      </c>
    </row>
    <row r="154">
      <c r="A154" t="inlineStr">
        <is>
          <t>SIMULATED Commercial FA Study</t>
        </is>
      </c>
      <c r="B154" t="inlineStr">
        <is>
          <t>P24</t>
        </is>
      </c>
      <c r="C154" t="inlineStr">
        <is>
          <t>M</t>
        </is>
      </c>
      <c r="D154" t="n">
        <v>19</v>
      </c>
      <c r="E154" t="inlineStr">
        <is>
          <t>A_C1first</t>
        </is>
      </c>
      <c r="F154" t="inlineStr">
        <is>
          <t>Stimulus</t>
        </is>
      </c>
      <c r="G154" t="inlineStr">
        <is>
          <t>Commercial_2</t>
        </is>
      </c>
      <c r="H154" t="n">
        <v>248000</v>
      </c>
      <c r="I154" t="n">
        <v>60000</v>
      </c>
      <c r="J154" t="inlineStr">
        <is>
          <t>Commercial_2</t>
        </is>
      </c>
      <c r="K154" s="4" t="n">
        <v>0.9091</v>
      </c>
      <c r="L154" t="inlineStr">
        <is>
          <t>Frontal Asymmetry (Enobio EEG)</t>
        </is>
      </c>
      <c r="M154">
        <f>LEFT(E154,1)</f>
        <v/>
      </c>
      <c r="N154">
        <f>MID(E154,3,10)</f>
        <v/>
      </c>
      <c r="O154">
        <f>IF(F154="Stimulus",IF(LEFT(G154,8)="Baseline",G154,IF(LEFT(G154,12)="Commercial_1","C1","C2")),IF(G154="KeyScene","KeyScene",IF(LEFT(J154,12)="Commercial_1","EndScene_C1","EndScene_C2")))</f>
        <v/>
      </c>
      <c r="P154">
        <f>IF(COUNTIFS(Artifact!$B$2:$B$385,B154,Artifact!$K$2:$K$385,"&gt;25")+COUNTIFS(Log!$A$2:$A$49,B154,Log!$H$2:$H$49,"Red")+COUNTIFS(Log!$A$2:$A$49,B154,Log!$I$2:$I$49,"Red")&gt;0,"No","Yes")</f>
        <v/>
      </c>
      <c r="Q154">
        <f>IF(COUNTIFS(Artifact!$B$2:$B$385,B154,Artifact!$K$2:$K$385,"&gt;15")+COUNTIFS(Log!$A$2:$A$49,B154,Log!$H$2:$H$49,"Red")+COUNTIFS(Log!$A$2:$A$49,B154,Log!$I$2:$I$49,"Red")&gt;0,"No","Yes")</f>
        <v/>
      </c>
    </row>
    <row r="155">
      <c r="A155" t="inlineStr">
        <is>
          <t>SIMULATED Commercial FA Study</t>
        </is>
      </c>
      <c r="B155" t="inlineStr">
        <is>
          <t>P24</t>
        </is>
      </c>
      <c r="C155" t="inlineStr">
        <is>
          <t>M</t>
        </is>
      </c>
      <c r="D155" t="n">
        <v>19</v>
      </c>
      <c r="E155" t="inlineStr">
        <is>
          <t>A_C1first</t>
        </is>
      </c>
      <c r="F155" t="inlineStr">
        <is>
          <t>Annotation</t>
        </is>
      </c>
      <c r="G155" t="inlineStr">
        <is>
          <t>KeyScene</t>
        </is>
      </c>
      <c r="H155" t="n">
        <v>117000</v>
      </c>
      <c r="I155" t="n">
        <v>6000</v>
      </c>
      <c r="J155" t="inlineStr">
        <is>
          <t>Commercial_1A</t>
        </is>
      </c>
      <c r="K155" s="4" t="n">
        <v>0.6859</v>
      </c>
      <c r="L155" t="inlineStr">
        <is>
          <t>Frontal Asymmetry (Enobio EEG)</t>
        </is>
      </c>
      <c r="M155">
        <f>LEFT(E155,1)</f>
        <v/>
      </c>
      <c r="N155">
        <f>MID(E155,3,10)</f>
        <v/>
      </c>
      <c r="O155">
        <f>IF(F155="Stimulus",IF(LEFT(G155,8)="Baseline",G155,IF(LEFT(G155,12)="Commercial_1","C1","C2")),IF(G155="KeyScene","KeyScene",IF(LEFT(J155,12)="Commercial_1","EndScene_C1","EndScene_C2")))</f>
        <v/>
      </c>
      <c r="P155">
        <f>IF(COUNTIFS(Artifact!$B$2:$B$385,B155,Artifact!$K$2:$K$385,"&gt;25")+COUNTIFS(Log!$A$2:$A$49,B155,Log!$H$2:$H$49,"Red")+COUNTIFS(Log!$A$2:$A$49,B155,Log!$I$2:$I$49,"Red")&gt;0,"No","Yes")</f>
        <v/>
      </c>
      <c r="Q155">
        <f>IF(COUNTIFS(Artifact!$B$2:$B$385,B155,Artifact!$K$2:$K$385,"&gt;15")+COUNTIFS(Log!$A$2:$A$49,B155,Log!$H$2:$H$49,"Red")+COUNTIFS(Log!$A$2:$A$49,B155,Log!$I$2:$I$49,"Red")&gt;0,"No","Yes")</f>
        <v/>
      </c>
    </row>
    <row r="156">
      <c r="A156" t="inlineStr">
        <is>
          <t>SIMULATED Commercial FA Study</t>
        </is>
      </c>
      <c r="B156" t="inlineStr">
        <is>
          <t>P24</t>
        </is>
      </c>
      <c r="C156" t="inlineStr">
        <is>
          <t>M</t>
        </is>
      </c>
      <c r="D156" t="n">
        <v>19</v>
      </c>
      <c r="E156" t="inlineStr">
        <is>
          <t>A_C1first</t>
        </is>
      </c>
      <c r="F156" t="inlineStr">
        <is>
          <t>Annotation</t>
        </is>
      </c>
      <c r="G156" t="inlineStr">
        <is>
          <t>EndScene</t>
        </is>
      </c>
      <c r="H156" t="n">
        <v>135000</v>
      </c>
      <c r="I156" t="n">
        <v>10000</v>
      </c>
      <c r="J156" t="inlineStr">
        <is>
          <t>Commercial_1A</t>
        </is>
      </c>
      <c r="K156" s="4" t="n">
        <v>0.9841</v>
      </c>
      <c r="L156" t="inlineStr">
        <is>
          <t>Frontal Asymmetry (Enobio EEG)</t>
        </is>
      </c>
      <c r="M156">
        <f>LEFT(E156,1)</f>
        <v/>
      </c>
      <c r="N156">
        <f>MID(E156,3,10)</f>
        <v/>
      </c>
      <c r="O156">
        <f>IF(F156="Stimulus",IF(LEFT(G156,8)="Baseline",G156,IF(LEFT(G156,12)="Commercial_1","C1","C2")),IF(G156="KeyScene","KeyScene",IF(LEFT(J156,12)="Commercial_1","EndScene_C1","EndScene_C2")))</f>
        <v/>
      </c>
      <c r="P156">
        <f>IF(COUNTIFS(Artifact!$B$2:$B$385,B156,Artifact!$K$2:$K$385,"&gt;25")+COUNTIFS(Log!$A$2:$A$49,B156,Log!$H$2:$H$49,"Red")+COUNTIFS(Log!$A$2:$A$49,B156,Log!$I$2:$I$49,"Red")&gt;0,"No","Yes")</f>
        <v/>
      </c>
      <c r="Q156">
        <f>IF(COUNTIFS(Artifact!$B$2:$B$385,B156,Artifact!$K$2:$K$385,"&gt;15")+COUNTIFS(Log!$A$2:$A$49,B156,Log!$H$2:$H$49,"Red")+COUNTIFS(Log!$A$2:$A$49,B156,Log!$I$2:$I$49,"Red")&gt;0,"No","Yes")</f>
        <v/>
      </c>
    </row>
    <row r="157">
      <c r="A157" t="inlineStr">
        <is>
          <t>SIMULATED Commercial FA Study</t>
        </is>
      </c>
      <c r="B157" t="inlineStr">
        <is>
          <t>P24</t>
        </is>
      </c>
      <c r="C157" t="inlineStr">
        <is>
          <t>M</t>
        </is>
      </c>
      <c r="D157" t="n">
        <v>19</v>
      </c>
      <c r="E157" t="inlineStr">
        <is>
          <t>A_C1first</t>
        </is>
      </c>
      <c r="F157" t="inlineStr">
        <is>
          <t>Annotation</t>
        </is>
      </c>
      <c r="G157" t="inlineStr">
        <is>
          <t>EndScene</t>
        </is>
      </c>
      <c r="H157" t="n">
        <v>298000</v>
      </c>
      <c r="I157" t="n">
        <v>10000</v>
      </c>
      <c r="J157" t="inlineStr">
        <is>
          <t>Commercial_2</t>
        </is>
      </c>
      <c r="K157" s="4" t="n">
        <v>0.8731</v>
      </c>
      <c r="L157" t="inlineStr">
        <is>
          <t>Frontal Asymmetry (Enobio EEG)</t>
        </is>
      </c>
      <c r="M157">
        <f>LEFT(E157,1)</f>
        <v/>
      </c>
      <c r="N157">
        <f>MID(E157,3,10)</f>
        <v/>
      </c>
      <c r="O157">
        <f>IF(F157="Stimulus",IF(LEFT(G157,8)="Baseline",G157,IF(LEFT(G157,12)="Commercial_1","C1","C2")),IF(G157="KeyScene","KeyScene",IF(LEFT(J157,12)="Commercial_1","EndScene_C1","EndScene_C2")))</f>
        <v/>
      </c>
      <c r="P157">
        <f>IF(COUNTIFS(Artifact!$B$2:$B$385,B157,Artifact!$K$2:$K$385,"&gt;25")+COUNTIFS(Log!$A$2:$A$49,B157,Log!$H$2:$H$49,"Red")+COUNTIFS(Log!$A$2:$A$49,B157,Log!$I$2:$I$49,"Red")&gt;0,"No","Yes")</f>
        <v/>
      </c>
      <c r="Q157">
        <f>IF(COUNTIFS(Artifact!$B$2:$B$385,B157,Artifact!$K$2:$K$385,"&gt;15")+COUNTIFS(Log!$A$2:$A$49,B157,Log!$H$2:$H$49,"Red")+COUNTIFS(Log!$A$2:$A$49,B157,Log!$I$2:$I$49,"Red")&gt;0,"No","Yes")</f>
        <v/>
      </c>
    </row>
    <row r="158">
      <c r="A158" t="inlineStr">
        <is>
          <t>SIMULATED Commercial FA Study</t>
        </is>
      </c>
      <c r="B158" t="inlineStr">
        <is>
          <t>P25</t>
        </is>
      </c>
      <c r="C158" t="inlineStr">
        <is>
          <t>F</t>
        </is>
      </c>
      <c r="D158" t="n">
        <v>23</v>
      </c>
      <c r="E158" t="inlineStr">
        <is>
          <t>B_C1first</t>
        </is>
      </c>
      <c r="F158" t="inlineStr">
        <is>
          <t>Stimulus</t>
        </is>
      </c>
      <c r="G158" t="inlineStr">
        <is>
          <t>Baseline_1</t>
        </is>
      </c>
      <c r="H158" t="n">
        <v>34000</v>
      </c>
      <c r="I158" t="n">
        <v>60000</v>
      </c>
      <c r="J158" t="inlineStr">
        <is>
          <t>Baseline_1</t>
        </is>
      </c>
      <c r="K158" s="4" t="n">
        <v>0.7766999999999999</v>
      </c>
      <c r="L158" t="inlineStr">
        <is>
          <t>Frontal Asymmetry (Enobio EEG)</t>
        </is>
      </c>
      <c r="M158">
        <f>LEFT(E158,1)</f>
        <v/>
      </c>
      <c r="N158">
        <f>MID(E158,3,10)</f>
        <v/>
      </c>
      <c r="O158">
        <f>IF(F158="Stimulus",IF(LEFT(G158,8)="Baseline",G158,IF(LEFT(G158,12)="Commercial_1","C1","C2")),IF(G158="KeyScene","KeyScene",IF(LEFT(J158,12)="Commercial_1","EndScene_C1","EndScene_C2")))</f>
        <v/>
      </c>
      <c r="P158">
        <f>IF(COUNTIFS(Artifact!$B$2:$B$385,B158,Artifact!$K$2:$K$385,"&gt;25")+COUNTIFS(Log!$A$2:$A$49,B158,Log!$H$2:$H$49,"Red")+COUNTIFS(Log!$A$2:$A$49,B158,Log!$I$2:$I$49,"Red")&gt;0,"No","Yes")</f>
        <v/>
      </c>
      <c r="Q158">
        <f>IF(COUNTIFS(Artifact!$B$2:$B$385,B158,Artifact!$K$2:$K$385,"&gt;15")+COUNTIFS(Log!$A$2:$A$49,B158,Log!$H$2:$H$49,"Red")+COUNTIFS(Log!$A$2:$A$49,B158,Log!$I$2:$I$49,"Red")&gt;0,"No","Yes")</f>
        <v/>
      </c>
    </row>
    <row r="159">
      <c r="A159" t="inlineStr">
        <is>
          <t>SIMULATED Commercial FA Study</t>
        </is>
      </c>
      <c r="B159" t="inlineStr">
        <is>
          <t>P25</t>
        </is>
      </c>
      <c r="C159" t="inlineStr">
        <is>
          <t>F</t>
        </is>
      </c>
      <c r="D159" t="n">
        <v>23</v>
      </c>
      <c r="E159" t="inlineStr">
        <is>
          <t>B_C1first</t>
        </is>
      </c>
      <c r="F159" t="inlineStr">
        <is>
          <t>Stimulus</t>
        </is>
      </c>
      <c r="G159" t="inlineStr">
        <is>
          <t>Commercial_1B</t>
        </is>
      </c>
      <c r="H159" t="n">
        <v>94000</v>
      </c>
      <c r="I159" t="n">
        <v>54000</v>
      </c>
      <c r="J159" t="inlineStr">
        <is>
          <t>Commercial_1B</t>
        </is>
      </c>
      <c r="K159" s="4" t="n">
        <v>0.7246</v>
      </c>
      <c r="L159" t="inlineStr">
        <is>
          <t>Frontal Asymmetry (Enobio EEG)</t>
        </is>
      </c>
      <c r="M159">
        <f>LEFT(E159,1)</f>
        <v/>
      </c>
      <c r="N159">
        <f>MID(E159,3,10)</f>
        <v/>
      </c>
      <c r="O159">
        <f>IF(F159="Stimulus",IF(LEFT(G159,8)="Baseline",G159,IF(LEFT(G159,12)="Commercial_1","C1","C2")),IF(G159="KeyScene","KeyScene",IF(LEFT(J159,12)="Commercial_1","EndScene_C1","EndScene_C2")))</f>
        <v/>
      </c>
      <c r="P159">
        <f>IF(COUNTIFS(Artifact!$B$2:$B$385,B159,Artifact!$K$2:$K$385,"&gt;25")+COUNTIFS(Log!$A$2:$A$49,B159,Log!$H$2:$H$49,"Red")+COUNTIFS(Log!$A$2:$A$49,B159,Log!$I$2:$I$49,"Red")&gt;0,"No","Yes")</f>
        <v/>
      </c>
      <c r="Q159">
        <f>IF(COUNTIFS(Artifact!$B$2:$B$385,B159,Artifact!$K$2:$K$385,"&gt;15")+COUNTIFS(Log!$A$2:$A$49,B159,Log!$H$2:$H$49,"Red")+COUNTIFS(Log!$A$2:$A$49,B159,Log!$I$2:$I$49,"Red")&gt;0,"No","Yes")</f>
        <v/>
      </c>
    </row>
    <row r="160">
      <c r="A160" t="inlineStr">
        <is>
          <t>SIMULATED Commercial FA Study</t>
        </is>
      </c>
      <c r="B160" t="inlineStr">
        <is>
          <t>P25</t>
        </is>
      </c>
      <c r="C160" t="inlineStr">
        <is>
          <t>F</t>
        </is>
      </c>
      <c r="D160" t="n">
        <v>23</v>
      </c>
      <c r="E160" t="inlineStr">
        <is>
          <t>B_C1first</t>
        </is>
      </c>
      <c r="F160" t="inlineStr">
        <is>
          <t>Stimulus</t>
        </is>
      </c>
      <c r="G160" t="inlineStr">
        <is>
          <t>Baseline_2</t>
        </is>
      </c>
      <c r="H160" t="n">
        <v>182000</v>
      </c>
      <c r="I160" t="n">
        <v>60000</v>
      </c>
      <c r="J160" t="inlineStr">
        <is>
          <t>Baseline_2</t>
        </is>
      </c>
      <c r="K160" s="4" t="n">
        <v>0.7398</v>
      </c>
      <c r="L160" t="inlineStr">
        <is>
          <t>Frontal Asymmetry (Enobio EEG)</t>
        </is>
      </c>
      <c r="M160">
        <f>LEFT(E160,1)</f>
        <v/>
      </c>
      <c r="N160">
        <f>MID(E160,3,10)</f>
        <v/>
      </c>
      <c r="O160">
        <f>IF(F160="Stimulus",IF(LEFT(G160,8)="Baseline",G160,IF(LEFT(G160,12)="Commercial_1","C1","C2")),IF(G160="KeyScene","KeyScene",IF(LEFT(J160,12)="Commercial_1","EndScene_C1","EndScene_C2")))</f>
        <v/>
      </c>
      <c r="P160">
        <f>IF(COUNTIFS(Artifact!$B$2:$B$385,B160,Artifact!$K$2:$K$385,"&gt;25")+COUNTIFS(Log!$A$2:$A$49,B160,Log!$H$2:$H$49,"Red")+COUNTIFS(Log!$A$2:$A$49,B160,Log!$I$2:$I$49,"Red")&gt;0,"No","Yes")</f>
        <v/>
      </c>
      <c r="Q160">
        <f>IF(COUNTIFS(Artifact!$B$2:$B$385,B160,Artifact!$K$2:$K$385,"&gt;15")+COUNTIFS(Log!$A$2:$A$49,B160,Log!$H$2:$H$49,"Red")+COUNTIFS(Log!$A$2:$A$49,B160,Log!$I$2:$I$49,"Red")&gt;0,"No","Yes")</f>
        <v/>
      </c>
    </row>
    <row r="161">
      <c r="A161" t="inlineStr">
        <is>
          <t>SIMULATED Commercial FA Study</t>
        </is>
      </c>
      <c r="B161" t="inlineStr">
        <is>
          <t>P25</t>
        </is>
      </c>
      <c r="C161" t="inlineStr">
        <is>
          <t>F</t>
        </is>
      </c>
      <c r="D161" t="n">
        <v>23</v>
      </c>
      <c r="E161" t="inlineStr">
        <is>
          <t>B_C1first</t>
        </is>
      </c>
      <c r="F161" t="inlineStr">
        <is>
          <t>Stimulus</t>
        </is>
      </c>
      <c r="G161" t="inlineStr">
        <is>
          <t>Commercial_2</t>
        </is>
      </c>
      <c r="H161" t="n">
        <v>242000</v>
      </c>
      <c r="I161" t="n">
        <v>60000</v>
      </c>
      <c r="J161" t="inlineStr">
        <is>
          <t>Commercial_2</t>
        </is>
      </c>
      <c r="K161" s="4" t="n">
        <v>0.6751</v>
      </c>
      <c r="L161" t="inlineStr">
        <is>
          <t>Frontal Asymmetry (Enobio EEG)</t>
        </is>
      </c>
      <c r="M161">
        <f>LEFT(E161,1)</f>
        <v/>
      </c>
      <c r="N161">
        <f>MID(E161,3,10)</f>
        <v/>
      </c>
      <c r="O161">
        <f>IF(F161="Stimulus",IF(LEFT(G161,8)="Baseline",G161,IF(LEFT(G161,12)="Commercial_1","C1","C2")),IF(G161="KeyScene","KeyScene",IF(LEFT(J161,12)="Commercial_1","EndScene_C1","EndScene_C2")))</f>
        <v/>
      </c>
      <c r="P161">
        <f>IF(COUNTIFS(Artifact!$B$2:$B$385,B161,Artifact!$K$2:$K$385,"&gt;25")+COUNTIFS(Log!$A$2:$A$49,B161,Log!$H$2:$H$49,"Red")+COUNTIFS(Log!$A$2:$A$49,B161,Log!$I$2:$I$49,"Red")&gt;0,"No","Yes")</f>
        <v/>
      </c>
      <c r="Q161">
        <f>IF(COUNTIFS(Artifact!$B$2:$B$385,B161,Artifact!$K$2:$K$385,"&gt;15")+COUNTIFS(Log!$A$2:$A$49,B161,Log!$H$2:$H$49,"Red")+COUNTIFS(Log!$A$2:$A$49,B161,Log!$I$2:$I$49,"Red")&gt;0,"No","Yes")</f>
        <v/>
      </c>
    </row>
    <row r="162">
      <c r="A162" t="inlineStr">
        <is>
          <t>SIMULATED Commercial FA Study</t>
        </is>
      </c>
      <c r="B162" t="inlineStr">
        <is>
          <t>P25</t>
        </is>
      </c>
      <c r="C162" t="inlineStr">
        <is>
          <t>F</t>
        </is>
      </c>
      <c r="D162" t="n">
        <v>23</v>
      </c>
      <c r="E162" t="inlineStr">
        <is>
          <t>B_C1first</t>
        </is>
      </c>
      <c r="F162" t="inlineStr">
        <is>
          <t>Annotation</t>
        </is>
      </c>
      <c r="G162" t="inlineStr">
        <is>
          <t>EndScene</t>
        </is>
      </c>
      <c r="H162" t="n">
        <v>138000</v>
      </c>
      <c r="I162" t="n">
        <v>10000</v>
      </c>
      <c r="J162" t="inlineStr">
        <is>
          <t>Commercial_1B</t>
        </is>
      </c>
      <c r="K162" s="4" t="n">
        <v>0.7333</v>
      </c>
      <c r="L162" t="inlineStr">
        <is>
          <t>Frontal Asymmetry (Enobio EEG)</t>
        </is>
      </c>
      <c r="M162">
        <f>LEFT(E162,1)</f>
        <v/>
      </c>
      <c r="N162">
        <f>MID(E162,3,10)</f>
        <v/>
      </c>
      <c r="O162">
        <f>IF(F162="Stimulus",IF(LEFT(G162,8)="Baseline",G162,IF(LEFT(G162,12)="Commercial_1","C1","C2")),IF(G162="KeyScene","KeyScene",IF(LEFT(J162,12)="Commercial_1","EndScene_C1","EndScene_C2")))</f>
        <v/>
      </c>
      <c r="P162">
        <f>IF(COUNTIFS(Artifact!$B$2:$B$385,B162,Artifact!$K$2:$K$385,"&gt;25")+COUNTIFS(Log!$A$2:$A$49,B162,Log!$H$2:$H$49,"Red")+COUNTIFS(Log!$A$2:$A$49,B162,Log!$I$2:$I$49,"Red")&gt;0,"No","Yes")</f>
        <v/>
      </c>
      <c r="Q162">
        <f>IF(COUNTIFS(Artifact!$B$2:$B$385,B162,Artifact!$K$2:$K$385,"&gt;15")+COUNTIFS(Log!$A$2:$A$49,B162,Log!$H$2:$H$49,"Red")+COUNTIFS(Log!$A$2:$A$49,B162,Log!$I$2:$I$49,"Red")&gt;0,"No","Yes")</f>
        <v/>
      </c>
    </row>
    <row r="163">
      <c r="A163" t="inlineStr">
        <is>
          <t>SIMULATED Commercial FA Study</t>
        </is>
      </c>
      <c r="B163" t="inlineStr">
        <is>
          <t>P25</t>
        </is>
      </c>
      <c r="C163" t="inlineStr">
        <is>
          <t>F</t>
        </is>
      </c>
      <c r="D163" t="n">
        <v>23</v>
      </c>
      <c r="E163" t="inlineStr">
        <is>
          <t>B_C1first</t>
        </is>
      </c>
      <c r="F163" t="inlineStr">
        <is>
          <t>Annotation</t>
        </is>
      </c>
      <c r="G163" t="inlineStr">
        <is>
          <t>EndScene</t>
        </is>
      </c>
      <c r="H163" t="n">
        <v>292000</v>
      </c>
      <c r="I163" t="n">
        <v>10000</v>
      </c>
      <c r="J163" t="inlineStr">
        <is>
          <t>Commercial_2</t>
        </is>
      </c>
      <c r="K163" s="4" t="n">
        <v>0.7381</v>
      </c>
      <c r="L163" t="inlineStr">
        <is>
          <t>Frontal Asymmetry (Enobio EEG)</t>
        </is>
      </c>
      <c r="M163">
        <f>LEFT(E163,1)</f>
        <v/>
      </c>
      <c r="N163">
        <f>MID(E163,3,10)</f>
        <v/>
      </c>
      <c r="O163">
        <f>IF(F163="Stimulus",IF(LEFT(G163,8)="Baseline",G163,IF(LEFT(G163,12)="Commercial_1","C1","C2")),IF(G163="KeyScene","KeyScene",IF(LEFT(J163,12)="Commercial_1","EndScene_C1","EndScene_C2")))</f>
        <v/>
      </c>
      <c r="P163">
        <f>IF(COUNTIFS(Artifact!$B$2:$B$385,B163,Artifact!$K$2:$K$385,"&gt;25")+COUNTIFS(Log!$A$2:$A$49,B163,Log!$H$2:$H$49,"Red")+COUNTIFS(Log!$A$2:$A$49,B163,Log!$I$2:$I$49,"Red")&gt;0,"No","Yes")</f>
        <v/>
      </c>
      <c r="Q163">
        <f>IF(COUNTIFS(Artifact!$B$2:$B$385,B163,Artifact!$K$2:$K$385,"&gt;15")+COUNTIFS(Log!$A$2:$A$49,B163,Log!$H$2:$H$49,"Red")+COUNTIFS(Log!$A$2:$A$49,B163,Log!$I$2:$I$49,"Red")&gt;0,"No","Yes")</f>
        <v/>
      </c>
    </row>
    <row r="164">
      <c r="A164" t="inlineStr">
        <is>
          <t>SIMULATED Commercial FA Study</t>
        </is>
      </c>
      <c r="B164" t="inlineStr">
        <is>
          <t>P26</t>
        </is>
      </c>
      <c r="C164" t="inlineStr">
        <is>
          <t>F</t>
        </is>
      </c>
      <c r="D164" t="n">
        <v>18</v>
      </c>
      <c r="E164" t="inlineStr">
        <is>
          <t>B_C2first</t>
        </is>
      </c>
      <c r="F164" t="inlineStr">
        <is>
          <t>Stimulus</t>
        </is>
      </c>
      <c r="G164" t="inlineStr">
        <is>
          <t>Baseline_1</t>
        </is>
      </c>
      <c r="H164" t="n">
        <v>30000</v>
      </c>
      <c r="I164" t="n">
        <v>60000</v>
      </c>
      <c r="J164" t="inlineStr">
        <is>
          <t>Baseline_1</t>
        </is>
      </c>
      <c r="K164" s="4" t="n">
        <v>0.6306</v>
      </c>
      <c r="L164" t="inlineStr">
        <is>
          <t>Frontal Asymmetry (Enobio EEG)</t>
        </is>
      </c>
      <c r="M164">
        <f>LEFT(E164,1)</f>
        <v/>
      </c>
      <c r="N164">
        <f>MID(E164,3,10)</f>
        <v/>
      </c>
      <c r="O164">
        <f>IF(F164="Stimulus",IF(LEFT(G164,8)="Baseline",G164,IF(LEFT(G164,12)="Commercial_1","C1","C2")),IF(G164="KeyScene","KeyScene",IF(LEFT(J164,12)="Commercial_1","EndScene_C1","EndScene_C2")))</f>
        <v/>
      </c>
      <c r="P164">
        <f>IF(COUNTIFS(Artifact!$B$2:$B$385,B164,Artifact!$K$2:$K$385,"&gt;25")+COUNTIFS(Log!$A$2:$A$49,B164,Log!$H$2:$H$49,"Red")+COUNTIFS(Log!$A$2:$A$49,B164,Log!$I$2:$I$49,"Red")&gt;0,"No","Yes")</f>
        <v/>
      </c>
      <c r="Q164">
        <f>IF(COUNTIFS(Artifact!$B$2:$B$385,B164,Artifact!$K$2:$K$385,"&gt;15")+COUNTIFS(Log!$A$2:$A$49,B164,Log!$H$2:$H$49,"Red")+COUNTIFS(Log!$A$2:$A$49,B164,Log!$I$2:$I$49,"Red")&gt;0,"No","Yes")</f>
        <v/>
      </c>
    </row>
    <row r="165">
      <c r="A165" t="inlineStr">
        <is>
          <t>SIMULATED Commercial FA Study</t>
        </is>
      </c>
      <c r="B165" t="inlineStr">
        <is>
          <t>P26</t>
        </is>
      </c>
      <c r="C165" t="inlineStr">
        <is>
          <t>F</t>
        </is>
      </c>
      <c r="D165" t="n">
        <v>18</v>
      </c>
      <c r="E165" t="inlineStr">
        <is>
          <t>B_C2first</t>
        </is>
      </c>
      <c r="F165" t="inlineStr">
        <is>
          <t>Stimulus</t>
        </is>
      </c>
      <c r="G165" t="inlineStr">
        <is>
          <t>Commercial_2</t>
        </is>
      </c>
      <c r="H165" t="n">
        <v>90000</v>
      </c>
      <c r="I165" t="n">
        <v>60000</v>
      </c>
      <c r="J165" t="inlineStr">
        <is>
          <t>Commercial_2</t>
        </is>
      </c>
      <c r="K165" s="4" t="n">
        <v>0.5866</v>
      </c>
      <c r="L165" t="inlineStr">
        <is>
          <t>Frontal Asymmetry (Enobio EEG)</t>
        </is>
      </c>
      <c r="M165">
        <f>LEFT(E165,1)</f>
        <v/>
      </c>
      <c r="N165">
        <f>MID(E165,3,10)</f>
        <v/>
      </c>
      <c r="O165">
        <f>IF(F165="Stimulus",IF(LEFT(G165,8)="Baseline",G165,IF(LEFT(G165,12)="Commercial_1","C1","C2")),IF(G165="KeyScene","KeyScene",IF(LEFT(J165,12)="Commercial_1","EndScene_C1","EndScene_C2")))</f>
        <v/>
      </c>
      <c r="P165">
        <f>IF(COUNTIFS(Artifact!$B$2:$B$385,B165,Artifact!$K$2:$K$385,"&gt;25")+COUNTIFS(Log!$A$2:$A$49,B165,Log!$H$2:$H$49,"Red")+COUNTIFS(Log!$A$2:$A$49,B165,Log!$I$2:$I$49,"Red")&gt;0,"No","Yes")</f>
        <v/>
      </c>
      <c r="Q165">
        <f>IF(COUNTIFS(Artifact!$B$2:$B$385,B165,Artifact!$K$2:$K$385,"&gt;15")+COUNTIFS(Log!$A$2:$A$49,B165,Log!$H$2:$H$49,"Red")+COUNTIFS(Log!$A$2:$A$49,B165,Log!$I$2:$I$49,"Red")&gt;0,"No","Yes")</f>
        <v/>
      </c>
    </row>
    <row r="166">
      <c r="A166" t="inlineStr">
        <is>
          <t>SIMULATED Commercial FA Study</t>
        </is>
      </c>
      <c r="B166" t="inlineStr">
        <is>
          <t>P26</t>
        </is>
      </c>
      <c r="C166" t="inlineStr">
        <is>
          <t>F</t>
        </is>
      </c>
      <c r="D166" t="n">
        <v>18</v>
      </c>
      <c r="E166" t="inlineStr">
        <is>
          <t>B_C2first</t>
        </is>
      </c>
      <c r="F166" t="inlineStr">
        <is>
          <t>Stimulus</t>
        </is>
      </c>
      <c r="G166" t="inlineStr">
        <is>
          <t>Baseline_2</t>
        </is>
      </c>
      <c r="H166" t="n">
        <v>196000</v>
      </c>
      <c r="I166" t="n">
        <v>60000</v>
      </c>
      <c r="J166" t="inlineStr">
        <is>
          <t>Baseline_2</t>
        </is>
      </c>
      <c r="K166" s="4" t="n">
        <v>0.5841</v>
      </c>
      <c r="L166" t="inlineStr">
        <is>
          <t>Frontal Asymmetry (Enobio EEG)</t>
        </is>
      </c>
      <c r="M166">
        <f>LEFT(E166,1)</f>
        <v/>
      </c>
      <c r="N166">
        <f>MID(E166,3,10)</f>
        <v/>
      </c>
      <c r="O166">
        <f>IF(F166="Stimulus",IF(LEFT(G166,8)="Baseline",G166,IF(LEFT(G166,12)="Commercial_1","C1","C2")),IF(G166="KeyScene","KeyScene",IF(LEFT(J166,12)="Commercial_1","EndScene_C1","EndScene_C2")))</f>
        <v/>
      </c>
      <c r="P166">
        <f>IF(COUNTIFS(Artifact!$B$2:$B$385,B166,Artifact!$K$2:$K$385,"&gt;25")+COUNTIFS(Log!$A$2:$A$49,B166,Log!$H$2:$H$49,"Red")+COUNTIFS(Log!$A$2:$A$49,B166,Log!$I$2:$I$49,"Red")&gt;0,"No","Yes")</f>
        <v/>
      </c>
      <c r="Q166">
        <f>IF(COUNTIFS(Artifact!$B$2:$B$385,B166,Artifact!$K$2:$K$385,"&gt;15")+COUNTIFS(Log!$A$2:$A$49,B166,Log!$H$2:$H$49,"Red")+COUNTIFS(Log!$A$2:$A$49,B166,Log!$I$2:$I$49,"Red")&gt;0,"No","Yes")</f>
        <v/>
      </c>
    </row>
    <row r="167">
      <c r="A167" t="inlineStr">
        <is>
          <t>SIMULATED Commercial FA Study</t>
        </is>
      </c>
      <c r="B167" t="inlineStr">
        <is>
          <t>P26</t>
        </is>
      </c>
      <c r="C167" t="inlineStr">
        <is>
          <t>F</t>
        </is>
      </c>
      <c r="D167" t="n">
        <v>18</v>
      </c>
      <c r="E167" t="inlineStr">
        <is>
          <t>B_C2first</t>
        </is>
      </c>
      <c r="F167" t="inlineStr">
        <is>
          <t>Stimulus</t>
        </is>
      </c>
      <c r="G167" t="inlineStr">
        <is>
          <t>Commercial_1B</t>
        </is>
      </c>
      <c r="H167" t="n">
        <v>256000</v>
      </c>
      <c r="I167" t="n">
        <v>54000</v>
      </c>
      <c r="J167" t="inlineStr">
        <is>
          <t>Commercial_1B</t>
        </is>
      </c>
      <c r="K167" s="4" t="n">
        <v>0.6403</v>
      </c>
      <c r="L167" t="inlineStr">
        <is>
          <t>Frontal Asymmetry (Enobio EEG)</t>
        </is>
      </c>
      <c r="M167">
        <f>LEFT(E167,1)</f>
        <v/>
      </c>
      <c r="N167">
        <f>MID(E167,3,10)</f>
        <v/>
      </c>
      <c r="O167">
        <f>IF(F167="Stimulus",IF(LEFT(G167,8)="Baseline",G167,IF(LEFT(G167,12)="Commercial_1","C1","C2")),IF(G167="KeyScene","KeyScene",IF(LEFT(J167,12)="Commercial_1","EndScene_C1","EndScene_C2")))</f>
        <v/>
      </c>
      <c r="P167">
        <f>IF(COUNTIFS(Artifact!$B$2:$B$385,B167,Artifact!$K$2:$K$385,"&gt;25")+COUNTIFS(Log!$A$2:$A$49,B167,Log!$H$2:$H$49,"Red")+COUNTIFS(Log!$A$2:$A$49,B167,Log!$I$2:$I$49,"Red")&gt;0,"No","Yes")</f>
        <v/>
      </c>
      <c r="Q167">
        <f>IF(COUNTIFS(Artifact!$B$2:$B$385,B167,Artifact!$K$2:$K$385,"&gt;15")+COUNTIFS(Log!$A$2:$A$49,B167,Log!$H$2:$H$49,"Red")+COUNTIFS(Log!$A$2:$A$49,B167,Log!$I$2:$I$49,"Red")&gt;0,"No","Yes")</f>
        <v/>
      </c>
    </row>
    <row r="168">
      <c r="A168" t="inlineStr">
        <is>
          <t>SIMULATED Commercial FA Study</t>
        </is>
      </c>
      <c r="B168" t="inlineStr">
        <is>
          <t>P26</t>
        </is>
      </c>
      <c r="C168" t="inlineStr">
        <is>
          <t>F</t>
        </is>
      </c>
      <c r="D168" t="n">
        <v>18</v>
      </c>
      <c r="E168" t="inlineStr">
        <is>
          <t>B_C2first</t>
        </is>
      </c>
      <c r="F168" t="inlineStr">
        <is>
          <t>Annotation</t>
        </is>
      </c>
      <c r="G168" t="inlineStr">
        <is>
          <t>EndScene</t>
        </is>
      </c>
      <c r="H168" t="n">
        <v>140000</v>
      </c>
      <c r="I168" t="n">
        <v>10000</v>
      </c>
      <c r="J168" t="inlineStr">
        <is>
          <t>Commercial_2</t>
        </is>
      </c>
      <c r="K168" s="4" t="n">
        <v>0.5628</v>
      </c>
      <c r="L168" t="inlineStr">
        <is>
          <t>Frontal Asymmetry (Enobio EEG)</t>
        </is>
      </c>
      <c r="M168">
        <f>LEFT(E168,1)</f>
        <v/>
      </c>
      <c r="N168">
        <f>MID(E168,3,10)</f>
        <v/>
      </c>
      <c r="O168">
        <f>IF(F168="Stimulus",IF(LEFT(G168,8)="Baseline",G168,IF(LEFT(G168,12)="Commercial_1","C1","C2")),IF(G168="KeyScene","KeyScene",IF(LEFT(J168,12)="Commercial_1","EndScene_C1","EndScene_C2")))</f>
        <v/>
      </c>
      <c r="P168">
        <f>IF(COUNTIFS(Artifact!$B$2:$B$385,B168,Artifact!$K$2:$K$385,"&gt;25")+COUNTIFS(Log!$A$2:$A$49,B168,Log!$H$2:$H$49,"Red")+COUNTIFS(Log!$A$2:$A$49,B168,Log!$I$2:$I$49,"Red")&gt;0,"No","Yes")</f>
        <v/>
      </c>
      <c r="Q168">
        <f>IF(COUNTIFS(Artifact!$B$2:$B$385,B168,Artifact!$K$2:$K$385,"&gt;15")+COUNTIFS(Log!$A$2:$A$49,B168,Log!$H$2:$H$49,"Red")+COUNTIFS(Log!$A$2:$A$49,B168,Log!$I$2:$I$49,"Red")&gt;0,"No","Yes")</f>
        <v/>
      </c>
    </row>
    <row r="169">
      <c r="A169" t="inlineStr">
        <is>
          <t>SIMULATED Commercial FA Study</t>
        </is>
      </c>
      <c r="B169" t="inlineStr">
        <is>
          <t>P26</t>
        </is>
      </c>
      <c r="C169" t="inlineStr">
        <is>
          <t>F</t>
        </is>
      </c>
      <c r="D169" t="n">
        <v>18</v>
      </c>
      <c r="E169" t="inlineStr">
        <is>
          <t>B_C2first</t>
        </is>
      </c>
      <c r="F169" t="inlineStr">
        <is>
          <t>Annotation</t>
        </is>
      </c>
      <c r="G169" t="inlineStr">
        <is>
          <t>EndScene</t>
        </is>
      </c>
      <c r="H169" t="n">
        <v>300000</v>
      </c>
      <c r="I169" t="n">
        <v>10000</v>
      </c>
      <c r="J169" t="inlineStr">
        <is>
          <t>Commercial_1B</t>
        </is>
      </c>
      <c r="K169" s="4" t="n">
        <v>0.5772</v>
      </c>
      <c r="L169" t="inlineStr">
        <is>
          <t>Frontal Asymmetry (Enobio EEG)</t>
        </is>
      </c>
      <c r="M169">
        <f>LEFT(E169,1)</f>
        <v/>
      </c>
      <c r="N169">
        <f>MID(E169,3,10)</f>
        <v/>
      </c>
      <c r="O169">
        <f>IF(F169="Stimulus",IF(LEFT(G169,8)="Baseline",G169,IF(LEFT(G169,12)="Commercial_1","C1","C2")),IF(G169="KeyScene","KeyScene",IF(LEFT(J169,12)="Commercial_1","EndScene_C1","EndScene_C2")))</f>
        <v/>
      </c>
      <c r="P169">
        <f>IF(COUNTIFS(Artifact!$B$2:$B$385,B169,Artifact!$K$2:$K$385,"&gt;25")+COUNTIFS(Log!$A$2:$A$49,B169,Log!$H$2:$H$49,"Red")+COUNTIFS(Log!$A$2:$A$49,B169,Log!$I$2:$I$49,"Red")&gt;0,"No","Yes")</f>
        <v/>
      </c>
      <c r="Q169">
        <f>IF(COUNTIFS(Artifact!$B$2:$B$385,B169,Artifact!$K$2:$K$385,"&gt;15")+COUNTIFS(Log!$A$2:$A$49,B169,Log!$H$2:$H$49,"Red")+COUNTIFS(Log!$A$2:$A$49,B169,Log!$I$2:$I$49,"Red")&gt;0,"No","Yes")</f>
        <v/>
      </c>
    </row>
    <row r="170">
      <c r="A170" t="inlineStr">
        <is>
          <t>SIMULATED Commercial FA Study</t>
        </is>
      </c>
      <c r="B170" t="inlineStr">
        <is>
          <t>P27</t>
        </is>
      </c>
      <c r="C170" t="inlineStr">
        <is>
          <t>F</t>
        </is>
      </c>
      <c r="D170" t="n">
        <v>21</v>
      </c>
      <c r="E170" t="inlineStr">
        <is>
          <t>A_C2first</t>
        </is>
      </c>
      <c r="F170" t="inlineStr">
        <is>
          <t>Stimulus</t>
        </is>
      </c>
      <c r="G170" t="inlineStr">
        <is>
          <t>Baseline_1</t>
        </is>
      </c>
      <c r="H170" t="n">
        <v>37000</v>
      </c>
      <c r="I170" t="n">
        <v>60000</v>
      </c>
      <c r="J170" t="inlineStr">
        <is>
          <t>Baseline_1</t>
        </is>
      </c>
      <c r="K170" s="4" t="n">
        <v>0.7139</v>
      </c>
      <c r="L170" t="inlineStr">
        <is>
          <t>Frontal Asymmetry (Enobio EEG)</t>
        </is>
      </c>
      <c r="M170">
        <f>LEFT(E170,1)</f>
        <v/>
      </c>
      <c r="N170">
        <f>MID(E170,3,10)</f>
        <v/>
      </c>
      <c r="O170">
        <f>IF(F170="Stimulus",IF(LEFT(G170,8)="Baseline",G170,IF(LEFT(G170,12)="Commercial_1","C1","C2")),IF(G170="KeyScene","KeyScene",IF(LEFT(J170,12)="Commercial_1","EndScene_C1","EndScene_C2")))</f>
        <v/>
      </c>
      <c r="P170">
        <f>IF(COUNTIFS(Artifact!$B$2:$B$385,B170,Artifact!$K$2:$K$385,"&gt;25")+COUNTIFS(Log!$A$2:$A$49,B170,Log!$H$2:$H$49,"Red")+COUNTIFS(Log!$A$2:$A$49,B170,Log!$I$2:$I$49,"Red")&gt;0,"No","Yes")</f>
        <v/>
      </c>
      <c r="Q170">
        <f>IF(COUNTIFS(Artifact!$B$2:$B$385,B170,Artifact!$K$2:$K$385,"&gt;15")+COUNTIFS(Log!$A$2:$A$49,B170,Log!$H$2:$H$49,"Red")+COUNTIFS(Log!$A$2:$A$49,B170,Log!$I$2:$I$49,"Red")&gt;0,"No","Yes")</f>
        <v/>
      </c>
    </row>
    <row r="171">
      <c r="A171" t="inlineStr">
        <is>
          <t>SIMULATED Commercial FA Study</t>
        </is>
      </c>
      <c r="B171" t="inlineStr">
        <is>
          <t>P27</t>
        </is>
      </c>
      <c r="C171" t="inlineStr">
        <is>
          <t>F</t>
        </is>
      </c>
      <c r="D171" t="n">
        <v>21</v>
      </c>
      <c r="E171" t="inlineStr">
        <is>
          <t>A_C2first</t>
        </is>
      </c>
      <c r="F171" t="inlineStr">
        <is>
          <t>Stimulus</t>
        </is>
      </c>
      <c r="G171" t="inlineStr">
        <is>
          <t>Commercial_2</t>
        </is>
      </c>
      <c r="H171" t="n">
        <v>97000</v>
      </c>
      <c r="I171" t="n">
        <v>60000</v>
      </c>
      <c r="J171" t="inlineStr">
        <is>
          <t>Commercial_2</t>
        </is>
      </c>
      <c r="K171" s="4" t="n">
        <v>0.7133</v>
      </c>
      <c r="L171" t="inlineStr">
        <is>
          <t>Frontal Asymmetry (Enobio EEG)</t>
        </is>
      </c>
      <c r="M171">
        <f>LEFT(E171,1)</f>
        <v/>
      </c>
      <c r="N171">
        <f>MID(E171,3,10)</f>
        <v/>
      </c>
      <c r="O171">
        <f>IF(F171="Stimulus",IF(LEFT(G171,8)="Baseline",G171,IF(LEFT(G171,12)="Commercial_1","C1","C2")),IF(G171="KeyScene","KeyScene",IF(LEFT(J171,12)="Commercial_1","EndScene_C1","EndScene_C2")))</f>
        <v/>
      </c>
      <c r="P171">
        <f>IF(COUNTIFS(Artifact!$B$2:$B$385,B171,Artifact!$K$2:$K$385,"&gt;25")+COUNTIFS(Log!$A$2:$A$49,B171,Log!$H$2:$H$49,"Red")+COUNTIFS(Log!$A$2:$A$49,B171,Log!$I$2:$I$49,"Red")&gt;0,"No","Yes")</f>
        <v/>
      </c>
      <c r="Q171">
        <f>IF(COUNTIFS(Artifact!$B$2:$B$385,B171,Artifact!$K$2:$K$385,"&gt;15")+COUNTIFS(Log!$A$2:$A$49,B171,Log!$H$2:$H$49,"Red")+COUNTIFS(Log!$A$2:$A$49,B171,Log!$I$2:$I$49,"Red")&gt;0,"No","Yes")</f>
        <v/>
      </c>
    </row>
    <row r="172">
      <c r="A172" t="inlineStr">
        <is>
          <t>SIMULATED Commercial FA Study</t>
        </is>
      </c>
      <c r="B172" t="inlineStr">
        <is>
          <t>P27</t>
        </is>
      </c>
      <c r="C172" t="inlineStr">
        <is>
          <t>F</t>
        </is>
      </c>
      <c r="D172" t="n">
        <v>21</v>
      </c>
      <c r="E172" t="inlineStr">
        <is>
          <t>A_C2first</t>
        </is>
      </c>
      <c r="F172" t="inlineStr">
        <is>
          <t>Stimulus</t>
        </is>
      </c>
      <c r="G172" t="inlineStr">
        <is>
          <t>Baseline_2</t>
        </is>
      </c>
      <c r="H172" t="n">
        <v>183000</v>
      </c>
      <c r="I172" t="n">
        <v>60000</v>
      </c>
      <c r="J172" t="inlineStr">
        <is>
          <t>Baseline_2</t>
        </is>
      </c>
      <c r="K172" s="4" t="n">
        <v>0.7196</v>
      </c>
      <c r="L172" t="inlineStr">
        <is>
          <t>Frontal Asymmetry (Enobio EEG)</t>
        </is>
      </c>
      <c r="M172">
        <f>LEFT(E172,1)</f>
        <v/>
      </c>
      <c r="N172">
        <f>MID(E172,3,10)</f>
        <v/>
      </c>
      <c r="O172">
        <f>IF(F172="Stimulus",IF(LEFT(G172,8)="Baseline",G172,IF(LEFT(G172,12)="Commercial_1","C1","C2")),IF(G172="KeyScene","KeyScene",IF(LEFT(J172,12)="Commercial_1","EndScene_C1","EndScene_C2")))</f>
        <v/>
      </c>
      <c r="P172">
        <f>IF(COUNTIFS(Artifact!$B$2:$B$385,B172,Artifact!$K$2:$K$385,"&gt;25")+COUNTIFS(Log!$A$2:$A$49,B172,Log!$H$2:$H$49,"Red")+COUNTIFS(Log!$A$2:$A$49,B172,Log!$I$2:$I$49,"Red")&gt;0,"No","Yes")</f>
        <v/>
      </c>
      <c r="Q172">
        <f>IF(COUNTIFS(Artifact!$B$2:$B$385,B172,Artifact!$K$2:$K$385,"&gt;15")+COUNTIFS(Log!$A$2:$A$49,B172,Log!$H$2:$H$49,"Red")+COUNTIFS(Log!$A$2:$A$49,B172,Log!$I$2:$I$49,"Red")&gt;0,"No","Yes")</f>
        <v/>
      </c>
    </row>
    <row r="173">
      <c r="A173" t="inlineStr">
        <is>
          <t>SIMULATED Commercial FA Study</t>
        </is>
      </c>
      <c r="B173" t="inlineStr">
        <is>
          <t>P27</t>
        </is>
      </c>
      <c r="C173" t="inlineStr">
        <is>
          <t>F</t>
        </is>
      </c>
      <c r="D173" t="n">
        <v>21</v>
      </c>
      <c r="E173" t="inlineStr">
        <is>
          <t>A_C2first</t>
        </is>
      </c>
      <c r="F173" t="inlineStr">
        <is>
          <t>Stimulus</t>
        </is>
      </c>
      <c r="G173" t="inlineStr">
        <is>
          <t>Commercial_1A</t>
        </is>
      </c>
      <c r="H173" t="n">
        <v>243000</v>
      </c>
      <c r="I173" t="n">
        <v>60000</v>
      </c>
      <c r="J173" t="inlineStr">
        <is>
          <t>Commercial_1A</t>
        </is>
      </c>
      <c r="K173" s="4" t="n">
        <v>0.7105</v>
      </c>
      <c r="L173" t="inlineStr">
        <is>
          <t>Frontal Asymmetry (Enobio EEG)</t>
        </is>
      </c>
      <c r="M173">
        <f>LEFT(E173,1)</f>
        <v/>
      </c>
      <c r="N173">
        <f>MID(E173,3,10)</f>
        <v/>
      </c>
      <c r="O173">
        <f>IF(F173="Stimulus",IF(LEFT(G173,8)="Baseline",G173,IF(LEFT(G173,12)="Commercial_1","C1","C2")),IF(G173="KeyScene","KeyScene",IF(LEFT(J173,12)="Commercial_1","EndScene_C1","EndScene_C2")))</f>
        <v/>
      </c>
      <c r="P173">
        <f>IF(COUNTIFS(Artifact!$B$2:$B$385,B173,Artifact!$K$2:$K$385,"&gt;25")+COUNTIFS(Log!$A$2:$A$49,B173,Log!$H$2:$H$49,"Red")+COUNTIFS(Log!$A$2:$A$49,B173,Log!$I$2:$I$49,"Red")&gt;0,"No","Yes")</f>
        <v/>
      </c>
      <c r="Q173">
        <f>IF(COUNTIFS(Artifact!$B$2:$B$385,B173,Artifact!$K$2:$K$385,"&gt;15")+COUNTIFS(Log!$A$2:$A$49,B173,Log!$H$2:$H$49,"Red")+COUNTIFS(Log!$A$2:$A$49,B173,Log!$I$2:$I$49,"Red")&gt;0,"No","Yes")</f>
        <v/>
      </c>
    </row>
    <row r="174">
      <c r="A174" t="inlineStr">
        <is>
          <t>SIMULATED Commercial FA Study</t>
        </is>
      </c>
      <c r="B174" t="inlineStr">
        <is>
          <t>P27</t>
        </is>
      </c>
      <c r="C174" t="inlineStr">
        <is>
          <t>F</t>
        </is>
      </c>
      <c r="D174" t="n">
        <v>21</v>
      </c>
      <c r="E174" t="inlineStr">
        <is>
          <t>A_C2first</t>
        </is>
      </c>
      <c r="F174" t="inlineStr">
        <is>
          <t>Annotation</t>
        </is>
      </c>
      <c r="G174" t="inlineStr">
        <is>
          <t>EndScene</t>
        </is>
      </c>
      <c r="H174" t="n">
        <v>147000</v>
      </c>
      <c r="I174" t="n">
        <v>10000</v>
      </c>
      <c r="J174" t="inlineStr">
        <is>
          <t>Commercial_2</t>
        </is>
      </c>
      <c r="K174" s="4" t="n">
        <v>0.7647</v>
      </c>
      <c r="L174" t="inlineStr">
        <is>
          <t>Frontal Asymmetry (Enobio EEG)</t>
        </is>
      </c>
      <c r="M174">
        <f>LEFT(E174,1)</f>
        <v/>
      </c>
      <c r="N174">
        <f>MID(E174,3,10)</f>
        <v/>
      </c>
      <c r="O174">
        <f>IF(F174="Stimulus",IF(LEFT(G174,8)="Baseline",G174,IF(LEFT(G174,12)="Commercial_1","C1","C2")),IF(G174="KeyScene","KeyScene",IF(LEFT(J174,12)="Commercial_1","EndScene_C1","EndScene_C2")))</f>
        <v/>
      </c>
      <c r="P174">
        <f>IF(COUNTIFS(Artifact!$B$2:$B$385,B174,Artifact!$K$2:$K$385,"&gt;25")+COUNTIFS(Log!$A$2:$A$49,B174,Log!$H$2:$H$49,"Red")+COUNTIFS(Log!$A$2:$A$49,B174,Log!$I$2:$I$49,"Red")&gt;0,"No","Yes")</f>
        <v/>
      </c>
      <c r="Q174">
        <f>IF(COUNTIFS(Artifact!$B$2:$B$385,B174,Artifact!$K$2:$K$385,"&gt;15")+COUNTIFS(Log!$A$2:$A$49,B174,Log!$H$2:$H$49,"Red")+COUNTIFS(Log!$A$2:$A$49,B174,Log!$I$2:$I$49,"Red")&gt;0,"No","Yes")</f>
        <v/>
      </c>
    </row>
    <row r="175">
      <c r="A175" t="inlineStr">
        <is>
          <t>SIMULATED Commercial FA Study</t>
        </is>
      </c>
      <c r="B175" t="inlineStr">
        <is>
          <t>P27</t>
        </is>
      </c>
      <c r="C175" t="inlineStr">
        <is>
          <t>F</t>
        </is>
      </c>
      <c r="D175" t="n">
        <v>21</v>
      </c>
      <c r="E175" t="inlineStr">
        <is>
          <t>A_C2first</t>
        </is>
      </c>
      <c r="F175" t="inlineStr">
        <is>
          <t>Annotation</t>
        </is>
      </c>
      <c r="G175" t="inlineStr">
        <is>
          <t>KeyScene</t>
        </is>
      </c>
      <c r="H175" t="n">
        <v>275000</v>
      </c>
      <c r="I175" t="n">
        <v>6000</v>
      </c>
      <c r="J175" t="inlineStr">
        <is>
          <t>Commercial_1A</t>
        </is>
      </c>
      <c r="K175" s="4" t="n">
        <v>0.7631</v>
      </c>
      <c r="L175" t="inlineStr">
        <is>
          <t>Frontal Asymmetry (Enobio EEG)</t>
        </is>
      </c>
      <c r="M175">
        <f>LEFT(E175,1)</f>
        <v/>
      </c>
      <c r="N175">
        <f>MID(E175,3,10)</f>
        <v/>
      </c>
      <c r="O175">
        <f>IF(F175="Stimulus",IF(LEFT(G175,8)="Baseline",G175,IF(LEFT(G175,12)="Commercial_1","C1","C2")),IF(G175="KeyScene","KeyScene",IF(LEFT(J175,12)="Commercial_1","EndScene_C1","EndScene_C2")))</f>
        <v/>
      </c>
      <c r="P175">
        <f>IF(COUNTIFS(Artifact!$B$2:$B$385,B175,Artifact!$K$2:$K$385,"&gt;25")+COUNTIFS(Log!$A$2:$A$49,B175,Log!$H$2:$H$49,"Red")+COUNTIFS(Log!$A$2:$A$49,B175,Log!$I$2:$I$49,"Red")&gt;0,"No","Yes")</f>
        <v/>
      </c>
      <c r="Q175">
        <f>IF(COUNTIFS(Artifact!$B$2:$B$385,B175,Artifact!$K$2:$K$385,"&gt;15")+COUNTIFS(Log!$A$2:$A$49,B175,Log!$H$2:$H$49,"Red")+COUNTIFS(Log!$A$2:$A$49,B175,Log!$I$2:$I$49,"Red")&gt;0,"No","Yes")</f>
        <v/>
      </c>
    </row>
    <row r="176">
      <c r="A176" t="inlineStr">
        <is>
          <t>SIMULATED Commercial FA Study</t>
        </is>
      </c>
      <c r="B176" t="inlineStr">
        <is>
          <t>P27</t>
        </is>
      </c>
      <c r="C176" t="inlineStr">
        <is>
          <t>F</t>
        </is>
      </c>
      <c r="D176" t="n">
        <v>21</v>
      </c>
      <c r="E176" t="inlineStr">
        <is>
          <t>A_C2first</t>
        </is>
      </c>
      <c r="F176" t="inlineStr">
        <is>
          <t>Annotation</t>
        </is>
      </c>
      <c r="G176" t="inlineStr">
        <is>
          <t>EndScene</t>
        </is>
      </c>
      <c r="H176" t="n">
        <v>293000</v>
      </c>
      <c r="I176" t="n">
        <v>10000</v>
      </c>
      <c r="J176" t="inlineStr">
        <is>
          <t>Commercial_1A</t>
        </is>
      </c>
      <c r="K176" s="4" t="n">
        <v>0.7179</v>
      </c>
      <c r="L176" t="inlineStr">
        <is>
          <t>Frontal Asymmetry (Enobio EEG)</t>
        </is>
      </c>
      <c r="M176">
        <f>LEFT(E176,1)</f>
        <v/>
      </c>
      <c r="N176">
        <f>MID(E176,3,10)</f>
        <v/>
      </c>
      <c r="O176">
        <f>IF(F176="Stimulus",IF(LEFT(G176,8)="Baseline",G176,IF(LEFT(G176,12)="Commercial_1","C1","C2")),IF(G176="KeyScene","KeyScene",IF(LEFT(J176,12)="Commercial_1","EndScene_C1","EndScene_C2")))</f>
        <v/>
      </c>
      <c r="P176">
        <f>IF(COUNTIFS(Artifact!$B$2:$B$385,B176,Artifact!$K$2:$K$385,"&gt;25")+COUNTIFS(Log!$A$2:$A$49,B176,Log!$H$2:$H$49,"Red")+COUNTIFS(Log!$A$2:$A$49,B176,Log!$I$2:$I$49,"Red")&gt;0,"No","Yes")</f>
        <v/>
      </c>
      <c r="Q176">
        <f>IF(COUNTIFS(Artifact!$B$2:$B$385,B176,Artifact!$K$2:$K$385,"&gt;15")+COUNTIFS(Log!$A$2:$A$49,B176,Log!$H$2:$H$49,"Red")+COUNTIFS(Log!$A$2:$A$49,B176,Log!$I$2:$I$49,"Red")&gt;0,"No","Yes")</f>
        <v/>
      </c>
    </row>
    <row r="177">
      <c r="A177" t="inlineStr">
        <is>
          <t>SIMULATED Commercial FA Study</t>
        </is>
      </c>
      <c r="B177" t="inlineStr">
        <is>
          <t>P28</t>
        </is>
      </c>
      <c r="C177" t="inlineStr">
        <is>
          <t>F</t>
        </is>
      </c>
      <c r="D177" t="n">
        <v>21</v>
      </c>
      <c r="E177" t="inlineStr">
        <is>
          <t>A_C1first</t>
        </is>
      </c>
      <c r="F177" t="inlineStr">
        <is>
          <t>Stimulus</t>
        </is>
      </c>
      <c r="G177" t="inlineStr">
        <is>
          <t>Baseline_1</t>
        </is>
      </c>
      <c r="H177" t="n">
        <v>35000</v>
      </c>
      <c r="I177" t="n">
        <v>60000</v>
      </c>
      <c r="J177" t="inlineStr">
        <is>
          <t>Baseline_1</t>
        </is>
      </c>
      <c r="K177" s="4" t="n">
        <v>0.7423</v>
      </c>
      <c r="L177" t="inlineStr">
        <is>
          <t>Frontal Asymmetry (Enobio EEG)</t>
        </is>
      </c>
      <c r="M177">
        <f>LEFT(E177,1)</f>
        <v/>
      </c>
      <c r="N177">
        <f>MID(E177,3,10)</f>
        <v/>
      </c>
      <c r="O177">
        <f>IF(F177="Stimulus",IF(LEFT(G177,8)="Baseline",G177,IF(LEFT(G177,12)="Commercial_1","C1","C2")),IF(G177="KeyScene","KeyScene",IF(LEFT(J177,12)="Commercial_1","EndScene_C1","EndScene_C2")))</f>
        <v/>
      </c>
      <c r="P177">
        <f>IF(COUNTIFS(Artifact!$B$2:$B$385,B177,Artifact!$K$2:$K$385,"&gt;25")+COUNTIFS(Log!$A$2:$A$49,B177,Log!$H$2:$H$49,"Red")+COUNTIFS(Log!$A$2:$A$49,B177,Log!$I$2:$I$49,"Red")&gt;0,"No","Yes")</f>
        <v/>
      </c>
      <c r="Q177">
        <f>IF(COUNTIFS(Artifact!$B$2:$B$385,B177,Artifact!$K$2:$K$385,"&gt;15")+COUNTIFS(Log!$A$2:$A$49,B177,Log!$H$2:$H$49,"Red")+COUNTIFS(Log!$A$2:$A$49,B177,Log!$I$2:$I$49,"Red")&gt;0,"No","Yes")</f>
        <v/>
      </c>
    </row>
    <row r="178">
      <c r="A178" t="inlineStr">
        <is>
          <t>SIMULATED Commercial FA Study</t>
        </is>
      </c>
      <c r="B178" t="inlineStr">
        <is>
          <t>P28</t>
        </is>
      </c>
      <c r="C178" t="inlineStr">
        <is>
          <t>F</t>
        </is>
      </c>
      <c r="D178" t="n">
        <v>21</v>
      </c>
      <c r="E178" t="inlineStr">
        <is>
          <t>A_C1first</t>
        </is>
      </c>
      <c r="F178" t="inlineStr">
        <is>
          <t>Stimulus</t>
        </is>
      </c>
      <c r="G178" t="inlineStr">
        <is>
          <t>Commercial_1A</t>
        </is>
      </c>
      <c r="H178" t="n">
        <v>95000</v>
      </c>
      <c r="I178" t="n">
        <v>60000</v>
      </c>
      <c r="J178" t="inlineStr">
        <is>
          <t>Commercial_1A</t>
        </is>
      </c>
      <c r="K178" s="4" t="n">
        <v>0.699</v>
      </c>
      <c r="L178" t="inlineStr">
        <is>
          <t>Frontal Asymmetry (Enobio EEG)</t>
        </is>
      </c>
      <c r="M178">
        <f>LEFT(E178,1)</f>
        <v/>
      </c>
      <c r="N178">
        <f>MID(E178,3,10)</f>
        <v/>
      </c>
      <c r="O178">
        <f>IF(F178="Stimulus",IF(LEFT(G178,8)="Baseline",G178,IF(LEFT(G178,12)="Commercial_1","C1","C2")),IF(G178="KeyScene","KeyScene",IF(LEFT(J178,12)="Commercial_1","EndScene_C1","EndScene_C2")))</f>
        <v/>
      </c>
      <c r="P178">
        <f>IF(COUNTIFS(Artifact!$B$2:$B$385,B178,Artifact!$K$2:$K$385,"&gt;25")+COUNTIFS(Log!$A$2:$A$49,B178,Log!$H$2:$H$49,"Red")+COUNTIFS(Log!$A$2:$A$49,B178,Log!$I$2:$I$49,"Red")&gt;0,"No","Yes")</f>
        <v/>
      </c>
      <c r="Q178">
        <f>IF(COUNTIFS(Artifact!$B$2:$B$385,B178,Artifact!$K$2:$K$385,"&gt;15")+COUNTIFS(Log!$A$2:$A$49,B178,Log!$H$2:$H$49,"Red")+COUNTIFS(Log!$A$2:$A$49,B178,Log!$I$2:$I$49,"Red")&gt;0,"No","Yes")</f>
        <v/>
      </c>
    </row>
    <row r="179">
      <c r="A179" t="inlineStr">
        <is>
          <t>SIMULATED Commercial FA Study</t>
        </is>
      </c>
      <c r="B179" t="inlineStr">
        <is>
          <t>P28</t>
        </is>
      </c>
      <c r="C179" t="inlineStr">
        <is>
          <t>F</t>
        </is>
      </c>
      <c r="D179" t="n">
        <v>21</v>
      </c>
      <c r="E179" t="inlineStr">
        <is>
          <t>A_C1first</t>
        </is>
      </c>
      <c r="F179" t="inlineStr">
        <is>
          <t>Stimulus</t>
        </is>
      </c>
      <c r="G179" t="inlineStr">
        <is>
          <t>Baseline_2</t>
        </is>
      </c>
      <c r="H179" t="n">
        <v>186000</v>
      </c>
      <c r="I179" t="n">
        <v>60000</v>
      </c>
      <c r="J179" t="inlineStr">
        <is>
          <t>Baseline_2</t>
        </is>
      </c>
      <c r="K179" s="4" t="n">
        <v>0.7044</v>
      </c>
      <c r="L179" t="inlineStr">
        <is>
          <t>Frontal Asymmetry (Enobio EEG)</t>
        </is>
      </c>
      <c r="M179">
        <f>LEFT(E179,1)</f>
        <v/>
      </c>
      <c r="N179">
        <f>MID(E179,3,10)</f>
        <v/>
      </c>
      <c r="O179">
        <f>IF(F179="Stimulus",IF(LEFT(G179,8)="Baseline",G179,IF(LEFT(G179,12)="Commercial_1","C1","C2")),IF(G179="KeyScene","KeyScene",IF(LEFT(J179,12)="Commercial_1","EndScene_C1","EndScene_C2")))</f>
        <v/>
      </c>
      <c r="P179">
        <f>IF(COUNTIFS(Artifact!$B$2:$B$385,B179,Artifact!$K$2:$K$385,"&gt;25")+COUNTIFS(Log!$A$2:$A$49,B179,Log!$H$2:$H$49,"Red")+COUNTIFS(Log!$A$2:$A$49,B179,Log!$I$2:$I$49,"Red")&gt;0,"No","Yes")</f>
        <v/>
      </c>
      <c r="Q179">
        <f>IF(COUNTIFS(Artifact!$B$2:$B$385,B179,Artifact!$K$2:$K$385,"&gt;15")+COUNTIFS(Log!$A$2:$A$49,B179,Log!$H$2:$H$49,"Red")+COUNTIFS(Log!$A$2:$A$49,B179,Log!$I$2:$I$49,"Red")&gt;0,"No","Yes")</f>
        <v/>
      </c>
    </row>
    <row r="180">
      <c r="A180" t="inlineStr">
        <is>
          <t>SIMULATED Commercial FA Study</t>
        </is>
      </c>
      <c r="B180" t="inlineStr">
        <is>
          <t>P28</t>
        </is>
      </c>
      <c r="C180" t="inlineStr">
        <is>
          <t>F</t>
        </is>
      </c>
      <c r="D180" t="n">
        <v>21</v>
      </c>
      <c r="E180" t="inlineStr">
        <is>
          <t>A_C1first</t>
        </is>
      </c>
      <c r="F180" t="inlineStr">
        <is>
          <t>Stimulus</t>
        </is>
      </c>
      <c r="G180" t="inlineStr">
        <is>
          <t>Commercial_2</t>
        </is>
      </c>
      <c r="H180" t="n">
        <v>246000</v>
      </c>
      <c r="I180" t="n">
        <v>60000</v>
      </c>
      <c r="J180" t="inlineStr">
        <is>
          <t>Commercial_2</t>
        </is>
      </c>
      <c r="K180" s="4" t="n">
        <v>0.6912</v>
      </c>
      <c r="L180" t="inlineStr">
        <is>
          <t>Frontal Asymmetry (Enobio EEG)</t>
        </is>
      </c>
      <c r="M180">
        <f>LEFT(E180,1)</f>
        <v/>
      </c>
      <c r="N180">
        <f>MID(E180,3,10)</f>
        <v/>
      </c>
      <c r="O180">
        <f>IF(F180="Stimulus",IF(LEFT(G180,8)="Baseline",G180,IF(LEFT(G180,12)="Commercial_1","C1","C2")),IF(G180="KeyScene","KeyScene",IF(LEFT(J180,12)="Commercial_1","EndScene_C1","EndScene_C2")))</f>
        <v/>
      </c>
      <c r="P180">
        <f>IF(COUNTIFS(Artifact!$B$2:$B$385,B180,Artifact!$K$2:$K$385,"&gt;25")+COUNTIFS(Log!$A$2:$A$49,B180,Log!$H$2:$H$49,"Red")+COUNTIFS(Log!$A$2:$A$49,B180,Log!$I$2:$I$49,"Red")&gt;0,"No","Yes")</f>
        <v/>
      </c>
      <c r="Q180">
        <f>IF(COUNTIFS(Artifact!$B$2:$B$385,B180,Artifact!$K$2:$K$385,"&gt;15")+COUNTIFS(Log!$A$2:$A$49,B180,Log!$H$2:$H$49,"Red")+COUNTIFS(Log!$A$2:$A$49,B180,Log!$I$2:$I$49,"Red")&gt;0,"No","Yes")</f>
        <v/>
      </c>
    </row>
    <row r="181">
      <c r="A181" t="inlineStr">
        <is>
          <t>SIMULATED Commercial FA Study</t>
        </is>
      </c>
      <c r="B181" t="inlineStr">
        <is>
          <t>P28</t>
        </is>
      </c>
      <c r="C181" t="inlineStr">
        <is>
          <t>F</t>
        </is>
      </c>
      <c r="D181" t="n">
        <v>21</v>
      </c>
      <c r="E181" t="inlineStr">
        <is>
          <t>A_C1first</t>
        </is>
      </c>
      <c r="F181" t="inlineStr">
        <is>
          <t>Annotation</t>
        </is>
      </c>
      <c r="G181" t="inlineStr">
        <is>
          <t>KeyScene</t>
        </is>
      </c>
      <c r="H181" t="n">
        <v>127000</v>
      </c>
      <c r="I181" t="n">
        <v>6000</v>
      </c>
      <c r="J181" t="inlineStr">
        <is>
          <t>Commercial_1A</t>
        </is>
      </c>
      <c r="K181" s="4" t="n">
        <v>0.6653</v>
      </c>
      <c r="L181" t="inlineStr">
        <is>
          <t>Frontal Asymmetry (Enobio EEG)</t>
        </is>
      </c>
      <c r="M181">
        <f>LEFT(E181,1)</f>
        <v/>
      </c>
      <c r="N181">
        <f>MID(E181,3,10)</f>
        <v/>
      </c>
      <c r="O181">
        <f>IF(F181="Stimulus",IF(LEFT(G181,8)="Baseline",G181,IF(LEFT(G181,12)="Commercial_1","C1","C2")),IF(G181="KeyScene","KeyScene",IF(LEFT(J181,12)="Commercial_1","EndScene_C1","EndScene_C2")))</f>
        <v/>
      </c>
      <c r="P181">
        <f>IF(COUNTIFS(Artifact!$B$2:$B$385,B181,Artifact!$K$2:$K$385,"&gt;25")+COUNTIFS(Log!$A$2:$A$49,B181,Log!$H$2:$H$49,"Red")+COUNTIFS(Log!$A$2:$A$49,B181,Log!$I$2:$I$49,"Red")&gt;0,"No","Yes")</f>
        <v/>
      </c>
      <c r="Q181">
        <f>IF(COUNTIFS(Artifact!$B$2:$B$385,B181,Artifact!$K$2:$K$385,"&gt;15")+COUNTIFS(Log!$A$2:$A$49,B181,Log!$H$2:$H$49,"Red")+COUNTIFS(Log!$A$2:$A$49,B181,Log!$I$2:$I$49,"Red")&gt;0,"No","Yes")</f>
        <v/>
      </c>
    </row>
    <row r="182">
      <c r="A182" t="inlineStr">
        <is>
          <t>SIMULATED Commercial FA Study</t>
        </is>
      </c>
      <c r="B182" t="inlineStr">
        <is>
          <t>P28</t>
        </is>
      </c>
      <c r="C182" t="inlineStr">
        <is>
          <t>F</t>
        </is>
      </c>
      <c r="D182" t="n">
        <v>21</v>
      </c>
      <c r="E182" t="inlineStr">
        <is>
          <t>A_C1first</t>
        </is>
      </c>
      <c r="F182" t="inlineStr">
        <is>
          <t>Annotation</t>
        </is>
      </c>
      <c r="G182" t="inlineStr">
        <is>
          <t>EndScene</t>
        </is>
      </c>
      <c r="H182" t="n">
        <v>145000</v>
      </c>
      <c r="I182" t="n">
        <v>10000</v>
      </c>
      <c r="J182" t="inlineStr">
        <is>
          <t>Commercial_1A</t>
        </is>
      </c>
      <c r="K182" s="4" t="n">
        <v>0.6997</v>
      </c>
      <c r="L182" t="inlineStr">
        <is>
          <t>Frontal Asymmetry (Enobio EEG)</t>
        </is>
      </c>
      <c r="M182">
        <f>LEFT(E182,1)</f>
        <v/>
      </c>
      <c r="N182">
        <f>MID(E182,3,10)</f>
        <v/>
      </c>
      <c r="O182">
        <f>IF(F182="Stimulus",IF(LEFT(G182,8)="Baseline",G182,IF(LEFT(G182,12)="Commercial_1","C1","C2")),IF(G182="KeyScene","KeyScene",IF(LEFT(J182,12)="Commercial_1","EndScene_C1","EndScene_C2")))</f>
        <v/>
      </c>
      <c r="P182">
        <f>IF(COUNTIFS(Artifact!$B$2:$B$385,B182,Artifact!$K$2:$K$385,"&gt;25")+COUNTIFS(Log!$A$2:$A$49,B182,Log!$H$2:$H$49,"Red")+COUNTIFS(Log!$A$2:$A$49,B182,Log!$I$2:$I$49,"Red")&gt;0,"No","Yes")</f>
        <v/>
      </c>
      <c r="Q182">
        <f>IF(COUNTIFS(Artifact!$B$2:$B$385,B182,Artifact!$K$2:$K$385,"&gt;15")+COUNTIFS(Log!$A$2:$A$49,B182,Log!$H$2:$H$49,"Red")+COUNTIFS(Log!$A$2:$A$49,B182,Log!$I$2:$I$49,"Red")&gt;0,"No","Yes")</f>
        <v/>
      </c>
    </row>
    <row r="183">
      <c r="A183" t="inlineStr">
        <is>
          <t>SIMULATED Commercial FA Study</t>
        </is>
      </c>
      <c r="B183" t="inlineStr">
        <is>
          <t>P28</t>
        </is>
      </c>
      <c r="C183" t="inlineStr">
        <is>
          <t>F</t>
        </is>
      </c>
      <c r="D183" t="n">
        <v>21</v>
      </c>
      <c r="E183" t="inlineStr">
        <is>
          <t>A_C1first</t>
        </is>
      </c>
      <c r="F183" t="inlineStr">
        <is>
          <t>Annotation</t>
        </is>
      </c>
      <c r="G183" t="inlineStr">
        <is>
          <t>EndScene</t>
        </is>
      </c>
      <c r="H183" t="n">
        <v>296000</v>
      </c>
      <c r="I183" t="n">
        <v>10000</v>
      </c>
      <c r="J183" t="inlineStr">
        <is>
          <t>Commercial_2</t>
        </is>
      </c>
      <c r="K183" s="4" t="n">
        <v>0.7212</v>
      </c>
      <c r="L183" t="inlineStr">
        <is>
          <t>Frontal Asymmetry (Enobio EEG)</t>
        </is>
      </c>
      <c r="M183">
        <f>LEFT(E183,1)</f>
        <v/>
      </c>
      <c r="N183">
        <f>MID(E183,3,10)</f>
        <v/>
      </c>
      <c r="O183">
        <f>IF(F183="Stimulus",IF(LEFT(G183,8)="Baseline",G183,IF(LEFT(G183,12)="Commercial_1","C1","C2")),IF(G183="KeyScene","KeyScene",IF(LEFT(J183,12)="Commercial_1","EndScene_C1","EndScene_C2")))</f>
        <v/>
      </c>
      <c r="P183">
        <f>IF(COUNTIFS(Artifact!$B$2:$B$385,B183,Artifact!$K$2:$K$385,"&gt;25")+COUNTIFS(Log!$A$2:$A$49,B183,Log!$H$2:$H$49,"Red")+COUNTIFS(Log!$A$2:$A$49,B183,Log!$I$2:$I$49,"Red")&gt;0,"No","Yes")</f>
        <v/>
      </c>
      <c r="Q183">
        <f>IF(COUNTIFS(Artifact!$B$2:$B$385,B183,Artifact!$K$2:$K$385,"&gt;15")+COUNTIFS(Log!$A$2:$A$49,B183,Log!$H$2:$H$49,"Red")+COUNTIFS(Log!$A$2:$A$49,B183,Log!$I$2:$I$49,"Red")&gt;0,"No","Yes")</f>
        <v/>
      </c>
    </row>
    <row r="184">
      <c r="A184" t="inlineStr">
        <is>
          <t>SIMULATED Commercial FA Study</t>
        </is>
      </c>
      <c r="B184" t="inlineStr">
        <is>
          <t>P29</t>
        </is>
      </c>
      <c r="C184" t="inlineStr">
        <is>
          <t>M</t>
        </is>
      </c>
      <c r="D184" t="n">
        <v>18</v>
      </c>
      <c r="E184" t="inlineStr">
        <is>
          <t>B_C1first</t>
        </is>
      </c>
      <c r="F184" t="inlineStr">
        <is>
          <t>Stimulus</t>
        </is>
      </c>
      <c r="G184" t="inlineStr">
        <is>
          <t>Baseline_1</t>
        </is>
      </c>
      <c r="H184" t="n">
        <v>30000</v>
      </c>
      <c r="I184" t="n">
        <v>60000</v>
      </c>
      <c r="J184" t="inlineStr">
        <is>
          <t>Baseline_1</t>
        </is>
      </c>
      <c r="K184" s="4" t="n">
        <v>0.3519</v>
      </c>
      <c r="L184" t="inlineStr">
        <is>
          <t>Frontal Asymmetry (Enobio EEG)</t>
        </is>
      </c>
      <c r="M184">
        <f>LEFT(E184,1)</f>
        <v/>
      </c>
      <c r="N184">
        <f>MID(E184,3,10)</f>
        <v/>
      </c>
      <c r="O184">
        <f>IF(F184="Stimulus",IF(LEFT(G184,8)="Baseline",G184,IF(LEFT(G184,12)="Commercial_1","C1","C2")),IF(G184="KeyScene","KeyScene",IF(LEFT(J184,12)="Commercial_1","EndScene_C1","EndScene_C2")))</f>
        <v/>
      </c>
      <c r="P184">
        <f>IF(COUNTIFS(Artifact!$B$2:$B$385,B184,Artifact!$K$2:$K$385,"&gt;25")+COUNTIFS(Log!$A$2:$A$49,B184,Log!$H$2:$H$49,"Red")+COUNTIFS(Log!$A$2:$A$49,B184,Log!$I$2:$I$49,"Red")&gt;0,"No","Yes")</f>
        <v/>
      </c>
      <c r="Q184">
        <f>IF(COUNTIFS(Artifact!$B$2:$B$385,B184,Artifact!$K$2:$K$385,"&gt;15")+COUNTIFS(Log!$A$2:$A$49,B184,Log!$H$2:$H$49,"Red")+COUNTIFS(Log!$A$2:$A$49,B184,Log!$I$2:$I$49,"Red")&gt;0,"No","Yes")</f>
        <v/>
      </c>
    </row>
    <row r="185">
      <c r="A185" t="inlineStr">
        <is>
          <t>SIMULATED Commercial FA Study</t>
        </is>
      </c>
      <c r="B185" t="inlineStr">
        <is>
          <t>P29</t>
        </is>
      </c>
      <c r="C185" t="inlineStr">
        <is>
          <t>M</t>
        </is>
      </c>
      <c r="D185" t="n">
        <v>18</v>
      </c>
      <c r="E185" t="inlineStr">
        <is>
          <t>B_C1first</t>
        </is>
      </c>
      <c r="F185" t="inlineStr">
        <is>
          <t>Stimulus</t>
        </is>
      </c>
      <c r="G185" t="inlineStr">
        <is>
          <t>Commercial_1B</t>
        </is>
      </c>
      <c r="H185" t="n">
        <v>90000</v>
      </c>
      <c r="I185" t="n">
        <v>54000</v>
      </c>
      <c r="J185" t="inlineStr">
        <is>
          <t>Commercial_1B</t>
        </is>
      </c>
      <c r="K185" s="4" t="n">
        <v>0.3789</v>
      </c>
      <c r="L185" t="inlineStr">
        <is>
          <t>Frontal Asymmetry (Enobio EEG)</t>
        </is>
      </c>
      <c r="M185">
        <f>LEFT(E185,1)</f>
        <v/>
      </c>
      <c r="N185">
        <f>MID(E185,3,10)</f>
        <v/>
      </c>
      <c r="O185">
        <f>IF(F185="Stimulus",IF(LEFT(G185,8)="Baseline",G185,IF(LEFT(G185,12)="Commercial_1","C1","C2")),IF(G185="KeyScene","KeyScene",IF(LEFT(J185,12)="Commercial_1","EndScene_C1","EndScene_C2")))</f>
        <v/>
      </c>
      <c r="P185">
        <f>IF(COUNTIFS(Artifact!$B$2:$B$385,B185,Artifact!$K$2:$K$385,"&gt;25")+COUNTIFS(Log!$A$2:$A$49,B185,Log!$H$2:$H$49,"Red")+COUNTIFS(Log!$A$2:$A$49,B185,Log!$I$2:$I$49,"Red")&gt;0,"No","Yes")</f>
        <v/>
      </c>
      <c r="Q185">
        <f>IF(COUNTIFS(Artifact!$B$2:$B$385,B185,Artifact!$K$2:$K$385,"&gt;15")+COUNTIFS(Log!$A$2:$A$49,B185,Log!$H$2:$H$49,"Red")+COUNTIFS(Log!$A$2:$A$49,B185,Log!$I$2:$I$49,"Red")&gt;0,"No","Yes")</f>
        <v/>
      </c>
    </row>
    <row r="186">
      <c r="A186" t="inlineStr">
        <is>
          <t>SIMULATED Commercial FA Study</t>
        </is>
      </c>
      <c r="B186" t="inlineStr">
        <is>
          <t>P29</t>
        </is>
      </c>
      <c r="C186" t="inlineStr">
        <is>
          <t>M</t>
        </is>
      </c>
      <c r="D186" t="n">
        <v>18</v>
      </c>
      <c r="E186" t="inlineStr">
        <is>
          <t>B_C1first</t>
        </is>
      </c>
      <c r="F186" t="inlineStr">
        <is>
          <t>Stimulus</t>
        </is>
      </c>
      <c r="G186" t="inlineStr">
        <is>
          <t>Baseline_2</t>
        </is>
      </c>
      <c r="H186" t="n">
        <v>173000</v>
      </c>
      <c r="I186" t="n">
        <v>60000</v>
      </c>
      <c r="J186" t="inlineStr">
        <is>
          <t>Baseline_2</t>
        </is>
      </c>
      <c r="K186" s="4" t="n">
        <v>0.37</v>
      </c>
      <c r="L186" t="inlineStr">
        <is>
          <t>Frontal Asymmetry (Enobio EEG)</t>
        </is>
      </c>
      <c r="M186">
        <f>LEFT(E186,1)</f>
        <v/>
      </c>
      <c r="N186">
        <f>MID(E186,3,10)</f>
        <v/>
      </c>
      <c r="O186">
        <f>IF(F186="Stimulus",IF(LEFT(G186,8)="Baseline",G186,IF(LEFT(G186,12)="Commercial_1","C1","C2")),IF(G186="KeyScene","KeyScene",IF(LEFT(J186,12)="Commercial_1","EndScene_C1","EndScene_C2")))</f>
        <v/>
      </c>
      <c r="P186">
        <f>IF(COUNTIFS(Artifact!$B$2:$B$385,B186,Artifact!$K$2:$K$385,"&gt;25")+COUNTIFS(Log!$A$2:$A$49,B186,Log!$H$2:$H$49,"Red")+COUNTIFS(Log!$A$2:$A$49,B186,Log!$I$2:$I$49,"Red")&gt;0,"No","Yes")</f>
        <v/>
      </c>
      <c r="Q186">
        <f>IF(COUNTIFS(Artifact!$B$2:$B$385,B186,Artifact!$K$2:$K$385,"&gt;15")+COUNTIFS(Log!$A$2:$A$49,B186,Log!$H$2:$H$49,"Red")+COUNTIFS(Log!$A$2:$A$49,B186,Log!$I$2:$I$49,"Red")&gt;0,"No","Yes")</f>
        <v/>
      </c>
    </row>
    <row r="187">
      <c r="A187" t="inlineStr">
        <is>
          <t>SIMULATED Commercial FA Study</t>
        </is>
      </c>
      <c r="B187" t="inlineStr">
        <is>
          <t>P29</t>
        </is>
      </c>
      <c r="C187" t="inlineStr">
        <is>
          <t>M</t>
        </is>
      </c>
      <c r="D187" t="n">
        <v>18</v>
      </c>
      <c r="E187" t="inlineStr">
        <is>
          <t>B_C1first</t>
        </is>
      </c>
      <c r="F187" t="inlineStr">
        <is>
          <t>Stimulus</t>
        </is>
      </c>
      <c r="G187" t="inlineStr">
        <is>
          <t>Commercial_2</t>
        </is>
      </c>
      <c r="H187" t="n">
        <v>233000</v>
      </c>
      <c r="I187" t="n">
        <v>60000</v>
      </c>
      <c r="J187" t="inlineStr">
        <is>
          <t>Commercial_2</t>
        </is>
      </c>
      <c r="K187" s="4" t="n">
        <v>0.3634</v>
      </c>
      <c r="L187" t="inlineStr">
        <is>
          <t>Frontal Asymmetry (Enobio EEG)</t>
        </is>
      </c>
      <c r="M187">
        <f>LEFT(E187,1)</f>
        <v/>
      </c>
      <c r="N187">
        <f>MID(E187,3,10)</f>
        <v/>
      </c>
      <c r="O187">
        <f>IF(F187="Stimulus",IF(LEFT(G187,8)="Baseline",G187,IF(LEFT(G187,12)="Commercial_1","C1","C2")),IF(G187="KeyScene","KeyScene",IF(LEFT(J187,12)="Commercial_1","EndScene_C1","EndScene_C2")))</f>
        <v/>
      </c>
      <c r="P187">
        <f>IF(COUNTIFS(Artifact!$B$2:$B$385,B187,Artifact!$K$2:$K$385,"&gt;25")+COUNTIFS(Log!$A$2:$A$49,B187,Log!$H$2:$H$49,"Red")+COUNTIFS(Log!$A$2:$A$49,B187,Log!$I$2:$I$49,"Red")&gt;0,"No","Yes")</f>
        <v/>
      </c>
      <c r="Q187">
        <f>IF(COUNTIFS(Artifact!$B$2:$B$385,B187,Artifact!$K$2:$K$385,"&gt;15")+COUNTIFS(Log!$A$2:$A$49,B187,Log!$H$2:$H$49,"Red")+COUNTIFS(Log!$A$2:$A$49,B187,Log!$I$2:$I$49,"Red")&gt;0,"No","Yes")</f>
        <v/>
      </c>
    </row>
    <row r="188">
      <c r="A188" t="inlineStr">
        <is>
          <t>SIMULATED Commercial FA Study</t>
        </is>
      </c>
      <c r="B188" t="inlineStr">
        <is>
          <t>P29</t>
        </is>
      </c>
      <c r="C188" t="inlineStr">
        <is>
          <t>M</t>
        </is>
      </c>
      <c r="D188" t="n">
        <v>18</v>
      </c>
      <c r="E188" t="inlineStr">
        <is>
          <t>B_C1first</t>
        </is>
      </c>
      <c r="F188" t="inlineStr">
        <is>
          <t>Annotation</t>
        </is>
      </c>
      <c r="G188" t="inlineStr">
        <is>
          <t>EndScene</t>
        </is>
      </c>
      <c r="H188" t="n">
        <v>134000</v>
      </c>
      <c r="I188" t="n">
        <v>10000</v>
      </c>
      <c r="J188" t="inlineStr">
        <is>
          <t>Commercial_1B</t>
        </is>
      </c>
      <c r="K188" s="4" t="n">
        <v>0.3221</v>
      </c>
      <c r="L188" t="inlineStr">
        <is>
          <t>Frontal Asymmetry (Enobio EEG)</t>
        </is>
      </c>
      <c r="M188">
        <f>LEFT(E188,1)</f>
        <v/>
      </c>
      <c r="N188">
        <f>MID(E188,3,10)</f>
        <v/>
      </c>
      <c r="O188">
        <f>IF(F188="Stimulus",IF(LEFT(G188,8)="Baseline",G188,IF(LEFT(G188,12)="Commercial_1","C1","C2")),IF(G188="KeyScene","KeyScene",IF(LEFT(J188,12)="Commercial_1","EndScene_C1","EndScene_C2")))</f>
        <v/>
      </c>
      <c r="P188">
        <f>IF(COUNTIFS(Artifact!$B$2:$B$385,B188,Artifact!$K$2:$K$385,"&gt;25")+COUNTIFS(Log!$A$2:$A$49,B188,Log!$H$2:$H$49,"Red")+COUNTIFS(Log!$A$2:$A$49,B188,Log!$I$2:$I$49,"Red")&gt;0,"No","Yes")</f>
        <v/>
      </c>
      <c r="Q188">
        <f>IF(COUNTIFS(Artifact!$B$2:$B$385,B188,Artifact!$K$2:$K$385,"&gt;15")+COUNTIFS(Log!$A$2:$A$49,B188,Log!$H$2:$H$49,"Red")+COUNTIFS(Log!$A$2:$A$49,B188,Log!$I$2:$I$49,"Red")&gt;0,"No","Yes")</f>
        <v/>
      </c>
    </row>
    <row r="189">
      <c r="A189" t="inlineStr">
        <is>
          <t>SIMULATED Commercial FA Study</t>
        </is>
      </c>
      <c r="B189" t="inlineStr">
        <is>
          <t>P29</t>
        </is>
      </c>
      <c r="C189" t="inlineStr">
        <is>
          <t>M</t>
        </is>
      </c>
      <c r="D189" t="n">
        <v>18</v>
      </c>
      <c r="E189" t="inlineStr">
        <is>
          <t>B_C1first</t>
        </is>
      </c>
      <c r="F189" t="inlineStr">
        <is>
          <t>Annotation</t>
        </is>
      </c>
      <c r="G189" t="inlineStr">
        <is>
          <t>EndScene</t>
        </is>
      </c>
      <c r="H189" t="n">
        <v>283000</v>
      </c>
      <c r="I189" t="n">
        <v>10000</v>
      </c>
      <c r="J189" t="inlineStr">
        <is>
          <t>Commercial_2</t>
        </is>
      </c>
      <c r="K189" s="4" t="n">
        <v>0.2721</v>
      </c>
      <c r="L189" t="inlineStr">
        <is>
          <t>Frontal Asymmetry (Enobio EEG)</t>
        </is>
      </c>
      <c r="M189">
        <f>LEFT(E189,1)</f>
        <v/>
      </c>
      <c r="N189">
        <f>MID(E189,3,10)</f>
        <v/>
      </c>
      <c r="O189">
        <f>IF(F189="Stimulus",IF(LEFT(G189,8)="Baseline",G189,IF(LEFT(G189,12)="Commercial_1","C1","C2")),IF(G189="KeyScene","KeyScene",IF(LEFT(J189,12)="Commercial_1","EndScene_C1","EndScene_C2")))</f>
        <v/>
      </c>
      <c r="P189">
        <f>IF(COUNTIFS(Artifact!$B$2:$B$385,B189,Artifact!$K$2:$K$385,"&gt;25")+COUNTIFS(Log!$A$2:$A$49,B189,Log!$H$2:$H$49,"Red")+COUNTIFS(Log!$A$2:$A$49,B189,Log!$I$2:$I$49,"Red")&gt;0,"No","Yes")</f>
        <v/>
      </c>
      <c r="Q189">
        <f>IF(COUNTIFS(Artifact!$B$2:$B$385,B189,Artifact!$K$2:$K$385,"&gt;15")+COUNTIFS(Log!$A$2:$A$49,B189,Log!$H$2:$H$49,"Red")+COUNTIFS(Log!$A$2:$A$49,B189,Log!$I$2:$I$49,"Red")&gt;0,"No","Yes")</f>
        <v/>
      </c>
    </row>
    <row r="190">
      <c r="A190" t="inlineStr">
        <is>
          <t>SIMULATED Commercial FA Study</t>
        </is>
      </c>
      <c r="B190" t="inlineStr">
        <is>
          <t>P30</t>
        </is>
      </c>
      <c r="C190" t="inlineStr">
        <is>
          <t>M</t>
        </is>
      </c>
      <c r="D190" t="n">
        <v>20</v>
      </c>
      <c r="E190" t="inlineStr">
        <is>
          <t>A_C2first</t>
        </is>
      </c>
      <c r="F190" t="inlineStr">
        <is>
          <t>Stimulus</t>
        </is>
      </c>
      <c r="G190" t="inlineStr">
        <is>
          <t>Baseline_1</t>
        </is>
      </c>
      <c r="H190" t="n">
        <v>32000</v>
      </c>
      <c r="I190" t="n">
        <v>60000</v>
      </c>
      <c r="J190" t="inlineStr">
        <is>
          <t>Baseline_1</t>
        </is>
      </c>
      <c r="K190" s="4" t="n">
        <v>0.6333</v>
      </c>
      <c r="L190" t="inlineStr">
        <is>
          <t>Frontal Asymmetry (Enobio EEG)</t>
        </is>
      </c>
      <c r="M190">
        <f>LEFT(E190,1)</f>
        <v/>
      </c>
      <c r="N190">
        <f>MID(E190,3,10)</f>
        <v/>
      </c>
      <c r="O190">
        <f>IF(F190="Stimulus",IF(LEFT(G190,8)="Baseline",G190,IF(LEFT(G190,12)="Commercial_1","C1","C2")),IF(G190="KeyScene","KeyScene",IF(LEFT(J190,12)="Commercial_1","EndScene_C1","EndScene_C2")))</f>
        <v/>
      </c>
      <c r="P190">
        <f>IF(COUNTIFS(Artifact!$B$2:$B$385,B190,Artifact!$K$2:$K$385,"&gt;25")+COUNTIFS(Log!$A$2:$A$49,B190,Log!$H$2:$H$49,"Red")+COUNTIFS(Log!$A$2:$A$49,B190,Log!$I$2:$I$49,"Red")&gt;0,"No","Yes")</f>
        <v/>
      </c>
      <c r="Q190">
        <f>IF(COUNTIFS(Artifact!$B$2:$B$385,B190,Artifact!$K$2:$K$385,"&gt;15")+COUNTIFS(Log!$A$2:$A$49,B190,Log!$H$2:$H$49,"Red")+COUNTIFS(Log!$A$2:$A$49,B190,Log!$I$2:$I$49,"Red")&gt;0,"No","Yes")</f>
        <v/>
      </c>
    </row>
    <row r="191">
      <c r="A191" t="inlineStr">
        <is>
          <t>SIMULATED Commercial FA Study</t>
        </is>
      </c>
      <c r="B191" t="inlineStr">
        <is>
          <t>P30</t>
        </is>
      </c>
      <c r="C191" t="inlineStr">
        <is>
          <t>M</t>
        </is>
      </c>
      <c r="D191" t="n">
        <v>20</v>
      </c>
      <c r="E191" t="inlineStr">
        <is>
          <t>A_C2first</t>
        </is>
      </c>
      <c r="F191" t="inlineStr">
        <is>
          <t>Stimulus</t>
        </is>
      </c>
      <c r="G191" t="inlineStr">
        <is>
          <t>Commercial_2</t>
        </is>
      </c>
      <c r="H191" t="n">
        <v>92000</v>
      </c>
      <c r="I191" t="n">
        <v>60000</v>
      </c>
      <c r="J191" t="inlineStr">
        <is>
          <t>Commercial_2</t>
        </is>
      </c>
      <c r="K191" s="4" t="n">
        <v>0.6497000000000001</v>
      </c>
      <c r="L191" t="inlineStr">
        <is>
          <t>Frontal Asymmetry (Enobio EEG)</t>
        </is>
      </c>
      <c r="M191">
        <f>LEFT(E191,1)</f>
        <v/>
      </c>
      <c r="N191">
        <f>MID(E191,3,10)</f>
        <v/>
      </c>
      <c r="O191">
        <f>IF(F191="Stimulus",IF(LEFT(G191,8)="Baseline",G191,IF(LEFT(G191,12)="Commercial_1","C1","C2")),IF(G191="KeyScene","KeyScene",IF(LEFT(J191,12)="Commercial_1","EndScene_C1","EndScene_C2")))</f>
        <v/>
      </c>
      <c r="P191">
        <f>IF(COUNTIFS(Artifact!$B$2:$B$385,B191,Artifact!$K$2:$K$385,"&gt;25")+COUNTIFS(Log!$A$2:$A$49,B191,Log!$H$2:$H$49,"Red")+COUNTIFS(Log!$A$2:$A$49,B191,Log!$I$2:$I$49,"Red")&gt;0,"No","Yes")</f>
        <v/>
      </c>
      <c r="Q191">
        <f>IF(COUNTIFS(Artifact!$B$2:$B$385,B191,Artifact!$K$2:$K$385,"&gt;15")+COUNTIFS(Log!$A$2:$A$49,B191,Log!$H$2:$H$49,"Red")+COUNTIFS(Log!$A$2:$A$49,B191,Log!$I$2:$I$49,"Red")&gt;0,"No","Yes")</f>
        <v/>
      </c>
    </row>
    <row r="192">
      <c r="A192" t="inlineStr">
        <is>
          <t>SIMULATED Commercial FA Study</t>
        </is>
      </c>
      <c r="B192" t="inlineStr">
        <is>
          <t>P30</t>
        </is>
      </c>
      <c r="C192" t="inlineStr">
        <is>
          <t>M</t>
        </is>
      </c>
      <c r="D192" t="n">
        <v>20</v>
      </c>
      <c r="E192" t="inlineStr">
        <is>
          <t>A_C2first</t>
        </is>
      </c>
      <c r="F192" t="inlineStr">
        <is>
          <t>Stimulus</t>
        </is>
      </c>
      <c r="G192" t="inlineStr">
        <is>
          <t>Baseline_2</t>
        </is>
      </c>
      <c r="H192" t="n">
        <v>210000</v>
      </c>
      <c r="I192" t="n">
        <v>60000</v>
      </c>
      <c r="J192" t="inlineStr">
        <is>
          <t>Baseline_2</t>
        </is>
      </c>
      <c r="K192" s="4" t="n">
        <v>0.6348</v>
      </c>
      <c r="L192" t="inlineStr">
        <is>
          <t>Frontal Asymmetry (Enobio EEG)</t>
        </is>
      </c>
      <c r="M192">
        <f>LEFT(E192,1)</f>
        <v/>
      </c>
      <c r="N192">
        <f>MID(E192,3,10)</f>
        <v/>
      </c>
      <c r="O192">
        <f>IF(F192="Stimulus",IF(LEFT(G192,8)="Baseline",G192,IF(LEFT(G192,12)="Commercial_1","C1","C2")),IF(G192="KeyScene","KeyScene",IF(LEFT(J192,12)="Commercial_1","EndScene_C1","EndScene_C2")))</f>
        <v/>
      </c>
      <c r="P192">
        <f>IF(COUNTIFS(Artifact!$B$2:$B$385,B192,Artifact!$K$2:$K$385,"&gt;25")+COUNTIFS(Log!$A$2:$A$49,B192,Log!$H$2:$H$49,"Red")+COUNTIFS(Log!$A$2:$A$49,B192,Log!$I$2:$I$49,"Red")&gt;0,"No","Yes")</f>
        <v/>
      </c>
      <c r="Q192">
        <f>IF(COUNTIFS(Artifact!$B$2:$B$385,B192,Artifact!$K$2:$K$385,"&gt;15")+COUNTIFS(Log!$A$2:$A$49,B192,Log!$H$2:$H$49,"Red")+COUNTIFS(Log!$A$2:$A$49,B192,Log!$I$2:$I$49,"Red")&gt;0,"No","Yes")</f>
        <v/>
      </c>
    </row>
    <row r="193">
      <c r="A193" t="inlineStr">
        <is>
          <t>SIMULATED Commercial FA Study</t>
        </is>
      </c>
      <c r="B193" t="inlineStr">
        <is>
          <t>P30</t>
        </is>
      </c>
      <c r="C193" t="inlineStr">
        <is>
          <t>M</t>
        </is>
      </c>
      <c r="D193" t="n">
        <v>20</v>
      </c>
      <c r="E193" t="inlineStr">
        <is>
          <t>A_C2first</t>
        </is>
      </c>
      <c r="F193" t="inlineStr">
        <is>
          <t>Stimulus</t>
        </is>
      </c>
      <c r="G193" t="inlineStr">
        <is>
          <t>Commercial_1A</t>
        </is>
      </c>
      <c r="H193" t="n">
        <v>270000</v>
      </c>
      <c r="I193" t="n">
        <v>60000</v>
      </c>
      <c r="J193" t="inlineStr">
        <is>
          <t>Commercial_1A</t>
        </is>
      </c>
      <c r="K193" s="4" t="n">
        <v>0.5943000000000001</v>
      </c>
      <c r="L193" t="inlineStr">
        <is>
          <t>Frontal Asymmetry (Enobio EEG)</t>
        </is>
      </c>
      <c r="M193">
        <f>LEFT(E193,1)</f>
        <v/>
      </c>
      <c r="N193">
        <f>MID(E193,3,10)</f>
        <v/>
      </c>
      <c r="O193">
        <f>IF(F193="Stimulus",IF(LEFT(G193,8)="Baseline",G193,IF(LEFT(G193,12)="Commercial_1","C1","C2")),IF(G193="KeyScene","KeyScene",IF(LEFT(J193,12)="Commercial_1","EndScene_C1","EndScene_C2")))</f>
        <v/>
      </c>
      <c r="P193">
        <f>IF(COUNTIFS(Artifact!$B$2:$B$385,B193,Artifact!$K$2:$K$385,"&gt;25")+COUNTIFS(Log!$A$2:$A$49,B193,Log!$H$2:$H$49,"Red")+COUNTIFS(Log!$A$2:$A$49,B193,Log!$I$2:$I$49,"Red")&gt;0,"No","Yes")</f>
        <v/>
      </c>
      <c r="Q193">
        <f>IF(COUNTIFS(Artifact!$B$2:$B$385,B193,Artifact!$K$2:$K$385,"&gt;15")+COUNTIFS(Log!$A$2:$A$49,B193,Log!$H$2:$H$49,"Red")+COUNTIFS(Log!$A$2:$A$49,B193,Log!$I$2:$I$49,"Red")&gt;0,"No","Yes")</f>
        <v/>
      </c>
    </row>
    <row r="194">
      <c r="A194" t="inlineStr">
        <is>
          <t>SIMULATED Commercial FA Study</t>
        </is>
      </c>
      <c r="B194" t="inlineStr">
        <is>
          <t>P30</t>
        </is>
      </c>
      <c r="C194" t="inlineStr">
        <is>
          <t>M</t>
        </is>
      </c>
      <c r="D194" t="n">
        <v>20</v>
      </c>
      <c r="E194" t="inlineStr">
        <is>
          <t>A_C2first</t>
        </is>
      </c>
      <c r="F194" t="inlineStr">
        <is>
          <t>Annotation</t>
        </is>
      </c>
      <c r="G194" t="inlineStr">
        <is>
          <t>EndScene</t>
        </is>
      </c>
      <c r="H194" t="n">
        <v>142000</v>
      </c>
      <c r="I194" t="n">
        <v>10000</v>
      </c>
      <c r="J194" t="inlineStr">
        <is>
          <t>Commercial_2</t>
        </is>
      </c>
      <c r="K194" s="4" t="n">
        <v>0.5876</v>
      </c>
      <c r="L194" t="inlineStr">
        <is>
          <t>Frontal Asymmetry (Enobio EEG)</t>
        </is>
      </c>
      <c r="M194">
        <f>LEFT(E194,1)</f>
        <v/>
      </c>
      <c r="N194">
        <f>MID(E194,3,10)</f>
        <v/>
      </c>
      <c r="O194">
        <f>IF(F194="Stimulus",IF(LEFT(G194,8)="Baseline",G194,IF(LEFT(G194,12)="Commercial_1","C1","C2")),IF(G194="KeyScene","KeyScene",IF(LEFT(J194,12)="Commercial_1","EndScene_C1","EndScene_C2")))</f>
        <v/>
      </c>
      <c r="P194">
        <f>IF(COUNTIFS(Artifact!$B$2:$B$385,B194,Artifact!$K$2:$K$385,"&gt;25")+COUNTIFS(Log!$A$2:$A$49,B194,Log!$H$2:$H$49,"Red")+COUNTIFS(Log!$A$2:$A$49,B194,Log!$I$2:$I$49,"Red")&gt;0,"No","Yes")</f>
        <v/>
      </c>
      <c r="Q194">
        <f>IF(COUNTIFS(Artifact!$B$2:$B$385,B194,Artifact!$K$2:$K$385,"&gt;15")+COUNTIFS(Log!$A$2:$A$49,B194,Log!$H$2:$H$49,"Red")+COUNTIFS(Log!$A$2:$A$49,B194,Log!$I$2:$I$49,"Red")&gt;0,"No","Yes")</f>
        <v/>
      </c>
    </row>
    <row r="195">
      <c r="A195" t="inlineStr">
        <is>
          <t>SIMULATED Commercial FA Study</t>
        </is>
      </c>
      <c r="B195" t="inlineStr">
        <is>
          <t>P30</t>
        </is>
      </c>
      <c r="C195" t="inlineStr">
        <is>
          <t>M</t>
        </is>
      </c>
      <c r="D195" t="n">
        <v>20</v>
      </c>
      <c r="E195" t="inlineStr">
        <is>
          <t>A_C2first</t>
        </is>
      </c>
      <c r="F195" t="inlineStr">
        <is>
          <t>Annotation</t>
        </is>
      </c>
      <c r="G195" t="inlineStr">
        <is>
          <t>KeyScene</t>
        </is>
      </c>
      <c r="H195" t="n">
        <v>302000</v>
      </c>
      <c r="I195" t="n">
        <v>6000</v>
      </c>
      <c r="J195" t="inlineStr">
        <is>
          <t>Commercial_1A</t>
        </is>
      </c>
      <c r="K195" s="4" t="n">
        <v>0.582</v>
      </c>
      <c r="L195" t="inlineStr">
        <is>
          <t>Frontal Asymmetry (Enobio EEG)</t>
        </is>
      </c>
      <c r="M195">
        <f>LEFT(E195,1)</f>
        <v/>
      </c>
      <c r="N195">
        <f>MID(E195,3,10)</f>
        <v/>
      </c>
      <c r="O195">
        <f>IF(F195="Stimulus",IF(LEFT(G195,8)="Baseline",G195,IF(LEFT(G195,12)="Commercial_1","C1","C2")),IF(G195="KeyScene","KeyScene",IF(LEFT(J195,12)="Commercial_1","EndScene_C1","EndScene_C2")))</f>
        <v/>
      </c>
      <c r="P195">
        <f>IF(COUNTIFS(Artifact!$B$2:$B$385,B195,Artifact!$K$2:$K$385,"&gt;25")+COUNTIFS(Log!$A$2:$A$49,B195,Log!$H$2:$H$49,"Red")+COUNTIFS(Log!$A$2:$A$49,B195,Log!$I$2:$I$49,"Red")&gt;0,"No","Yes")</f>
        <v/>
      </c>
      <c r="Q195">
        <f>IF(COUNTIFS(Artifact!$B$2:$B$385,B195,Artifact!$K$2:$K$385,"&gt;15")+COUNTIFS(Log!$A$2:$A$49,B195,Log!$H$2:$H$49,"Red")+COUNTIFS(Log!$A$2:$A$49,B195,Log!$I$2:$I$49,"Red")&gt;0,"No","Yes")</f>
        <v/>
      </c>
    </row>
    <row r="196">
      <c r="A196" t="inlineStr">
        <is>
          <t>SIMULATED Commercial FA Study</t>
        </is>
      </c>
      <c r="B196" t="inlineStr">
        <is>
          <t>P30</t>
        </is>
      </c>
      <c r="C196" t="inlineStr">
        <is>
          <t>M</t>
        </is>
      </c>
      <c r="D196" t="n">
        <v>20</v>
      </c>
      <c r="E196" t="inlineStr">
        <is>
          <t>A_C2first</t>
        </is>
      </c>
      <c r="F196" t="inlineStr">
        <is>
          <t>Annotation</t>
        </is>
      </c>
      <c r="G196" t="inlineStr">
        <is>
          <t>EndScene</t>
        </is>
      </c>
      <c r="H196" t="n">
        <v>320000</v>
      </c>
      <c r="I196" t="n">
        <v>10000</v>
      </c>
      <c r="J196" t="inlineStr">
        <is>
          <t>Commercial_1A</t>
        </is>
      </c>
      <c r="K196" s="4" t="n">
        <v>0.5589</v>
      </c>
      <c r="L196" t="inlineStr">
        <is>
          <t>Frontal Asymmetry (Enobio EEG)</t>
        </is>
      </c>
      <c r="M196">
        <f>LEFT(E196,1)</f>
        <v/>
      </c>
      <c r="N196">
        <f>MID(E196,3,10)</f>
        <v/>
      </c>
      <c r="O196">
        <f>IF(F196="Stimulus",IF(LEFT(G196,8)="Baseline",G196,IF(LEFT(G196,12)="Commercial_1","C1","C2")),IF(G196="KeyScene","KeyScene",IF(LEFT(J196,12)="Commercial_1","EndScene_C1","EndScene_C2")))</f>
        <v/>
      </c>
      <c r="P196">
        <f>IF(COUNTIFS(Artifact!$B$2:$B$385,B196,Artifact!$K$2:$K$385,"&gt;25")+COUNTIFS(Log!$A$2:$A$49,B196,Log!$H$2:$H$49,"Red")+COUNTIFS(Log!$A$2:$A$49,B196,Log!$I$2:$I$49,"Red")&gt;0,"No","Yes")</f>
        <v/>
      </c>
      <c r="Q196">
        <f>IF(COUNTIFS(Artifact!$B$2:$B$385,B196,Artifact!$K$2:$K$385,"&gt;15")+COUNTIFS(Log!$A$2:$A$49,B196,Log!$H$2:$H$49,"Red")+COUNTIFS(Log!$A$2:$A$49,B196,Log!$I$2:$I$49,"Red")&gt;0,"No","Yes")</f>
        <v/>
      </c>
    </row>
    <row r="197">
      <c r="A197" t="inlineStr">
        <is>
          <t>SIMULATED Commercial FA Study</t>
        </is>
      </c>
      <c r="B197" t="inlineStr">
        <is>
          <t>P31</t>
        </is>
      </c>
      <c r="C197" t="inlineStr">
        <is>
          <t>F</t>
        </is>
      </c>
      <c r="D197" t="n">
        <v>24</v>
      </c>
      <c r="E197" t="inlineStr">
        <is>
          <t>A_C1first</t>
        </is>
      </c>
      <c r="F197" t="inlineStr">
        <is>
          <t>Stimulus</t>
        </is>
      </c>
      <c r="G197" t="inlineStr">
        <is>
          <t>Baseline_1</t>
        </is>
      </c>
      <c r="H197" t="n">
        <v>24000</v>
      </c>
      <c r="I197" t="n">
        <v>60000</v>
      </c>
      <c r="J197" t="inlineStr">
        <is>
          <t>Baseline_1</t>
        </is>
      </c>
      <c r="K197" s="4" t="n">
        <v>0.9528</v>
      </c>
      <c r="L197" t="inlineStr">
        <is>
          <t>Frontal Asymmetry (Enobio EEG)</t>
        </is>
      </c>
      <c r="M197">
        <f>LEFT(E197,1)</f>
        <v/>
      </c>
      <c r="N197">
        <f>MID(E197,3,10)</f>
        <v/>
      </c>
      <c r="O197">
        <f>IF(F197="Stimulus",IF(LEFT(G197,8)="Baseline",G197,IF(LEFT(G197,12)="Commercial_1","C1","C2")),IF(G197="KeyScene","KeyScene",IF(LEFT(J197,12)="Commercial_1","EndScene_C1","EndScene_C2")))</f>
        <v/>
      </c>
      <c r="P197">
        <f>IF(COUNTIFS(Artifact!$B$2:$B$385,B197,Artifact!$K$2:$K$385,"&gt;25")+COUNTIFS(Log!$A$2:$A$49,B197,Log!$H$2:$H$49,"Red")+COUNTIFS(Log!$A$2:$A$49,B197,Log!$I$2:$I$49,"Red")&gt;0,"No","Yes")</f>
        <v/>
      </c>
      <c r="Q197">
        <f>IF(COUNTIFS(Artifact!$B$2:$B$385,B197,Artifact!$K$2:$K$385,"&gt;15")+COUNTIFS(Log!$A$2:$A$49,B197,Log!$H$2:$H$49,"Red")+COUNTIFS(Log!$A$2:$A$49,B197,Log!$I$2:$I$49,"Red")&gt;0,"No","Yes")</f>
        <v/>
      </c>
    </row>
    <row r="198">
      <c r="A198" t="inlineStr">
        <is>
          <t>SIMULATED Commercial FA Study</t>
        </is>
      </c>
      <c r="B198" t="inlineStr">
        <is>
          <t>P31</t>
        </is>
      </c>
      <c r="C198" t="inlineStr">
        <is>
          <t>F</t>
        </is>
      </c>
      <c r="D198" t="n">
        <v>24</v>
      </c>
      <c r="E198" t="inlineStr">
        <is>
          <t>A_C1first</t>
        </is>
      </c>
      <c r="F198" t="inlineStr">
        <is>
          <t>Stimulus</t>
        </is>
      </c>
      <c r="G198" t="inlineStr">
        <is>
          <t>Commercial_1A</t>
        </is>
      </c>
      <c r="H198" t="n">
        <v>84000</v>
      </c>
      <c r="I198" t="n">
        <v>60000</v>
      </c>
      <c r="J198" t="inlineStr">
        <is>
          <t>Commercial_1A</t>
        </is>
      </c>
      <c r="K198" s="4" t="n">
        <v>0.872</v>
      </c>
      <c r="L198" t="inlineStr">
        <is>
          <t>Frontal Asymmetry (Enobio EEG)</t>
        </is>
      </c>
      <c r="M198">
        <f>LEFT(E198,1)</f>
        <v/>
      </c>
      <c r="N198">
        <f>MID(E198,3,10)</f>
        <v/>
      </c>
      <c r="O198">
        <f>IF(F198="Stimulus",IF(LEFT(G198,8)="Baseline",G198,IF(LEFT(G198,12)="Commercial_1","C1","C2")),IF(G198="KeyScene","KeyScene",IF(LEFT(J198,12)="Commercial_1","EndScene_C1","EndScene_C2")))</f>
        <v/>
      </c>
      <c r="P198">
        <f>IF(COUNTIFS(Artifact!$B$2:$B$385,B198,Artifact!$K$2:$K$385,"&gt;25")+COUNTIFS(Log!$A$2:$A$49,B198,Log!$H$2:$H$49,"Red")+COUNTIFS(Log!$A$2:$A$49,B198,Log!$I$2:$I$49,"Red")&gt;0,"No","Yes")</f>
        <v/>
      </c>
      <c r="Q198">
        <f>IF(COUNTIFS(Artifact!$B$2:$B$385,B198,Artifact!$K$2:$K$385,"&gt;15")+COUNTIFS(Log!$A$2:$A$49,B198,Log!$H$2:$H$49,"Red")+COUNTIFS(Log!$A$2:$A$49,B198,Log!$I$2:$I$49,"Red")&gt;0,"No","Yes")</f>
        <v/>
      </c>
    </row>
    <row r="199">
      <c r="A199" t="inlineStr">
        <is>
          <t>SIMULATED Commercial FA Study</t>
        </is>
      </c>
      <c r="B199" t="inlineStr">
        <is>
          <t>P31</t>
        </is>
      </c>
      <c r="C199" t="inlineStr">
        <is>
          <t>F</t>
        </is>
      </c>
      <c r="D199" t="n">
        <v>24</v>
      </c>
      <c r="E199" t="inlineStr">
        <is>
          <t>A_C1first</t>
        </is>
      </c>
      <c r="F199" t="inlineStr">
        <is>
          <t>Stimulus</t>
        </is>
      </c>
      <c r="G199" t="inlineStr">
        <is>
          <t>Baseline_2</t>
        </is>
      </c>
      <c r="H199" t="n">
        <v>171000</v>
      </c>
      <c r="I199" t="n">
        <v>60000</v>
      </c>
      <c r="J199" t="inlineStr">
        <is>
          <t>Baseline_2</t>
        </is>
      </c>
      <c r="K199" s="4" t="n">
        <v>0.8905</v>
      </c>
      <c r="L199" t="inlineStr">
        <is>
          <t>Frontal Asymmetry (Enobio EEG)</t>
        </is>
      </c>
      <c r="M199">
        <f>LEFT(E199,1)</f>
        <v/>
      </c>
      <c r="N199">
        <f>MID(E199,3,10)</f>
        <v/>
      </c>
      <c r="O199">
        <f>IF(F199="Stimulus",IF(LEFT(G199,8)="Baseline",G199,IF(LEFT(G199,12)="Commercial_1","C1","C2")),IF(G199="KeyScene","KeyScene",IF(LEFT(J199,12)="Commercial_1","EndScene_C1","EndScene_C2")))</f>
        <v/>
      </c>
      <c r="P199">
        <f>IF(COUNTIFS(Artifact!$B$2:$B$385,B199,Artifact!$K$2:$K$385,"&gt;25")+COUNTIFS(Log!$A$2:$A$49,B199,Log!$H$2:$H$49,"Red")+COUNTIFS(Log!$A$2:$A$49,B199,Log!$I$2:$I$49,"Red")&gt;0,"No","Yes")</f>
        <v/>
      </c>
      <c r="Q199">
        <f>IF(COUNTIFS(Artifact!$B$2:$B$385,B199,Artifact!$K$2:$K$385,"&gt;15")+COUNTIFS(Log!$A$2:$A$49,B199,Log!$H$2:$H$49,"Red")+COUNTIFS(Log!$A$2:$A$49,B199,Log!$I$2:$I$49,"Red")&gt;0,"No","Yes")</f>
        <v/>
      </c>
    </row>
    <row r="200">
      <c r="A200" t="inlineStr">
        <is>
          <t>SIMULATED Commercial FA Study</t>
        </is>
      </c>
      <c r="B200" t="inlineStr">
        <is>
          <t>P31</t>
        </is>
      </c>
      <c r="C200" t="inlineStr">
        <is>
          <t>F</t>
        </is>
      </c>
      <c r="D200" t="n">
        <v>24</v>
      </c>
      <c r="E200" t="inlineStr">
        <is>
          <t>A_C1first</t>
        </is>
      </c>
      <c r="F200" t="inlineStr">
        <is>
          <t>Stimulus</t>
        </is>
      </c>
      <c r="G200" t="inlineStr">
        <is>
          <t>Commercial_2</t>
        </is>
      </c>
      <c r="H200" t="n">
        <v>231000</v>
      </c>
      <c r="I200" t="n">
        <v>60000</v>
      </c>
      <c r="J200" t="inlineStr">
        <is>
          <t>Commercial_2</t>
        </is>
      </c>
      <c r="K200" s="4" t="n">
        <v>0.9484</v>
      </c>
      <c r="L200" t="inlineStr">
        <is>
          <t>Frontal Asymmetry (Enobio EEG)</t>
        </is>
      </c>
      <c r="M200">
        <f>LEFT(E200,1)</f>
        <v/>
      </c>
      <c r="N200">
        <f>MID(E200,3,10)</f>
        <v/>
      </c>
      <c r="O200">
        <f>IF(F200="Stimulus",IF(LEFT(G200,8)="Baseline",G200,IF(LEFT(G200,12)="Commercial_1","C1","C2")),IF(G200="KeyScene","KeyScene",IF(LEFT(J200,12)="Commercial_1","EndScene_C1","EndScene_C2")))</f>
        <v/>
      </c>
      <c r="P200">
        <f>IF(COUNTIFS(Artifact!$B$2:$B$385,B200,Artifact!$K$2:$K$385,"&gt;25")+COUNTIFS(Log!$A$2:$A$49,B200,Log!$H$2:$H$49,"Red")+COUNTIFS(Log!$A$2:$A$49,B200,Log!$I$2:$I$49,"Red")&gt;0,"No","Yes")</f>
        <v/>
      </c>
      <c r="Q200">
        <f>IF(COUNTIFS(Artifact!$B$2:$B$385,B200,Artifact!$K$2:$K$385,"&gt;15")+COUNTIFS(Log!$A$2:$A$49,B200,Log!$H$2:$H$49,"Red")+COUNTIFS(Log!$A$2:$A$49,B200,Log!$I$2:$I$49,"Red")&gt;0,"No","Yes")</f>
        <v/>
      </c>
    </row>
    <row r="201">
      <c r="A201" t="inlineStr">
        <is>
          <t>SIMULATED Commercial FA Study</t>
        </is>
      </c>
      <c r="B201" t="inlineStr">
        <is>
          <t>P31</t>
        </is>
      </c>
      <c r="C201" t="inlineStr">
        <is>
          <t>F</t>
        </is>
      </c>
      <c r="D201" t="n">
        <v>24</v>
      </c>
      <c r="E201" t="inlineStr">
        <is>
          <t>A_C1first</t>
        </is>
      </c>
      <c r="F201" t="inlineStr">
        <is>
          <t>Annotation</t>
        </is>
      </c>
      <c r="G201" t="inlineStr">
        <is>
          <t>KeyScene</t>
        </is>
      </c>
      <c r="H201" t="n">
        <v>116000</v>
      </c>
      <c r="I201" t="n">
        <v>6000</v>
      </c>
      <c r="J201" t="inlineStr">
        <is>
          <t>Commercial_1A</t>
        </is>
      </c>
      <c r="K201" s="4" t="n">
        <v>1.0154</v>
      </c>
      <c r="L201" t="inlineStr">
        <is>
          <t>Frontal Asymmetry (Enobio EEG)</t>
        </is>
      </c>
      <c r="M201">
        <f>LEFT(E201,1)</f>
        <v/>
      </c>
      <c r="N201">
        <f>MID(E201,3,10)</f>
        <v/>
      </c>
      <c r="O201">
        <f>IF(F201="Stimulus",IF(LEFT(G201,8)="Baseline",G201,IF(LEFT(G201,12)="Commercial_1","C1","C2")),IF(G201="KeyScene","KeyScene",IF(LEFT(J201,12)="Commercial_1","EndScene_C1","EndScene_C2")))</f>
        <v/>
      </c>
      <c r="P201">
        <f>IF(COUNTIFS(Artifact!$B$2:$B$385,B201,Artifact!$K$2:$K$385,"&gt;25")+COUNTIFS(Log!$A$2:$A$49,B201,Log!$H$2:$H$49,"Red")+COUNTIFS(Log!$A$2:$A$49,B201,Log!$I$2:$I$49,"Red")&gt;0,"No","Yes")</f>
        <v/>
      </c>
      <c r="Q201">
        <f>IF(COUNTIFS(Artifact!$B$2:$B$385,B201,Artifact!$K$2:$K$385,"&gt;15")+COUNTIFS(Log!$A$2:$A$49,B201,Log!$H$2:$H$49,"Red")+COUNTIFS(Log!$A$2:$A$49,B201,Log!$I$2:$I$49,"Red")&gt;0,"No","Yes")</f>
        <v/>
      </c>
    </row>
    <row r="202">
      <c r="A202" t="inlineStr">
        <is>
          <t>SIMULATED Commercial FA Study</t>
        </is>
      </c>
      <c r="B202" t="inlineStr">
        <is>
          <t>P31</t>
        </is>
      </c>
      <c r="C202" t="inlineStr">
        <is>
          <t>F</t>
        </is>
      </c>
      <c r="D202" t="n">
        <v>24</v>
      </c>
      <c r="E202" t="inlineStr">
        <is>
          <t>A_C1first</t>
        </is>
      </c>
      <c r="F202" t="inlineStr">
        <is>
          <t>Annotation</t>
        </is>
      </c>
      <c r="G202" t="inlineStr">
        <is>
          <t>EndScene</t>
        </is>
      </c>
      <c r="H202" t="n">
        <v>134000</v>
      </c>
      <c r="I202" t="n">
        <v>10000</v>
      </c>
      <c r="J202" t="inlineStr">
        <is>
          <t>Commercial_1A</t>
        </is>
      </c>
      <c r="K202" s="4" t="n">
        <v>0.8683</v>
      </c>
      <c r="L202" t="inlineStr">
        <is>
          <t>Frontal Asymmetry (Enobio EEG)</t>
        </is>
      </c>
      <c r="M202">
        <f>LEFT(E202,1)</f>
        <v/>
      </c>
      <c r="N202">
        <f>MID(E202,3,10)</f>
        <v/>
      </c>
      <c r="O202">
        <f>IF(F202="Stimulus",IF(LEFT(G202,8)="Baseline",G202,IF(LEFT(G202,12)="Commercial_1","C1","C2")),IF(G202="KeyScene","KeyScene",IF(LEFT(J202,12)="Commercial_1","EndScene_C1","EndScene_C2")))</f>
        <v/>
      </c>
      <c r="P202">
        <f>IF(COUNTIFS(Artifact!$B$2:$B$385,B202,Artifact!$K$2:$K$385,"&gt;25")+COUNTIFS(Log!$A$2:$A$49,B202,Log!$H$2:$H$49,"Red")+COUNTIFS(Log!$A$2:$A$49,B202,Log!$I$2:$I$49,"Red")&gt;0,"No","Yes")</f>
        <v/>
      </c>
      <c r="Q202">
        <f>IF(COUNTIFS(Artifact!$B$2:$B$385,B202,Artifact!$K$2:$K$385,"&gt;15")+COUNTIFS(Log!$A$2:$A$49,B202,Log!$H$2:$H$49,"Red")+COUNTIFS(Log!$A$2:$A$49,B202,Log!$I$2:$I$49,"Red")&gt;0,"No","Yes")</f>
        <v/>
      </c>
    </row>
    <row r="203">
      <c r="A203" t="inlineStr">
        <is>
          <t>SIMULATED Commercial FA Study</t>
        </is>
      </c>
      <c r="B203" t="inlineStr">
        <is>
          <t>P31</t>
        </is>
      </c>
      <c r="C203" t="inlineStr">
        <is>
          <t>F</t>
        </is>
      </c>
      <c r="D203" t="n">
        <v>24</v>
      </c>
      <c r="E203" t="inlineStr">
        <is>
          <t>A_C1first</t>
        </is>
      </c>
      <c r="F203" t="inlineStr">
        <is>
          <t>Annotation</t>
        </is>
      </c>
      <c r="G203" t="inlineStr">
        <is>
          <t>EndScene</t>
        </is>
      </c>
      <c r="H203" t="n">
        <v>281000</v>
      </c>
      <c r="I203" t="n">
        <v>10000</v>
      </c>
      <c r="J203" t="inlineStr">
        <is>
          <t>Commercial_2</t>
        </is>
      </c>
      <c r="K203" s="4" t="n">
        <v>0.8455</v>
      </c>
      <c r="L203" t="inlineStr">
        <is>
          <t>Frontal Asymmetry (Enobio EEG)</t>
        </is>
      </c>
      <c r="M203">
        <f>LEFT(E203,1)</f>
        <v/>
      </c>
      <c r="N203">
        <f>MID(E203,3,10)</f>
        <v/>
      </c>
      <c r="O203">
        <f>IF(F203="Stimulus",IF(LEFT(G203,8)="Baseline",G203,IF(LEFT(G203,12)="Commercial_1","C1","C2")),IF(G203="KeyScene","KeyScene",IF(LEFT(J203,12)="Commercial_1","EndScene_C1","EndScene_C2")))</f>
        <v/>
      </c>
      <c r="P203">
        <f>IF(COUNTIFS(Artifact!$B$2:$B$385,B203,Artifact!$K$2:$K$385,"&gt;25")+COUNTIFS(Log!$A$2:$A$49,B203,Log!$H$2:$H$49,"Red")+COUNTIFS(Log!$A$2:$A$49,B203,Log!$I$2:$I$49,"Red")&gt;0,"No","Yes")</f>
        <v/>
      </c>
      <c r="Q203">
        <f>IF(COUNTIFS(Artifact!$B$2:$B$385,B203,Artifact!$K$2:$K$385,"&gt;15")+COUNTIFS(Log!$A$2:$A$49,B203,Log!$H$2:$H$49,"Red")+COUNTIFS(Log!$A$2:$A$49,B203,Log!$I$2:$I$49,"Red")&gt;0,"No","Yes")</f>
        <v/>
      </c>
    </row>
    <row r="204">
      <c r="A204" t="inlineStr">
        <is>
          <t>SIMULATED Commercial FA Study</t>
        </is>
      </c>
      <c r="B204" t="inlineStr">
        <is>
          <t>P32</t>
        </is>
      </c>
      <c r="C204" t="inlineStr">
        <is>
          <t>M</t>
        </is>
      </c>
      <c r="D204" t="n">
        <v>20</v>
      </c>
      <c r="E204" t="inlineStr">
        <is>
          <t>B_C2first</t>
        </is>
      </c>
      <c r="F204" t="inlineStr">
        <is>
          <t>Stimulus</t>
        </is>
      </c>
      <c r="G204" t="inlineStr">
        <is>
          <t>Baseline_1</t>
        </is>
      </c>
      <c r="H204" t="n">
        <v>20000</v>
      </c>
      <c r="I204" t="n">
        <v>60000</v>
      </c>
      <c r="J204" t="inlineStr">
        <is>
          <t>Baseline_1</t>
        </is>
      </c>
      <c r="K204" s="4" t="n">
        <v>0.2924</v>
      </c>
      <c r="L204" t="inlineStr">
        <is>
          <t>Frontal Asymmetry (Enobio EEG)</t>
        </is>
      </c>
      <c r="M204">
        <f>LEFT(E204,1)</f>
        <v/>
      </c>
      <c r="N204">
        <f>MID(E204,3,10)</f>
        <v/>
      </c>
      <c r="O204">
        <f>IF(F204="Stimulus",IF(LEFT(G204,8)="Baseline",G204,IF(LEFT(G204,12)="Commercial_1","C1","C2")),IF(G204="KeyScene","KeyScene",IF(LEFT(J204,12)="Commercial_1","EndScene_C1","EndScene_C2")))</f>
        <v/>
      </c>
      <c r="P204">
        <f>IF(COUNTIFS(Artifact!$B$2:$B$385,B204,Artifact!$K$2:$K$385,"&gt;25")+COUNTIFS(Log!$A$2:$A$49,B204,Log!$H$2:$H$49,"Red")+COUNTIFS(Log!$A$2:$A$49,B204,Log!$I$2:$I$49,"Red")&gt;0,"No","Yes")</f>
        <v/>
      </c>
      <c r="Q204">
        <f>IF(COUNTIFS(Artifact!$B$2:$B$385,B204,Artifact!$K$2:$K$385,"&gt;15")+COUNTIFS(Log!$A$2:$A$49,B204,Log!$H$2:$H$49,"Red")+COUNTIFS(Log!$A$2:$A$49,B204,Log!$I$2:$I$49,"Red")&gt;0,"No","Yes")</f>
        <v/>
      </c>
    </row>
    <row r="205">
      <c r="A205" t="inlineStr">
        <is>
          <t>SIMULATED Commercial FA Study</t>
        </is>
      </c>
      <c r="B205" t="inlineStr">
        <is>
          <t>P32</t>
        </is>
      </c>
      <c r="C205" t="inlineStr">
        <is>
          <t>M</t>
        </is>
      </c>
      <c r="D205" t="n">
        <v>20</v>
      </c>
      <c r="E205" t="inlineStr">
        <is>
          <t>B_C2first</t>
        </is>
      </c>
      <c r="F205" t="inlineStr">
        <is>
          <t>Stimulus</t>
        </is>
      </c>
      <c r="G205" t="inlineStr">
        <is>
          <t>Commercial_2</t>
        </is>
      </c>
      <c r="H205" t="n">
        <v>80000</v>
      </c>
      <c r="I205" t="n">
        <v>60000</v>
      </c>
      <c r="J205" t="inlineStr">
        <is>
          <t>Commercial_2</t>
        </is>
      </c>
      <c r="K205" s="4" t="n">
        <v>0.2887</v>
      </c>
      <c r="L205" t="inlineStr">
        <is>
          <t>Frontal Asymmetry (Enobio EEG)</t>
        </is>
      </c>
      <c r="M205">
        <f>LEFT(E205,1)</f>
        <v/>
      </c>
      <c r="N205">
        <f>MID(E205,3,10)</f>
        <v/>
      </c>
      <c r="O205">
        <f>IF(F205="Stimulus",IF(LEFT(G205,8)="Baseline",G205,IF(LEFT(G205,12)="Commercial_1","C1","C2")),IF(G205="KeyScene","KeyScene",IF(LEFT(J205,12)="Commercial_1","EndScene_C1","EndScene_C2")))</f>
        <v/>
      </c>
      <c r="P205">
        <f>IF(COUNTIFS(Artifact!$B$2:$B$385,B205,Artifact!$K$2:$K$385,"&gt;25")+COUNTIFS(Log!$A$2:$A$49,B205,Log!$H$2:$H$49,"Red")+COUNTIFS(Log!$A$2:$A$49,B205,Log!$I$2:$I$49,"Red")&gt;0,"No","Yes")</f>
        <v/>
      </c>
      <c r="Q205">
        <f>IF(COUNTIFS(Artifact!$B$2:$B$385,B205,Artifact!$K$2:$K$385,"&gt;15")+COUNTIFS(Log!$A$2:$A$49,B205,Log!$H$2:$H$49,"Red")+COUNTIFS(Log!$A$2:$A$49,B205,Log!$I$2:$I$49,"Red")&gt;0,"No","Yes")</f>
        <v/>
      </c>
    </row>
    <row r="206">
      <c r="A206" t="inlineStr">
        <is>
          <t>SIMULATED Commercial FA Study</t>
        </is>
      </c>
      <c r="B206" t="inlineStr">
        <is>
          <t>P32</t>
        </is>
      </c>
      <c r="C206" t="inlineStr">
        <is>
          <t>M</t>
        </is>
      </c>
      <c r="D206" t="n">
        <v>20</v>
      </c>
      <c r="E206" t="inlineStr">
        <is>
          <t>B_C2first</t>
        </is>
      </c>
      <c r="F206" t="inlineStr">
        <is>
          <t>Stimulus</t>
        </is>
      </c>
      <c r="G206" t="inlineStr">
        <is>
          <t>Baseline_2</t>
        </is>
      </c>
      <c r="H206" t="n">
        <v>196000</v>
      </c>
      <c r="I206" t="n">
        <v>60000</v>
      </c>
      <c r="J206" t="inlineStr">
        <is>
          <t>Baseline_2</t>
        </is>
      </c>
      <c r="K206" s="4" t="n">
        <v>0.2727</v>
      </c>
      <c r="L206" t="inlineStr">
        <is>
          <t>Frontal Asymmetry (Enobio EEG)</t>
        </is>
      </c>
      <c r="M206">
        <f>LEFT(E206,1)</f>
        <v/>
      </c>
      <c r="N206">
        <f>MID(E206,3,10)</f>
        <v/>
      </c>
      <c r="O206">
        <f>IF(F206="Stimulus",IF(LEFT(G206,8)="Baseline",G206,IF(LEFT(G206,12)="Commercial_1","C1","C2")),IF(G206="KeyScene","KeyScene",IF(LEFT(J206,12)="Commercial_1","EndScene_C1","EndScene_C2")))</f>
        <v/>
      </c>
      <c r="P206">
        <f>IF(COUNTIFS(Artifact!$B$2:$B$385,B206,Artifact!$K$2:$K$385,"&gt;25")+COUNTIFS(Log!$A$2:$A$49,B206,Log!$H$2:$H$49,"Red")+COUNTIFS(Log!$A$2:$A$49,B206,Log!$I$2:$I$49,"Red")&gt;0,"No","Yes")</f>
        <v/>
      </c>
      <c r="Q206">
        <f>IF(COUNTIFS(Artifact!$B$2:$B$385,B206,Artifact!$K$2:$K$385,"&gt;15")+COUNTIFS(Log!$A$2:$A$49,B206,Log!$H$2:$H$49,"Red")+COUNTIFS(Log!$A$2:$A$49,B206,Log!$I$2:$I$49,"Red")&gt;0,"No","Yes")</f>
        <v/>
      </c>
    </row>
    <row r="207">
      <c r="A207" t="inlineStr">
        <is>
          <t>SIMULATED Commercial FA Study</t>
        </is>
      </c>
      <c r="B207" t="inlineStr">
        <is>
          <t>P32</t>
        </is>
      </c>
      <c r="C207" t="inlineStr">
        <is>
          <t>M</t>
        </is>
      </c>
      <c r="D207" t="n">
        <v>20</v>
      </c>
      <c r="E207" t="inlineStr">
        <is>
          <t>B_C2first</t>
        </is>
      </c>
      <c r="F207" t="inlineStr">
        <is>
          <t>Stimulus</t>
        </is>
      </c>
      <c r="G207" t="inlineStr">
        <is>
          <t>Commercial_1B</t>
        </is>
      </c>
      <c r="H207" t="n">
        <v>256000</v>
      </c>
      <c r="I207" t="n">
        <v>54000</v>
      </c>
      <c r="J207" t="inlineStr">
        <is>
          <t>Commercial_1B</t>
        </is>
      </c>
      <c r="K207" s="4" t="n">
        <v>0.2553</v>
      </c>
      <c r="L207" t="inlineStr">
        <is>
          <t>Frontal Asymmetry (Enobio EEG)</t>
        </is>
      </c>
      <c r="M207">
        <f>LEFT(E207,1)</f>
        <v/>
      </c>
      <c r="N207">
        <f>MID(E207,3,10)</f>
        <v/>
      </c>
      <c r="O207">
        <f>IF(F207="Stimulus",IF(LEFT(G207,8)="Baseline",G207,IF(LEFT(G207,12)="Commercial_1","C1","C2")),IF(G207="KeyScene","KeyScene",IF(LEFT(J207,12)="Commercial_1","EndScene_C1","EndScene_C2")))</f>
        <v/>
      </c>
      <c r="P207">
        <f>IF(COUNTIFS(Artifact!$B$2:$B$385,B207,Artifact!$K$2:$K$385,"&gt;25")+COUNTIFS(Log!$A$2:$A$49,B207,Log!$H$2:$H$49,"Red")+COUNTIFS(Log!$A$2:$A$49,B207,Log!$I$2:$I$49,"Red")&gt;0,"No","Yes")</f>
        <v/>
      </c>
      <c r="Q207">
        <f>IF(COUNTIFS(Artifact!$B$2:$B$385,B207,Artifact!$K$2:$K$385,"&gt;15")+COUNTIFS(Log!$A$2:$A$49,B207,Log!$H$2:$H$49,"Red")+COUNTIFS(Log!$A$2:$A$49,B207,Log!$I$2:$I$49,"Red")&gt;0,"No","Yes")</f>
        <v/>
      </c>
    </row>
    <row r="208">
      <c r="A208" t="inlineStr">
        <is>
          <t>SIMULATED Commercial FA Study</t>
        </is>
      </c>
      <c r="B208" t="inlineStr">
        <is>
          <t>P32</t>
        </is>
      </c>
      <c r="C208" t="inlineStr">
        <is>
          <t>M</t>
        </is>
      </c>
      <c r="D208" t="n">
        <v>20</v>
      </c>
      <c r="E208" t="inlineStr">
        <is>
          <t>B_C2first</t>
        </is>
      </c>
      <c r="F208" t="inlineStr">
        <is>
          <t>Annotation</t>
        </is>
      </c>
      <c r="G208" t="inlineStr">
        <is>
          <t>EndScene</t>
        </is>
      </c>
      <c r="H208" t="n">
        <v>130000</v>
      </c>
      <c r="I208" t="n">
        <v>10000</v>
      </c>
      <c r="J208" t="inlineStr">
        <is>
          <t>Commercial_2</t>
        </is>
      </c>
      <c r="K208" s="4" t="n">
        <v>0.1448</v>
      </c>
      <c r="L208" t="inlineStr">
        <is>
          <t>Frontal Asymmetry (Enobio EEG)</t>
        </is>
      </c>
      <c r="M208">
        <f>LEFT(E208,1)</f>
        <v/>
      </c>
      <c r="N208">
        <f>MID(E208,3,10)</f>
        <v/>
      </c>
      <c r="O208">
        <f>IF(F208="Stimulus",IF(LEFT(G208,8)="Baseline",G208,IF(LEFT(G208,12)="Commercial_1","C1","C2")),IF(G208="KeyScene","KeyScene",IF(LEFT(J208,12)="Commercial_1","EndScene_C1","EndScene_C2")))</f>
        <v/>
      </c>
      <c r="P208">
        <f>IF(COUNTIFS(Artifact!$B$2:$B$385,B208,Artifact!$K$2:$K$385,"&gt;25")+COUNTIFS(Log!$A$2:$A$49,B208,Log!$H$2:$H$49,"Red")+COUNTIFS(Log!$A$2:$A$49,B208,Log!$I$2:$I$49,"Red")&gt;0,"No","Yes")</f>
        <v/>
      </c>
      <c r="Q208">
        <f>IF(COUNTIFS(Artifact!$B$2:$B$385,B208,Artifact!$K$2:$K$385,"&gt;15")+COUNTIFS(Log!$A$2:$A$49,B208,Log!$H$2:$H$49,"Red")+COUNTIFS(Log!$A$2:$A$49,B208,Log!$I$2:$I$49,"Red")&gt;0,"No","Yes")</f>
        <v/>
      </c>
    </row>
    <row r="209">
      <c r="A209" t="inlineStr">
        <is>
          <t>SIMULATED Commercial FA Study</t>
        </is>
      </c>
      <c r="B209" t="inlineStr">
        <is>
          <t>P32</t>
        </is>
      </c>
      <c r="C209" t="inlineStr">
        <is>
          <t>M</t>
        </is>
      </c>
      <c r="D209" t="n">
        <v>20</v>
      </c>
      <c r="E209" t="inlineStr">
        <is>
          <t>B_C2first</t>
        </is>
      </c>
      <c r="F209" t="inlineStr">
        <is>
          <t>Annotation</t>
        </is>
      </c>
      <c r="G209" t="inlineStr">
        <is>
          <t>EndScene</t>
        </is>
      </c>
      <c r="H209" t="n">
        <v>300000</v>
      </c>
      <c r="I209" t="n">
        <v>10000</v>
      </c>
      <c r="J209" t="inlineStr">
        <is>
          <t>Commercial_1B</t>
        </is>
      </c>
      <c r="K209" s="4" t="n">
        <v>0.1769</v>
      </c>
      <c r="L209" t="inlineStr">
        <is>
          <t>Frontal Asymmetry (Enobio EEG)</t>
        </is>
      </c>
      <c r="M209">
        <f>LEFT(E209,1)</f>
        <v/>
      </c>
      <c r="N209">
        <f>MID(E209,3,10)</f>
        <v/>
      </c>
      <c r="O209">
        <f>IF(F209="Stimulus",IF(LEFT(G209,8)="Baseline",G209,IF(LEFT(G209,12)="Commercial_1","C1","C2")),IF(G209="KeyScene","KeyScene",IF(LEFT(J209,12)="Commercial_1","EndScene_C1","EndScene_C2")))</f>
        <v/>
      </c>
      <c r="P209">
        <f>IF(COUNTIFS(Artifact!$B$2:$B$385,B209,Artifact!$K$2:$K$385,"&gt;25")+COUNTIFS(Log!$A$2:$A$49,B209,Log!$H$2:$H$49,"Red")+COUNTIFS(Log!$A$2:$A$49,B209,Log!$I$2:$I$49,"Red")&gt;0,"No","Yes")</f>
        <v/>
      </c>
      <c r="Q209">
        <f>IF(COUNTIFS(Artifact!$B$2:$B$385,B209,Artifact!$K$2:$K$385,"&gt;15")+COUNTIFS(Log!$A$2:$A$49,B209,Log!$H$2:$H$49,"Red")+COUNTIFS(Log!$A$2:$A$49,B209,Log!$I$2:$I$49,"Red")&gt;0,"No","Yes")</f>
        <v/>
      </c>
    </row>
    <row r="210">
      <c r="A210" t="inlineStr">
        <is>
          <t>SIMULATED Commercial FA Study</t>
        </is>
      </c>
      <c r="B210" t="inlineStr">
        <is>
          <t>P33</t>
        </is>
      </c>
      <c r="C210" t="inlineStr">
        <is>
          <t>M</t>
        </is>
      </c>
      <c r="D210" t="n">
        <v>21</v>
      </c>
      <c r="E210" t="inlineStr">
        <is>
          <t>B_C1first</t>
        </is>
      </c>
      <c r="F210" t="inlineStr">
        <is>
          <t>Stimulus</t>
        </is>
      </c>
      <c r="G210" t="inlineStr">
        <is>
          <t>Baseline_1</t>
        </is>
      </c>
      <c r="H210" t="n">
        <v>24000</v>
      </c>
      <c r="I210" t="n">
        <v>60000</v>
      </c>
      <c r="J210" t="inlineStr">
        <is>
          <t>Baseline_1</t>
        </is>
      </c>
      <c r="K210" s="4" t="n">
        <v>0.5483</v>
      </c>
      <c r="L210" t="inlineStr">
        <is>
          <t>Frontal Asymmetry (Enobio EEG)</t>
        </is>
      </c>
      <c r="M210">
        <f>LEFT(E210,1)</f>
        <v/>
      </c>
      <c r="N210">
        <f>MID(E210,3,10)</f>
        <v/>
      </c>
      <c r="O210">
        <f>IF(F210="Stimulus",IF(LEFT(G210,8)="Baseline",G210,IF(LEFT(G210,12)="Commercial_1","C1","C2")),IF(G210="KeyScene","KeyScene",IF(LEFT(J210,12)="Commercial_1","EndScene_C1","EndScene_C2")))</f>
        <v/>
      </c>
      <c r="P210">
        <f>IF(COUNTIFS(Artifact!$B$2:$B$385,B210,Artifact!$K$2:$K$385,"&gt;25")+COUNTIFS(Log!$A$2:$A$49,B210,Log!$H$2:$H$49,"Red")+COUNTIFS(Log!$A$2:$A$49,B210,Log!$I$2:$I$49,"Red")&gt;0,"No","Yes")</f>
        <v/>
      </c>
      <c r="Q210">
        <f>IF(COUNTIFS(Artifact!$B$2:$B$385,B210,Artifact!$K$2:$K$385,"&gt;15")+COUNTIFS(Log!$A$2:$A$49,B210,Log!$H$2:$H$49,"Red")+COUNTIFS(Log!$A$2:$A$49,B210,Log!$I$2:$I$49,"Red")&gt;0,"No","Yes")</f>
        <v/>
      </c>
    </row>
    <row r="211">
      <c r="A211" t="inlineStr">
        <is>
          <t>SIMULATED Commercial FA Study</t>
        </is>
      </c>
      <c r="B211" t="inlineStr">
        <is>
          <t>P33</t>
        </is>
      </c>
      <c r="C211" t="inlineStr">
        <is>
          <t>M</t>
        </is>
      </c>
      <c r="D211" t="n">
        <v>21</v>
      </c>
      <c r="E211" t="inlineStr">
        <is>
          <t>B_C1first</t>
        </is>
      </c>
      <c r="F211" t="inlineStr">
        <is>
          <t>Stimulus</t>
        </is>
      </c>
      <c r="G211" t="inlineStr">
        <is>
          <t>Commercial_1B</t>
        </is>
      </c>
      <c r="H211" t="n">
        <v>84000</v>
      </c>
      <c r="I211" t="n">
        <v>54000</v>
      </c>
      <c r="J211" t="inlineStr">
        <is>
          <t>Commercial_1B</t>
        </is>
      </c>
      <c r="K211" s="4" t="n">
        <v>0.5104</v>
      </c>
      <c r="L211" t="inlineStr">
        <is>
          <t>Frontal Asymmetry (Enobio EEG)</t>
        </is>
      </c>
      <c r="M211">
        <f>LEFT(E211,1)</f>
        <v/>
      </c>
      <c r="N211">
        <f>MID(E211,3,10)</f>
        <v/>
      </c>
      <c r="O211">
        <f>IF(F211="Stimulus",IF(LEFT(G211,8)="Baseline",G211,IF(LEFT(G211,12)="Commercial_1","C1","C2")),IF(G211="KeyScene","KeyScene",IF(LEFT(J211,12)="Commercial_1","EndScene_C1","EndScene_C2")))</f>
        <v/>
      </c>
      <c r="P211">
        <f>IF(COUNTIFS(Artifact!$B$2:$B$385,B211,Artifact!$K$2:$K$385,"&gt;25")+COUNTIFS(Log!$A$2:$A$49,B211,Log!$H$2:$H$49,"Red")+COUNTIFS(Log!$A$2:$A$49,B211,Log!$I$2:$I$49,"Red")&gt;0,"No","Yes")</f>
        <v/>
      </c>
      <c r="Q211">
        <f>IF(COUNTIFS(Artifact!$B$2:$B$385,B211,Artifact!$K$2:$K$385,"&gt;15")+COUNTIFS(Log!$A$2:$A$49,B211,Log!$H$2:$H$49,"Red")+COUNTIFS(Log!$A$2:$A$49,B211,Log!$I$2:$I$49,"Red")&gt;0,"No","Yes")</f>
        <v/>
      </c>
    </row>
    <row r="212">
      <c r="A212" t="inlineStr">
        <is>
          <t>SIMULATED Commercial FA Study</t>
        </is>
      </c>
      <c r="B212" t="inlineStr">
        <is>
          <t>P33</t>
        </is>
      </c>
      <c r="C212" t="inlineStr">
        <is>
          <t>M</t>
        </is>
      </c>
      <c r="D212" t="n">
        <v>21</v>
      </c>
      <c r="E212" t="inlineStr">
        <is>
          <t>B_C1first</t>
        </is>
      </c>
      <c r="F212" t="inlineStr">
        <is>
          <t>Stimulus</t>
        </is>
      </c>
      <c r="G212" t="inlineStr">
        <is>
          <t>Baseline_2</t>
        </is>
      </c>
      <c r="H212" t="n">
        <v>197000</v>
      </c>
      <c r="I212" t="n">
        <v>60000</v>
      </c>
      <c r="J212" t="inlineStr">
        <is>
          <t>Baseline_2</t>
        </is>
      </c>
      <c r="K212" s="4" t="n">
        <v>0.4801</v>
      </c>
      <c r="L212" t="inlineStr">
        <is>
          <t>Frontal Asymmetry (Enobio EEG)</t>
        </is>
      </c>
      <c r="M212">
        <f>LEFT(E212,1)</f>
        <v/>
      </c>
      <c r="N212">
        <f>MID(E212,3,10)</f>
        <v/>
      </c>
      <c r="O212">
        <f>IF(F212="Stimulus",IF(LEFT(G212,8)="Baseline",G212,IF(LEFT(G212,12)="Commercial_1","C1","C2")),IF(G212="KeyScene","KeyScene",IF(LEFT(J212,12)="Commercial_1","EndScene_C1","EndScene_C2")))</f>
        <v/>
      </c>
      <c r="P212">
        <f>IF(COUNTIFS(Artifact!$B$2:$B$385,B212,Artifact!$K$2:$K$385,"&gt;25")+COUNTIFS(Log!$A$2:$A$49,B212,Log!$H$2:$H$49,"Red")+COUNTIFS(Log!$A$2:$A$49,B212,Log!$I$2:$I$49,"Red")&gt;0,"No","Yes")</f>
        <v/>
      </c>
      <c r="Q212">
        <f>IF(COUNTIFS(Artifact!$B$2:$B$385,B212,Artifact!$K$2:$K$385,"&gt;15")+COUNTIFS(Log!$A$2:$A$49,B212,Log!$H$2:$H$49,"Red")+COUNTIFS(Log!$A$2:$A$49,B212,Log!$I$2:$I$49,"Red")&gt;0,"No","Yes")</f>
        <v/>
      </c>
    </row>
    <row r="213">
      <c r="A213" t="inlineStr">
        <is>
          <t>SIMULATED Commercial FA Study</t>
        </is>
      </c>
      <c r="B213" t="inlineStr">
        <is>
          <t>P33</t>
        </is>
      </c>
      <c r="C213" t="inlineStr">
        <is>
          <t>M</t>
        </is>
      </c>
      <c r="D213" t="n">
        <v>21</v>
      </c>
      <c r="E213" t="inlineStr">
        <is>
          <t>B_C1first</t>
        </is>
      </c>
      <c r="F213" t="inlineStr">
        <is>
          <t>Stimulus</t>
        </is>
      </c>
      <c r="G213" t="inlineStr">
        <is>
          <t>Commercial_2</t>
        </is>
      </c>
      <c r="H213" t="n">
        <v>257000</v>
      </c>
      <c r="I213" t="n">
        <v>60000</v>
      </c>
      <c r="J213" t="inlineStr">
        <is>
          <t>Commercial_2</t>
        </is>
      </c>
      <c r="K213" s="4" t="n">
        <v>0.5185999999999999</v>
      </c>
      <c r="L213" t="inlineStr">
        <is>
          <t>Frontal Asymmetry (Enobio EEG)</t>
        </is>
      </c>
      <c r="M213">
        <f>LEFT(E213,1)</f>
        <v/>
      </c>
      <c r="N213">
        <f>MID(E213,3,10)</f>
        <v/>
      </c>
      <c r="O213">
        <f>IF(F213="Stimulus",IF(LEFT(G213,8)="Baseline",G213,IF(LEFT(G213,12)="Commercial_1","C1","C2")),IF(G213="KeyScene","KeyScene",IF(LEFT(J213,12)="Commercial_1","EndScene_C1","EndScene_C2")))</f>
        <v/>
      </c>
      <c r="P213">
        <f>IF(COUNTIFS(Artifact!$B$2:$B$385,B213,Artifact!$K$2:$K$385,"&gt;25")+COUNTIFS(Log!$A$2:$A$49,B213,Log!$H$2:$H$49,"Red")+COUNTIFS(Log!$A$2:$A$49,B213,Log!$I$2:$I$49,"Red")&gt;0,"No","Yes")</f>
        <v/>
      </c>
      <c r="Q213">
        <f>IF(COUNTIFS(Artifact!$B$2:$B$385,B213,Artifact!$K$2:$K$385,"&gt;15")+COUNTIFS(Log!$A$2:$A$49,B213,Log!$H$2:$H$49,"Red")+COUNTIFS(Log!$A$2:$A$49,B213,Log!$I$2:$I$49,"Red")&gt;0,"No","Yes")</f>
        <v/>
      </c>
    </row>
    <row r="214">
      <c r="A214" t="inlineStr">
        <is>
          <t>SIMULATED Commercial FA Study</t>
        </is>
      </c>
      <c r="B214" t="inlineStr">
        <is>
          <t>P33</t>
        </is>
      </c>
      <c r="C214" t="inlineStr">
        <is>
          <t>M</t>
        </is>
      </c>
      <c r="D214" t="n">
        <v>21</v>
      </c>
      <c r="E214" t="inlineStr">
        <is>
          <t>B_C1first</t>
        </is>
      </c>
      <c r="F214" t="inlineStr">
        <is>
          <t>Annotation</t>
        </is>
      </c>
      <c r="G214" t="inlineStr">
        <is>
          <t>EndScene</t>
        </is>
      </c>
      <c r="H214" t="n">
        <v>128000</v>
      </c>
      <c r="I214" t="n">
        <v>10000</v>
      </c>
      <c r="J214" t="inlineStr">
        <is>
          <t>Commercial_1B</t>
        </is>
      </c>
      <c r="K214" s="4" t="n">
        <v>0.5291</v>
      </c>
      <c r="L214" t="inlineStr">
        <is>
          <t>Frontal Asymmetry (Enobio EEG)</t>
        </is>
      </c>
      <c r="M214">
        <f>LEFT(E214,1)</f>
        <v/>
      </c>
      <c r="N214">
        <f>MID(E214,3,10)</f>
        <v/>
      </c>
      <c r="O214">
        <f>IF(F214="Stimulus",IF(LEFT(G214,8)="Baseline",G214,IF(LEFT(G214,12)="Commercial_1","C1","C2")),IF(G214="KeyScene","KeyScene",IF(LEFT(J214,12)="Commercial_1","EndScene_C1","EndScene_C2")))</f>
        <v/>
      </c>
      <c r="P214">
        <f>IF(COUNTIFS(Artifact!$B$2:$B$385,B214,Artifact!$K$2:$K$385,"&gt;25")+COUNTIFS(Log!$A$2:$A$49,B214,Log!$H$2:$H$49,"Red")+COUNTIFS(Log!$A$2:$A$49,B214,Log!$I$2:$I$49,"Red")&gt;0,"No","Yes")</f>
        <v/>
      </c>
      <c r="Q214">
        <f>IF(COUNTIFS(Artifact!$B$2:$B$385,B214,Artifact!$K$2:$K$385,"&gt;15")+COUNTIFS(Log!$A$2:$A$49,B214,Log!$H$2:$H$49,"Red")+COUNTIFS(Log!$A$2:$A$49,B214,Log!$I$2:$I$49,"Red")&gt;0,"No","Yes")</f>
        <v/>
      </c>
    </row>
    <row r="215">
      <c r="A215" t="inlineStr">
        <is>
          <t>SIMULATED Commercial FA Study</t>
        </is>
      </c>
      <c r="B215" t="inlineStr">
        <is>
          <t>P33</t>
        </is>
      </c>
      <c r="C215" t="inlineStr">
        <is>
          <t>M</t>
        </is>
      </c>
      <c r="D215" t="n">
        <v>21</v>
      </c>
      <c r="E215" t="inlineStr">
        <is>
          <t>B_C1first</t>
        </is>
      </c>
      <c r="F215" t="inlineStr">
        <is>
          <t>Annotation</t>
        </is>
      </c>
      <c r="G215" t="inlineStr">
        <is>
          <t>EndScene</t>
        </is>
      </c>
      <c r="H215" t="n">
        <v>307000</v>
      </c>
      <c r="I215" t="n">
        <v>10000</v>
      </c>
      <c r="J215" t="inlineStr">
        <is>
          <t>Commercial_2</t>
        </is>
      </c>
      <c r="K215" s="4" t="n">
        <v>0.618</v>
      </c>
      <c r="L215" t="inlineStr">
        <is>
          <t>Frontal Asymmetry (Enobio EEG)</t>
        </is>
      </c>
      <c r="M215">
        <f>LEFT(E215,1)</f>
        <v/>
      </c>
      <c r="N215">
        <f>MID(E215,3,10)</f>
        <v/>
      </c>
      <c r="O215">
        <f>IF(F215="Stimulus",IF(LEFT(G215,8)="Baseline",G215,IF(LEFT(G215,12)="Commercial_1","C1","C2")),IF(G215="KeyScene","KeyScene",IF(LEFT(J215,12)="Commercial_1","EndScene_C1","EndScene_C2")))</f>
        <v/>
      </c>
      <c r="P215">
        <f>IF(COUNTIFS(Artifact!$B$2:$B$385,B215,Artifact!$K$2:$K$385,"&gt;25")+COUNTIFS(Log!$A$2:$A$49,B215,Log!$H$2:$H$49,"Red")+COUNTIFS(Log!$A$2:$A$49,B215,Log!$I$2:$I$49,"Red")&gt;0,"No","Yes")</f>
        <v/>
      </c>
      <c r="Q215">
        <f>IF(COUNTIFS(Artifact!$B$2:$B$385,B215,Artifact!$K$2:$K$385,"&gt;15")+COUNTIFS(Log!$A$2:$A$49,B215,Log!$H$2:$H$49,"Red")+COUNTIFS(Log!$A$2:$A$49,B215,Log!$I$2:$I$49,"Red")&gt;0,"No","Yes")</f>
        <v/>
      </c>
    </row>
    <row r="216">
      <c r="A216" t="inlineStr">
        <is>
          <t>SIMULATED Commercial FA Study</t>
        </is>
      </c>
      <c r="B216" t="inlineStr">
        <is>
          <t>P34</t>
        </is>
      </c>
      <c r="C216" t="inlineStr">
        <is>
          <t>M</t>
        </is>
      </c>
      <c r="D216" t="n">
        <v>25</v>
      </c>
      <c r="E216" t="inlineStr">
        <is>
          <t>A_C1first</t>
        </is>
      </c>
      <c r="F216" t="inlineStr">
        <is>
          <t>Stimulus</t>
        </is>
      </c>
      <c r="G216" t="inlineStr">
        <is>
          <t>Baseline_1</t>
        </is>
      </c>
      <c r="H216" t="n">
        <v>27000</v>
      </c>
      <c r="I216" t="n">
        <v>60000</v>
      </c>
      <c r="J216" t="inlineStr">
        <is>
          <t>Baseline_1</t>
        </is>
      </c>
      <c r="K216" s="4" t="n">
        <v>0.6891</v>
      </c>
      <c r="L216" t="inlineStr">
        <is>
          <t>Frontal Asymmetry (Enobio EEG)</t>
        </is>
      </c>
      <c r="M216">
        <f>LEFT(E216,1)</f>
        <v/>
      </c>
      <c r="N216">
        <f>MID(E216,3,10)</f>
        <v/>
      </c>
      <c r="O216">
        <f>IF(F216="Stimulus",IF(LEFT(G216,8)="Baseline",G216,IF(LEFT(G216,12)="Commercial_1","C1","C2")),IF(G216="KeyScene","KeyScene",IF(LEFT(J216,12)="Commercial_1","EndScene_C1","EndScene_C2")))</f>
        <v/>
      </c>
      <c r="P216">
        <f>IF(COUNTIFS(Artifact!$B$2:$B$385,B216,Artifact!$K$2:$K$385,"&gt;25")+COUNTIFS(Log!$A$2:$A$49,B216,Log!$H$2:$H$49,"Red")+COUNTIFS(Log!$A$2:$A$49,B216,Log!$I$2:$I$49,"Red")&gt;0,"No","Yes")</f>
        <v/>
      </c>
      <c r="Q216">
        <f>IF(COUNTIFS(Artifact!$B$2:$B$385,B216,Artifact!$K$2:$K$385,"&gt;15")+COUNTIFS(Log!$A$2:$A$49,B216,Log!$H$2:$H$49,"Red")+COUNTIFS(Log!$A$2:$A$49,B216,Log!$I$2:$I$49,"Red")&gt;0,"No","Yes")</f>
        <v/>
      </c>
    </row>
    <row r="217">
      <c r="A217" t="inlineStr">
        <is>
          <t>SIMULATED Commercial FA Study</t>
        </is>
      </c>
      <c r="B217" t="inlineStr">
        <is>
          <t>P34</t>
        </is>
      </c>
      <c r="C217" t="inlineStr">
        <is>
          <t>M</t>
        </is>
      </c>
      <c r="D217" t="n">
        <v>25</v>
      </c>
      <c r="E217" t="inlineStr">
        <is>
          <t>A_C1first</t>
        </is>
      </c>
      <c r="F217" t="inlineStr">
        <is>
          <t>Stimulus</t>
        </is>
      </c>
      <c r="G217" t="inlineStr">
        <is>
          <t>Commercial_1A</t>
        </is>
      </c>
      <c r="H217" t="n">
        <v>87000</v>
      </c>
      <c r="I217" t="n">
        <v>60000</v>
      </c>
      <c r="J217" t="inlineStr">
        <is>
          <t>Commercial_1A</t>
        </is>
      </c>
      <c r="K217" s="4" t="n">
        <v>0.6916</v>
      </c>
      <c r="L217" t="inlineStr">
        <is>
          <t>Frontal Asymmetry (Enobio EEG)</t>
        </is>
      </c>
      <c r="M217">
        <f>LEFT(E217,1)</f>
        <v/>
      </c>
      <c r="N217">
        <f>MID(E217,3,10)</f>
        <v/>
      </c>
      <c r="O217">
        <f>IF(F217="Stimulus",IF(LEFT(G217,8)="Baseline",G217,IF(LEFT(G217,12)="Commercial_1","C1","C2")),IF(G217="KeyScene","KeyScene",IF(LEFT(J217,12)="Commercial_1","EndScene_C1","EndScene_C2")))</f>
        <v/>
      </c>
      <c r="P217">
        <f>IF(COUNTIFS(Artifact!$B$2:$B$385,B217,Artifact!$K$2:$K$385,"&gt;25")+COUNTIFS(Log!$A$2:$A$49,B217,Log!$H$2:$H$49,"Red")+COUNTIFS(Log!$A$2:$A$49,B217,Log!$I$2:$I$49,"Red")&gt;0,"No","Yes")</f>
        <v/>
      </c>
      <c r="Q217">
        <f>IF(COUNTIFS(Artifact!$B$2:$B$385,B217,Artifact!$K$2:$K$385,"&gt;15")+COUNTIFS(Log!$A$2:$A$49,B217,Log!$H$2:$H$49,"Red")+COUNTIFS(Log!$A$2:$A$49,B217,Log!$I$2:$I$49,"Red")&gt;0,"No","Yes")</f>
        <v/>
      </c>
    </row>
    <row r="218">
      <c r="A218" t="inlineStr">
        <is>
          <t>SIMULATED Commercial FA Study</t>
        </is>
      </c>
      <c r="B218" t="inlineStr">
        <is>
          <t>P34</t>
        </is>
      </c>
      <c r="C218" t="inlineStr">
        <is>
          <t>M</t>
        </is>
      </c>
      <c r="D218" t="n">
        <v>25</v>
      </c>
      <c r="E218" t="inlineStr">
        <is>
          <t>A_C1first</t>
        </is>
      </c>
      <c r="F218" t="inlineStr">
        <is>
          <t>Stimulus</t>
        </is>
      </c>
      <c r="G218" t="inlineStr">
        <is>
          <t>Baseline_2</t>
        </is>
      </c>
      <c r="H218" t="n">
        <v>185000</v>
      </c>
      <c r="I218" t="n">
        <v>60000</v>
      </c>
      <c r="J218" t="inlineStr">
        <is>
          <t>Baseline_2</t>
        </is>
      </c>
      <c r="K218" s="4" t="n">
        <v>0.734</v>
      </c>
      <c r="L218" t="inlineStr">
        <is>
          <t>Frontal Asymmetry (Enobio EEG)</t>
        </is>
      </c>
      <c r="M218">
        <f>LEFT(E218,1)</f>
        <v/>
      </c>
      <c r="N218">
        <f>MID(E218,3,10)</f>
        <v/>
      </c>
      <c r="O218">
        <f>IF(F218="Stimulus",IF(LEFT(G218,8)="Baseline",G218,IF(LEFT(G218,12)="Commercial_1","C1","C2")),IF(G218="KeyScene","KeyScene",IF(LEFT(J218,12)="Commercial_1","EndScene_C1","EndScene_C2")))</f>
        <v/>
      </c>
      <c r="P218">
        <f>IF(COUNTIFS(Artifact!$B$2:$B$385,B218,Artifact!$K$2:$K$385,"&gt;25")+COUNTIFS(Log!$A$2:$A$49,B218,Log!$H$2:$H$49,"Red")+COUNTIFS(Log!$A$2:$A$49,B218,Log!$I$2:$I$49,"Red")&gt;0,"No","Yes")</f>
        <v/>
      </c>
      <c r="Q218">
        <f>IF(COUNTIFS(Artifact!$B$2:$B$385,B218,Artifact!$K$2:$K$385,"&gt;15")+COUNTIFS(Log!$A$2:$A$49,B218,Log!$H$2:$H$49,"Red")+COUNTIFS(Log!$A$2:$A$49,B218,Log!$I$2:$I$49,"Red")&gt;0,"No","Yes")</f>
        <v/>
      </c>
    </row>
    <row r="219">
      <c r="A219" t="inlineStr">
        <is>
          <t>SIMULATED Commercial FA Study</t>
        </is>
      </c>
      <c r="B219" t="inlineStr">
        <is>
          <t>P34</t>
        </is>
      </c>
      <c r="C219" t="inlineStr">
        <is>
          <t>M</t>
        </is>
      </c>
      <c r="D219" t="n">
        <v>25</v>
      </c>
      <c r="E219" t="inlineStr">
        <is>
          <t>A_C1first</t>
        </is>
      </c>
      <c r="F219" t="inlineStr">
        <is>
          <t>Stimulus</t>
        </is>
      </c>
      <c r="G219" t="inlineStr">
        <is>
          <t>Commercial_2</t>
        </is>
      </c>
      <c r="H219" t="n">
        <v>245000</v>
      </c>
      <c r="I219" t="n">
        <v>60000</v>
      </c>
      <c r="J219" t="inlineStr">
        <is>
          <t>Commercial_2</t>
        </is>
      </c>
      <c r="K219" s="4" t="n">
        <v>0.6459</v>
      </c>
      <c r="L219" t="inlineStr">
        <is>
          <t>Frontal Asymmetry (Enobio EEG)</t>
        </is>
      </c>
      <c r="M219">
        <f>LEFT(E219,1)</f>
        <v/>
      </c>
      <c r="N219">
        <f>MID(E219,3,10)</f>
        <v/>
      </c>
      <c r="O219">
        <f>IF(F219="Stimulus",IF(LEFT(G219,8)="Baseline",G219,IF(LEFT(G219,12)="Commercial_1","C1","C2")),IF(G219="KeyScene","KeyScene",IF(LEFT(J219,12)="Commercial_1","EndScene_C1","EndScene_C2")))</f>
        <v/>
      </c>
      <c r="P219">
        <f>IF(COUNTIFS(Artifact!$B$2:$B$385,B219,Artifact!$K$2:$K$385,"&gt;25")+COUNTIFS(Log!$A$2:$A$49,B219,Log!$H$2:$H$49,"Red")+COUNTIFS(Log!$A$2:$A$49,B219,Log!$I$2:$I$49,"Red")&gt;0,"No","Yes")</f>
        <v/>
      </c>
      <c r="Q219">
        <f>IF(COUNTIFS(Artifact!$B$2:$B$385,B219,Artifact!$K$2:$K$385,"&gt;15")+COUNTIFS(Log!$A$2:$A$49,B219,Log!$H$2:$H$49,"Red")+COUNTIFS(Log!$A$2:$A$49,B219,Log!$I$2:$I$49,"Red")&gt;0,"No","Yes")</f>
        <v/>
      </c>
    </row>
    <row r="220">
      <c r="A220" t="inlineStr">
        <is>
          <t>SIMULATED Commercial FA Study</t>
        </is>
      </c>
      <c r="B220" t="inlineStr">
        <is>
          <t>P34</t>
        </is>
      </c>
      <c r="C220" t="inlineStr">
        <is>
          <t>M</t>
        </is>
      </c>
      <c r="D220" t="n">
        <v>25</v>
      </c>
      <c r="E220" t="inlineStr">
        <is>
          <t>A_C1first</t>
        </is>
      </c>
      <c r="F220" t="inlineStr">
        <is>
          <t>Annotation</t>
        </is>
      </c>
      <c r="G220" t="inlineStr">
        <is>
          <t>KeyScene</t>
        </is>
      </c>
      <c r="H220" t="n">
        <v>119000</v>
      </c>
      <c r="I220" t="n">
        <v>6000</v>
      </c>
      <c r="J220" t="inlineStr">
        <is>
          <t>Commercial_1A</t>
        </is>
      </c>
      <c r="K220" s="4" t="n">
        <v>0.6785</v>
      </c>
      <c r="L220" t="inlineStr">
        <is>
          <t>Frontal Asymmetry (Enobio EEG)</t>
        </is>
      </c>
      <c r="M220">
        <f>LEFT(E220,1)</f>
        <v/>
      </c>
      <c r="N220">
        <f>MID(E220,3,10)</f>
        <v/>
      </c>
      <c r="O220">
        <f>IF(F220="Stimulus",IF(LEFT(G220,8)="Baseline",G220,IF(LEFT(G220,12)="Commercial_1","C1","C2")),IF(G220="KeyScene","KeyScene",IF(LEFT(J220,12)="Commercial_1","EndScene_C1","EndScene_C2")))</f>
        <v/>
      </c>
      <c r="P220">
        <f>IF(COUNTIFS(Artifact!$B$2:$B$385,B220,Artifact!$K$2:$K$385,"&gt;25")+COUNTIFS(Log!$A$2:$A$49,B220,Log!$H$2:$H$49,"Red")+COUNTIFS(Log!$A$2:$A$49,B220,Log!$I$2:$I$49,"Red")&gt;0,"No","Yes")</f>
        <v/>
      </c>
      <c r="Q220">
        <f>IF(COUNTIFS(Artifact!$B$2:$B$385,B220,Artifact!$K$2:$K$385,"&gt;15")+COUNTIFS(Log!$A$2:$A$49,B220,Log!$H$2:$H$49,"Red")+COUNTIFS(Log!$A$2:$A$49,B220,Log!$I$2:$I$49,"Red")&gt;0,"No","Yes")</f>
        <v/>
      </c>
    </row>
    <row r="221">
      <c r="A221" t="inlineStr">
        <is>
          <t>SIMULATED Commercial FA Study</t>
        </is>
      </c>
      <c r="B221" t="inlineStr">
        <is>
          <t>P34</t>
        </is>
      </c>
      <c r="C221" t="inlineStr">
        <is>
          <t>M</t>
        </is>
      </c>
      <c r="D221" t="n">
        <v>25</v>
      </c>
      <c r="E221" t="inlineStr">
        <is>
          <t>A_C1first</t>
        </is>
      </c>
      <c r="F221" t="inlineStr">
        <is>
          <t>Annotation</t>
        </is>
      </c>
      <c r="G221" t="inlineStr">
        <is>
          <t>EndScene</t>
        </is>
      </c>
      <c r="H221" t="n">
        <v>137000</v>
      </c>
      <c r="I221" t="n">
        <v>10000</v>
      </c>
      <c r="J221" t="inlineStr">
        <is>
          <t>Commercial_1A</t>
        </is>
      </c>
      <c r="K221" s="4" t="n">
        <v>0.741</v>
      </c>
      <c r="L221" t="inlineStr">
        <is>
          <t>Frontal Asymmetry (Enobio EEG)</t>
        </is>
      </c>
      <c r="M221">
        <f>LEFT(E221,1)</f>
        <v/>
      </c>
      <c r="N221">
        <f>MID(E221,3,10)</f>
        <v/>
      </c>
      <c r="O221">
        <f>IF(F221="Stimulus",IF(LEFT(G221,8)="Baseline",G221,IF(LEFT(G221,12)="Commercial_1","C1","C2")),IF(G221="KeyScene","KeyScene",IF(LEFT(J221,12)="Commercial_1","EndScene_C1","EndScene_C2")))</f>
        <v/>
      </c>
      <c r="P221">
        <f>IF(COUNTIFS(Artifact!$B$2:$B$385,B221,Artifact!$K$2:$K$385,"&gt;25")+COUNTIFS(Log!$A$2:$A$49,B221,Log!$H$2:$H$49,"Red")+COUNTIFS(Log!$A$2:$A$49,B221,Log!$I$2:$I$49,"Red")&gt;0,"No","Yes")</f>
        <v/>
      </c>
      <c r="Q221">
        <f>IF(COUNTIFS(Artifact!$B$2:$B$385,B221,Artifact!$K$2:$K$385,"&gt;15")+COUNTIFS(Log!$A$2:$A$49,B221,Log!$H$2:$H$49,"Red")+COUNTIFS(Log!$A$2:$A$49,B221,Log!$I$2:$I$49,"Red")&gt;0,"No","Yes")</f>
        <v/>
      </c>
    </row>
    <row r="222">
      <c r="A222" t="inlineStr">
        <is>
          <t>SIMULATED Commercial FA Study</t>
        </is>
      </c>
      <c r="B222" t="inlineStr">
        <is>
          <t>P34</t>
        </is>
      </c>
      <c r="C222" t="inlineStr">
        <is>
          <t>M</t>
        </is>
      </c>
      <c r="D222" t="n">
        <v>25</v>
      </c>
      <c r="E222" t="inlineStr">
        <is>
          <t>A_C1first</t>
        </is>
      </c>
      <c r="F222" t="inlineStr">
        <is>
          <t>Annotation</t>
        </is>
      </c>
      <c r="G222" t="inlineStr">
        <is>
          <t>EndScene</t>
        </is>
      </c>
      <c r="H222" t="n">
        <v>295000</v>
      </c>
      <c r="I222" t="n">
        <v>10000</v>
      </c>
      <c r="J222" t="inlineStr">
        <is>
          <t>Commercial_2</t>
        </is>
      </c>
      <c r="K222" s="4" t="n">
        <v>0.6242</v>
      </c>
      <c r="L222" t="inlineStr">
        <is>
          <t>Frontal Asymmetry (Enobio EEG)</t>
        </is>
      </c>
      <c r="M222">
        <f>LEFT(E222,1)</f>
        <v/>
      </c>
      <c r="N222">
        <f>MID(E222,3,10)</f>
        <v/>
      </c>
      <c r="O222">
        <f>IF(F222="Stimulus",IF(LEFT(G222,8)="Baseline",G222,IF(LEFT(G222,12)="Commercial_1","C1","C2")),IF(G222="KeyScene","KeyScene",IF(LEFT(J222,12)="Commercial_1","EndScene_C1","EndScene_C2")))</f>
        <v/>
      </c>
      <c r="P222">
        <f>IF(COUNTIFS(Artifact!$B$2:$B$385,B222,Artifact!$K$2:$K$385,"&gt;25")+COUNTIFS(Log!$A$2:$A$49,B222,Log!$H$2:$H$49,"Red")+COUNTIFS(Log!$A$2:$A$49,B222,Log!$I$2:$I$49,"Red")&gt;0,"No","Yes")</f>
        <v/>
      </c>
      <c r="Q222">
        <f>IF(COUNTIFS(Artifact!$B$2:$B$385,B222,Artifact!$K$2:$K$385,"&gt;15")+COUNTIFS(Log!$A$2:$A$49,B222,Log!$H$2:$H$49,"Red")+COUNTIFS(Log!$A$2:$A$49,B222,Log!$I$2:$I$49,"Red")&gt;0,"No","Yes")</f>
        <v/>
      </c>
    </row>
    <row r="223">
      <c r="A223" t="inlineStr">
        <is>
          <t>SIMULATED Commercial FA Study</t>
        </is>
      </c>
      <c r="B223" t="inlineStr">
        <is>
          <t>P35</t>
        </is>
      </c>
      <c r="C223" t="inlineStr">
        <is>
          <t>M</t>
        </is>
      </c>
      <c r="D223" t="n">
        <v>22</v>
      </c>
      <c r="E223" t="inlineStr">
        <is>
          <t>A_C2first</t>
        </is>
      </c>
      <c r="F223" t="inlineStr">
        <is>
          <t>Stimulus</t>
        </is>
      </c>
      <c r="G223" t="inlineStr">
        <is>
          <t>Baseline_1</t>
        </is>
      </c>
      <c r="H223" t="n">
        <v>21000</v>
      </c>
      <c r="I223" t="n">
        <v>60000</v>
      </c>
      <c r="J223" t="inlineStr">
        <is>
          <t>Baseline_1</t>
        </is>
      </c>
      <c r="K223" s="4" t="n">
        <v>0.7741</v>
      </c>
      <c r="L223" t="inlineStr">
        <is>
          <t>Frontal Asymmetry (Enobio EEG)</t>
        </is>
      </c>
      <c r="M223">
        <f>LEFT(E223,1)</f>
        <v/>
      </c>
      <c r="N223">
        <f>MID(E223,3,10)</f>
        <v/>
      </c>
      <c r="O223">
        <f>IF(F223="Stimulus",IF(LEFT(G223,8)="Baseline",G223,IF(LEFT(G223,12)="Commercial_1","C1","C2")),IF(G223="KeyScene","KeyScene",IF(LEFT(J223,12)="Commercial_1","EndScene_C1","EndScene_C2")))</f>
        <v/>
      </c>
      <c r="P223">
        <f>IF(COUNTIFS(Artifact!$B$2:$B$385,B223,Artifact!$K$2:$K$385,"&gt;25")+COUNTIFS(Log!$A$2:$A$49,B223,Log!$H$2:$H$49,"Red")+COUNTIFS(Log!$A$2:$A$49,B223,Log!$I$2:$I$49,"Red")&gt;0,"No","Yes")</f>
        <v/>
      </c>
      <c r="Q223">
        <f>IF(COUNTIFS(Artifact!$B$2:$B$385,B223,Artifact!$K$2:$K$385,"&gt;15")+COUNTIFS(Log!$A$2:$A$49,B223,Log!$H$2:$H$49,"Red")+COUNTIFS(Log!$A$2:$A$49,B223,Log!$I$2:$I$49,"Red")&gt;0,"No","Yes")</f>
        <v/>
      </c>
    </row>
    <row r="224">
      <c r="A224" t="inlineStr">
        <is>
          <t>SIMULATED Commercial FA Study</t>
        </is>
      </c>
      <c r="B224" t="inlineStr">
        <is>
          <t>P35</t>
        </is>
      </c>
      <c r="C224" t="inlineStr">
        <is>
          <t>M</t>
        </is>
      </c>
      <c r="D224" t="n">
        <v>22</v>
      </c>
      <c r="E224" t="inlineStr">
        <is>
          <t>A_C2first</t>
        </is>
      </c>
      <c r="F224" t="inlineStr">
        <is>
          <t>Stimulus</t>
        </is>
      </c>
      <c r="G224" t="inlineStr">
        <is>
          <t>Commercial_2</t>
        </is>
      </c>
      <c r="H224" t="n">
        <v>81000</v>
      </c>
      <c r="I224" t="n">
        <v>60000</v>
      </c>
      <c r="J224" t="inlineStr">
        <is>
          <t>Commercial_2</t>
        </is>
      </c>
      <c r="K224" s="4" t="n">
        <v>0.7566000000000001</v>
      </c>
      <c r="L224" t="inlineStr">
        <is>
          <t>Frontal Asymmetry (Enobio EEG)</t>
        </is>
      </c>
      <c r="M224">
        <f>LEFT(E224,1)</f>
        <v/>
      </c>
      <c r="N224">
        <f>MID(E224,3,10)</f>
        <v/>
      </c>
      <c r="O224">
        <f>IF(F224="Stimulus",IF(LEFT(G224,8)="Baseline",G224,IF(LEFT(G224,12)="Commercial_1","C1","C2")),IF(G224="KeyScene","KeyScene",IF(LEFT(J224,12)="Commercial_1","EndScene_C1","EndScene_C2")))</f>
        <v/>
      </c>
      <c r="P224">
        <f>IF(COUNTIFS(Artifact!$B$2:$B$385,B224,Artifact!$K$2:$K$385,"&gt;25")+COUNTIFS(Log!$A$2:$A$49,B224,Log!$H$2:$H$49,"Red")+COUNTIFS(Log!$A$2:$A$49,B224,Log!$I$2:$I$49,"Red")&gt;0,"No","Yes")</f>
        <v/>
      </c>
      <c r="Q224">
        <f>IF(COUNTIFS(Artifact!$B$2:$B$385,B224,Artifact!$K$2:$K$385,"&gt;15")+COUNTIFS(Log!$A$2:$A$49,B224,Log!$H$2:$H$49,"Red")+COUNTIFS(Log!$A$2:$A$49,B224,Log!$I$2:$I$49,"Red")&gt;0,"No","Yes")</f>
        <v/>
      </c>
    </row>
    <row r="225">
      <c r="A225" t="inlineStr">
        <is>
          <t>SIMULATED Commercial FA Study</t>
        </is>
      </c>
      <c r="B225" t="inlineStr">
        <is>
          <t>P35</t>
        </is>
      </c>
      <c r="C225" t="inlineStr">
        <is>
          <t>M</t>
        </is>
      </c>
      <c r="D225" t="n">
        <v>22</v>
      </c>
      <c r="E225" t="inlineStr">
        <is>
          <t>A_C2first</t>
        </is>
      </c>
      <c r="F225" t="inlineStr">
        <is>
          <t>Stimulus</t>
        </is>
      </c>
      <c r="G225" t="inlineStr">
        <is>
          <t>Baseline_2</t>
        </is>
      </c>
      <c r="H225" t="n">
        <v>183000</v>
      </c>
      <c r="I225" t="n">
        <v>60000</v>
      </c>
      <c r="J225" t="inlineStr">
        <is>
          <t>Baseline_2</t>
        </is>
      </c>
      <c r="K225" s="4" t="n">
        <v>0.7553</v>
      </c>
      <c r="L225" t="inlineStr">
        <is>
          <t>Frontal Asymmetry (Enobio EEG)</t>
        </is>
      </c>
      <c r="M225">
        <f>LEFT(E225,1)</f>
        <v/>
      </c>
      <c r="N225">
        <f>MID(E225,3,10)</f>
        <v/>
      </c>
      <c r="O225">
        <f>IF(F225="Stimulus",IF(LEFT(G225,8)="Baseline",G225,IF(LEFT(G225,12)="Commercial_1","C1","C2")),IF(G225="KeyScene","KeyScene",IF(LEFT(J225,12)="Commercial_1","EndScene_C1","EndScene_C2")))</f>
        <v/>
      </c>
      <c r="P225">
        <f>IF(COUNTIFS(Artifact!$B$2:$B$385,B225,Artifact!$K$2:$K$385,"&gt;25")+COUNTIFS(Log!$A$2:$A$49,B225,Log!$H$2:$H$49,"Red")+COUNTIFS(Log!$A$2:$A$49,B225,Log!$I$2:$I$49,"Red")&gt;0,"No","Yes")</f>
        <v/>
      </c>
      <c r="Q225">
        <f>IF(COUNTIFS(Artifact!$B$2:$B$385,B225,Artifact!$K$2:$K$385,"&gt;15")+COUNTIFS(Log!$A$2:$A$49,B225,Log!$H$2:$H$49,"Red")+COUNTIFS(Log!$A$2:$A$49,B225,Log!$I$2:$I$49,"Red")&gt;0,"No","Yes")</f>
        <v/>
      </c>
    </row>
    <row r="226">
      <c r="A226" t="inlineStr">
        <is>
          <t>SIMULATED Commercial FA Study</t>
        </is>
      </c>
      <c r="B226" t="inlineStr">
        <is>
          <t>P35</t>
        </is>
      </c>
      <c r="C226" t="inlineStr">
        <is>
          <t>M</t>
        </is>
      </c>
      <c r="D226" t="n">
        <v>22</v>
      </c>
      <c r="E226" t="inlineStr">
        <is>
          <t>A_C2first</t>
        </is>
      </c>
      <c r="F226" t="inlineStr">
        <is>
          <t>Stimulus</t>
        </is>
      </c>
      <c r="G226" t="inlineStr">
        <is>
          <t>Commercial_1A</t>
        </is>
      </c>
      <c r="H226" t="n">
        <v>243000</v>
      </c>
      <c r="I226" t="n">
        <v>60000</v>
      </c>
      <c r="J226" t="inlineStr">
        <is>
          <t>Commercial_1A</t>
        </is>
      </c>
      <c r="K226" s="4" t="n">
        <v>0.7621</v>
      </c>
      <c r="L226" t="inlineStr">
        <is>
          <t>Frontal Asymmetry (Enobio EEG)</t>
        </is>
      </c>
      <c r="M226">
        <f>LEFT(E226,1)</f>
        <v/>
      </c>
      <c r="N226">
        <f>MID(E226,3,10)</f>
        <v/>
      </c>
      <c r="O226">
        <f>IF(F226="Stimulus",IF(LEFT(G226,8)="Baseline",G226,IF(LEFT(G226,12)="Commercial_1","C1","C2")),IF(G226="KeyScene","KeyScene",IF(LEFT(J226,12)="Commercial_1","EndScene_C1","EndScene_C2")))</f>
        <v/>
      </c>
      <c r="P226">
        <f>IF(COUNTIFS(Artifact!$B$2:$B$385,B226,Artifact!$K$2:$K$385,"&gt;25")+COUNTIFS(Log!$A$2:$A$49,B226,Log!$H$2:$H$49,"Red")+COUNTIFS(Log!$A$2:$A$49,B226,Log!$I$2:$I$49,"Red")&gt;0,"No","Yes")</f>
        <v/>
      </c>
      <c r="Q226">
        <f>IF(COUNTIFS(Artifact!$B$2:$B$385,B226,Artifact!$K$2:$K$385,"&gt;15")+COUNTIFS(Log!$A$2:$A$49,B226,Log!$H$2:$H$49,"Red")+COUNTIFS(Log!$A$2:$A$49,B226,Log!$I$2:$I$49,"Red")&gt;0,"No","Yes")</f>
        <v/>
      </c>
    </row>
    <row r="227">
      <c r="A227" t="inlineStr">
        <is>
          <t>SIMULATED Commercial FA Study</t>
        </is>
      </c>
      <c r="B227" t="inlineStr">
        <is>
          <t>P35</t>
        </is>
      </c>
      <c r="C227" t="inlineStr">
        <is>
          <t>M</t>
        </is>
      </c>
      <c r="D227" t="n">
        <v>22</v>
      </c>
      <c r="E227" t="inlineStr">
        <is>
          <t>A_C2first</t>
        </is>
      </c>
      <c r="F227" t="inlineStr">
        <is>
          <t>Annotation</t>
        </is>
      </c>
      <c r="G227" t="inlineStr">
        <is>
          <t>EndScene</t>
        </is>
      </c>
      <c r="H227" t="n">
        <v>131000</v>
      </c>
      <c r="I227" t="n">
        <v>10000</v>
      </c>
      <c r="J227" t="inlineStr">
        <is>
          <t>Commercial_2</t>
        </is>
      </c>
      <c r="K227" s="4" t="n">
        <v>0.8212</v>
      </c>
      <c r="L227" t="inlineStr">
        <is>
          <t>Frontal Asymmetry (Enobio EEG)</t>
        </is>
      </c>
      <c r="M227">
        <f>LEFT(E227,1)</f>
        <v/>
      </c>
      <c r="N227">
        <f>MID(E227,3,10)</f>
        <v/>
      </c>
      <c r="O227">
        <f>IF(F227="Stimulus",IF(LEFT(G227,8)="Baseline",G227,IF(LEFT(G227,12)="Commercial_1","C1","C2")),IF(G227="KeyScene","KeyScene",IF(LEFT(J227,12)="Commercial_1","EndScene_C1","EndScene_C2")))</f>
        <v/>
      </c>
      <c r="P227">
        <f>IF(COUNTIFS(Artifact!$B$2:$B$385,B227,Artifact!$K$2:$K$385,"&gt;25")+COUNTIFS(Log!$A$2:$A$49,B227,Log!$H$2:$H$49,"Red")+COUNTIFS(Log!$A$2:$A$49,B227,Log!$I$2:$I$49,"Red")&gt;0,"No","Yes")</f>
        <v/>
      </c>
      <c r="Q227">
        <f>IF(COUNTIFS(Artifact!$B$2:$B$385,B227,Artifact!$K$2:$K$385,"&gt;15")+COUNTIFS(Log!$A$2:$A$49,B227,Log!$H$2:$H$49,"Red")+COUNTIFS(Log!$A$2:$A$49,B227,Log!$I$2:$I$49,"Red")&gt;0,"No","Yes")</f>
        <v/>
      </c>
    </row>
    <row r="228">
      <c r="A228" t="inlineStr">
        <is>
          <t>SIMULATED Commercial FA Study</t>
        </is>
      </c>
      <c r="B228" t="inlineStr">
        <is>
          <t>P35</t>
        </is>
      </c>
      <c r="C228" t="inlineStr">
        <is>
          <t>M</t>
        </is>
      </c>
      <c r="D228" t="n">
        <v>22</v>
      </c>
      <c r="E228" t="inlineStr">
        <is>
          <t>A_C2first</t>
        </is>
      </c>
      <c r="F228" t="inlineStr">
        <is>
          <t>Annotation</t>
        </is>
      </c>
      <c r="G228" t="inlineStr">
        <is>
          <t>KeyScene</t>
        </is>
      </c>
      <c r="H228" t="n">
        <v>275000</v>
      </c>
      <c r="I228" t="n">
        <v>6000</v>
      </c>
      <c r="J228" t="inlineStr">
        <is>
          <t>Commercial_1A</t>
        </is>
      </c>
      <c r="K228" s="4" t="n">
        <v>0.5984</v>
      </c>
      <c r="L228" t="inlineStr">
        <is>
          <t>Frontal Asymmetry (Enobio EEG)</t>
        </is>
      </c>
      <c r="M228">
        <f>LEFT(E228,1)</f>
        <v/>
      </c>
      <c r="N228">
        <f>MID(E228,3,10)</f>
        <v/>
      </c>
      <c r="O228">
        <f>IF(F228="Stimulus",IF(LEFT(G228,8)="Baseline",G228,IF(LEFT(G228,12)="Commercial_1","C1","C2")),IF(G228="KeyScene","KeyScene",IF(LEFT(J228,12)="Commercial_1","EndScene_C1","EndScene_C2")))</f>
        <v/>
      </c>
      <c r="P228">
        <f>IF(COUNTIFS(Artifact!$B$2:$B$385,B228,Artifact!$K$2:$K$385,"&gt;25")+COUNTIFS(Log!$A$2:$A$49,B228,Log!$H$2:$H$49,"Red")+COUNTIFS(Log!$A$2:$A$49,B228,Log!$I$2:$I$49,"Red")&gt;0,"No","Yes")</f>
        <v/>
      </c>
      <c r="Q228">
        <f>IF(COUNTIFS(Artifact!$B$2:$B$385,B228,Artifact!$K$2:$K$385,"&gt;15")+COUNTIFS(Log!$A$2:$A$49,B228,Log!$H$2:$H$49,"Red")+COUNTIFS(Log!$A$2:$A$49,B228,Log!$I$2:$I$49,"Red")&gt;0,"No","Yes")</f>
        <v/>
      </c>
    </row>
    <row r="229">
      <c r="A229" t="inlineStr">
        <is>
          <t>SIMULATED Commercial FA Study</t>
        </is>
      </c>
      <c r="B229" t="inlineStr">
        <is>
          <t>P35</t>
        </is>
      </c>
      <c r="C229" t="inlineStr">
        <is>
          <t>M</t>
        </is>
      </c>
      <c r="D229" t="n">
        <v>22</v>
      </c>
      <c r="E229" t="inlineStr">
        <is>
          <t>A_C2first</t>
        </is>
      </c>
      <c r="F229" t="inlineStr">
        <is>
          <t>Annotation</t>
        </is>
      </c>
      <c r="G229" t="inlineStr">
        <is>
          <t>EndScene</t>
        </is>
      </c>
      <c r="H229" t="n">
        <v>293000</v>
      </c>
      <c r="I229" t="n">
        <v>10000</v>
      </c>
      <c r="J229" t="inlineStr">
        <is>
          <t>Commercial_1A</t>
        </is>
      </c>
      <c r="K229" s="4" t="n">
        <v>0.8668</v>
      </c>
      <c r="L229" t="inlineStr">
        <is>
          <t>Frontal Asymmetry (Enobio EEG)</t>
        </is>
      </c>
      <c r="M229">
        <f>LEFT(E229,1)</f>
        <v/>
      </c>
      <c r="N229">
        <f>MID(E229,3,10)</f>
        <v/>
      </c>
      <c r="O229">
        <f>IF(F229="Stimulus",IF(LEFT(G229,8)="Baseline",G229,IF(LEFT(G229,12)="Commercial_1","C1","C2")),IF(G229="KeyScene","KeyScene",IF(LEFT(J229,12)="Commercial_1","EndScene_C1","EndScene_C2")))</f>
        <v/>
      </c>
      <c r="P229">
        <f>IF(COUNTIFS(Artifact!$B$2:$B$385,B229,Artifact!$K$2:$K$385,"&gt;25")+COUNTIFS(Log!$A$2:$A$49,B229,Log!$H$2:$H$49,"Red")+COUNTIFS(Log!$A$2:$A$49,B229,Log!$I$2:$I$49,"Red")&gt;0,"No","Yes")</f>
        <v/>
      </c>
      <c r="Q229">
        <f>IF(COUNTIFS(Artifact!$B$2:$B$385,B229,Artifact!$K$2:$K$385,"&gt;15")+COUNTIFS(Log!$A$2:$A$49,B229,Log!$H$2:$H$49,"Red")+COUNTIFS(Log!$A$2:$A$49,B229,Log!$I$2:$I$49,"Red")&gt;0,"No","Yes")</f>
        <v/>
      </c>
    </row>
    <row r="230">
      <c r="A230" t="inlineStr">
        <is>
          <t>SIMULATED Commercial FA Study</t>
        </is>
      </c>
      <c r="B230" t="inlineStr">
        <is>
          <t>P36</t>
        </is>
      </c>
      <c r="C230" t="inlineStr">
        <is>
          <t>F</t>
        </is>
      </c>
      <c r="D230" t="n">
        <v>23</v>
      </c>
      <c r="E230" t="inlineStr">
        <is>
          <t>B_C2first</t>
        </is>
      </c>
      <c r="F230" t="inlineStr">
        <is>
          <t>Stimulus</t>
        </is>
      </c>
      <c r="G230" t="inlineStr">
        <is>
          <t>Baseline_1</t>
        </is>
      </c>
      <c r="H230" t="n">
        <v>25000</v>
      </c>
      <c r="I230" t="n">
        <v>60000</v>
      </c>
      <c r="J230" t="inlineStr">
        <is>
          <t>Baseline_1</t>
        </is>
      </c>
      <c r="K230" s="4" t="n">
        <v>0.5809</v>
      </c>
      <c r="L230" t="inlineStr">
        <is>
          <t>Frontal Asymmetry (Enobio EEG)</t>
        </is>
      </c>
      <c r="M230">
        <f>LEFT(E230,1)</f>
        <v/>
      </c>
      <c r="N230">
        <f>MID(E230,3,10)</f>
        <v/>
      </c>
      <c r="O230">
        <f>IF(F230="Stimulus",IF(LEFT(G230,8)="Baseline",G230,IF(LEFT(G230,12)="Commercial_1","C1","C2")),IF(G230="KeyScene","KeyScene",IF(LEFT(J230,12)="Commercial_1","EndScene_C1","EndScene_C2")))</f>
        <v/>
      </c>
      <c r="P230">
        <f>IF(COUNTIFS(Artifact!$B$2:$B$385,B230,Artifact!$K$2:$K$385,"&gt;25")+COUNTIFS(Log!$A$2:$A$49,B230,Log!$H$2:$H$49,"Red")+COUNTIFS(Log!$A$2:$A$49,B230,Log!$I$2:$I$49,"Red")&gt;0,"No","Yes")</f>
        <v/>
      </c>
      <c r="Q230">
        <f>IF(COUNTIFS(Artifact!$B$2:$B$385,B230,Artifact!$K$2:$K$385,"&gt;15")+COUNTIFS(Log!$A$2:$A$49,B230,Log!$H$2:$H$49,"Red")+COUNTIFS(Log!$A$2:$A$49,B230,Log!$I$2:$I$49,"Red")&gt;0,"No","Yes")</f>
        <v/>
      </c>
    </row>
    <row r="231">
      <c r="A231" t="inlineStr">
        <is>
          <t>SIMULATED Commercial FA Study</t>
        </is>
      </c>
      <c r="B231" t="inlineStr">
        <is>
          <t>P36</t>
        </is>
      </c>
      <c r="C231" t="inlineStr">
        <is>
          <t>F</t>
        </is>
      </c>
      <c r="D231" t="n">
        <v>23</v>
      </c>
      <c r="E231" t="inlineStr">
        <is>
          <t>B_C2first</t>
        </is>
      </c>
      <c r="F231" t="inlineStr">
        <is>
          <t>Stimulus</t>
        </is>
      </c>
      <c r="G231" t="inlineStr">
        <is>
          <t>Commercial_2</t>
        </is>
      </c>
      <c r="H231" t="n">
        <v>85000</v>
      </c>
      <c r="I231" t="n">
        <v>60000</v>
      </c>
      <c r="J231" t="inlineStr">
        <is>
          <t>Commercial_2</t>
        </is>
      </c>
      <c r="K231" s="4" t="n">
        <v>0.5699</v>
      </c>
      <c r="L231" t="inlineStr">
        <is>
          <t>Frontal Asymmetry (Enobio EEG)</t>
        </is>
      </c>
      <c r="M231">
        <f>LEFT(E231,1)</f>
        <v/>
      </c>
      <c r="N231">
        <f>MID(E231,3,10)</f>
        <v/>
      </c>
      <c r="O231">
        <f>IF(F231="Stimulus",IF(LEFT(G231,8)="Baseline",G231,IF(LEFT(G231,12)="Commercial_1","C1","C2")),IF(G231="KeyScene","KeyScene",IF(LEFT(J231,12)="Commercial_1","EndScene_C1","EndScene_C2")))</f>
        <v/>
      </c>
      <c r="P231">
        <f>IF(COUNTIFS(Artifact!$B$2:$B$385,B231,Artifact!$K$2:$K$385,"&gt;25")+COUNTIFS(Log!$A$2:$A$49,B231,Log!$H$2:$H$49,"Red")+COUNTIFS(Log!$A$2:$A$49,B231,Log!$I$2:$I$49,"Red")&gt;0,"No","Yes")</f>
        <v/>
      </c>
      <c r="Q231">
        <f>IF(COUNTIFS(Artifact!$B$2:$B$385,B231,Artifact!$K$2:$K$385,"&gt;15")+COUNTIFS(Log!$A$2:$A$49,B231,Log!$H$2:$H$49,"Red")+COUNTIFS(Log!$A$2:$A$49,B231,Log!$I$2:$I$49,"Red")&gt;0,"No","Yes")</f>
        <v/>
      </c>
    </row>
    <row r="232">
      <c r="A232" t="inlineStr">
        <is>
          <t>SIMULATED Commercial FA Study</t>
        </is>
      </c>
      <c r="B232" t="inlineStr">
        <is>
          <t>P36</t>
        </is>
      </c>
      <c r="C232" t="inlineStr">
        <is>
          <t>F</t>
        </is>
      </c>
      <c r="D232" t="n">
        <v>23</v>
      </c>
      <c r="E232" t="inlineStr">
        <is>
          <t>B_C2first</t>
        </is>
      </c>
      <c r="F232" t="inlineStr">
        <is>
          <t>Stimulus</t>
        </is>
      </c>
      <c r="G232" t="inlineStr">
        <is>
          <t>Baseline_2</t>
        </is>
      </c>
      <c r="H232" t="n">
        <v>193000</v>
      </c>
      <c r="I232" t="n">
        <v>60000</v>
      </c>
      <c r="J232" t="inlineStr">
        <is>
          <t>Baseline_2</t>
        </is>
      </c>
      <c r="K232" s="4" t="n">
        <v>0.4826</v>
      </c>
      <c r="L232" t="inlineStr">
        <is>
          <t>Frontal Asymmetry (Enobio EEG)</t>
        </is>
      </c>
      <c r="M232">
        <f>LEFT(E232,1)</f>
        <v/>
      </c>
      <c r="N232">
        <f>MID(E232,3,10)</f>
        <v/>
      </c>
      <c r="O232">
        <f>IF(F232="Stimulus",IF(LEFT(G232,8)="Baseline",G232,IF(LEFT(G232,12)="Commercial_1","C1","C2")),IF(G232="KeyScene","KeyScene",IF(LEFT(J232,12)="Commercial_1","EndScene_C1","EndScene_C2")))</f>
        <v/>
      </c>
      <c r="P232">
        <f>IF(COUNTIFS(Artifact!$B$2:$B$385,B232,Artifact!$K$2:$K$385,"&gt;25")+COUNTIFS(Log!$A$2:$A$49,B232,Log!$H$2:$H$49,"Red")+COUNTIFS(Log!$A$2:$A$49,B232,Log!$I$2:$I$49,"Red")&gt;0,"No","Yes")</f>
        <v/>
      </c>
      <c r="Q232">
        <f>IF(COUNTIFS(Artifact!$B$2:$B$385,B232,Artifact!$K$2:$K$385,"&gt;15")+COUNTIFS(Log!$A$2:$A$49,B232,Log!$H$2:$H$49,"Red")+COUNTIFS(Log!$A$2:$A$49,B232,Log!$I$2:$I$49,"Red")&gt;0,"No","Yes")</f>
        <v/>
      </c>
    </row>
    <row r="233">
      <c r="A233" t="inlineStr">
        <is>
          <t>SIMULATED Commercial FA Study</t>
        </is>
      </c>
      <c r="B233" t="inlineStr">
        <is>
          <t>P36</t>
        </is>
      </c>
      <c r="C233" t="inlineStr">
        <is>
          <t>F</t>
        </is>
      </c>
      <c r="D233" t="n">
        <v>23</v>
      </c>
      <c r="E233" t="inlineStr">
        <is>
          <t>B_C2first</t>
        </is>
      </c>
      <c r="F233" t="inlineStr">
        <is>
          <t>Stimulus</t>
        </is>
      </c>
      <c r="G233" t="inlineStr">
        <is>
          <t>Commercial_1B</t>
        </is>
      </c>
      <c r="H233" t="n">
        <v>253000</v>
      </c>
      <c r="I233" t="n">
        <v>54000</v>
      </c>
      <c r="J233" t="inlineStr">
        <is>
          <t>Commercial_1B</t>
        </is>
      </c>
      <c r="K233" s="4" t="n">
        <v>0.579</v>
      </c>
      <c r="L233" t="inlineStr">
        <is>
          <t>Frontal Asymmetry (Enobio EEG)</t>
        </is>
      </c>
      <c r="M233">
        <f>LEFT(E233,1)</f>
        <v/>
      </c>
      <c r="N233">
        <f>MID(E233,3,10)</f>
        <v/>
      </c>
      <c r="O233">
        <f>IF(F233="Stimulus",IF(LEFT(G233,8)="Baseline",G233,IF(LEFT(G233,12)="Commercial_1","C1","C2")),IF(G233="KeyScene","KeyScene",IF(LEFT(J233,12)="Commercial_1","EndScene_C1","EndScene_C2")))</f>
        <v/>
      </c>
      <c r="P233">
        <f>IF(COUNTIFS(Artifact!$B$2:$B$385,B233,Artifact!$K$2:$K$385,"&gt;25")+COUNTIFS(Log!$A$2:$A$49,B233,Log!$H$2:$H$49,"Red")+COUNTIFS(Log!$A$2:$A$49,B233,Log!$I$2:$I$49,"Red")&gt;0,"No","Yes")</f>
        <v/>
      </c>
      <c r="Q233">
        <f>IF(COUNTIFS(Artifact!$B$2:$B$385,B233,Artifact!$K$2:$K$385,"&gt;15")+COUNTIFS(Log!$A$2:$A$49,B233,Log!$H$2:$H$49,"Red")+COUNTIFS(Log!$A$2:$A$49,B233,Log!$I$2:$I$49,"Red")&gt;0,"No","Yes")</f>
        <v/>
      </c>
    </row>
    <row r="234">
      <c r="A234" t="inlineStr">
        <is>
          <t>SIMULATED Commercial FA Study</t>
        </is>
      </c>
      <c r="B234" t="inlineStr">
        <is>
          <t>P36</t>
        </is>
      </c>
      <c r="C234" t="inlineStr">
        <is>
          <t>F</t>
        </is>
      </c>
      <c r="D234" t="n">
        <v>23</v>
      </c>
      <c r="E234" t="inlineStr">
        <is>
          <t>B_C2first</t>
        </is>
      </c>
      <c r="F234" t="inlineStr">
        <is>
          <t>Annotation</t>
        </is>
      </c>
      <c r="G234" t="inlineStr">
        <is>
          <t>EndScene</t>
        </is>
      </c>
      <c r="H234" t="n">
        <v>135000</v>
      </c>
      <c r="I234" t="n">
        <v>10000</v>
      </c>
      <c r="J234" t="inlineStr">
        <is>
          <t>Commercial_2</t>
        </is>
      </c>
      <c r="K234" s="4" t="n">
        <v>0.6474</v>
      </c>
      <c r="L234" t="inlineStr">
        <is>
          <t>Frontal Asymmetry (Enobio EEG)</t>
        </is>
      </c>
      <c r="M234">
        <f>LEFT(E234,1)</f>
        <v/>
      </c>
      <c r="N234">
        <f>MID(E234,3,10)</f>
        <v/>
      </c>
      <c r="O234">
        <f>IF(F234="Stimulus",IF(LEFT(G234,8)="Baseline",G234,IF(LEFT(G234,12)="Commercial_1","C1","C2")),IF(G234="KeyScene","KeyScene",IF(LEFT(J234,12)="Commercial_1","EndScene_C1","EndScene_C2")))</f>
        <v/>
      </c>
      <c r="P234">
        <f>IF(COUNTIFS(Artifact!$B$2:$B$385,B234,Artifact!$K$2:$K$385,"&gt;25")+COUNTIFS(Log!$A$2:$A$49,B234,Log!$H$2:$H$49,"Red")+COUNTIFS(Log!$A$2:$A$49,B234,Log!$I$2:$I$49,"Red")&gt;0,"No","Yes")</f>
        <v/>
      </c>
      <c r="Q234">
        <f>IF(COUNTIFS(Artifact!$B$2:$B$385,B234,Artifact!$K$2:$K$385,"&gt;15")+COUNTIFS(Log!$A$2:$A$49,B234,Log!$H$2:$H$49,"Red")+COUNTIFS(Log!$A$2:$A$49,B234,Log!$I$2:$I$49,"Red")&gt;0,"No","Yes")</f>
        <v/>
      </c>
    </row>
    <row r="235">
      <c r="A235" t="inlineStr">
        <is>
          <t>SIMULATED Commercial FA Study</t>
        </is>
      </c>
      <c r="B235" t="inlineStr">
        <is>
          <t>P36</t>
        </is>
      </c>
      <c r="C235" t="inlineStr">
        <is>
          <t>F</t>
        </is>
      </c>
      <c r="D235" t="n">
        <v>23</v>
      </c>
      <c r="E235" t="inlineStr">
        <is>
          <t>B_C2first</t>
        </is>
      </c>
      <c r="F235" t="inlineStr">
        <is>
          <t>Annotation</t>
        </is>
      </c>
      <c r="G235" t="inlineStr">
        <is>
          <t>EndScene</t>
        </is>
      </c>
      <c r="H235" t="n">
        <v>297000</v>
      </c>
      <c r="I235" t="n">
        <v>10000</v>
      </c>
      <c r="J235" t="inlineStr">
        <is>
          <t>Commercial_1B</t>
        </is>
      </c>
      <c r="K235" s="4" t="n">
        <v>0.5903</v>
      </c>
      <c r="L235" t="inlineStr">
        <is>
          <t>Frontal Asymmetry (Enobio EEG)</t>
        </is>
      </c>
      <c r="M235">
        <f>LEFT(E235,1)</f>
        <v/>
      </c>
      <c r="N235">
        <f>MID(E235,3,10)</f>
        <v/>
      </c>
      <c r="O235">
        <f>IF(F235="Stimulus",IF(LEFT(G235,8)="Baseline",G235,IF(LEFT(G235,12)="Commercial_1","C1","C2")),IF(G235="KeyScene","KeyScene",IF(LEFT(J235,12)="Commercial_1","EndScene_C1","EndScene_C2")))</f>
        <v/>
      </c>
      <c r="P235">
        <f>IF(COUNTIFS(Artifact!$B$2:$B$385,B235,Artifact!$K$2:$K$385,"&gt;25")+COUNTIFS(Log!$A$2:$A$49,B235,Log!$H$2:$H$49,"Red")+COUNTIFS(Log!$A$2:$A$49,B235,Log!$I$2:$I$49,"Red")&gt;0,"No","Yes")</f>
        <v/>
      </c>
      <c r="Q235">
        <f>IF(COUNTIFS(Artifact!$B$2:$B$385,B235,Artifact!$K$2:$K$385,"&gt;15")+COUNTIFS(Log!$A$2:$A$49,B235,Log!$H$2:$H$49,"Red")+COUNTIFS(Log!$A$2:$A$49,B235,Log!$I$2:$I$49,"Red")&gt;0,"No","Yes")</f>
        <v/>
      </c>
    </row>
    <row r="236">
      <c r="A236" t="inlineStr">
        <is>
          <t>SIMULATED Commercial FA Study</t>
        </is>
      </c>
      <c r="B236" t="inlineStr">
        <is>
          <t>P37</t>
        </is>
      </c>
      <c r="C236" t="inlineStr">
        <is>
          <t>F</t>
        </is>
      </c>
      <c r="D236" t="n">
        <v>20</v>
      </c>
      <c r="E236" t="inlineStr">
        <is>
          <t>A_C1first</t>
        </is>
      </c>
      <c r="F236" t="inlineStr">
        <is>
          <t>Stimulus</t>
        </is>
      </c>
      <c r="G236" t="inlineStr">
        <is>
          <t>Baseline_1</t>
        </is>
      </c>
      <c r="H236" t="n">
        <v>30000</v>
      </c>
      <c r="I236" t="n">
        <v>60000</v>
      </c>
      <c r="J236" t="inlineStr">
        <is>
          <t>Baseline_1</t>
        </is>
      </c>
      <c r="K236" s="4" t="n">
        <v>0.6861</v>
      </c>
      <c r="L236" t="inlineStr">
        <is>
          <t>Frontal Asymmetry (Enobio EEG)</t>
        </is>
      </c>
      <c r="M236">
        <f>LEFT(E236,1)</f>
        <v/>
      </c>
      <c r="N236">
        <f>MID(E236,3,10)</f>
        <v/>
      </c>
      <c r="O236">
        <f>IF(F236="Stimulus",IF(LEFT(G236,8)="Baseline",G236,IF(LEFT(G236,12)="Commercial_1","C1","C2")),IF(G236="KeyScene","KeyScene",IF(LEFT(J236,12)="Commercial_1","EndScene_C1","EndScene_C2")))</f>
        <v/>
      </c>
      <c r="P236">
        <f>IF(COUNTIFS(Artifact!$B$2:$B$385,B236,Artifact!$K$2:$K$385,"&gt;25")+COUNTIFS(Log!$A$2:$A$49,B236,Log!$H$2:$H$49,"Red")+COUNTIFS(Log!$A$2:$A$49,B236,Log!$I$2:$I$49,"Red")&gt;0,"No","Yes")</f>
        <v/>
      </c>
      <c r="Q236">
        <f>IF(COUNTIFS(Artifact!$B$2:$B$385,B236,Artifact!$K$2:$K$385,"&gt;15")+COUNTIFS(Log!$A$2:$A$49,B236,Log!$H$2:$H$49,"Red")+COUNTIFS(Log!$A$2:$A$49,B236,Log!$I$2:$I$49,"Red")&gt;0,"No","Yes")</f>
        <v/>
      </c>
    </row>
    <row r="237">
      <c r="A237" t="inlineStr">
        <is>
          <t>SIMULATED Commercial FA Study</t>
        </is>
      </c>
      <c r="B237" t="inlineStr">
        <is>
          <t>P37</t>
        </is>
      </c>
      <c r="C237" t="inlineStr">
        <is>
          <t>F</t>
        </is>
      </c>
      <c r="D237" t="n">
        <v>20</v>
      </c>
      <c r="E237" t="inlineStr">
        <is>
          <t>A_C1first</t>
        </is>
      </c>
      <c r="F237" t="inlineStr">
        <is>
          <t>Stimulus</t>
        </is>
      </c>
      <c r="G237" t="inlineStr">
        <is>
          <t>Commercial_1A</t>
        </is>
      </c>
      <c r="H237" t="n">
        <v>90000</v>
      </c>
      <c r="I237" t="n">
        <v>60000</v>
      </c>
      <c r="J237" t="inlineStr">
        <is>
          <t>Commercial_1A</t>
        </is>
      </c>
      <c r="K237" s="4" t="n">
        <v>0.7588</v>
      </c>
      <c r="L237" t="inlineStr">
        <is>
          <t>Frontal Asymmetry (Enobio EEG)</t>
        </is>
      </c>
      <c r="M237">
        <f>LEFT(E237,1)</f>
        <v/>
      </c>
      <c r="N237">
        <f>MID(E237,3,10)</f>
        <v/>
      </c>
      <c r="O237">
        <f>IF(F237="Stimulus",IF(LEFT(G237,8)="Baseline",G237,IF(LEFT(G237,12)="Commercial_1","C1","C2")),IF(G237="KeyScene","KeyScene",IF(LEFT(J237,12)="Commercial_1","EndScene_C1","EndScene_C2")))</f>
        <v/>
      </c>
      <c r="P237">
        <f>IF(COUNTIFS(Artifact!$B$2:$B$385,B237,Artifact!$K$2:$K$385,"&gt;25")+COUNTIFS(Log!$A$2:$A$49,B237,Log!$H$2:$H$49,"Red")+COUNTIFS(Log!$A$2:$A$49,B237,Log!$I$2:$I$49,"Red")&gt;0,"No","Yes")</f>
        <v/>
      </c>
      <c r="Q237">
        <f>IF(COUNTIFS(Artifact!$B$2:$B$385,B237,Artifact!$K$2:$K$385,"&gt;15")+COUNTIFS(Log!$A$2:$A$49,B237,Log!$H$2:$H$49,"Red")+COUNTIFS(Log!$A$2:$A$49,B237,Log!$I$2:$I$49,"Red")&gt;0,"No","Yes")</f>
        <v/>
      </c>
    </row>
    <row r="238">
      <c r="A238" t="inlineStr">
        <is>
          <t>SIMULATED Commercial FA Study</t>
        </is>
      </c>
      <c r="B238" t="inlineStr">
        <is>
          <t>P37</t>
        </is>
      </c>
      <c r="C238" t="inlineStr">
        <is>
          <t>F</t>
        </is>
      </c>
      <c r="D238" t="n">
        <v>20</v>
      </c>
      <c r="E238" t="inlineStr">
        <is>
          <t>A_C1first</t>
        </is>
      </c>
      <c r="F238" t="inlineStr">
        <is>
          <t>Stimulus</t>
        </is>
      </c>
      <c r="G238" t="inlineStr">
        <is>
          <t>Baseline_2</t>
        </is>
      </c>
      <c r="H238" t="n">
        <v>179000</v>
      </c>
      <c r="I238" t="n">
        <v>60000</v>
      </c>
      <c r="J238" t="inlineStr">
        <is>
          <t>Baseline_2</t>
        </is>
      </c>
      <c r="K238" s="4" t="n">
        <v>0.7348</v>
      </c>
      <c r="L238" t="inlineStr">
        <is>
          <t>Frontal Asymmetry (Enobio EEG)</t>
        </is>
      </c>
      <c r="M238">
        <f>LEFT(E238,1)</f>
        <v/>
      </c>
      <c r="N238">
        <f>MID(E238,3,10)</f>
        <v/>
      </c>
      <c r="O238">
        <f>IF(F238="Stimulus",IF(LEFT(G238,8)="Baseline",G238,IF(LEFT(G238,12)="Commercial_1","C1","C2")),IF(G238="KeyScene","KeyScene",IF(LEFT(J238,12)="Commercial_1","EndScene_C1","EndScene_C2")))</f>
        <v/>
      </c>
      <c r="P238">
        <f>IF(COUNTIFS(Artifact!$B$2:$B$385,B238,Artifact!$K$2:$K$385,"&gt;25")+COUNTIFS(Log!$A$2:$A$49,B238,Log!$H$2:$H$49,"Red")+COUNTIFS(Log!$A$2:$A$49,B238,Log!$I$2:$I$49,"Red")&gt;0,"No","Yes")</f>
        <v/>
      </c>
      <c r="Q238">
        <f>IF(COUNTIFS(Artifact!$B$2:$B$385,B238,Artifact!$K$2:$K$385,"&gt;15")+COUNTIFS(Log!$A$2:$A$49,B238,Log!$H$2:$H$49,"Red")+COUNTIFS(Log!$A$2:$A$49,B238,Log!$I$2:$I$49,"Red")&gt;0,"No","Yes")</f>
        <v/>
      </c>
    </row>
    <row r="239">
      <c r="A239" t="inlineStr">
        <is>
          <t>SIMULATED Commercial FA Study</t>
        </is>
      </c>
      <c r="B239" t="inlineStr">
        <is>
          <t>P37</t>
        </is>
      </c>
      <c r="C239" t="inlineStr">
        <is>
          <t>F</t>
        </is>
      </c>
      <c r="D239" t="n">
        <v>20</v>
      </c>
      <c r="E239" t="inlineStr">
        <is>
          <t>A_C1first</t>
        </is>
      </c>
      <c r="F239" t="inlineStr">
        <is>
          <t>Stimulus</t>
        </is>
      </c>
      <c r="G239" t="inlineStr">
        <is>
          <t>Commercial_2</t>
        </is>
      </c>
      <c r="H239" t="n">
        <v>239000</v>
      </c>
      <c r="I239" t="n">
        <v>60000</v>
      </c>
      <c r="J239" t="inlineStr">
        <is>
          <t>Commercial_2</t>
        </is>
      </c>
      <c r="K239" s="4" t="n">
        <v>0.7081</v>
      </c>
      <c r="L239" t="inlineStr">
        <is>
          <t>Frontal Asymmetry (Enobio EEG)</t>
        </is>
      </c>
      <c r="M239">
        <f>LEFT(E239,1)</f>
        <v/>
      </c>
      <c r="N239">
        <f>MID(E239,3,10)</f>
        <v/>
      </c>
      <c r="O239">
        <f>IF(F239="Stimulus",IF(LEFT(G239,8)="Baseline",G239,IF(LEFT(G239,12)="Commercial_1","C1","C2")),IF(G239="KeyScene","KeyScene",IF(LEFT(J239,12)="Commercial_1","EndScene_C1","EndScene_C2")))</f>
        <v/>
      </c>
      <c r="P239">
        <f>IF(COUNTIFS(Artifact!$B$2:$B$385,B239,Artifact!$K$2:$K$385,"&gt;25")+COUNTIFS(Log!$A$2:$A$49,B239,Log!$H$2:$H$49,"Red")+COUNTIFS(Log!$A$2:$A$49,B239,Log!$I$2:$I$49,"Red")&gt;0,"No","Yes")</f>
        <v/>
      </c>
      <c r="Q239">
        <f>IF(COUNTIFS(Artifact!$B$2:$B$385,B239,Artifact!$K$2:$K$385,"&gt;15")+COUNTIFS(Log!$A$2:$A$49,B239,Log!$H$2:$H$49,"Red")+COUNTIFS(Log!$A$2:$A$49,B239,Log!$I$2:$I$49,"Red")&gt;0,"No","Yes")</f>
        <v/>
      </c>
    </row>
    <row r="240">
      <c r="A240" t="inlineStr">
        <is>
          <t>SIMULATED Commercial FA Study</t>
        </is>
      </c>
      <c r="B240" t="inlineStr">
        <is>
          <t>P37</t>
        </is>
      </c>
      <c r="C240" t="inlineStr">
        <is>
          <t>F</t>
        </is>
      </c>
      <c r="D240" t="n">
        <v>20</v>
      </c>
      <c r="E240" t="inlineStr">
        <is>
          <t>A_C1first</t>
        </is>
      </c>
      <c r="F240" t="inlineStr">
        <is>
          <t>Annotation</t>
        </is>
      </c>
      <c r="G240" t="inlineStr">
        <is>
          <t>KeyScene</t>
        </is>
      </c>
      <c r="H240" t="n">
        <v>122000</v>
      </c>
      <c r="I240" t="n">
        <v>6000</v>
      </c>
      <c r="J240" t="inlineStr">
        <is>
          <t>Commercial_1A</t>
        </is>
      </c>
      <c r="K240" s="4" t="n">
        <v>0.5915</v>
      </c>
      <c r="L240" t="inlineStr">
        <is>
          <t>Frontal Asymmetry (Enobio EEG)</t>
        </is>
      </c>
      <c r="M240">
        <f>LEFT(E240,1)</f>
        <v/>
      </c>
      <c r="N240">
        <f>MID(E240,3,10)</f>
        <v/>
      </c>
      <c r="O240">
        <f>IF(F240="Stimulus",IF(LEFT(G240,8)="Baseline",G240,IF(LEFT(G240,12)="Commercial_1","C1","C2")),IF(G240="KeyScene","KeyScene",IF(LEFT(J240,12)="Commercial_1","EndScene_C1","EndScene_C2")))</f>
        <v/>
      </c>
      <c r="P240">
        <f>IF(COUNTIFS(Artifact!$B$2:$B$385,B240,Artifact!$K$2:$K$385,"&gt;25")+COUNTIFS(Log!$A$2:$A$49,B240,Log!$H$2:$H$49,"Red")+COUNTIFS(Log!$A$2:$A$49,B240,Log!$I$2:$I$49,"Red")&gt;0,"No","Yes")</f>
        <v/>
      </c>
      <c r="Q240">
        <f>IF(COUNTIFS(Artifact!$B$2:$B$385,B240,Artifact!$K$2:$K$385,"&gt;15")+COUNTIFS(Log!$A$2:$A$49,B240,Log!$H$2:$H$49,"Red")+COUNTIFS(Log!$A$2:$A$49,B240,Log!$I$2:$I$49,"Red")&gt;0,"No","Yes")</f>
        <v/>
      </c>
    </row>
    <row r="241">
      <c r="A241" t="inlineStr">
        <is>
          <t>SIMULATED Commercial FA Study</t>
        </is>
      </c>
      <c r="B241" t="inlineStr">
        <is>
          <t>P37</t>
        </is>
      </c>
      <c r="C241" t="inlineStr">
        <is>
          <t>F</t>
        </is>
      </c>
      <c r="D241" t="n">
        <v>20</v>
      </c>
      <c r="E241" t="inlineStr">
        <is>
          <t>A_C1first</t>
        </is>
      </c>
      <c r="F241" t="inlineStr">
        <is>
          <t>Annotation</t>
        </is>
      </c>
      <c r="G241" t="inlineStr">
        <is>
          <t>EndScene</t>
        </is>
      </c>
      <c r="H241" t="n">
        <v>140000</v>
      </c>
      <c r="I241" t="n">
        <v>10000</v>
      </c>
      <c r="J241" t="inlineStr">
        <is>
          <t>Commercial_1A</t>
        </is>
      </c>
      <c r="K241" s="4" t="n">
        <v>0.849</v>
      </c>
      <c r="L241" t="inlineStr">
        <is>
          <t>Frontal Asymmetry (Enobio EEG)</t>
        </is>
      </c>
      <c r="M241">
        <f>LEFT(E241,1)</f>
        <v/>
      </c>
      <c r="N241">
        <f>MID(E241,3,10)</f>
        <v/>
      </c>
      <c r="O241">
        <f>IF(F241="Stimulus",IF(LEFT(G241,8)="Baseline",G241,IF(LEFT(G241,12)="Commercial_1","C1","C2")),IF(G241="KeyScene","KeyScene",IF(LEFT(J241,12)="Commercial_1","EndScene_C1","EndScene_C2")))</f>
        <v/>
      </c>
      <c r="P241">
        <f>IF(COUNTIFS(Artifact!$B$2:$B$385,B241,Artifact!$K$2:$K$385,"&gt;25")+COUNTIFS(Log!$A$2:$A$49,B241,Log!$H$2:$H$49,"Red")+COUNTIFS(Log!$A$2:$A$49,B241,Log!$I$2:$I$49,"Red")&gt;0,"No","Yes")</f>
        <v/>
      </c>
      <c r="Q241">
        <f>IF(COUNTIFS(Artifact!$B$2:$B$385,B241,Artifact!$K$2:$K$385,"&gt;15")+COUNTIFS(Log!$A$2:$A$49,B241,Log!$H$2:$H$49,"Red")+COUNTIFS(Log!$A$2:$A$49,B241,Log!$I$2:$I$49,"Red")&gt;0,"No","Yes")</f>
        <v/>
      </c>
    </row>
    <row r="242">
      <c r="A242" t="inlineStr">
        <is>
          <t>SIMULATED Commercial FA Study</t>
        </is>
      </c>
      <c r="B242" t="inlineStr">
        <is>
          <t>P37</t>
        </is>
      </c>
      <c r="C242" t="inlineStr">
        <is>
          <t>F</t>
        </is>
      </c>
      <c r="D242" t="n">
        <v>20</v>
      </c>
      <c r="E242" t="inlineStr">
        <is>
          <t>A_C1first</t>
        </is>
      </c>
      <c r="F242" t="inlineStr">
        <is>
          <t>Annotation</t>
        </is>
      </c>
      <c r="G242" t="inlineStr">
        <is>
          <t>EndScene</t>
        </is>
      </c>
      <c r="H242" t="n">
        <v>289000</v>
      </c>
      <c r="I242" t="n">
        <v>10000</v>
      </c>
      <c r="J242" t="inlineStr">
        <is>
          <t>Commercial_2</t>
        </is>
      </c>
      <c r="K242" s="4" t="n">
        <v>0.5039</v>
      </c>
      <c r="L242" t="inlineStr">
        <is>
          <t>Frontal Asymmetry (Enobio EEG)</t>
        </is>
      </c>
      <c r="M242">
        <f>LEFT(E242,1)</f>
        <v/>
      </c>
      <c r="N242">
        <f>MID(E242,3,10)</f>
        <v/>
      </c>
      <c r="O242">
        <f>IF(F242="Stimulus",IF(LEFT(G242,8)="Baseline",G242,IF(LEFT(G242,12)="Commercial_1","C1","C2")),IF(G242="KeyScene","KeyScene",IF(LEFT(J242,12)="Commercial_1","EndScene_C1","EndScene_C2")))</f>
        <v/>
      </c>
      <c r="P242">
        <f>IF(COUNTIFS(Artifact!$B$2:$B$385,B242,Artifact!$K$2:$K$385,"&gt;25")+COUNTIFS(Log!$A$2:$A$49,B242,Log!$H$2:$H$49,"Red")+COUNTIFS(Log!$A$2:$A$49,B242,Log!$I$2:$I$49,"Red")&gt;0,"No","Yes")</f>
        <v/>
      </c>
      <c r="Q242">
        <f>IF(COUNTIFS(Artifact!$B$2:$B$385,B242,Artifact!$K$2:$K$385,"&gt;15")+COUNTIFS(Log!$A$2:$A$49,B242,Log!$H$2:$H$49,"Red")+COUNTIFS(Log!$A$2:$A$49,B242,Log!$I$2:$I$49,"Red")&gt;0,"No","Yes")</f>
        <v/>
      </c>
    </row>
    <row r="243">
      <c r="A243" t="inlineStr">
        <is>
          <t>SIMULATED Commercial FA Study</t>
        </is>
      </c>
      <c r="B243" t="inlineStr">
        <is>
          <t>P38</t>
        </is>
      </c>
      <c r="C243" t="inlineStr">
        <is>
          <t>M</t>
        </is>
      </c>
      <c r="D243" t="n">
        <v>25</v>
      </c>
      <c r="E243" t="inlineStr">
        <is>
          <t>A_C2first</t>
        </is>
      </c>
      <c r="F243" t="inlineStr">
        <is>
          <t>Stimulus</t>
        </is>
      </c>
      <c r="G243" t="inlineStr">
        <is>
          <t>Baseline_1</t>
        </is>
      </c>
      <c r="H243" t="n">
        <v>20000</v>
      </c>
      <c r="I243" t="n">
        <v>60000</v>
      </c>
      <c r="J243" t="inlineStr">
        <is>
          <t>Baseline_1</t>
        </is>
      </c>
      <c r="K243" s="4" t="n">
        <v>0.8294</v>
      </c>
      <c r="L243" t="inlineStr">
        <is>
          <t>Frontal Asymmetry (Enobio EEG)</t>
        </is>
      </c>
      <c r="M243">
        <f>LEFT(E243,1)</f>
        <v/>
      </c>
      <c r="N243">
        <f>MID(E243,3,10)</f>
        <v/>
      </c>
      <c r="O243">
        <f>IF(F243="Stimulus",IF(LEFT(G243,8)="Baseline",G243,IF(LEFT(G243,12)="Commercial_1","C1","C2")),IF(G243="KeyScene","KeyScene",IF(LEFT(J243,12)="Commercial_1","EndScene_C1","EndScene_C2")))</f>
        <v/>
      </c>
      <c r="P243">
        <f>IF(COUNTIFS(Artifact!$B$2:$B$385,B243,Artifact!$K$2:$K$385,"&gt;25")+COUNTIFS(Log!$A$2:$A$49,B243,Log!$H$2:$H$49,"Red")+COUNTIFS(Log!$A$2:$A$49,B243,Log!$I$2:$I$49,"Red")&gt;0,"No","Yes")</f>
        <v/>
      </c>
      <c r="Q243">
        <f>IF(COUNTIFS(Artifact!$B$2:$B$385,B243,Artifact!$K$2:$K$385,"&gt;15")+COUNTIFS(Log!$A$2:$A$49,B243,Log!$H$2:$H$49,"Red")+COUNTIFS(Log!$A$2:$A$49,B243,Log!$I$2:$I$49,"Red")&gt;0,"No","Yes")</f>
        <v/>
      </c>
    </row>
    <row r="244">
      <c r="A244" t="inlineStr">
        <is>
          <t>SIMULATED Commercial FA Study</t>
        </is>
      </c>
      <c r="B244" t="inlineStr">
        <is>
          <t>P38</t>
        </is>
      </c>
      <c r="C244" t="inlineStr">
        <is>
          <t>M</t>
        </is>
      </c>
      <c r="D244" t="n">
        <v>25</v>
      </c>
      <c r="E244" t="inlineStr">
        <is>
          <t>A_C2first</t>
        </is>
      </c>
      <c r="F244" t="inlineStr">
        <is>
          <t>Stimulus</t>
        </is>
      </c>
      <c r="G244" t="inlineStr">
        <is>
          <t>Commercial_2</t>
        </is>
      </c>
      <c r="H244" t="n">
        <v>80000</v>
      </c>
      <c r="I244" t="n">
        <v>60000</v>
      </c>
      <c r="J244" t="inlineStr">
        <is>
          <t>Commercial_2</t>
        </is>
      </c>
      <c r="K244" s="4" t="n">
        <v>0.7964</v>
      </c>
      <c r="L244" t="inlineStr">
        <is>
          <t>Frontal Asymmetry (Enobio EEG)</t>
        </is>
      </c>
      <c r="M244">
        <f>LEFT(E244,1)</f>
        <v/>
      </c>
      <c r="N244">
        <f>MID(E244,3,10)</f>
        <v/>
      </c>
      <c r="O244">
        <f>IF(F244="Stimulus",IF(LEFT(G244,8)="Baseline",G244,IF(LEFT(G244,12)="Commercial_1","C1","C2")),IF(G244="KeyScene","KeyScene",IF(LEFT(J244,12)="Commercial_1","EndScene_C1","EndScene_C2")))</f>
        <v/>
      </c>
      <c r="P244">
        <f>IF(COUNTIFS(Artifact!$B$2:$B$385,B244,Artifact!$K$2:$K$385,"&gt;25")+COUNTIFS(Log!$A$2:$A$49,B244,Log!$H$2:$H$49,"Red")+COUNTIFS(Log!$A$2:$A$49,B244,Log!$I$2:$I$49,"Red")&gt;0,"No","Yes")</f>
        <v/>
      </c>
      <c r="Q244">
        <f>IF(COUNTIFS(Artifact!$B$2:$B$385,B244,Artifact!$K$2:$K$385,"&gt;15")+COUNTIFS(Log!$A$2:$A$49,B244,Log!$H$2:$H$49,"Red")+COUNTIFS(Log!$A$2:$A$49,B244,Log!$I$2:$I$49,"Red")&gt;0,"No","Yes")</f>
        <v/>
      </c>
    </row>
    <row r="245">
      <c r="A245" t="inlineStr">
        <is>
          <t>SIMULATED Commercial FA Study</t>
        </is>
      </c>
      <c r="B245" t="inlineStr">
        <is>
          <t>P38</t>
        </is>
      </c>
      <c r="C245" t="inlineStr">
        <is>
          <t>M</t>
        </is>
      </c>
      <c r="D245" t="n">
        <v>25</v>
      </c>
      <c r="E245" t="inlineStr">
        <is>
          <t>A_C2first</t>
        </is>
      </c>
      <c r="F245" t="inlineStr">
        <is>
          <t>Stimulus</t>
        </is>
      </c>
      <c r="G245" t="inlineStr">
        <is>
          <t>Baseline_2</t>
        </is>
      </c>
      <c r="H245" t="n">
        <v>171000</v>
      </c>
      <c r="I245" t="n">
        <v>60000</v>
      </c>
      <c r="J245" t="inlineStr">
        <is>
          <t>Baseline_2</t>
        </is>
      </c>
      <c r="K245" s="4" t="n">
        <v>0.8662</v>
      </c>
      <c r="L245" t="inlineStr">
        <is>
          <t>Frontal Asymmetry (Enobio EEG)</t>
        </is>
      </c>
      <c r="M245">
        <f>LEFT(E245,1)</f>
        <v/>
      </c>
      <c r="N245">
        <f>MID(E245,3,10)</f>
        <v/>
      </c>
      <c r="O245">
        <f>IF(F245="Stimulus",IF(LEFT(G245,8)="Baseline",G245,IF(LEFT(G245,12)="Commercial_1","C1","C2")),IF(G245="KeyScene","KeyScene",IF(LEFT(J245,12)="Commercial_1","EndScene_C1","EndScene_C2")))</f>
        <v/>
      </c>
      <c r="P245">
        <f>IF(COUNTIFS(Artifact!$B$2:$B$385,B245,Artifact!$K$2:$K$385,"&gt;25")+COUNTIFS(Log!$A$2:$A$49,B245,Log!$H$2:$H$49,"Red")+COUNTIFS(Log!$A$2:$A$49,B245,Log!$I$2:$I$49,"Red")&gt;0,"No","Yes")</f>
        <v/>
      </c>
      <c r="Q245">
        <f>IF(COUNTIFS(Artifact!$B$2:$B$385,B245,Artifact!$K$2:$K$385,"&gt;15")+COUNTIFS(Log!$A$2:$A$49,B245,Log!$H$2:$H$49,"Red")+COUNTIFS(Log!$A$2:$A$49,B245,Log!$I$2:$I$49,"Red")&gt;0,"No","Yes")</f>
        <v/>
      </c>
    </row>
    <row r="246">
      <c r="A246" t="inlineStr">
        <is>
          <t>SIMULATED Commercial FA Study</t>
        </is>
      </c>
      <c r="B246" t="inlineStr">
        <is>
          <t>P38</t>
        </is>
      </c>
      <c r="C246" t="inlineStr">
        <is>
          <t>M</t>
        </is>
      </c>
      <c r="D246" t="n">
        <v>25</v>
      </c>
      <c r="E246" t="inlineStr">
        <is>
          <t>A_C2first</t>
        </is>
      </c>
      <c r="F246" t="inlineStr">
        <is>
          <t>Stimulus</t>
        </is>
      </c>
      <c r="G246" t="inlineStr">
        <is>
          <t>Commercial_1A</t>
        </is>
      </c>
      <c r="H246" t="n">
        <v>231000</v>
      </c>
      <c r="I246" t="n">
        <v>60000</v>
      </c>
      <c r="J246" t="inlineStr">
        <is>
          <t>Commercial_1A</t>
        </is>
      </c>
      <c r="K246" s="4" t="n">
        <v>0.8705000000000001</v>
      </c>
      <c r="L246" t="inlineStr">
        <is>
          <t>Frontal Asymmetry (Enobio EEG)</t>
        </is>
      </c>
      <c r="M246">
        <f>LEFT(E246,1)</f>
        <v/>
      </c>
      <c r="N246">
        <f>MID(E246,3,10)</f>
        <v/>
      </c>
      <c r="O246">
        <f>IF(F246="Stimulus",IF(LEFT(G246,8)="Baseline",G246,IF(LEFT(G246,12)="Commercial_1","C1","C2")),IF(G246="KeyScene","KeyScene",IF(LEFT(J246,12)="Commercial_1","EndScene_C1","EndScene_C2")))</f>
        <v/>
      </c>
      <c r="P246">
        <f>IF(COUNTIFS(Artifact!$B$2:$B$385,B246,Artifact!$K$2:$K$385,"&gt;25")+COUNTIFS(Log!$A$2:$A$49,B246,Log!$H$2:$H$49,"Red")+COUNTIFS(Log!$A$2:$A$49,B246,Log!$I$2:$I$49,"Red")&gt;0,"No","Yes")</f>
        <v/>
      </c>
      <c r="Q246">
        <f>IF(COUNTIFS(Artifact!$B$2:$B$385,B246,Artifact!$K$2:$K$385,"&gt;15")+COUNTIFS(Log!$A$2:$A$49,B246,Log!$H$2:$H$49,"Red")+COUNTIFS(Log!$A$2:$A$49,B246,Log!$I$2:$I$49,"Red")&gt;0,"No","Yes")</f>
        <v/>
      </c>
    </row>
    <row r="247">
      <c r="A247" t="inlineStr">
        <is>
          <t>SIMULATED Commercial FA Study</t>
        </is>
      </c>
      <c r="B247" t="inlineStr">
        <is>
          <t>P38</t>
        </is>
      </c>
      <c r="C247" t="inlineStr">
        <is>
          <t>M</t>
        </is>
      </c>
      <c r="D247" t="n">
        <v>25</v>
      </c>
      <c r="E247" t="inlineStr">
        <is>
          <t>A_C2first</t>
        </is>
      </c>
      <c r="F247" t="inlineStr">
        <is>
          <t>Annotation</t>
        </is>
      </c>
      <c r="G247" t="inlineStr">
        <is>
          <t>EndScene</t>
        </is>
      </c>
      <c r="H247" t="n">
        <v>130000</v>
      </c>
      <c r="I247" t="n">
        <v>10000</v>
      </c>
      <c r="J247" t="inlineStr">
        <is>
          <t>Commercial_2</t>
        </is>
      </c>
      <c r="K247" s="4" t="n">
        <v>0.8447</v>
      </c>
      <c r="L247" t="inlineStr">
        <is>
          <t>Frontal Asymmetry (Enobio EEG)</t>
        </is>
      </c>
      <c r="M247">
        <f>LEFT(E247,1)</f>
        <v/>
      </c>
      <c r="N247">
        <f>MID(E247,3,10)</f>
        <v/>
      </c>
      <c r="O247">
        <f>IF(F247="Stimulus",IF(LEFT(G247,8)="Baseline",G247,IF(LEFT(G247,12)="Commercial_1","C1","C2")),IF(G247="KeyScene","KeyScene",IF(LEFT(J247,12)="Commercial_1","EndScene_C1","EndScene_C2")))</f>
        <v/>
      </c>
      <c r="P247">
        <f>IF(COUNTIFS(Artifact!$B$2:$B$385,B247,Artifact!$K$2:$K$385,"&gt;25")+COUNTIFS(Log!$A$2:$A$49,B247,Log!$H$2:$H$49,"Red")+COUNTIFS(Log!$A$2:$A$49,B247,Log!$I$2:$I$49,"Red")&gt;0,"No","Yes")</f>
        <v/>
      </c>
      <c r="Q247">
        <f>IF(COUNTIFS(Artifact!$B$2:$B$385,B247,Artifact!$K$2:$K$385,"&gt;15")+COUNTIFS(Log!$A$2:$A$49,B247,Log!$H$2:$H$49,"Red")+COUNTIFS(Log!$A$2:$A$49,B247,Log!$I$2:$I$49,"Red")&gt;0,"No","Yes")</f>
        <v/>
      </c>
    </row>
    <row r="248">
      <c r="A248" t="inlineStr">
        <is>
          <t>SIMULATED Commercial FA Study</t>
        </is>
      </c>
      <c r="B248" t="inlineStr">
        <is>
          <t>P38</t>
        </is>
      </c>
      <c r="C248" t="inlineStr">
        <is>
          <t>M</t>
        </is>
      </c>
      <c r="D248" t="n">
        <v>25</v>
      </c>
      <c r="E248" t="inlineStr">
        <is>
          <t>A_C2first</t>
        </is>
      </c>
      <c r="F248" t="inlineStr">
        <is>
          <t>Annotation</t>
        </is>
      </c>
      <c r="G248" t="inlineStr">
        <is>
          <t>KeyScene</t>
        </is>
      </c>
      <c r="H248" t="n">
        <v>263000</v>
      </c>
      <c r="I248" t="n">
        <v>6000</v>
      </c>
      <c r="J248" t="inlineStr">
        <is>
          <t>Commercial_1A</t>
        </is>
      </c>
      <c r="K248" s="4" t="n">
        <v>0.7769</v>
      </c>
      <c r="L248" t="inlineStr">
        <is>
          <t>Frontal Asymmetry (Enobio EEG)</t>
        </is>
      </c>
      <c r="M248">
        <f>LEFT(E248,1)</f>
        <v/>
      </c>
      <c r="N248">
        <f>MID(E248,3,10)</f>
        <v/>
      </c>
      <c r="O248">
        <f>IF(F248="Stimulus",IF(LEFT(G248,8)="Baseline",G248,IF(LEFT(G248,12)="Commercial_1","C1","C2")),IF(G248="KeyScene","KeyScene",IF(LEFT(J248,12)="Commercial_1","EndScene_C1","EndScene_C2")))</f>
        <v/>
      </c>
      <c r="P248">
        <f>IF(COUNTIFS(Artifact!$B$2:$B$385,B248,Artifact!$K$2:$K$385,"&gt;25")+COUNTIFS(Log!$A$2:$A$49,B248,Log!$H$2:$H$49,"Red")+COUNTIFS(Log!$A$2:$A$49,B248,Log!$I$2:$I$49,"Red")&gt;0,"No","Yes")</f>
        <v/>
      </c>
      <c r="Q248">
        <f>IF(COUNTIFS(Artifact!$B$2:$B$385,B248,Artifact!$K$2:$K$385,"&gt;15")+COUNTIFS(Log!$A$2:$A$49,B248,Log!$H$2:$H$49,"Red")+COUNTIFS(Log!$A$2:$A$49,B248,Log!$I$2:$I$49,"Red")&gt;0,"No","Yes")</f>
        <v/>
      </c>
    </row>
    <row r="249">
      <c r="A249" t="inlineStr">
        <is>
          <t>SIMULATED Commercial FA Study</t>
        </is>
      </c>
      <c r="B249" t="inlineStr">
        <is>
          <t>P38</t>
        </is>
      </c>
      <c r="C249" t="inlineStr">
        <is>
          <t>M</t>
        </is>
      </c>
      <c r="D249" t="n">
        <v>25</v>
      </c>
      <c r="E249" t="inlineStr">
        <is>
          <t>A_C2first</t>
        </is>
      </c>
      <c r="F249" t="inlineStr">
        <is>
          <t>Annotation</t>
        </is>
      </c>
      <c r="G249" t="inlineStr">
        <is>
          <t>EndScene</t>
        </is>
      </c>
      <c r="H249" t="n">
        <v>281000</v>
      </c>
      <c r="I249" t="n">
        <v>10000</v>
      </c>
      <c r="J249" t="inlineStr">
        <is>
          <t>Commercial_1A</t>
        </is>
      </c>
      <c r="K249" s="4" t="n">
        <v>0.9451000000000001</v>
      </c>
      <c r="L249" t="inlineStr">
        <is>
          <t>Frontal Asymmetry (Enobio EEG)</t>
        </is>
      </c>
      <c r="M249">
        <f>LEFT(E249,1)</f>
        <v/>
      </c>
      <c r="N249">
        <f>MID(E249,3,10)</f>
        <v/>
      </c>
      <c r="O249">
        <f>IF(F249="Stimulus",IF(LEFT(G249,8)="Baseline",G249,IF(LEFT(G249,12)="Commercial_1","C1","C2")),IF(G249="KeyScene","KeyScene",IF(LEFT(J249,12)="Commercial_1","EndScene_C1","EndScene_C2")))</f>
        <v/>
      </c>
      <c r="P249">
        <f>IF(COUNTIFS(Artifact!$B$2:$B$385,B249,Artifact!$K$2:$K$385,"&gt;25")+COUNTIFS(Log!$A$2:$A$49,B249,Log!$H$2:$H$49,"Red")+COUNTIFS(Log!$A$2:$A$49,B249,Log!$I$2:$I$49,"Red")&gt;0,"No","Yes")</f>
        <v/>
      </c>
      <c r="Q249">
        <f>IF(COUNTIFS(Artifact!$B$2:$B$385,B249,Artifact!$K$2:$K$385,"&gt;15")+COUNTIFS(Log!$A$2:$A$49,B249,Log!$H$2:$H$49,"Red")+COUNTIFS(Log!$A$2:$A$49,B249,Log!$I$2:$I$49,"Red")&gt;0,"No","Yes")</f>
        <v/>
      </c>
    </row>
    <row r="250">
      <c r="A250" t="inlineStr">
        <is>
          <t>SIMULATED Commercial FA Study</t>
        </is>
      </c>
      <c r="B250" t="inlineStr">
        <is>
          <t>P39</t>
        </is>
      </c>
      <c r="C250" t="inlineStr">
        <is>
          <t>F</t>
        </is>
      </c>
      <c r="D250" t="n">
        <v>24</v>
      </c>
      <c r="E250" t="inlineStr">
        <is>
          <t>B_C2first</t>
        </is>
      </c>
      <c r="F250" t="inlineStr">
        <is>
          <t>Stimulus</t>
        </is>
      </c>
      <c r="G250" t="inlineStr">
        <is>
          <t>Baseline_1</t>
        </is>
      </c>
      <c r="H250" t="n">
        <v>38000</v>
      </c>
      <c r="I250" t="n">
        <v>60000</v>
      </c>
      <c r="J250" t="inlineStr">
        <is>
          <t>Baseline_1</t>
        </is>
      </c>
      <c r="K250" s="4" t="n">
        <v>0.6029</v>
      </c>
      <c r="L250" t="inlineStr">
        <is>
          <t>Frontal Asymmetry (Enobio EEG)</t>
        </is>
      </c>
      <c r="M250">
        <f>LEFT(E250,1)</f>
        <v/>
      </c>
      <c r="N250">
        <f>MID(E250,3,10)</f>
        <v/>
      </c>
      <c r="O250">
        <f>IF(F250="Stimulus",IF(LEFT(G250,8)="Baseline",G250,IF(LEFT(G250,12)="Commercial_1","C1","C2")),IF(G250="KeyScene","KeyScene",IF(LEFT(J250,12)="Commercial_1","EndScene_C1","EndScene_C2")))</f>
        <v/>
      </c>
      <c r="P250">
        <f>IF(COUNTIFS(Artifact!$B$2:$B$385,B250,Artifact!$K$2:$K$385,"&gt;25")+COUNTIFS(Log!$A$2:$A$49,B250,Log!$H$2:$H$49,"Red")+COUNTIFS(Log!$A$2:$A$49,B250,Log!$I$2:$I$49,"Red")&gt;0,"No","Yes")</f>
        <v/>
      </c>
      <c r="Q250">
        <f>IF(COUNTIFS(Artifact!$B$2:$B$385,B250,Artifact!$K$2:$K$385,"&gt;15")+COUNTIFS(Log!$A$2:$A$49,B250,Log!$H$2:$H$49,"Red")+COUNTIFS(Log!$A$2:$A$49,B250,Log!$I$2:$I$49,"Red")&gt;0,"No","Yes")</f>
        <v/>
      </c>
    </row>
    <row r="251">
      <c r="A251" t="inlineStr">
        <is>
          <t>SIMULATED Commercial FA Study</t>
        </is>
      </c>
      <c r="B251" t="inlineStr">
        <is>
          <t>P39</t>
        </is>
      </c>
      <c r="C251" t="inlineStr">
        <is>
          <t>F</t>
        </is>
      </c>
      <c r="D251" t="n">
        <v>24</v>
      </c>
      <c r="E251" t="inlineStr">
        <is>
          <t>B_C2first</t>
        </is>
      </c>
      <c r="F251" t="inlineStr">
        <is>
          <t>Stimulus</t>
        </is>
      </c>
      <c r="G251" t="inlineStr">
        <is>
          <t>Commercial_2</t>
        </is>
      </c>
      <c r="H251" t="n">
        <v>98000</v>
      </c>
      <c r="I251" t="n">
        <v>60000</v>
      </c>
      <c r="J251" t="inlineStr">
        <is>
          <t>Commercial_2</t>
        </is>
      </c>
      <c r="K251" s="4" t="n">
        <v>0.5812</v>
      </c>
      <c r="L251" t="inlineStr">
        <is>
          <t>Frontal Asymmetry (Enobio EEG)</t>
        </is>
      </c>
      <c r="M251">
        <f>LEFT(E251,1)</f>
        <v/>
      </c>
      <c r="N251">
        <f>MID(E251,3,10)</f>
        <v/>
      </c>
      <c r="O251">
        <f>IF(F251="Stimulus",IF(LEFT(G251,8)="Baseline",G251,IF(LEFT(G251,12)="Commercial_1","C1","C2")),IF(G251="KeyScene","KeyScene",IF(LEFT(J251,12)="Commercial_1","EndScene_C1","EndScene_C2")))</f>
        <v/>
      </c>
      <c r="P251">
        <f>IF(COUNTIFS(Artifact!$B$2:$B$385,B251,Artifact!$K$2:$K$385,"&gt;25")+COUNTIFS(Log!$A$2:$A$49,B251,Log!$H$2:$H$49,"Red")+COUNTIFS(Log!$A$2:$A$49,B251,Log!$I$2:$I$49,"Red")&gt;0,"No","Yes")</f>
        <v/>
      </c>
      <c r="Q251">
        <f>IF(COUNTIFS(Artifact!$B$2:$B$385,B251,Artifact!$K$2:$K$385,"&gt;15")+COUNTIFS(Log!$A$2:$A$49,B251,Log!$H$2:$H$49,"Red")+COUNTIFS(Log!$A$2:$A$49,B251,Log!$I$2:$I$49,"Red")&gt;0,"No","Yes")</f>
        <v/>
      </c>
    </row>
    <row r="252">
      <c r="A252" t="inlineStr">
        <is>
          <t>SIMULATED Commercial FA Study</t>
        </is>
      </c>
      <c r="B252" t="inlineStr">
        <is>
          <t>P39</t>
        </is>
      </c>
      <c r="C252" t="inlineStr">
        <is>
          <t>F</t>
        </is>
      </c>
      <c r="D252" t="n">
        <v>24</v>
      </c>
      <c r="E252" t="inlineStr">
        <is>
          <t>B_C2first</t>
        </is>
      </c>
      <c r="F252" t="inlineStr">
        <is>
          <t>Stimulus</t>
        </is>
      </c>
      <c r="G252" t="inlineStr">
        <is>
          <t>Baseline_2</t>
        </is>
      </c>
      <c r="H252" t="n">
        <v>204000</v>
      </c>
      <c r="I252" t="n">
        <v>60000</v>
      </c>
      <c r="J252" t="inlineStr">
        <is>
          <t>Baseline_2</t>
        </is>
      </c>
      <c r="K252" s="4" t="n">
        <v>0.6257</v>
      </c>
      <c r="L252" t="inlineStr">
        <is>
          <t>Frontal Asymmetry (Enobio EEG)</t>
        </is>
      </c>
      <c r="M252">
        <f>LEFT(E252,1)</f>
        <v/>
      </c>
      <c r="N252">
        <f>MID(E252,3,10)</f>
        <v/>
      </c>
      <c r="O252">
        <f>IF(F252="Stimulus",IF(LEFT(G252,8)="Baseline",G252,IF(LEFT(G252,12)="Commercial_1","C1","C2")),IF(G252="KeyScene","KeyScene",IF(LEFT(J252,12)="Commercial_1","EndScene_C1","EndScene_C2")))</f>
        <v/>
      </c>
      <c r="P252">
        <f>IF(COUNTIFS(Artifact!$B$2:$B$385,B252,Artifact!$K$2:$K$385,"&gt;25")+COUNTIFS(Log!$A$2:$A$49,B252,Log!$H$2:$H$49,"Red")+COUNTIFS(Log!$A$2:$A$49,B252,Log!$I$2:$I$49,"Red")&gt;0,"No","Yes")</f>
        <v/>
      </c>
      <c r="Q252">
        <f>IF(COUNTIFS(Artifact!$B$2:$B$385,B252,Artifact!$K$2:$K$385,"&gt;15")+COUNTIFS(Log!$A$2:$A$49,B252,Log!$H$2:$H$49,"Red")+COUNTIFS(Log!$A$2:$A$49,B252,Log!$I$2:$I$49,"Red")&gt;0,"No","Yes")</f>
        <v/>
      </c>
    </row>
    <row r="253">
      <c r="A253" t="inlineStr">
        <is>
          <t>SIMULATED Commercial FA Study</t>
        </is>
      </c>
      <c r="B253" t="inlineStr">
        <is>
          <t>P39</t>
        </is>
      </c>
      <c r="C253" t="inlineStr">
        <is>
          <t>F</t>
        </is>
      </c>
      <c r="D253" t="n">
        <v>24</v>
      </c>
      <c r="E253" t="inlineStr">
        <is>
          <t>B_C2first</t>
        </is>
      </c>
      <c r="F253" t="inlineStr">
        <is>
          <t>Stimulus</t>
        </is>
      </c>
      <c r="G253" t="inlineStr">
        <is>
          <t>Commercial_1B</t>
        </is>
      </c>
      <c r="H253" t="n">
        <v>264000</v>
      </c>
      <c r="I253" t="n">
        <v>54000</v>
      </c>
      <c r="J253" t="inlineStr">
        <is>
          <t>Commercial_1B</t>
        </is>
      </c>
      <c r="K253" s="4" t="n">
        <v>0.5444</v>
      </c>
      <c r="L253" t="inlineStr">
        <is>
          <t>Frontal Asymmetry (Enobio EEG)</t>
        </is>
      </c>
      <c r="M253">
        <f>LEFT(E253,1)</f>
        <v/>
      </c>
      <c r="N253">
        <f>MID(E253,3,10)</f>
        <v/>
      </c>
      <c r="O253">
        <f>IF(F253="Stimulus",IF(LEFT(G253,8)="Baseline",G253,IF(LEFT(G253,12)="Commercial_1","C1","C2")),IF(G253="KeyScene","KeyScene",IF(LEFT(J253,12)="Commercial_1","EndScene_C1","EndScene_C2")))</f>
        <v/>
      </c>
      <c r="P253">
        <f>IF(COUNTIFS(Artifact!$B$2:$B$385,B253,Artifact!$K$2:$K$385,"&gt;25")+COUNTIFS(Log!$A$2:$A$49,B253,Log!$H$2:$H$49,"Red")+COUNTIFS(Log!$A$2:$A$49,B253,Log!$I$2:$I$49,"Red")&gt;0,"No","Yes")</f>
        <v/>
      </c>
      <c r="Q253">
        <f>IF(COUNTIFS(Artifact!$B$2:$B$385,B253,Artifact!$K$2:$K$385,"&gt;15")+COUNTIFS(Log!$A$2:$A$49,B253,Log!$H$2:$H$49,"Red")+COUNTIFS(Log!$A$2:$A$49,B253,Log!$I$2:$I$49,"Red")&gt;0,"No","Yes")</f>
        <v/>
      </c>
    </row>
    <row r="254">
      <c r="A254" t="inlineStr">
        <is>
          <t>SIMULATED Commercial FA Study</t>
        </is>
      </c>
      <c r="B254" t="inlineStr">
        <is>
          <t>P39</t>
        </is>
      </c>
      <c r="C254" t="inlineStr">
        <is>
          <t>F</t>
        </is>
      </c>
      <c r="D254" t="n">
        <v>24</v>
      </c>
      <c r="E254" t="inlineStr">
        <is>
          <t>B_C2first</t>
        </is>
      </c>
      <c r="F254" t="inlineStr">
        <is>
          <t>Annotation</t>
        </is>
      </c>
      <c r="G254" t="inlineStr">
        <is>
          <t>EndScene</t>
        </is>
      </c>
      <c r="H254" t="n">
        <v>148000</v>
      </c>
      <c r="I254" t="n">
        <v>10000</v>
      </c>
      <c r="J254" t="inlineStr">
        <is>
          <t>Commercial_2</t>
        </is>
      </c>
      <c r="K254" s="4" t="n">
        <v>0.6805</v>
      </c>
      <c r="L254" t="inlineStr">
        <is>
          <t>Frontal Asymmetry (Enobio EEG)</t>
        </is>
      </c>
      <c r="M254">
        <f>LEFT(E254,1)</f>
        <v/>
      </c>
      <c r="N254">
        <f>MID(E254,3,10)</f>
        <v/>
      </c>
      <c r="O254">
        <f>IF(F254="Stimulus",IF(LEFT(G254,8)="Baseline",G254,IF(LEFT(G254,12)="Commercial_1","C1","C2")),IF(G254="KeyScene","KeyScene",IF(LEFT(J254,12)="Commercial_1","EndScene_C1","EndScene_C2")))</f>
        <v/>
      </c>
      <c r="P254">
        <f>IF(COUNTIFS(Artifact!$B$2:$B$385,B254,Artifact!$K$2:$K$385,"&gt;25")+COUNTIFS(Log!$A$2:$A$49,B254,Log!$H$2:$H$49,"Red")+COUNTIFS(Log!$A$2:$A$49,B254,Log!$I$2:$I$49,"Red")&gt;0,"No","Yes")</f>
        <v/>
      </c>
      <c r="Q254">
        <f>IF(COUNTIFS(Artifact!$B$2:$B$385,B254,Artifact!$K$2:$K$385,"&gt;15")+COUNTIFS(Log!$A$2:$A$49,B254,Log!$H$2:$H$49,"Red")+COUNTIFS(Log!$A$2:$A$49,B254,Log!$I$2:$I$49,"Red")&gt;0,"No","Yes")</f>
        <v/>
      </c>
    </row>
    <row r="255">
      <c r="A255" t="inlineStr">
        <is>
          <t>SIMULATED Commercial FA Study</t>
        </is>
      </c>
      <c r="B255" t="inlineStr">
        <is>
          <t>P39</t>
        </is>
      </c>
      <c r="C255" t="inlineStr">
        <is>
          <t>F</t>
        </is>
      </c>
      <c r="D255" t="n">
        <v>24</v>
      </c>
      <c r="E255" t="inlineStr">
        <is>
          <t>B_C2first</t>
        </is>
      </c>
      <c r="F255" t="inlineStr">
        <is>
          <t>Annotation</t>
        </is>
      </c>
      <c r="G255" t="inlineStr">
        <is>
          <t>EndScene</t>
        </is>
      </c>
      <c r="H255" t="n">
        <v>308000</v>
      </c>
      <c r="I255" t="n">
        <v>10000</v>
      </c>
      <c r="J255" t="inlineStr">
        <is>
          <t>Commercial_1B</t>
        </is>
      </c>
      <c r="K255" s="4" t="n">
        <v>0.491</v>
      </c>
      <c r="L255" t="inlineStr">
        <is>
          <t>Frontal Asymmetry (Enobio EEG)</t>
        </is>
      </c>
      <c r="M255">
        <f>LEFT(E255,1)</f>
        <v/>
      </c>
      <c r="N255">
        <f>MID(E255,3,10)</f>
        <v/>
      </c>
      <c r="O255">
        <f>IF(F255="Stimulus",IF(LEFT(G255,8)="Baseline",G255,IF(LEFT(G255,12)="Commercial_1","C1","C2")),IF(G255="KeyScene","KeyScene",IF(LEFT(J255,12)="Commercial_1","EndScene_C1","EndScene_C2")))</f>
        <v/>
      </c>
      <c r="P255">
        <f>IF(COUNTIFS(Artifact!$B$2:$B$385,B255,Artifact!$K$2:$K$385,"&gt;25")+COUNTIFS(Log!$A$2:$A$49,B255,Log!$H$2:$H$49,"Red")+COUNTIFS(Log!$A$2:$A$49,B255,Log!$I$2:$I$49,"Red")&gt;0,"No","Yes")</f>
        <v/>
      </c>
      <c r="Q255">
        <f>IF(COUNTIFS(Artifact!$B$2:$B$385,B255,Artifact!$K$2:$K$385,"&gt;15")+COUNTIFS(Log!$A$2:$A$49,B255,Log!$H$2:$H$49,"Red")+COUNTIFS(Log!$A$2:$A$49,B255,Log!$I$2:$I$49,"Red")&gt;0,"No","Yes")</f>
        <v/>
      </c>
    </row>
    <row r="256">
      <c r="A256" t="inlineStr">
        <is>
          <t>SIMULATED Commercial FA Study</t>
        </is>
      </c>
      <c r="B256" t="inlineStr">
        <is>
          <t>P40</t>
        </is>
      </c>
      <c r="C256" t="inlineStr">
        <is>
          <t>F</t>
        </is>
      </c>
      <c r="D256" t="n">
        <v>18</v>
      </c>
      <c r="E256" t="inlineStr">
        <is>
          <t>B_C1first</t>
        </is>
      </c>
      <c r="F256" t="inlineStr">
        <is>
          <t>Stimulus</t>
        </is>
      </c>
      <c r="G256" t="inlineStr">
        <is>
          <t>Baseline_1</t>
        </is>
      </c>
      <c r="H256" t="n">
        <v>28000</v>
      </c>
      <c r="I256" t="n">
        <v>60000</v>
      </c>
      <c r="J256" t="inlineStr">
        <is>
          <t>Baseline_1</t>
        </is>
      </c>
      <c r="K256" s="4" t="n">
        <v>0.6415</v>
      </c>
      <c r="L256" t="inlineStr">
        <is>
          <t>Frontal Asymmetry (Enobio EEG)</t>
        </is>
      </c>
      <c r="M256">
        <f>LEFT(E256,1)</f>
        <v/>
      </c>
      <c r="N256">
        <f>MID(E256,3,10)</f>
        <v/>
      </c>
      <c r="O256">
        <f>IF(F256="Stimulus",IF(LEFT(G256,8)="Baseline",G256,IF(LEFT(G256,12)="Commercial_1","C1","C2")),IF(G256="KeyScene","KeyScene",IF(LEFT(J256,12)="Commercial_1","EndScene_C1","EndScene_C2")))</f>
        <v/>
      </c>
      <c r="P256">
        <f>IF(COUNTIFS(Artifact!$B$2:$B$385,B256,Artifact!$K$2:$K$385,"&gt;25")+COUNTIFS(Log!$A$2:$A$49,B256,Log!$H$2:$H$49,"Red")+COUNTIFS(Log!$A$2:$A$49,B256,Log!$I$2:$I$49,"Red")&gt;0,"No","Yes")</f>
        <v/>
      </c>
      <c r="Q256">
        <f>IF(COUNTIFS(Artifact!$B$2:$B$385,B256,Artifact!$K$2:$K$385,"&gt;15")+COUNTIFS(Log!$A$2:$A$49,B256,Log!$H$2:$H$49,"Red")+COUNTIFS(Log!$A$2:$A$49,B256,Log!$I$2:$I$49,"Red")&gt;0,"No","Yes")</f>
        <v/>
      </c>
    </row>
    <row r="257">
      <c r="A257" t="inlineStr">
        <is>
          <t>SIMULATED Commercial FA Study</t>
        </is>
      </c>
      <c r="B257" t="inlineStr">
        <is>
          <t>P40</t>
        </is>
      </c>
      <c r="C257" t="inlineStr">
        <is>
          <t>F</t>
        </is>
      </c>
      <c r="D257" t="n">
        <v>18</v>
      </c>
      <c r="E257" t="inlineStr">
        <is>
          <t>B_C1first</t>
        </is>
      </c>
      <c r="F257" t="inlineStr">
        <is>
          <t>Stimulus</t>
        </is>
      </c>
      <c r="G257" t="inlineStr">
        <is>
          <t>Commercial_1B</t>
        </is>
      </c>
      <c r="H257" t="n">
        <v>88000</v>
      </c>
      <c r="I257" t="n">
        <v>54000</v>
      </c>
      <c r="J257" t="inlineStr">
        <is>
          <t>Commercial_1B</t>
        </is>
      </c>
      <c r="K257" s="4" t="n">
        <v>0.6296</v>
      </c>
      <c r="L257" t="inlineStr">
        <is>
          <t>Frontal Asymmetry (Enobio EEG)</t>
        </is>
      </c>
      <c r="M257">
        <f>LEFT(E257,1)</f>
        <v/>
      </c>
      <c r="N257">
        <f>MID(E257,3,10)</f>
        <v/>
      </c>
      <c r="O257">
        <f>IF(F257="Stimulus",IF(LEFT(G257,8)="Baseline",G257,IF(LEFT(G257,12)="Commercial_1","C1","C2")),IF(G257="KeyScene","KeyScene",IF(LEFT(J257,12)="Commercial_1","EndScene_C1","EndScene_C2")))</f>
        <v/>
      </c>
      <c r="P257">
        <f>IF(COUNTIFS(Artifact!$B$2:$B$385,B257,Artifact!$K$2:$K$385,"&gt;25")+COUNTIFS(Log!$A$2:$A$49,B257,Log!$H$2:$H$49,"Red")+COUNTIFS(Log!$A$2:$A$49,B257,Log!$I$2:$I$49,"Red")&gt;0,"No","Yes")</f>
        <v/>
      </c>
      <c r="Q257">
        <f>IF(COUNTIFS(Artifact!$B$2:$B$385,B257,Artifact!$K$2:$K$385,"&gt;15")+COUNTIFS(Log!$A$2:$A$49,B257,Log!$H$2:$H$49,"Red")+COUNTIFS(Log!$A$2:$A$49,B257,Log!$I$2:$I$49,"Red")&gt;0,"No","Yes")</f>
        <v/>
      </c>
    </row>
    <row r="258">
      <c r="A258" t="inlineStr">
        <is>
          <t>SIMULATED Commercial FA Study</t>
        </is>
      </c>
      <c r="B258" t="inlineStr">
        <is>
          <t>P40</t>
        </is>
      </c>
      <c r="C258" t="inlineStr">
        <is>
          <t>F</t>
        </is>
      </c>
      <c r="D258" t="n">
        <v>18</v>
      </c>
      <c r="E258" t="inlineStr">
        <is>
          <t>B_C1first</t>
        </is>
      </c>
      <c r="F258" t="inlineStr">
        <is>
          <t>Stimulus</t>
        </is>
      </c>
      <c r="G258" t="inlineStr">
        <is>
          <t>Baseline_2</t>
        </is>
      </c>
      <c r="H258" t="n">
        <v>171000</v>
      </c>
      <c r="I258" t="n">
        <v>60000</v>
      </c>
      <c r="J258" t="inlineStr">
        <is>
          <t>Baseline_2</t>
        </is>
      </c>
      <c r="K258" s="4" t="n">
        <v>0.6692</v>
      </c>
      <c r="L258" t="inlineStr">
        <is>
          <t>Frontal Asymmetry (Enobio EEG)</t>
        </is>
      </c>
      <c r="M258">
        <f>LEFT(E258,1)</f>
        <v/>
      </c>
      <c r="N258">
        <f>MID(E258,3,10)</f>
        <v/>
      </c>
      <c r="O258">
        <f>IF(F258="Stimulus",IF(LEFT(G258,8)="Baseline",G258,IF(LEFT(G258,12)="Commercial_1","C1","C2")),IF(G258="KeyScene","KeyScene",IF(LEFT(J258,12)="Commercial_1","EndScene_C1","EndScene_C2")))</f>
        <v/>
      </c>
      <c r="P258">
        <f>IF(COUNTIFS(Artifact!$B$2:$B$385,B258,Artifact!$K$2:$K$385,"&gt;25")+COUNTIFS(Log!$A$2:$A$49,B258,Log!$H$2:$H$49,"Red")+COUNTIFS(Log!$A$2:$A$49,B258,Log!$I$2:$I$49,"Red")&gt;0,"No","Yes")</f>
        <v/>
      </c>
      <c r="Q258">
        <f>IF(COUNTIFS(Artifact!$B$2:$B$385,B258,Artifact!$K$2:$K$385,"&gt;15")+COUNTIFS(Log!$A$2:$A$49,B258,Log!$H$2:$H$49,"Red")+COUNTIFS(Log!$A$2:$A$49,B258,Log!$I$2:$I$49,"Red")&gt;0,"No","Yes")</f>
        <v/>
      </c>
    </row>
    <row r="259">
      <c r="A259" t="inlineStr">
        <is>
          <t>SIMULATED Commercial FA Study</t>
        </is>
      </c>
      <c r="B259" t="inlineStr">
        <is>
          <t>P40</t>
        </is>
      </c>
      <c r="C259" t="inlineStr">
        <is>
          <t>F</t>
        </is>
      </c>
      <c r="D259" t="n">
        <v>18</v>
      </c>
      <c r="E259" t="inlineStr">
        <is>
          <t>B_C1first</t>
        </is>
      </c>
      <c r="F259" t="inlineStr">
        <is>
          <t>Stimulus</t>
        </is>
      </c>
      <c r="G259" t="inlineStr">
        <is>
          <t>Commercial_2</t>
        </is>
      </c>
      <c r="H259" t="n">
        <v>231000</v>
      </c>
      <c r="I259" t="n">
        <v>60000</v>
      </c>
      <c r="J259" t="inlineStr">
        <is>
          <t>Commercial_2</t>
        </is>
      </c>
      <c r="K259" s="4" t="n">
        <v>0.6247</v>
      </c>
      <c r="L259" t="inlineStr">
        <is>
          <t>Frontal Asymmetry (Enobio EEG)</t>
        </is>
      </c>
      <c r="M259">
        <f>LEFT(E259,1)</f>
        <v/>
      </c>
      <c r="N259">
        <f>MID(E259,3,10)</f>
        <v/>
      </c>
      <c r="O259">
        <f>IF(F259="Stimulus",IF(LEFT(G259,8)="Baseline",G259,IF(LEFT(G259,12)="Commercial_1","C1","C2")),IF(G259="KeyScene","KeyScene",IF(LEFT(J259,12)="Commercial_1","EndScene_C1","EndScene_C2")))</f>
        <v/>
      </c>
      <c r="P259">
        <f>IF(COUNTIFS(Artifact!$B$2:$B$385,B259,Artifact!$K$2:$K$385,"&gt;25")+COUNTIFS(Log!$A$2:$A$49,B259,Log!$H$2:$H$49,"Red")+COUNTIFS(Log!$A$2:$A$49,B259,Log!$I$2:$I$49,"Red")&gt;0,"No","Yes")</f>
        <v/>
      </c>
      <c r="Q259">
        <f>IF(COUNTIFS(Artifact!$B$2:$B$385,B259,Artifact!$K$2:$K$385,"&gt;15")+COUNTIFS(Log!$A$2:$A$49,B259,Log!$H$2:$H$49,"Red")+COUNTIFS(Log!$A$2:$A$49,B259,Log!$I$2:$I$49,"Red")&gt;0,"No","Yes")</f>
        <v/>
      </c>
    </row>
    <row r="260">
      <c r="A260" t="inlineStr">
        <is>
          <t>SIMULATED Commercial FA Study</t>
        </is>
      </c>
      <c r="B260" t="inlineStr">
        <is>
          <t>P40</t>
        </is>
      </c>
      <c r="C260" t="inlineStr">
        <is>
          <t>F</t>
        </is>
      </c>
      <c r="D260" t="n">
        <v>18</v>
      </c>
      <c r="E260" t="inlineStr">
        <is>
          <t>B_C1first</t>
        </is>
      </c>
      <c r="F260" t="inlineStr">
        <is>
          <t>Annotation</t>
        </is>
      </c>
      <c r="G260" t="inlineStr">
        <is>
          <t>EndScene</t>
        </is>
      </c>
      <c r="H260" t="n">
        <v>132000</v>
      </c>
      <c r="I260" t="n">
        <v>10000</v>
      </c>
      <c r="J260" t="inlineStr">
        <is>
          <t>Commercial_1B</t>
        </is>
      </c>
      <c r="K260" s="4" t="n">
        <v>0.387</v>
      </c>
      <c r="L260" t="inlineStr">
        <is>
          <t>Frontal Asymmetry (Enobio EEG)</t>
        </is>
      </c>
      <c r="M260">
        <f>LEFT(E260,1)</f>
        <v/>
      </c>
      <c r="N260">
        <f>MID(E260,3,10)</f>
        <v/>
      </c>
      <c r="O260">
        <f>IF(F260="Stimulus",IF(LEFT(G260,8)="Baseline",G260,IF(LEFT(G260,12)="Commercial_1","C1","C2")),IF(G260="KeyScene","KeyScene",IF(LEFT(J260,12)="Commercial_1","EndScene_C1","EndScene_C2")))</f>
        <v/>
      </c>
      <c r="P260">
        <f>IF(COUNTIFS(Artifact!$B$2:$B$385,B260,Artifact!$K$2:$K$385,"&gt;25")+COUNTIFS(Log!$A$2:$A$49,B260,Log!$H$2:$H$49,"Red")+COUNTIFS(Log!$A$2:$A$49,B260,Log!$I$2:$I$49,"Red")&gt;0,"No","Yes")</f>
        <v/>
      </c>
      <c r="Q260">
        <f>IF(COUNTIFS(Artifact!$B$2:$B$385,B260,Artifact!$K$2:$K$385,"&gt;15")+COUNTIFS(Log!$A$2:$A$49,B260,Log!$H$2:$H$49,"Red")+COUNTIFS(Log!$A$2:$A$49,B260,Log!$I$2:$I$49,"Red")&gt;0,"No","Yes")</f>
        <v/>
      </c>
    </row>
    <row r="261">
      <c r="A261" t="inlineStr">
        <is>
          <t>SIMULATED Commercial FA Study</t>
        </is>
      </c>
      <c r="B261" t="inlineStr">
        <is>
          <t>P40</t>
        </is>
      </c>
      <c r="C261" t="inlineStr">
        <is>
          <t>F</t>
        </is>
      </c>
      <c r="D261" t="n">
        <v>18</v>
      </c>
      <c r="E261" t="inlineStr">
        <is>
          <t>B_C1first</t>
        </is>
      </c>
      <c r="F261" t="inlineStr">
        <is>
          <t>Annotation</t>
        </is>
      </c>
      <c r="G261" t="inlineStr">
        <is>
          <t>EndScene</t>
        </is>
      </c>
      <c r="H261" t="n">
        <v>281000</v>
      </c>
      <c r="I261" t="n">
        <v>10000</v>
      </c>
      <c r="J261" t="inlineStr">
        <is>
          <t>Commercial_2</t>
        </is>
      </c>
      <c r="K261" s="4" t="n">
        <v>0.6223</v>
      </c>
      <c r="L261" t="inlineStr">
        <is>
          <t>Frontal Asymmetry (Enobio EEG)</t>
        </is>
      </c>
      <c r="M261">
        <f>LEFT(E261,1)</f>
        <v/>
      </c>
      <c r="N261">
        <f>MID(E261,3,10)</f>
        <v/>
      </c>
      <c r="O261">
        <f>IF(F261="Stimulus",IF(LEFT(G261,8)="Baseline",G261,IF(LEFT(G261,12)="Commercial_1","C1","C2")),IF(G261="KeyScene","KeyScene",IF(LEFT(J261,12)="Commercial_1","EndScene_C1","EndScene_C2")))</f>
        <v/>
      </c>
      <c r="P261">
        <f>IF(COUNTIFS(Artifact!$B$2:$B$385,B261,Artifact!$K$2:$K$385,"&gt;25")+COUNTIFS(Log!$A$2:$A$49,B261,Log!$H$2:$H$49,"Red")+COUNTIFS(Log!$A$2:$A$49,B261,Log!$I$2:$I$49,"Red")&gt;0,"No","Yes")</f>
        <v/>
      </c>
      <c r="Q261">
        <f>IF(COUNTIFS(Artifact!$B$2:$B$385,B261,Artifact!$K$2:$K$385,"&gt;15")+COUNTIFS(Log!$A$2:$A$49,B261,Log!$H$2:$H$49,"Red")+COUNTIFS(Log!$A$2:$A$49,B261,Log!$I$2:$I$49,"Red")&gt;0,"No","Yes")</f>
        <v/>
      </c>
    </row>
    <row r="262">
      <c r="A262" t="inlineStr">
        <is>
          <t>SIMULATED Commercial FA Study</t>
        </is>
      </c>
      <c r="B262" t="inlineStr">
        <is>
          <t>P41</t>
        </is>
      </c>
      <c r="C262" t="inlineStr">
        <is>
          <t>F</t>
        </is>
      </c>
      <c r="D262" t="n">
        <v>19</v>
      </c>
      <c r="E262" t="inlineStr">
        <is>
          <t>A_C1first</t>
        </is>
      </c>
      <c r="F262" t="inlineStr">
        <is>
          <t>Stimulus</t>
        </is>
      </c>
      <c r="G262" t="inlineStr">
        <is>
          <t>Baseline_1</t>
        </is>
      </c>
      <c r="H262" t="n">
        <v>20000</v>
      </c>
      <c r="I262" t="n">
        <v>60000</v>
      </c>
      <c r="J262" t="inlineStr">
        <is>
          <t>Baseline_1</t>
        </is>
      </c>
      <c r="K262" s="4" t="n">
        <v>0.5439000000000001</v>
      </c>
      <c r="L262" t="inlineStr">
        <is>
          <t>Frontal Asymmetry (Enobio EEG)</t>
        </is>
      </c>
      <c r="M262">
        <f>LEFT(E262,1)</f>
        <v/>
      </c>
      <c r="N262">
        <f>MID(E262,3,10)</f>
        <v/>
      </c>
      <c r="O262">
        <f>IF(F262="Stimulus",IF(LEFT(G262,8)="Baseline",G262,IF(LEFT(G262,12)="Commercial_1","C1","C2")),IF(G262="KeyScene","KeyScene",IF(LEFT(J262,12)="Commercial_1","EndScene_C1","EndScene_C2")))</f>
        <v/>
      </c>
      <c r="P262">
        <f>IF(COUNTIFS(Artifact!$B$2:$B$385,B262,Artifact!$K$2:$K$385,"&gt;25")+COUNTIFS(Log!$A$2:$A$49,B262,Log!$H$2:$H$49,"Red")+COUNTIFS(Log!$A$2:$A$49,B262,Log!$I$2:$I$49,"Red")&gt;0,"No","Yes")</f>
        <v/>
      </c>
      <c r="Q262">
        <f>IF(COUNTIFS(Artifact!$B$2:$B$385,B262,Artifact!$K$2:$K$385,"&gt;15")+COUNTIFS(Log!$A$2:$A$49,B262,Log!$H$2:$H$49,"Red")+COUNTIFS(Log!$A$2:$A$49,B262,Log!$I$2:$I$49,"Red")&gt;0,"No","Yes")</f>
        <v/>
      </c>
    </row>
    <row r="263">
      <c r="A263" t="inlineStr">
        <is>
          <t>SIMULATED Commercial FA Study</t>
        </is>
      </c>
      <c r="B263" t="inlineStr">
        <is>
          <t>P41</t>
        </is>
      </c>
      <c r="C263" t="inlineStr">
        <is>
          <t>F</t>
        </is>
      </c>
      <c r="D263" t="n">
        <v>19</v>
      </c>
      <c r="E263" t="inlineStr">
        <is>
          <t>A_C1first</t>
        </is>
      </c>
      <c r="F263" t="inlineStr">
        <is>
          <t>Stimulus</t>
        </is>
      </c>
      <c r="G263" t="inlineStr">
        <is>
          <t>Commercial_1A</t>
        </is>
      </c>
      <c r="H263" t="n">
        <v>80000</v>
      </c>
      <c r="I263" t="n">
        <v>60000</v>
      </c>
      <c r="J263" t="inlineStr">
        <is>
          <t>Commercial_1A</t>
        </is>
      </c>
      <c r="K263" s="4" t="n">
        <v>0.5780999999999999</v>
      </c>
      <c r="L263" t="inlineStr">
        <is>
          <t>Frontal Asymmetry (Enobio EEG)</t>
        </is>
      </c>
      <c r="M263">
        <f>LEFT(E263,1)</f>
        <v/>
      </c>
      <c r="N263">
        <f>MID(E263,3,10)</f>
        <v/>
      </c>
      <c r="O263">
        <f>IF(F263="Stimulus",IF(LEFT(G263,8)="Baseline",G263,IF(LEFT(G263,12)="Commercial_1","C1","C2")),IF(G263="KeyScene","KeyScene",IF(LEFT(J263,12)="Commercial_1","EndScene_C1","EndScene_C2")))</f>
        <v/>
      </c>
      <c r="P263">
        <f>IF(COUNTIFS(Artifact!$B$2:$B$385,B263,Artifact!$K$2:$K$385,"&gt;25")+COUNTIFS(Log!$A$2:$A$49,B263,Log!$H$2:$H$49,"Red")+COUNTIFS(Log!$A$2:$A$49,B263,Log!$I$2:$I$49,"Red")&gt;0,"No","Yes")</f>
        <v/>
      </c>
      <c r="Q263">
        <f>IF(COUNTIFS(Artifact!$B$2:$B$385,B263,Artifact!$K$2:$K$385,"&gt;15")+COUNTIFS(Log!$A$2:$A$49,B263,Log!$H$2:$H$49,"Red")+COUNTIFS(Log!$A$2:$A$49,B263,Log!$I$2:$I$49,"Red")&gt;0,"No","Yes")</f>
        <v/>
      </c>
    </row>
    <row r="264">
      <c r="A264" t="inlineStr">
        <is>
          <t>SIMULATED Commercial FA Study</t>
        </is>
      </c>
      <c r="B264" t="inlineStr">
        <is>
          <t>P41</t>
        </is>
      </c>
      <c r="C264" t="inlineStr">
        <is>
          <t>F</t>
        </is>
      </c>
      <c r="D264" t="n">
        <v>19</v>
      </c>
      <c r="E264" t="inlineStr">
        <is>
          <t>A_C1first</t>
        </is>
      </c>
      <c r="F264" t="inlineStr">
        <is>
          <t>Stimulus</t>
        </is>
      </c>
      <c r="G264" t="inlineStr">
        <is>
          <t>Baseline_2</t>
        </is>
      </c>
      <c r="H264" t="n">
        <v>192000</v>
      </c>
      <c r="I264" t="n">
        <v>60000</v>
      </c>
      <c r="J264" t="inlineStr">
        <is>
          <t>Baseline_2</t>
        </is>
      </c>
      <c r="K264" s="4" t="n">
        <v>0.5664</v>
      </c>
      <c r="L264" t="inlineStr">
        <is>
          <t>Frontal Asymmetry (Enobio EEG)</t>
        </is>
      </c>
      <c r="M264">
        <f>LEFT(E264,1)</f>
        <v/>
      </c>
      <c r="N264">
        <f>MID(E264,3,10)</f>
        <v/>
      </c>
      <c r="O264">
        <f>IF(F264="Stimulus",IF(LEFT(G264,8)="Baseline",G264,IF(LEFT(G264,12)="Commercial_1","C1","C2")),IF(G264="KeyScene","KeyScene",IF(LEFT(J264,12)="Commercial_1","EndScene_C1","EndScene_C2")))</f>
        <v/>
      </c>
      <c r="P264">
        <f>IF(COUNTIFS(Artifact!$B$2:$B$385,B264,Artifact!$K$2:$K$385,"&gt;25")+COUNTIFS(Log!$A$2:$A$49,B264,Log!$H$2:$H$49,"Red")+COUNTIFS(Log!$A$2:$A$49,B264,Log!$I$2:$I$49,"Red")&gt;0,"No","Yes")</f>
        <v/>
      </c>
      <c r="Q264">
        <f>IF(COUNTIFS(Artifact!$B$2:$B$385,B264,Artifact!$K$2:$K$385,"&gt;15")+COUNTIFS(Log!$A$2:$A$49,B264,Log!$H$2:$H$49,"Red")+COUNTIFS(Log!$A$2:$A$49,B264,Log!$I$2:$I$49,"Red")&gt;0,"No","Yes")</f>
        <v/>
      </c>
    </row>
    <row r="265">
      <c r="A265" t="inlineStr">
        <is>
          <t>SIMULATED Commercial FA Study</t>
        </is>
      </c>
      <c r="B265" t="inlineStr">
        <is>
          <t>P41</t>
        </is>
      </c>
      <c r="C265" t="inlineStr">
        <is>
          <t>F</t>
        </is>
      </c>
      <c r="D265" t="n">
        <v>19</v>
      </c>
      <c r="E265" t="inlineStr">
        <is>
          <t>A_C1first</t>
        </is>
      </c>
      <c r="F265" t="inlineStr">
        <is>
          <t>Stimulus</t>
        </is>
      </c>
      <c r="G265" t="inlineStr">
        <is>
          <t>Commercial_2</t>
        </is>
      </c>
      <c r="H265" t="n">
        <v>252000</v>
      </c>
      <c r="I265" t="n">
        <v>60000</v>
      </c>
      <c r="J265" t="inlineStr">
        <is>
          <t>Commercial_2</t>
        </is>
      </c>
      <c r="K265" s="4" t="n">
        <v>0.5867</v>
      </c>
      <c r="L265" t="inlineStr">
        <is>
          <t>Frontal Asymmetry (Enobio EEG)</t>
        </is>
      </c>
      <c r="M265">
        <f>LEFT(E265,1)</f>
        <v/>
      </c>
      <c r="N265">
        <f>MID(E265,3,10)</f>
        <v/>
      </c>
      <c r="O265">
        <f>IF(F265="Stimulus",IF(LEFT(G265,8)="Baseline",G265,IF(LEFT(G265,12)="Commercial_1","C1","C2")),IF(G265="KeyScene","KeyScene",IF(LEFT(J265,12)="Commercial_1","EndScene_C1","EndScene_C2")))</f>
        <v/>
      </c>
      <c r="P265">
        <f>IF(COUNTIFS(Artifact!$B$2:$B$385,B265,Artifact!$K$2:$K$385,"&gt;25")+COUNTIFS(Log!$A$2:$A$49,B265,Log!$H$2:$H$49,"Red")+COUNTIFS(Log!$A$2:$A$49,B265,Log!$I$2:$I$49,"Red")&gt;0,"No","Yes")</f>
        <v/>
      </c>
      <c r="Q265">
        <f>IF(COUNTIFS(Artifact!$B$2:$B$385,B265,Artifact!$K$2:$K$385,"&gt;15")+COUNTIFS(Log!$A$2:$A$49,B265,Log!$H$2:$H$49,"Red")+COUNTIFS(Log!$A$2:$A$49,B265,Log!$I$2:$I$49,"Red")&gt;0,"No","Yes")</f>
        <v/>
      </c>
    </row>
    <row r="266">
      <c r="A266" t="inlineStr">
        <is>
          <t>SIMULATED Commercial FA Study</t>
        </is>
      </c>
      <c r="B266" t="inlineStr">
        <is>
          <t>P41</t>
        </is>
      </c>
      <c r="C266" t="inlineStr">
        <is>
          <t>F</t>
        </is>
      </c>
      <c r="D266" t="n">
        <v>19</v>
      </c>
      <c r="E266" t="inlineStr">
        <is>
          <t>A_C1first</t>
        </is>
      </c>
      <c r="F266" t="inlineStr">
        <is>
          <t>Annotation</t>
        </is>
      </c>
      <c r="G266" t="inlineStr">
        <is>
          <t>KeyScene</t>
        </is>
      </c>
      <c r="H266" t="n">
        <v>112000</v>
      </c>
      <c r="I266" t="n">
        <v>6000</v>
      </c>
      <c r="J266" t="inlineStr">
        <is>
          <t>Commercial_1A</t>
        </is>
      </c>
      <c r="K266" s="4" t="n">
        <v>0.488</v>
      </c>
      <c r="L266" t="inlineStr">
        <is>
          <t>Frontal Asymmetry (Enobio EEG)</t>
        </is>
      </c>
      <c r="M266">
        <f>LEFT(E266,1)</f>
        <v/>
      </c>
      <c r="N266">
        <f>MID(E266,3,10)</f>
        <v/>
      </c>
      <c r="O266">
        <f>IF(F266="Stimulus",IF(LEFT(G266,8)="Baseline",G266,IF(LEFT(G266,12)="Commercial_1","C1","C2")),IF(G266="KeyScene","KeyScene",IF(LEFT(J266,12)="Commercial_1","EndScene_C1","EndScene_C2")))</f>
        <v/>
      </c>
      <c r="P266">
        <f>IF(COUNTIFS(Artifact!$B$2:$B$385,B266,Artifact!$K$2:$K$385,"&gt;25")+COUNTIFS(Log!$A$2:$A$49,B266,Log!$H$2:$H$49,"Red")+COUNTIFS(Log!$A$2:$A$49,B266,Log!$I$2:$I$49,"Red")&gt;0,"No","Yes")</f>
        <v/>
      </c>
      <c r="Q266">
        <f>IF(COUNTIFS(Artifact!$B$2:$B$385,B266,Artifact!$K$2:$K$385,"&gt;15")+COUNTIFS(Log!$A$2:$A$49,B266,Log!$H$2:$H$49,"Red")+COUNTIFS(Log!$A$2:$A$49,B266,Log!$I$2:$I$49,"Red")&gt;0,"No","Yes")</f>
        <v/>
      </c>
    </row>
    <row r="267">
      <c r="A267" t="inlineStr">
        <is>
          <t>SIMULATED Commercial FA Study</t>
        </is>
      </c>
      <c r="B267" t="inlineStr">
        <is>
          <t>P41</t>
        </is>
      </c>
      <c r="C267" t="inlineStr">
        <is>
          <t>F</t>
        </is>
      </c>
      <c r="D267" t="n">
        <v>19</v>
      </c>
      <c r="E267" t="inlineStr">
        <is>
          <t>A_C1first</t>
        </is>
      </c>
      <c r="F267" t="inlineStr">
        <is>
          <t>Annotation</t>
        </is>
      </c>
      <c r="G267" t="inlineStr">
        <is>
          <t>EndScene</t>
        </is>
      </c>
      <c r="H267" t="n">
        <v>130000</v>
      </c>
      <c r="I267" t="n">
        <v>10000</v>
      </c>
      <c r="J267" t="inlineStr">
        <is>
          <t>Commercial_1A</t>
        </is>
      </c>
      <c r="K267" s="4" t="n">
        <v>0.6366000000000001</v>
      </c>
      <c r="L267" t="inlineStr">
        <is>
          <t>Frontal Asymmetry (Enobio EEG)</t>
        </is>
      </c>
      <c r="M267">
        <f>LEFT(E267,1)</f>
        <v/>
      </c>
      <c r="N267">
        <f>MID(E267,3,10)</f>
        <v/>
      </c>
      <c r="O267">
        <f>IF(F267="Stimulus",IF(LEFT(G267,8)="Baseline",G267,IF(LEFT(G267,12)="Commercial_1","C1","C2")),IF(G267="KeyScene","KeyScene",IF(LEFT(J267,12)="Commercial_1","EndScene_C1","EndScene_C2")))</f>
        <v/>
      </c>
      <c r="P267">
        <f>IF(COUNTIFS(Artifact!$B$2:$B$385,B267,Artifact!$K$2:$K$385,"&gt;25")+COUNTIFS(Log!$A$2:$A$49,B267,Log!$H$2:$H$49,"Red")+COUNTIFS(Log!$A$2:$A$49,B267,Log!$I$2:$I$49,"Red")&gt;0,"No","Yes")</f>
        <v/>
      </c>
      <c r="Q267">
        <f>IF(COUNTIFS(Artifact!$B$2:$B$385,B267,Artifact!$K$2:$K$385,"&gt;15")+COUNTIFS(Log!$A$2:$A$49,B267,Log!$H$2:$H$49,"Red")+COUNTIFS(Log!$A$2:$A$49,B267,Log!$I$2:$I$49,"Red")&gt;0,"No","Yes")</f>
        <v/>
      </c>
    </row>
    <row r="268">
      <c r="A268" t="inlineStr">
        <is>
          <t>SIMULATED Commercial FA Study</t>
        </is>
      </c>
      <c r="B268" t="inlineStr">
        <is>
          <t>P41</t>
        </is>
      </c>
      <c r="C268" t="inlineStr">
        <is>
          <t>F</t>
        </is>
      </c>
      <c r="D268" t="n">
        <v>19</v>
      </c>
      <c r="E268" t="inlineStr">
        <is>
          <t>A_C1first</t>
        </is>
      </c>
      <c r="F268" t="inlineStr">
        <is>
          <t>Annotation</t>
        </is>
      </c>
      <c r="G268" t="inlineStr">
        <is>
          <t>EndScene</t>
        </is>
      </c>
      <c r="H268" t="n">
        <v>302000</v>
      </c>
      <c r="I268" t="n">
        <v>10000</v>
      </c>
      <c r="J268" t="inlineStr">
        <is>
          <t>Commercial_2</t>
        </is>
      </c>
      <c r="K268" s="4" t="n">
        <v>0.5275</v>
      </c>
      <c r="L268" t="inlineStr">
        <is>
          <t>Frontal Asymmetry (Enobio EEG)</t>
        </is>
      </c>
      <c r="M268">
        <f>LEFT(E268,1)</f>
        <v/>
      </c>
      <c r="N268">
        <f>MID(E268,3,10)</f>
        <v/>
      </c>
      <c r="O268">
        <f>IF(F268="Stimulus",IF(LEFT(G268,8)="Baseline",G268,IF(LEFT(G268,12)="Commercial_1","C1","C2")),IF(G268="KeyScene","KeyScene",IF(LEFT(J268,12)="Commercial_1","EndScene_C1","EndScene_C2")))</f>
        <v/>
      </c>
      <c r="P268">
        <f>IF(COUNTIFS(Artifact!$B$2:$B$385,B268,Artifact!$K$2:$K$385,"&gt;25")+COUNTIFS(Log!$A$2:$A$49,B268,Log!$H$2:$H$49,"Red")+COUNTIFS(Log!$A$2:$A$49,B268,Log!$I$2:$I$49,"Red")&gt;0,"No","Yes")</f>
        <v/>
      </c>
      <c r="Q268">
        <f>IF(COUNTIFS(Artifact!$B$2:$B$385,B268,Artifact!$K$2:$K$385,"&gt;15")+COUNTIFS(Log!$A$2:$A$49,B268,Log!$H$2:$H$49,"Red")+COUNTIFS(Log!$A$2:$A$49,B268,Log!$I$2:$I$49,"Red")&gt;0,"No","Yes")</f>
        <v/>
      </c>
    </row>
    <row r="269">
      <c r="A269" t="inlineStr">
        <is>
          <t>SIMULATED Commercial FA Study</t>
        </is>
      </c>
      <c r="B269" t="inlineStr">
        <is>
          <t>P42</t>
        </is>
      </c>
      <c r="C269" t="inlineStr">
        <is>
          <t>M</t>
        </is>
      </c>
      <c r="D269" t="n">
        <v>18</v>
      </c>
      <c r="E269" t="inlineStr">
        <is>
          <t>B_C1first</t>
        </is>
      </c>
      <c r="F269" t="inlineStr">
        <is>
          <t>Stimulus</t>
        </is>
      </c>
      <c r="G269" t="inlineStr">
        <is>
          <t>Baseline_1</t>
        </is>
      </c>
      <c r="H269" t="n">
        <v>27000</v>
      </c>
      <c r="I269" t="n">
        <v>60000</v>
      </c>
      <c r="J269" t="inlineStr">
        <is>
          <t>Baseline_1</t>
        </is>
      </c>
      <c r="K269" s="4" t="n">
        <v>0.656</v>
      </c>
      <c r="L269" t="inlineStr">
        <is>
          <t>Frontal Asymmetry (Enobio EEG)</t>
        </is>
      </c>
      <c r="M269">
        <f>LEFT(E269,1)</f>
        <v/>
      </c>
      <c r="N269">
        <f>MID(E269,3,10)</f>
        <v/>
      </c>
      <c r="O269">
        <f>IF(F269="Stimulus",IF(LEFT(G269,8)="Baseline",G269,IF(LEFT(G269,12)="Commercial_1","C1","C2")),IF(G269="KeyScene","KeyScene",IF(LEFT(J269,12)="Commercial_1","EndScene_C1","EndScene_C2")))</f>
        <v/>
      </c>
      <c r="P269">
        <f>IF(COUNTIFS(Artifact!$B$2:$B$385,B269,Artifact!$K$2:$K$385,"&gt;25")+COUNTIFS(Log!$A$2:$A$49,B269,Log!$H$2:$H$49,"Red")+COUNTIFS(Log!$A$2:$A$49,B269,Log!$I$2:$I$49,"Red")&gt;0,"No","Yes")</f>
        <v/>
      </c>
      <c r="Q269">
        <f>IF(COUNTIFS(Artifact!$B$2:$B$385,B269,Artifact!$K$2:$K$385,"&gt;15")+COUNTIFS(Log!$A$2:$A$49,B269,Log!$H$2:$H$49,"Red")+COUNTIFS(Log!$A$2:$A$49,B269,Log!$I$2:$I$49,"Red")&gt;0,"No","Yes")</f>
        <v/>
      </c>
    </row>
    <row r="270">
      <c r="A270" t="inlineStr">
        <is>
          <t>SIMULATED Commercial FA Study</t>
        </is>
      </c>
      <c r="B270" t="inlineStr">
        <is>
          <t>P42</t>
        </is>
      </c>
      <c r="C270" t="inlineStr">
        <is>
          <t>M</t>
        </is>
      </c>
      <c r="D270" t="n">
        <v>18</v>
      </c>
      <c r="E270" t="inlineStr">
        <is>
          <t>B_C1first</t>
        </is>
      </c>
      <c r="F270" t="inlineStr">
        <is>
          <t>Stimulus</t>
        </is>
      </c>
      <c r="G270" t="inlineStr">
        <is>
          <t>Commercial_1B</t>
        </is>
      </c>
      <c r="H270" t="n">
        <v>87000</v>
      </c>
      <c r="I270" t="n">
        <v>54000</v>
      </c>
      <c r="J270" t="inlineStr">
        <is>
          <t>Commercial_1B</t>
        </is>
      </c>
      <c r="K270" s="4" t="n">
        <v>0.6192</v>
      </c>
      <c r="L270" t="inlineStr">
        <is>
          <t>Frontal Asymmetry (Enobio EEG)</t>
        </is>
      </c>
      <c r="M270">
        <f>LEFT(E270,1)</f>
        <v/>
      </c>
      <c r="N270">
        <f>MID(E270,3,10)</f>
        <v/>
      </c>
      <c r="O270">
        <f>IF(F270="Stimulus",IF(LEFT(G270,8)="Baseline",G270,IF(LEFT(G270,12)="Commercial_1","C1","C2")),IF(G270="KeyScene","KeyScene",IF(LEFT(J270,12)="Commercial_1","EndScene_C1","EndScene_C2")))</f>
        <v/>
      </c>
      <c r="P270">
        <f>IF(COUNTIFS(Artifact!$B$2:$B$385,B270,Artifact!$K$2:$K$385,"&gt;25")+COUNTIFS(Log!$A$2:$A$49,B270,Log!$H$2:$H$49,"Red")+COUNTIFS(Log!$A$2:$A$49,B270,Log!$I$2:$I$49,"Red")&gt;0,"No","Yes")</f>
        <v/>
      </c>
      <c r="Q270">
        <f>IF(COUNTIFS(Artifact!$B$2:$B$385,B270,Artifact!$K$2:$K$385,"&gt;15")+COUNTIFS(Log!$A$2:$A$49,B270,Log!$H$2:$H$49,"Red")+COUNTIFS(Log!$A$2:$A$49,B270,Log!$I$2:$I$49,"Red")&gt;0,"No","Yes")</f>
        <v/>
      </c>
    </row>
    <row r="271">
      <c r="A271" t="inlineStr">
        <is>
          <t>SIMULATED Commercial FA Study</t>
        </is>
      </c>
      <c r="B271" t="inlineStr">
        <is>
          <t>P42</t>
        </is>
      </c>
      <c r="C271" t="inlineStr">
        <is>
          <t>M</t>
        </is>
      </c>
      <c r="D271" t="n">
        <v>18</v>
      </c>
      <c r="E271" t="inlineStr">
        <is>
          <t>B_C1first</t>
        </is>
      </c>
      <c r="F271" t="inlineStr">
        <is>
          <t>Stimulus</t>
        </is>
      </c>
      <c r="G271" t="inlineStr">
        <is>
          <t>Baseline_2</t>
        </is>
      </c>
      <c r="H271" t="n">
        <v>166000</v>
      </c>
      <c r="I271" t="n">
        <v>60000</v>
      </c>
      <c r="J271" t="inlineStr">
        <is>
          <t>Baseline_2</t>
        </is>
      </c>
      <c r="K271" s="4" t="n">
        <v>0.6132</v>
      </c>
      <c r="L271" t="inlineStr">
        <is>
          <t>Frontal Asymmetry (Enobio EEG)</t>
        </is>
      </c>
      <c r="M271">
        <f>LEFT(E271,1)</f>
        <v/>
      </c>
      <c r="N271">
        <f>MID(E271,3,10)</f>
        <v/>
      </c>
      <c r="O271">
        <f>IF(F271="Stimulus",IF(LEFT(G271,8)="Baseline",G271,IF(LEFT(G271,12)="Commercial_1","C1","C2")),IF(G271="KeyScene","KeyScene",IF(LEFT(J271,12)="Commercial_1","EndScene_C1","EndScene_C2")))</f>
        <v/>
      </c>
      <c r="P271">
        <f>IF(COUNTIFS(Artifact!$B$2:$B$385,B271,Artifact!$K$2:$K$385,"&gt;25")+COUNTIFS(Log!$A$2:$A$49,B271,Log!$H$2:$H$49,"Red")+COUNTIFS(Log!$A$2:$A$49,B271,Log!$I$2:$I$49,"Red")&gt;0,"No","Yes")</f>
        <v/>
      </c>
      <c r="Q271">
        <f>IF(COUNTIFS(Artifact!$B$2:$B$385,B271,Artifact!$K$2:$K$385,"&gt;15")+COUNTIFS(Log!$A$2:$A$49,B271,Log!$H$2:$H$49,"Red")+COUNTIFS(Log!$A$2:$A$49,B271,Log!$I$2:$I$49,"Red")&gt;0,"No","Yes")</f>
        <v/>
      </c>
    </row>
    <row r="272">
      <c r="A272" t="inlineStr">
        <is>
          <t>SIMULATED Commercial FA Study</t>
        </is>
      </c>
      <c r="B272" t="inlineStr">
        <is>
          <t>P42</t>
        </is>
      </c>
      <c r="C272" t="inlineStr">
        <is>
          <t>M</t>
        </is>
      </c>
      <c r="D272" t="n">
        <v>18</v>
      </c>
      <c r="E272" t="inlineStr">
        <is>
          <t>B_C1first</t>
        </is>
      </c>
      <c r="F272" t="inlineStr">
        <is>
          <t>Stimulus</t>
        </is>
      </c>
      <c r="G272" t="inlineStr">
        <is>
          <t>Commercial_2</t>
        </is>
      </c>
      <c r="H272" t="n">
        <v>226000</v>
      </c>
      <c r="I272" t="n">
        <v>60000</v>
      </c>
      <c r="J272" t="inlineStr">
        <is>
          <t>Commercial_2</t>
        </is>
      </c>
      <c r="K272" s="4" t="n">
        <v>0.6773</v>
      </c>
      <c r="L272" t="inlineStr">
        <is>
          <t>Frontal Asymmetry (Enobio EEG)</t>
        </is>
      </c>
      <c r="M272">
        <f>LEFT(E272,1)</f>
        <v/>
      </c>
      <c r="N272">
        <f>MID(E272,3,10)</f>
        <v/>
      </c>
      <c r="O272">
        <f>IF(F272="Stimulus",IF(LEFT(G272,8)="Baseline",G272,IF(LEFT(G272,12)="Commercial_1","C1","C2")),IF(G272="KeyScene","KeyScene",IF(LEFT(J272,12)="Commercial_1","EndScene_C1","EndScene_C2")))</f>
        <v/>
      </c>
      <c r="P272">
        <f>IF(COUNTIFS(Artifact!$B$2:$B$385,B272,Artifact!$K$2:$K$385,"&gt;25")+COUNTIFS(Log!$A$2:$A$49,B272,Log!$H$2:$H$49,"Red")+COUNTIFS(Log!$A$2:$A$49,B272,Log!$I$2:$I$49,"Red")&gt;0,"No","Yes")</f>
        <v/>
      </c>
      <c r="Q272">
        <f>IF(COUNTIFS(Artifact!$B$2:$B$385,B272,Artifact!$K$2:$K$385,"&gt;15")+COUNTIFS(Log!$A$2:$A$49,B272,Log!$H$2:$H$49,"Red")+COUNTIFS(Log!$A$2:$A$49,B272,Log!$I$2:$I$49,"Red")&gt;0,"No","Yes")</f>
        <v/>
      </c>
    </row>
    <row r="273">
      <c r="A273" t="inlineStr">
        <is>
          <t>SIMULATED Commercial FA Study</t>
        </is>
      </c>
      <c r="B273" t="inlineStr">
        <is>
          <t>P42</t>
        </is>
      </c>
      <c r="C273" t="inlineStr">
        <is>
          <t>M</t>
        </is>
      </c>
      <c r="D273" t="n">
        <v>18</v>
      </c>
      <c r="E273" t="inlineStr">
        <is>
          <t>B_C1first</t>
        </is>
      </c>
      <c r="F273" t="inlineStr">
        <is>
          <t>Annotation</t>
        </is>
      </c>
      <c r="G273" t="inlineStr">
        <is>
          <t>EndScene</t>
        </is>
      </c>
      <c r="H273" t="n">
        <v>131000</v>
      </c>
      <c r="I273" t="n">
        <v>10000</v>
      </c>
      <c r="J273" t="inlineStr">
        <is>
          <t>Commercial_1B</t>
        </is>
      </c>
      <c r="K273" s="4" t="n">
        <v>0.5157</v>
      </c>
      <c r="L273" t="inlineStr">
        <is>
          <t>Frontal Asymmetry (Enobio EEG)</t>
        </is>
      </c>
      <c r="M273">
        <f>LEFT(E273,1)</f>
        <v/>
      </c>
      <c r="N273">
        <f>MID(E273,3,10)</f>
        <v/>
      </c>
      <c r="O273">
        <f>IF(F273="Stimulus",IF(LEFT(G273,8)="Baseline",G273,IF(LEFT(G273,12)="Commercial_1","C1","C2")),IF(G273="KeyScene","KeyScene",IF(LEFT(J273,12)="Commercial_1","EndScene_C1","EndScene_C2")))</f>
        <v/>
      </c>
      <c r="P273">
        <f>IF(COUNTIFS(Artifact!$B$2:$B$385,B273,Artifact!$K$2:$K$385,"&gt;25")+COUNTIFS(Log!$A$2:$A$49,B273,Log!$H$2:$H$49,"Red")+COUNTIFS(Log!$A$2:$A$49,B273,Log!$I$2:$I$49,"Red")&gt;0,"No","Yes")</f>
        <v/>
      </c>
      <c r="Q273">
        <f>IF(COUNTIFS(Artifact!$B$2:$B$385,B273,Artifact!$K$2:$K$385,"&gt;15")+COUNTIFS(Log!$A$2:$A$49,B273,Log!$H$2:$H$49,"Red")+COUNTIFS(Log!$A$2:$A$49,B273,Log!$I$2:$I$49,"Red")&gt;0,"No","Yes")</f>
        <v/>
      </c>
    </row>
    <row r="274">
      <c r="A274" t="inlineStr">
        <is>
          <t>SIMULATED Commercial FA Study</t>
        </is>
      </c>
      <c r="B274" t="inlineStr">
        <is>
          <t>P42</t>
        </is>
      </c>
      <c r="C274" t="inlineStr">
        <is>
          <t>M</t>
        </is>
      </c>
      <c r="D274" t="n">
        <v>18</v>
      </c>
      <c r="E274" t="inlineStr">
        <is>
          <t>B_C1first</t>
        </is>
      </c>
      <c r="F274" t="inlineStr">
        <is>
          <t>Annotation</t>
        </is>
      </c>
      <c r="G274" t="inlineStr">
        <is>
          <t>EndScene</t>
        </is>
      </c>
      <c r="H274" t="n">
        <v>276000</v>
      </c>
      <c r="I274" t="n">
        <v>10000</v>
      </c>
      <c r="J274" t="inlineStr">
        <is>
          <t>Commercial_2</t>
        </is>
      </c>
      <c r="K274" s="4" t="n">
        <v>0.776</v>
      </c>
      <c r="L274" t="inlineStr">
        <is>
          <t>Frontal Asymmetry (Enobio EEG)</t>
        </is>
      </c>
      <c r="M274">
        <f>LEFT(E274,1)</f>
        <v/>
      </c>
      <c r="N274">
        <f>MID(E274,3,10)</f>
        <v/>
      </c>
      <c r="O274">
        <f>IF(F274="Stimulus",IF(LEFT(G274,8)="Baseline",G274,IF(LEFT(G274,12)="Commercial_1","C1","C2")),IF(G274="KeyScene","KeyScene",IF(LEFT(J274,12)="Commercial_1","EndScene_C1","EndScene_C2")))</f>
        <v/>
      </c>
      <c r="P274">
        <f>IF(COUNTIFS(Artifact!$B$2:$B$385,B274,Artifact!$K$2:$K$385,"&gt;25")+COUNTIFS(Log!$A$2:$A$49,B274,Log!$H$2:$H$49,"Red")+COUNTIFS(Log!$A$2:$A$49,B274,Log!$I$2:$I$49,"Red")&gt;0,"No","Yes")</f>
        <v/>
      </c>
      <c r="Q274">
        <f>IF(COUNTIFS(Artifact!$B$2:$B$385,B274,Artifact!$K$2:$K$385,"&gt;15")+COUNTIFS(Log!$A$2:$A$49,B274,Log!$H$2:$H$49,"Red")+COUNTIFS(Log!$A$2:$A$49,B274,Log!$I$2:$I$49,"Red")&gt;0,"No","Yes")</f>
        <v/>
      </c>
    </row>
    <row r="275">
      <c r="A275" t="inlineStr">
        <is>
          <t>SIMULATED Commercial FA Study</t>
        </is>
      </c>
      <c r="B275" t="inlineStr">
        <is>
          <t>P43</t>
        </is>
      </c>
      <c r="C275" t="inlineStr">
        <is>
          <t>M</t>
        </is>
      </c>
      <c r="D275" t="n">
        <v>22</v>
      </c>
      <c r="E275" t="inlineStr">
        <is>
          <t>B_C2first</t>
        </is>
      </c>
      <c r="F275" t="inlineStr">
        <is>
          <t>Stimulus</t>
        </is>
      </c>
      <c r="G275" t="inlineStr">
        <is>
          <t>Baseline_1</t>
        </is>
      </c>
      <c r="H275" t="n">
        <v>21000</v>
      </c>
      <c r="I275" t="n">
        <v>60000</v>
      </c>
      <c r="J275" t="inlineStr">
        <is>
          <t>Baseline_1</t>
        </is>
      </c>
      <c r="K275" s="4" t="n">
        <v>0.501</v>
      </c>
      <c r="L275" t="inlineStr">
        <is>
          <t>Frontal Asymmetry (Enobio EEG)</t>
        </is>
      </c>
      <c r="M275">
        <f>LEFT(E275,1)</f>
        <v/>
      </c>
      <c r="N275">
        <f>MID(E275,3,10)</f>
        <v/>
      </c>
      <c r="O275">
        <f>IF(F275="Stimulus",IF(LEFT(G275,8)="Baseline",G275,IF(LEFT(G275,12)="Commercial_1","C1","C2")),IF(G275="KeyScene","KeyScene",IF(LEFT(J275,12)="Commercial_1","EndScene_C1","EndScene_C2")))</f>
        <v/>
      </c>
      <c r="P275">
        <f>IF(COUNTIFS(Artifact!$B$2:$B$385,B275,Artifact!$K$2:$K$385,"&gt;25")+COUNTIFS(Log!$A$2:$A$49,B275,Log!$H$2:$H$49,"Red")+COUNTIFS(Log!$A$2:$A$49,B275,Log!$I$2:$I$49,"Red")&gt;0,"No","Yes")</f>
        <v/>
      </c>
      <c r="Q275">
        <f>IF(COUNTIFS(Artifact!$B$2:$B$385,B275,Artifact!$K$2:$K$385,"&gt;15")+COUNTIFS(Log!$A$2:$A$49,B275,Log!$H$2:$H$49,"Red")+COUNTIFS(Log!$A$2:$A$49,B275,Log!$I$2:$I$49,"Red")&gt;0,"No","Yes")</f>
        <v/>
      </c>
    </row>
    <row r="276">
      <c r="A276" t="inlineStr">
        <is>
          <t>SIMULATED Commercial FA Study</t>
        </is>
      </c>
      <c r="B276" t="inlineStr">
        <is>
          <t>P43</t>
        </is>
      </c>
      <c r="C276" t="inlineStr">
        <is>
          <t>M</t>
        </is>
      </c>
      <c r="D276" t="n">
        <v>22</v>
      </c>
      <c r="E276" t="inlineStr">
        <is>
          <t>B_C2first</t>
        </is>
      </c>
      <c r="F276" t="inlineStr">
        <is>
          <t>Stimulus</t>
        </is>
      </c>
      <c r="G276" t="inlineStr">
        <is>
          <t>Commercial_2</t>
        </is>
      </c>
      <c r="H276" t="n">
        <v>81000</v>
      </c>
      <c r="I276" t="n">
        <v>60000</v>
      </c>
      <c r="J276" t="inlineStr">
        <is>
          <t>Commercial_2</t>
        </is>
      </c>
      <c r="K276" s="4" t="n">
        <v>0.4935</v>
      </c>
      <c r="L276" t="inlineStr">
        <is>
          <t>Frontal Asymmetry (Enobio EEG)</t>
        </is>
      </c>
      <c r="M276">
        <f>LEFT(E276,1)</f>
        <v/>
      </c>
      <c r="N276">
        <f>MID(E276,3,10)</f>
        <v/>
      </c>
      <c r="O276">
        <f>IF(F276="Stimulus",IF(LEFT(G276,8)="Baseline",G276,IF(LEFT(G276,12)="Commercial_1","C1","C2")),IF(G276="KeyScene","KeyScene",IF(LEFT(J276,12)="Commercial_1","EndScene_C1","EndScene_C2")))</f>
        <v/>
      </c>
      <c r="P276">
        <f>IF(COUNTIFS(Artifact!$B$2:$B$385,B276,Artifact!$K$2:$K$385,"&gt;25")+COUNTIFS(Log!$A$2:$A$49,B276,Log!$H$2:$H$49,"Red")+COUNTIFS(Log!$A$2:$A$49,B276,Log!$I$2:$I$49,"Red")&gt;0,"No","Yes")</f>
        <v/>
      </c>
      <c r="Q276">
        <f>IF(COUNTIFS(Artifact!$B$2:$B$385,B276,Artifact!$K$2:$K$385,"&gt;15")+COUNTIFS(Log!$A$2:$A$49,B276,Log!$H$2:$H$49,"Red")+COUNTIFS(Log!$A$2:$A$49,B276,Log!$I$2:$I$49,"Red")&gt;0,"No","Yes")</f>
        <v/>
      </c>
    </row>
    <row r="277">
      <c r="A277" t="inlineStr">
        <is>
          <t>SIMULATED Commercial FA Study</t>
        </is>
      </c>
      <c r="B277" t="inlineStr">
        <is>
          <t>P43</t>
        </is>
      </c>
      <c r="C277" t="inlineStr">
        <is>
          <t>M</t>
        </is>
      </c>
      <c r="D277" t="n">
        <v>22</v>
      </c>
      <c r="E277" t="inlineStr">
        <is>
          <t>B_C2first</t>
        </is>
      </c>
      <c r="F277" t="inlineStr">
        <is>
          <t>Stimulus</t>
        </is>
      </c>
      <c r="G277" t="inlineStr">
        <is>
          <t>Baseline_2</t>
        </is>
      </c>
      <c r="H277" t="n">
        <v>175000</v>
      </c>
      <c r="I277" t="n">
        <v>60000</v>
      </c>
      <c r="J277" t="inlineStr">
        <is>
          <t>Baseline_2</t>
        </is>
      </c>
      <c r="K277" s="4" t="n">
        <v>0.4738</v>
      </c>
      <c r="L277" t="inlineStr">
        <is>
          <t>Frontal Asymmetry (Enobio EEG)</t>
        </is>
      </c>
      <c r="M277">
        <f>LEFT(E277,1)</f>
        <v/>
      </c>
      <c r="N277">
        <f>MID(E277,3,10)</f>
        <v/>
      </c>
      <c r="O277">
        <f>IF(F277="Stimulus",IF(LEFT(G277,8)="Baseline",G277,IF(LEFT(G277,12)="Commercial_1","C1","C2")),IF(G277="KeyScene","KeyScene",IF(LEFT(J277,12)="Commercial_1","EndScene_C1","EndScene_C2")))</f>
        <v/>
      </c>
      <c r="P277">
        <f>IF(COUNTIFS(Artifact!$B$2:$B$385,B277,Artifact!$K$2:$K$385,"&gt;25")+COUNTIFS(Log!$A$2:$A$49,B277,Log!$H$2:$H$49,"Red")+COUNTIFS(Log!$A$2:$A$49,B277,Log!$I$2:$I$49,"Red")&gt;0,"No","Yes")</f>
        <v/>
      </c>
      <c r="Q277">
        <f>IF(COUNTIFS(Artifact!$B$2:$B$385,B277,Artifact!$K$2:$K$385,"&gt;15")+COUNTIFS(Log!$A$2:$A$49,B277,Log!$H$2:$H$49,"Red")+COUNTIFS(Log!$A$2:$A$49,B277,Log!$I$2:$I$49,"Red")&gt;0,"No","Yes")</f>
        <v/>
      </c>
    </row>
    <row r="278">
      <c r="A278" t="inlineStr">
        <is>
          <t>SIMULATED Commercial FA Study</t>
        </is>
      </c>
      <c r="B278" t="inlineStr">
        <is>
          <t>P43</t>
        </is>
      </c>
      <c r="C278" t="inlineStr">
        <is>
          <t>M</t>
        </is>
      </c>
      <c r="D278" t="n">
        <v>22</v>
      </c>
      <c r="E278" t="inlineStr">
        <is>
          <t>B_C2first</t>
        </is>
      </c>
      <c r="F278" t="inlineStr">
        <is>
          <t>Stimulus</t>
        </is>
      </c>
      <c r="G278" t="inlineStr">
        <is>
          <t>Commercial_1B</t>
        </is>
      </c>
      <c r="H278" t="n">
        <v>235000</v>
      </c>
      <c r="I278" t="n">
        <v>54000</v>
      </c>
      <c r="J278" t="inlineStr">
        <is>
          <t>Commercial_1B</t>
        </is>
      </c>
      <c r="K278" s="4" t="n">
        <v>0.4393</v>
      </c>
      <c r="L278" t="inlineStr">
        <is>
          <t>Frontal Asymmetry (Enobio EEG)</t>
        </is>
      </c>
      <c r="M278">
        <f>LEFT(E278,1)</f>
        <v/>
      </c>
      <c r="N278">
        <f>MID(E278,3,10)</f>
        <v/>
      </c>
      <c r="O278">
        <f>IF(F278="Stimulus",IF(LEFT(G278,8)="Baseline",G278,IF(LEFT(G278,12)="Commercial_1","C1","C2")),IF(G278="KeyScene","KeyScene",IF(LEFT(J278,12)="Commercial_1","EndScene_C1","EndScene_C2")))</f>
        <v/>
      </c>
      <c r="P278">
        <f>IF(COUNTIFS(Artifact!$B$2:$B$385,B278,Artifact!$K$2:$K$385,"&gt;25")+COUNTIFS(Log!$A$2:$A$49,B278,Log!$H$2:$H$49,"Red")+COUNTIFS(Log!$A$2:$A$49,B278,Log!$I$2:$I$49,"Red")&gt;0,"No","Yes")</f>
        <v/>
      </c>
      <c r="Q278">
        <f>IF(COUNTIFS(Artifact!$B$2:$B$385,B278,Artifact!$K$2:$K$385,"&gt;15")+COUNTIFS(Log!$A$2:$A$49,B278,Log!$H$2:$H$49,"Red")+COUNTIFS(Log!$A$2:$A$49,B278,Log!$I$2:$I$49,"Red")&gt;0,"No","Yes")</f>
        <v/>
      </c>
    </row>
    <row r="279">
      <c r="A279" t="inlineStr">
        <is>
          <t>SIMULATED Commercial FA Study</t>
        </is>
      </c>
      <c r="B279" t="inlineStr">
        <is>
          <t>P43</t>
        </is>
      </c>
      <c r="C279" t="inlineStr">
        <is>
          <t>M</t>
        </is>
      </c>
      <c r="D279" t="n">
        <v>22</v>
      </c>
      <c r="E279" t="inlineStr">
        <is>
          <t>B_C2first</t>
        </is>
      </c>
      <c r="F279" t="inlineStr">
        <is>
          <t>Annotation</t>
        </is>
      </c>
      <c r="G279" t="inlineStr">
        <is>
          <t>EndScene</t>
        </is>
      </c>
      <c r="H279" t="n">
        <v>131000</v>
      </c>
      <c r="I279" t="n">
        <v>10000</v>
      </c>
      <c r="J279" t="inlineStr">
        <is>
          <t>Commercial_2</t>
        </is>
      </c>
      <c r="K279" s="4" t="n">
        <v>0.5642</v>
      </c>
      <c r="L279" t="inlineStr">
        <is>
          <t>Frontal Asymmetry (Enobio EEG)</t>
        </is>
      </c>
      <c r="M279">
        <f>LEFT(E279,1)</f>
        <v/>
      </c>
      <c r="N279">
        <f>MID(E279,3,10)</f>
        <v/>
      </c>
      <c r="O279">
        <f>IF(F279="Stimulus",IF(LEFT(G279,8)="Baseline",G279,IF(LEFT(G279,12)="Commercial_1","C1","C2")),IF(G279="KeyScene","KeyScene",IF(LEFT(J279,12)="Commercial_1","EndScene_C1","EndScene_C2")))</f>
        <v/>
      </c>
      <c r="P279">
        <f>IF(COUNTIFS(Artifact!$B$2:$B$385,B279,Artifact!$K$2:$K$385,"&gt;25")+COUNTIFS(Log!$A$2:$A$49,B279,Log!$H$2:$H$49,"Red")+COUNTIFS(Log!$A$2:$A$49,B279,Log!$I$2:$I$49,"Red")&gt;0,"No","Yes")</f>
        <v/>
      </c>
      <c r="Q279">
        <f>IF(COUNTIFS(Artifact!$B$2:$B$385,B279,Artifact!$K$2:$K$385,"&gt;15")+COUNTIFS(Log!$A$2:$A$49,B279,Log!$H$2:$H$49,"Red")+COUNTIFS(Log!$A$2:$A$49,B279,Log!$I$2:$I$49,"Red")&gt;0,"No","Yes")</f>
        <v/>
      </c>
    </row>
    <row r="280">
      <c r="A280" t="inlineStr">
        <is>
          <t>SIMULATED Commercial FA Study</t>
        </is>
      </c>
      <c r="B280" t="inlineStr">
        <is>
          <t>P43</t>
        </is>
      </c>
      <c r="C280" t="inlineStr">
        <is>
          <t>M</t>
        </is>
      </c>
      <c r="D280" t="n">
        <v>22</v>
      </c>
      <c r="E280" t="inlineStr">
        <is>
          <t>B_C2first</t>
        </is>
      </c>
      <c r="F280" t="inlineStr">
        <is>
          <t>Annotation</t>
        </is>
      </c>
      <c r="G280" t="inlineStr">
        <is>
          <t>EndScene</t>
        </is>
      </c>
      <c r="H280" t="n">
        <v>279000</v>
      </c>
      <c r="I280" t="n">
        <v>10000</v>
      </c>
      <c r="J280" t="inlineStr">
        <is>
          <t>Commercial_1B</t>
        </is>
      </c>
      <c r="K280" s="4" t="n">
        <v>0.5041</v>
      </c>
      <c r="L280" t="inlineStr">
        <is>
          <t>Frontal Asymmetry (Enobio EEG)</t>
        </is>
      </c>
      <c r="M280">
        <f>LEFT(E280,1)</f>
        <v/>
      </c>
      <c r="N280">
        <f>MID(E280,3,10)</f>
        <v/>
      </c>
      <c r="O280">
        <f>IF(F280="Stimulus",IF(LEFT(G280,8)="Baseline",G280,IF(LEFT(G280,12)="Commercial_1","C1","C2")),IF(G280="KeyScene","KeyScene",IF(LEFT(J280,12)="Commercial_1","EndScene_C1","EndScene_C2")))</f>
        <v/>
      </c>
      <c r="P280">
        <f>IF(COUNTIFS(Artifact!$B$2:$B$385,B280,Artifact!$K$2:$K$385,"&gt;25")+COUNTIFS(Log!$A$2:$A$49,B280,Log!$H$2:$H$49,"Red")+COUNTIFS(Log!$A$2:$A$49,B280,Log!$I$2:$I$49,"Red")&gt;0,"No","Yes")</f>
        <v/>
      </c>
      <c r="Q280">
        <f>IF(COUNTIFS(Artifact!$B$2:$B$385,B280,Artifact!$K$2:$K$385,"&gt;15")+COUNTIFS(Log!$A$2:$A$49,B280,Log!$H$2:$H$49,"Red")+COUNTIFS(Log!$A$2:$A$49,B280,Log!$I$2:$I$49,"Red")&gt;0,"No","Yes")</f>
        <v/>
      </c>
    </row>
    <row r="281">
      <c r="A281" t="inlineStr">
        <is>
          <t>SIMULATED Commercial FA Study</t>
        </is>
      </c>
      <c r="B281" t="inlineStr">
        <is>
          <t>P44</t>
        </is>
      </c>
      <c r="C281" t="inlineStr">
        <is>
          <t>F</t>
        </is>
      </c>
      <c r="D281" t="n">
        <v>20</v>
      </c>
      <c r="E281" t="inlineStr">
        <is>
          <t>A_C2first</t>
        </is>
      </c>
      <c r="F281" t="inlineStr">
        <is>
          <t>Stimulus</t>
        </is>
      </c>
      <c r="G281" t="inlineStr">
        <is>
          <t>Baseline_1</t>
        </is>
      </c>
      <c r="H281" t="n">
        <v>22000</v>
      </c>
      <c r="I281" t="n">
        <v>60000</v>
      </c>
      <c r="J281" t="inlineStr">
        <is>
          <t>Baseline_1</t>
        </is>
      </c>
      <c r="K281" s="4" t="n">
        <v>0.3288</v>
      </c>
      <c r="L281" t="inlineStr">
        <is>
          <t>Frontal Asymmetry (Enobio EEG)</t>
        </is>
      </c>
      <c r="M281">
        <f>LEFT(E281,1)</f>
        <v/>
      </c>
      <c r="N281">
        <f>MID(E281,3,10)</f>
        <v/>
      </c>
      <c r="O281">
        <f>IF(F281="Stimulus",IF(LEFT(G281,8)="Baseline",G281,IF(LEFT(G281,12)="Commercial_1","C1","C2")),IF(G281="KeyScene","KeyScene",IF(LEFT(J281,12)="Commercial_1","EndScene_C1","EndScene_C2")))</f>
        <v/>
      </c>
      <c r="P281">
        <f>IF(COUNTIFS(Artifact!$B$2:$B$385,B281,Artifact!$K$2:$K$385,"&gt;25")+COUNTIFS(Log!$A$2:$A$49,B281,Log!$H$2:$H$49,"Red")+COUNTIFS(Log!$A$2:$A$49,B281,Log!$I$2:$I$49,"Red")&gt;0,"No","Yes")</f>
        <v/>
      </c>
      <c r="Q281">
        <f>IF(COUNTIFS(Artifact!$B$2:$B$385,B281,Artifact!$K$2:$K$385,"&gt;15")+COUNTIFS(Log!$A$2:$A$49,B281,Log!$H$2:$H$49,"Red")+COUNTIFS(Log!$A$2:$A$49,B281,Log!$I$2:$I$49,"Red")&gt;0,"No","Yes")</f>
        <v/>
      </c>
    </row>
    <row r="282">
      <c r="A282" t="inlineStr">
        <is>
          <t>SIMULATED Commercial FA Study</t>
        </is>
      </c>
      <c r="B282" t="inlineStr">
        <is>
          <t>P44</t>
        </is>
      </c>
      <c r="C282" t="inlineStr">
        <is>
          <t>F</t>
        </is>
      </c>
      <c r="D282" t="n">
        <v>20</v>
      </c>
      <c r="E282" t="inlineStr">
        <is>
          <t>A_C2first</t>
        </is>
      </c>
      <c r="F282" t="inlineStr">
        <is>
          <t>Stimulus</t>
        </is>
      </c>
      <c r="G282" t="inlineStr">
        <is>
          <t>Commercial_2</t>
        </is>
      </c>
      <c r="H282" t="n">
        <v>82000</v>
      </c>
      <c r="I282" t="n">
        <v>60000</v>
      </c>
      <c r="J282" t="inlineStr">
        <is>
          <t>Commercial_2</t>
        </is>
      </c>
      <c r="K282" s="4" t="n">
        <v>0.3165</v>
      </c>
      <c r="L282" t="inlineStr">
        <is>
          <t>Frontal Asymmetry (Enobio EEG)</t>
        </is>
      </c>
      <c r="M282">
        <f>LEFT(E282,1)</f>
        <v/>
      </c>
      <c r="N282">
        <f>MID(E282,3,10)</f>
        <v/>
      </c>
      <c r="O282">
        <f>IF(F282="Stimulus",IF(LEFT(G282,8)="Baseline",G282,IF(LEFT(G282,12)="Commercial_1","C1","C2")),IF(G282="KeyScene","KeyScene",IF(LEFT(J282,12)="Commercial_1","EndScene_C1","EndScene_C2")))</f>
        <v/>
      </c>
      <c r="P282">
        <f>IF(COUNTIFS(Artifact!$B$2:$B$385,B282,Artifact!$K$2:$K$385,"&gt;25")+COUNTIFS(Log!$A$2:$A$49,B282,Log!$H$2:$H$49,"Red")+COUNTIFS(Log!$A$2:$A$49,B282,Log!$I$2:$I$49,"Red")&gt;0,"No","Yes")</f>
        <v/>
      </c>
      <c r="Q282">
        <f>IF(COUNTIFS(Artifact!$B$2:$B$385,B282,Artifact!$K$2:$K$385,"&gt;15")+COUNTIFS(Log!$A$2:$A$49,B282,Log!$H$2:$H$49,"Red")+COUNTIFS(Log!$A$2:$A$49,B282,Log!$I$2:$I$49,"Red")&gt;0,"No","Yes")</f>
        <v/>
      </c>
    </row>
    <row r="283">
      <c r="A283" t="inlineStr">
        <is>
          <t>SIMULATED Commercial FA Study</t>
        </is>
      </c>
      <c r="B283" t="inlineStr">
        <is>
          <t>P44</t>
        </is>
      </c>
      <c r="C283" t="inlineStr">
        <is>
          <t>F</t>
        </is>
      </c>
      <c r="D283" t="n">
        <v>20</v>
      </c>
      <c r="E283" t="inlineStr">
        <is>
          <t>A_C2first</t>
        </is>
      </c>
      <c r="F283" t="inlineStr">
        <is>
          <t>Stimulus</t>
        </is>
      </c>
      <c r="G283" t="inlineStr">
        <is>
          <t>Baseline_2</t>
        </is>
      </c>
      <c r="H283" t="n">
        <v>184000</v>
      </c>
      <c r="I283" t="n">
        <v>60000</v>
      </c>
      <c r="J283" t="inlineStr">
        <is>
          <t>Baseline_2</t>
        </is>
      </c>
      <c r="K283" s="4" t="n">
        <v>0.3842</v>
      </c>
      <c r="L283" t="inlineStr">
        <is>
          <t>Frontal Asymmetry (Enobio EEG)</t>
        </is>
      </c>
      <c r="M283">
        <f>LEFT(E283,1)</f>
        <v/>
      </c>
      <c r="N283">
        <f>MID(E283,3,10)</f>
        <v/>
      </c>
      <c r="O283">
        <f>IF(F283="Stimulus",IF(LEFT(G283,8)="Baseline",G283,IF(LEFT(G283,12)="Commercial_1","C1","C2")),IF(G283="KeyScene","KeyScene",IF(LEFT(J283,12)="Commercial_1","EndScene_C1","EndScene_C2")))</f>
        <v/>
      </c>
      <c r="P283">
        <f>IF(COUNTIFS(Artifact!$B$2:$B$385,B283,Artifact!$K$2:$K$385,"&gt;25")+COUNTIFS(Log!$A$2:$A$49,B283,Log!$H$2:$H$49,"Red")+COUNTIFS(Log!$A$2:$A$49,B283,Log!$I$2:$I$49,"Red")&gt;0,"No","Yes")</f>
        <v/>
      </c>
      <c r="Q283">
        <f>IF(COUNTIFS(Artifact!$B$2:$B$385,B283,Artifact!$K$2:$K$385,"&gt;15")+COUNTIFS(Log!$A$2:$A$49,B283,Log!$H$2:$H$49,"Red")+COUNTIFS(Log!$A$2:$A$49,B283,Log!$I$2:$I$49,"Red")&gt;0,"No","Yes")</f>
        <v/>
      </c>
    </row>
    <row r="284">
      <c r="A284" t="inlineStr">
        <is>
          <t>SIMULATED Commercial FA Study</t>
        </is>
      </c>
      <c r="B284" t="inlineStr">
        <is>
          <t>P44</t>
        </is>
      </c>
      <c r="C284" t="inlineStr">
        <is>
          <t>F</t>
        </is>
      </c>
      <c r="D284" t="n">
        <v>20</v>
      </c>
      <c r="E284" t="inlineStr">
        <is>
          <t>A_C2first</t>
        </is>
      </c>
      <c r="F284" t="inlineStr">
        <is>
          <t>Stimulus</t>
        </is>
      </c>
      <c r="G284" t="inlineStr">
        <is>
          <t>Commercial_1A</t>
        </is>
      </c>
      <c r="H284" t="n">
        <v>244000</v>
      </c>
      <c r="I284" t="n">
        <v>60000</v>
      </c>
      <c r="J284" t="inlineStr">
        <is>
          <t>Commercial_1A</t>
        </is>
      </c>
      <c r="K284" s="4" t="n">
        <v>0.363</v>
      </c>
      <c r="L284" t="inlineStr">
        <is>
          <t>Frontal Asymmetry (Enobio EEG)</t>
        </is>
      </c>
      <c r="M284">
        <f>LEFT(E284,1)</f>
        <v/>
      </c>
      <c r="N284">
        <f>MID(E284,3,10)</f>
        <v/>
      </c>
      <c r="O284">
        <f>IF(F284="Stimulus",IF(LEFT(G284,8)="Baseline",G284,IF(LEFT(G284,12)="Commercial_1","C1","C2")),IF(G284="KeyScene","KeyScene",IF(LEFT(J284,12)="Commercial_1","EndScene_C1","EndScene_C2")))</f>
        <v/>
      </c>
      <c r="P284">
        <f>IF(COUNTIFS(Artifact!$B$2:$B$385,B284,Artifact!$K$2:$K$385,"&gt;25")+COUNTIFS(Log!$A$2:$A$49,B284,Log!$H$2:$H$49,"Red")+COUNTIFS(Log!$A$2:$A$49,B284,Log!$I$2:$I$49,"Red")&gt;0,"No","Yes")</f>
        <v/>
      </c>
      <c r="Q284">
        <f>IF(COUNTIFS(Artifact!$B$2:$B$385,B284,Artifact!$K$2:$K$385,"&gt;15")+COUNTIFS(Log!$A$2:$A$49,B284,Log!$H$2:$H$49,"Red")+COUNTIFS(Log!$A$2:$A$49,B284,Log!$I$2:$I$49,"Red")&gt;0,"No","Yes")</f>
        <v/>
      </c>
    </row>
    <row r="285">
      <c r="A285" t="inlineStr">
        <is>
          <t>SIMULATED Commercial FA Study</t>
        </is>
      </c>
      <c r="B285" t="inlineStr">
        <is>
          <t>P44</t>
        </is>
      </c>
      <c r="C285" t="inlineStr">
        <is>
          <t>F</t>
        </is>
      </c>
      <c r="D285" t="n">
        <v>20</v>
      </c>
      <c r="E285" t="inlineStr">
        <is>
          <t>A_C2first</t>
        </is>
      </c>
      <c r="F285" t="inlineStr">
        <is>
          <t>Annotation</t>
        </is>
      </c>
      <c r="G285" t="inlineStr">
        <is>
          <t>EndScene</t>
        </is>
      </c>
      <c r="H285" t="n">
        <v>132000</v>
      </c>
      <c r="I285" t="n">
        <v>10000</v>
      </c>
      <c r="J285" t="inlineStr">
        <is>
          <t>Commercial_2</t>
        </is>
      </c>
      <c r="K285" s="4" t="n">
        <v>0.2368</v>
      </c>
      <c r="L285" t="inlineStr">
        <is>
          <t>Frontal Asymmetry (Enobio EEG)</t>
        </is>
      </c>
      <c r="M285">
        <f>LEFT(E285,1)</f>
        <v/>
      </c>
      <c r="N285">
        <f>MID(E285,3,10)</f>
        <v/>
      </c>
      <c r="O285">
        <f>IF(F285="Stimulus",IF(LEFT(G285,8)="Baseline",G285,IF(LEFT(G285,12)="Commercial_1","C1","C2")),IF(G285="KeyScene","KeyScene",IF(LEFT(J285,12)="Commercial_1","EndScene_C1","EndScene_C2")))</f>
        <v/>
      </c>
      <c r="P285">
        <f>IF(COUNTIFS(Artifact!$B$2:$B$385,B285,Artifact!$K$2:$K$385,"&gt;25")+COUNTIFS(Log!$A$2:$A$49,B285,Log!$H$2:$H$49,"Red")+COUNTIFS(Log!$A$2:$A$49,B285,Log!$I$2:$I$49,"Red")&gt;0,"No","Yes")</f>
        <v/>
      </c>
      <c r="Q285">
        <f>IF(COUNTIFS(Artifact!$B$2:$B$385,B285,Artifact!$K$2:$K$385,"&gt;15")+COUNTIFS(Log!$A$2:$A$49,B285,Log!$H$2:$H$49,"Red")+COUNTIFS(Log!$A$2:$A$49,B285,Log!$I$2:$I$49,"Red")&gt;0,"No","Yes")</f>
        <v/>
      </c>
    </row>
    <row r="286">
      <c r="A286" t="inlineStr">
        <is>
          <t>SIMULATED Commercial FA Study</t>
        </is>
      </c>
      <c r="B286" t="inlineStr">
        <is>
          <t>P44</t>
        </is>
      </c>
      <c r="C286" t="inlineStr">
        <is>
          <t>F</t>
        </is>
      </c>
      <c r="D286" t="n">
        <v>20</v>
      </c>
      <c r="E286" t="inlineStr">
        <is>
          <t>A_C2first</t>
        </is>
      </c>
      <c r="F286" t="inlineStr">
        <is>
          <t>Annotation</t>
        </is>
      </c>
      <c r="G286" t="inlineStr">
        <is>
          <t>KeyScene</t>
        </is>
      </c>
      <c r="H286" t="n">
        <v>276000</v>
      </c>
      <c r="I286" t="n">
        <v>6000</v>
      </c>
      <c r="J286" t="inlineStr">
        <is>
          <t>Commercial_1A</t>
        </is>
      </c>
      <c r="K286" s="4" t="n">
        <v>0.4761</v>
      </c>
      <c r="L286" t="inlineStr">
        <is>
          <t>Frontal Asymmetry (Enobio EEG)</t>
        </is>
      </c>
      <c r="M286">
        <f>LEFT(E286,1)</f>
        <v/>
      </c>
      <c r="N286">
        <f>MID(E286,3,10)</f>
        <v/>
      </c>
      <c r="O286">
        <f>IF(F286="Stimulus",IF(LEFT(G286,8)="Baseline",G286,IF(LEFT(G286,12)="Commercial_1","C1","C2")),IF(G286="KeyScene","KeyScene",IF(LEFT(J286,12)="Commercial_1","EndScene_C1","EndScene_C2")))</f>
        <v/>
      </c>
      <c r="P286">
        <f>IF(COUNTIFS(Artifact!$B$2:$B$385,B286,Artifact!$K$2:$K$385,"&gt;25")+COUNTIFS(Log!$A$2:$A$49,B286,Log!$H$2:$H$49,"Red")+COUNTIFS(Log!$A$2:$A$49,B286,Log!$I$2:$I$49,"Red")&gt;0,"No","Yes")</f>
        <v/>
      </c>
      <c r="Q286">
        <f>IF(COUNTIFS(Artifact!$B$2:$B$385,B286,Artifact!$K$2:$K$385,"&gt;15")+COUNTIFS(Log!$A$2:$A$49,B286,Log!$H$2:$H$49,"Red")+COUNTIFS(Log!$A$2:$A$49,B286,Log!$I$2:$I$49,"Red")&gt;0,"No","Yes")</f>
        <v/>
      </c>
    </row>
    <row r="287">
      <c r="A287" t="inlineStr">
        <is>
          <t>SIMULATED Commercial FA Study</t>
        </is>
      </c>
      <c r="B287" t="inlineStr">
        <is>
          <t>P44</t>
        </is>
      </c>
      <c r="C287" t="inlineStr">
        <is>
          <t>F</t>
        </is>
      </c>
      <c r="D287" t="n">
        <v>20</v>
      </c>
      <c r="E287" t="inlineStr">
        <is>
          <t>A_C2first</t>
        </is>
      </c>
      <c r="F287" t="inlineStr">
        <is>
          <t>Annotation</t>
        </is>
      </c>
      <c r="G287" t="inlineStr">
        <is>
          <t>EndScene</t>
        </is>
      </c>
      <c r="H287" t="n">
        <v>294000</v>
      </c>
      <c r="I287" t="n">
        <v>10000</v>
      </c>
      <c r="J287" t="inlineStr">
        <is>
          <t>Commercial_1A</t>
        </is>
      </c>
      <c r="K287" s="4" t="n">
        <v>0.3706</v>
      </c>
      <c r="L287" t="inlineStr">
        <is>
          <t>Frontal Asymmetry (Enobio EEG)</t>
        </is>
      </c>
      <c r="M287">
        <f>LEFT(E287,1)</f>
        <v/>
      </c>
      <c r="N287">
        <f>MID(E287,3,10)</f>
        <v/>
      </c>
      <c r="O287">
        <f>IF(F287="Stimulus",IF(LEFT(G287,8)="Baseline",G287,IF(LEFT(G287,12)="Commercial_1","C1","C2")),IF(G287="KeyScene","KeyScene",IF(LEFT(J287,12)="Commercial_1","EndScene_C1","EndScene_C2")))</f>
        <v/>
      </c>
      <c r="P287">
        <f>IF(COUNTIFS(Artifact!$B$2:$B$385,B287,Artifact!$K$2:$K$385,"&gt;25")+COUNTIFS(Log!$A$2:$A$49,B287,Log!$H$2:$H$49,"Red")+COUNTIFS(Log!$A$2:$A$49,B287,Log!$I$2:$I$49,"Red")&gt;0,"No","Yes")</f>
        <v/>
      </c>
      <c r="Q287">
        <f>IF(COUNTIFS(Artifact!$B$2:$B$385,B287,Artifact!$K$2:$K$385,"&gt;15")+COUNTIFS(Log!$A$2:$A$49,B287,Log!$H$2:$H$49,"Red")+COUNTIFS(Log!$A$2:$A$49,B287,Log!$I$2:$I$49,"Red")&gt;0,"No","Yes")</f>
        <v/>
      </c>
    </row>
    <row r="288">
      <c r="A288" t="inlineStr">
        <is>
          <t>SIMULATED Commercial FA Study</t>
        </is>
      </c>
      <c r="B288" t="inlineStr">
        <is>
          <t>P45</t>
        </is>
      </c>
      <c r="C288" t="inlineStr">
        <is>
          <t>F</t>
        </is>
      </c>
      <c r="D288" t="n">
        <v>21</v>
      </c>
      <c r="E288" t="inlineStr">
        <is>
          <t>B_C2first</t>
        </is>
      </c>
      <c r="F288" t="inlineStr">
        <is>
          <t>Stimulus</t>
        </is>
      </c>
      <c r="G288" t="inlineStr">
        <is>
          <t>Baseline_1</t>
        </is>
      </c>
      <c r="H288" t="n">
        <v>37000</v>
      </c>
      <c r="I288" t="n">
        <v>60000</v>
      </c>
      <c r="J288" t="inlineStr">
        <is>
          <t>Baseline_1</t>
        </is>
      </c>
      <c r="K288" s="4" t="n">
        <v>0.4907</v>
      </c>
      <c r="L288" t="inlineStr">
        <is>
          <t>Frontal Asymmetry (Enobio EEG)</t>
        </is>
      </c>
      <c r="M288">
        <f>LEFT(E288,1)</f>
        <v/>
      </c>
      <c r="N288">
        <f>MID(E288,3,10)</f>
        <v/>
      </c>
      <c r="O288">
        <f>IF(F288="Stimulus",IF(LEFT(G288,8)="Baseline",G288,IF(LEFT(G288,12)="Commercial_1","C1","C2")),IF(G288="KeyScene","KeyScene",IF(LEFT(J288,12)="Commercial_1","EndScene_C1","EndScene_C2")))</f>
        <v/>
      </c>
      <c r="P288">
        <f>IF(COUNTIFS(Artifact!$B$2:$B$385,B288,Artifact!$K$2:$K$385,"&gt;25")+COUNTIFS(Log!$A$2:$A$49,B288,Log!$H$2:$H$49,"Red")+COUNTIFS(Log!$A$2:$A$49,B288,Log!$I$2:$I$49,"Red")&gt;0,"No","Yes")</f>
        <v/>
      </c>
      <c r="Q288">
        <f>IF(COUNTIFS(Artifact!$B$2:$B$385,B288,Artifact!$K$2:$K$385,"&gt;15")+COUNTIFS(Log!$A$2:$A$49,B288,Log!$H$2:$H$49,"Red")+COUNTIFS(Log!$A$2:$A$49,B288,Log!$I$2:$I$49,"Red")&gt;0,"No","Yes")</f>
        <v/>
      </c>
    </row>
    <row r="289">
      <c r="A289" t="inlineStr">
        <is>
          <t>SIMULATED Commercial FA Study</t>
        </is>
      </c>
      <c r="B289" t="inlineStr">
        <is>
          <t>P45</t>
        </is>
      </c>
      <c r="C289" t="inlineStr">
        <is>
          <t>F</t>
        </is>
      </c>
      <c r="D289" t="n">
        <v>21</v>
      </c>
      <c r="E289" t="inlineStr">
        <is>
          <t>B_C2first</t>
        </is>
      </c>
      <c r="F289" t="inlineStr">
        <is>
          <t>Stimulus</t>
        </is>
      </c>
      <c r="G289" t="inlineStr">
        <is>
          <t>Commercial_2</t>
        </is>
      </c>
      <c r="H289" t="n">
        <v>97000</v>
      </c>
      <c r="I289" t="n">
        <v>60000</v>
      </c>
      <c r="J289" t="inlineStr">
        <is>
          <t>Commercial_2</t>
        </is>
      </c>
      <c r="K289" s="4" t="n">
        <v>0.4536</v>
      </c>
      <c r="L289" t="inlineStr">
        <is>
          <t>Frontal Asymmetry (Enobio EEG)</t>
        </is>
      </c>
      <c r="M289">
        <f>LEFT(E289,1)</f>
        <v/>
      </c>
      <c r="N289">
        <f>MID(E289,3,10)</f>
        <v/>
      </c>
      <c r="O289">
        <f>IF(F289="Stimulus",IF(LEFT(G289,8)="Baseline",G289,IF(LEFT(G289,12)="Commercial_1","C1","C2")),IF(G289="KeyScene","KeyScene",IF(LEFT(J289,12)="Commercial_1","EndScene_C1","EndScene_C2")))</f>
        <v/>
      </c>
      <c r="P289">
        <f>IF(COUNTIFS(Artifact!$B$2:$B$385,B289,Artifact!$K$2:$K$385,"&gt;25")+COUNTIFS(Log!$A$2:$A$49,B289,Log!$H$2:$H$49,"Red")+COUNTIFS(Log!$A$2:$A$49,B289,Log!$I$2:$I$49,"Red")&gt;0,"No","Yes")</f>
        <v/>
      </c>
      <c r="Q289">
        <f>IF(COUNTIFS(Artifact!$B$2:$B$385,B289,Artifact!$K$2:$K$385,"&gt;15")+COUNTIFS(Log!$A$2:$A$49,B289,Log!$H$2:$H$49,"Red")+COUNTIFS(Log!$A$2:$A$49,B289,Log!$I$2:$I$49,"Red")&gt;0,"No","Yes")</f>
        <v/>
      </c>
    </row>
    <row r="290">
      <c r="A290" t="inlineStr">
        <is>
          <t>SIMULATED Commercial FA Study</t>
        </is>
      </c>
      <c r="B290" t="inlineStr">
        <is>
          <t>P45</t>
        </is>
      </c>
      <c r="C290" t="inlineStr">
        <is>
          <t>F</t>
        </is>
      </c>
      <c r="D290" t="n">
        <v>21</v>
      </c>
      <c r="E290" t="inlineStr">
        <is>
          <t>B_C2first</t>
        </is>
      </c>
      <c r="F290" t="inlineStr">
        <is>
          <t>Stimulus</t>
        </is>
      </c>
      <c r="G290" t="inlineStr">
        <is>
          <t>Baseline_2</t>
        </is>
      </c>
      <c r="H290" t="n">
        <v>205000</v>
      </c>
      <c r="I290" t="n">
        <v>60000</v>
      </c>
      <c r="J290" t="inlineStr">
        <is>
          <t>Baseline_2</t>
        </is>
      </c>
      <c r="K290" s="4" t="n">
        <v>0.4271</v>
      </c>
      <c r="L290" t="inlineStr">
        <is>
          <t>Frontal Asymmetry (Enobio EEG)</t>
        </is>
      </c>
      <c r="M290">
        <f>LEFT(E290,1)</f>
        <v/>
      </c>
      <c r="N290">
        <f>MID(E290,3,10)</f>
        <v/>
      </c>
      <c r="O290">
        <f>IF(F290="Stimulus",IF(LEFT(G290,8)="Baseline",G290,IF(LEFT(G290,12)="Commercial_1","C1","C2")),IF(G290="KeyScene","KeyScene",IF(LEFT(J290,12)="Commercial_1","EndScene_C1","EndScene_C2")))</f>
        <v/>
      </c>
      <c r="P290">
        <f>IF(COUNTIFS(Artifact!$B$2:$B$385,B290,Artifact!$K$2:$K$385,"&gt;25")+COUNTIFS(Log!$A$2:$A$49,B290,Log!$H$2:$H$49,"Red")+COUNTIFS(Log!$A$2:$A$49,B290,Log!$I$2:$I$49,"Red")&gt;0,"No","Yes")</f>
        <v/>
      </c>
      <c r="Q290">
        <f>IF(COUNTIFS(Artifact!$B$2:$B$385,B290,Artifact!$K$2:$K$385,"&gt;15")+COUNTIFS(Log!$A$2:$A$49,B290,Log!$H$2:$H$49,"Red")+COUNTIFS(Log!$A$2:$A$49,B290,Log!$I$2:$I$49,"Red")&gt;0,"No","Yes")</f>
        <v/>
      </c>
    </row>
    <row r="291">
      <c r="A291" t="inlineStr">
        <is>
          <t>SIMULATED Commercial FA Study</t>
        </is>
      </c>
      <c r="B291" t="inlineStr">
        <is>
          <t>P45</t>
        </is>
      </c>
      <c r="C291" t="inlineStr">
        <is>
          <t>F</t>
        </is>
      </c>
      <c r="D291" t="n">
        <v>21</v>
      </c>
      <c r="E291" t="inlineStr">
        <is>
          <t>B_C2first</t>
        </is>
      </c>
      <c r="F291" t="inlineStr">
        <is>
          <t>Stimulus</t>
        </is>
      </c>
      <c r="G291" t="inlineStr">
        <is>
          <t>Commercial_1B</t>
        </is>
      </c>
      <c r="H291" t="n">
        <v>265000</v>
      </c>
      <c r="I291" t="n">
        <v>54000</v>
      </c>
      <c r="J291" t="inlineStr">
        <is>
          <t>Commercial_1B</t>
        </is>
      </c>
      <c r="K291" s="4" t="n">
        <v>0.4628</v>
      </c>
      <c r="L291" t="inlineStr">
        <is>
          <t>Frontal Asymmetry (Enobio EEG)</t>
        </is>
      </c>
      <c r="M291">
        <f>LEFT(E291,1)</f>
        <v/>
      </c>
      <c r="N291">
        <f>MID(E291,3,10)</f>
        <v/>
      </c>
      <c r="O291">
        <f>IF(F291="Stimulus",IF(LEFT(G291,8)="Baseline",G291,IF(LEFT(G291,12)="Commercial_1","C1","C2")),IF(G291="KeyScene","KeyScene",IF(LEFT(J291,12)="Commercial_1","EndScene_C1","EndScene_C2")))</f>
        <v/>
      </c>
      <c r="P291">
        <f>IF(COUNTIFS(Artifact!$B$2:$B$385,B291,Artifact!$K$2:$K$385,"&gt;25")+COUNTIFS(Log!$A$2:$A$49,B291,Log!$H$2:$H$49,"Red")+COUNTIFS(Log!$A$2:$A$49,B291,Log!$I$2:$I$49,"Red")&gt;0,"No","Yes")</f>
        <v/>
      </c>
      <c r="Q291">
        <f>IF(COUNTIFS(Artifact!$B$2:$B$385,B291,Artifact!$K$2:$K$385,"&gt;15")+COUNTIFS(Log!$A$2:$A$49,B291,Log!$H$2:$H$49,"Red")+COUNTIFS(Log!$A$2:$A$49,B291,Log!$I$2:$I$49,"Red")&gt;0,"No","Yes")</f>
        <v/>
      </c>
    </row>
    <row r="292">
      <c r="A292" t="inlineStr">
        <is>
          <t>SIMULATED Commercial FA Study</t>
        </is>
      </c>
      <c r="B292" t="inlineStr">
        <is>
          <t>P45</t>
        </is>
      </c>
      <c r="C292" t="inlineStr">
        <is>
          <t>F</t>
        </is>
      </c>
      <c r="D292" t="n">
        <v>21</v>
      </c>
      <c r="E292" t="inlineStr">
        <is>
          <t>B_C2first</t>
        </is>
      </c>
      <c r="F292" t="inlineStr">
        <is>
          <t>Annotation</t>
        </is>
      </c>
      <c r="G292" t="inlineStr">
        <is>
          <t>EndScene</t>
        </is>
      </c>
      <c r="H292" t="n">
        <v>147000</v>
      </c>
      <c r="I292" t="n">
        <v>10000</v>
      </c>
      <c r="J292" t="inlineStr">
        <is>
          <t>Commercial_2</t>
        </is>
      </c>
      <c r="K292" s="4" t="n">
        <v>0.4732</v>
      </c>
      <c r="L292" t="inlineStr">
        <is>
          <t>Frontal Asymmetry (Enobio EEG)</t>
        </is>
      </c>
      <c r="M292">
        <f>LEFT(E292,1)</f>
        <v/>
      </c>
      <c r="N292">
        <f>MID(E292,3,10)</f>
        <v/>
      </c>
      <c r="O292">
        <f>IF(F292="Stimulus",IF(LEFT(G292,8)="Baseline",G292,IF(LEFT(G292,12)="Commercial_1","C1","C2")),IF(G292="KeyScene","KeyScene",IF(LEFT(J292,12)="Commercial_1","EndScene_C1","EndScene_C2")))</f>
        <v/>
      </c>
      <c r="P292">
        <f>IF(COUNTIFS(Artifact!$B$2:$B$385,B292,Artifact!$K$2:$K$385,"&gt;25")+COUNTIFS(Log!$A$2:$A$49,B292,Log!$H$2:$H$49,"Red")+COUNTIFS(Log!$A$2:$A$49,B292,Log!$I$2:$I$49,"Red")&gt;0,"No","Yes")</f>
        <v/>
      </c>
      <c r="Q292">
        <f>IF(COUNTIFS(Artifact!$B$2:$B$385,B292,Artifact!$K$2:$K$385,"&gt;15")+COUNTIFS(Log!$A$2:$A$49,B292,Log!$H$2:$H$49,"Red")+COUNTIFS(Log!$A$2:$A$49,B292,Log!$I$2:$I$49,"Red")&gt;0,"No","Yes")</f>
        <v/>
      </c>
    </row>
    <row r="293">
      <c r="A293" t="inlineStr">
        <is>
          <t>SIMULATED Commercial FA Study</t>
        </is>
      </c>
      <c r="B293" t="inlineStr">
        <is>
          <t>P45</t>
        </is>
      </c>
      <c r="C293" t="inlineStr">
        <is>
          <t>F</t>
        </is>
      </c>
      <c r="D293" t="n">
        <v>21</v>
      </c>
      <c r="E293" t="inlineStr">
        <is>
          <t>B_C2first</t>
        </is>
      </c>
      <c r="F293" t="inlineStr">
        <is>
          <t>Annotation</t>
        </is>
      </c>
      <c r="G293" t="inlineStr">
        <is>
          <t>EndScene</t>
        </is>
      </c>
      <c r="H293" t="n">
        <v>309000</v>
      </c>
      <c r="I293" t="n">
        <v>10000</v>
      </c>
      <c r="J293" t="inlineStr">
        <is>
          <t>Commercial_1B</t>
        </is>
      </c>
      <c r="K293" s="4" t="n">
        <v>0.3921</v>
      </c>
      <c r="L293" t="inlineStr">
        <is>
          <t>Frontal Asymmetry (Enobio EEG)</t>
        </is>
      </c>
      <c r="M293">
        <f>LEFT(E293,1)</f>
        <v/>
      </c>
      <c r="N293">
        <f>MID(E293,3,10)</f>
        <v/>
      </c>
      <c r="O293">
        <f>IF(F293="Stimulus",IF(LEFT(G293,8)="Baseline",G293,IF(LEFT(G293,12)="Commercial_1","C1","C2")),IF(G293="KeyScene","KeyScene",IF(LEFT(J293,12)="Commercial_1","EndScene_C1","EndScene_C2")))</f>
        <v/>
      </c>
      <c r="P293">
        <f>IF(COUNTIFS(Artifact!$B$2:$B$385,B293,Artifact!$K$2:$K$385,"&gt;25")+COUNTIFS(Log!$A$2:$A$49,B293,Log!$H$2:$H$49,"Red")+COUNTIFS(Log!$A$2:$A$49,B293,Log!$I$2:$I$49,"Red")&gt;0,"No","Yes")</f>
        <v/>
      </c>
      <c r="Q293">
        <f>IF(COUNTIFS(Artifact!$B$2:$B$385,B293,Artifact!$K$2:$K$385,"&gt;15")+COUNTIFS(Log!$A$2:$A$49,B293,Log!$H$2:$H$49,"Red")+COUNTIFS(Log!$A$2:$A$49,B293,Log!$I$2:$I$49,"Red")&gt;0,"No","Yes")</f>
        <v/>
      </c>
    </row>
    <row r="294">
      <c r="A294" t="inlineStr">
        <is>
          <t>SIMULATED Commercial FA Study</t>
        </is>
      </c>
      <c r="B294" t="inlineStr">
        <is>
          <t>P46</t>
        </is>
      </c>
      <c r="C294" t="inlineStr">
        <is>
          <t>M</t>
        </is>
      </c>
      <c r="D294" t="n">
        <v>19</v>
      </c>
      <c r="E294" t="inlineStr">
        <is>
          <t>A_C2first</t>
        </is>
      </c>
      <c r="F294" t="inlineStr">
        <is>
          <t>Stimulus</t>
        </is>
      </c>
      <c r="G294" t="inlineStr">
        <is>
          <t>Baseline_1</t>
        </is>
      </c>
      <c r="H294" t="n">
        <v>25000</v>
      </c>
      <c r="I294" t="n">
        <v>60000</v>
      </c>
      <c r="J294" t="inlineStr">
        <is>
          <t>Baseline_1</t>
        </is>
      </c>
      <c r="K294" s="4" t="n">
        <v>0.7036</v>
      </c>
      <c r="L294" t="inlineStr">
        <is>
          <t>Frontal Asymmetry (Enobio EEG)</t>
        </is>
      </c>
      <c r="M294">
        <f>LEFT(E294,1)</f>
        <v/>
      </c>
      <c r="N294">
        <f>MID(E294,3,10)</f>
        <v/>
      </c>
      <c r="O294">
        <f>IF(F294="Stimulus",IF(LEFT(G294,8)="Baseline",G294,IF(LEFT(G294,12)="Commercial_1","C1","C2")),IF(G294="KeyScene","KeyScene",IF(LEFT(J294,12)="Commercial_1","EndScene_C1","EndScene_C2")))</f>
        <v/>
      </c>
      <c r="P294">
        <f>IF(COUNTIFS(Artifact!$B$2:$B$385,B294,Artifact!$K$2:$K$385,"&gt;25")+COUNTIFS(Log!$A$2:$A$49,B294,Log!$H$2:$H$49,"Red")+COUNTIFS(Log!$A$2:$A$49,B294,Log!$I$2:$I$49,"Red")&gt;0,"No","Yes")</f>
        <v/>
      </c>
      <c r="Q294">
        <f>IF(COUNTIFS(Artifact!$B$2:$B$385,B294,Artifact!$K$2:$K$385,"&gt;15")+COUNTIFS(Log!$A$2:$A$49,B294,Log!$H$2:$H$49,"Red")+COUNTIFS(Log!$A$2:$A$49,B294,Log!$I$2:$I$49,"Red")&gt;0,"No","Yes")</f>
        <v/>
      </c>
    </row>
    <row r="295">
      <c r="A295" t="inlineStr">
        <is>
          <t>SIMULATED Commercial FA Study</t>
        </is>
      </c>
      <c r="B295" t="inlineStr">
        <is>
          <t>P46</t>
        </is>
      </c>
      <c r="C295" t="inlineStr">
        <is>
          <t>M</t>
        </is>
      </c>
      <c r="D295" t="n">
        <v>19</v>
      </c>
      <c r="E295" t="inlineStr">
        <is>
          <t>A_C2first</t>
        </is>
      </c>
      <c r="F295" t="inlineStr">
        <is>
          <t>Stimulus</t>
        </is>
      </c>
      <c r="G295" t="inlineStr">
        <is>
          <t>Commercial_2</t>
        </is>
      </c>
      <c r="H295" t="n">
        <v>85000</v>
      </c>
      <c r="I295" t="n">
        <v>60000</v>
      </c>
      <c r="J295" t="inlineStr">
        <is>
          <t>Commercial_2</t>
        </is>
      </c>
      <c r="K295" s="4" t="n">
        <v>0.6979</v>
      </c>
      <c r="L295" t="inlineStr">
        <is>
          <t>Frontal Asymmetry (Enobio EEG)</t>
        </is>
      </c>
      <c r="M295">
        <f>LEFT(E295,1)</f>
        <v/>
      </c>
      <c r="N295">
        <f>MID(E295,3,10)</f>
        <v/>
      </c>
      <c r="O295">
        <f>IF(F295="Stimulus",IF(LEFT(G295,8)="Baseline",G295,IF(LEFT(G295,12)="Commercial_1","C1","C2")),IF(G295="KeyScene","KeyScene",IF(LEFT(J295,12)="Commercial_1","EndScene_C1","EndScene_C2")))</f>
        <v/>
      </c>
      <c r="P295">
        <f>IF(COUNTIFS(Artifact!$B$2:$B$385,B295,Artifact!$K$2:$K$385,"&gt;25")+COUNTIFS(Log!$A$2:$A$49,B295,Log!$H$2:$H$49,"Red")+COUNTIFS(Log!$A$2:$A$49,B295,Log!$I$2:$I$49,"Red")&gt;0,"No","Yes")</f>
        <v/>
      </c>
      <c r="Q295">
        <f>IF(COUNTIFS(Artifact!$B$2:$B$385,B295,Artifact!$K$2:$K$385,"&gt;15")+COUNTIFS(Log!$A$2:$A$49,B295,Log!$H$2:$H$49,"Red")+COUNTIFS(Log!$A$2:$A$49,B295,Log!$I$2:$I$49,"Red")&gt;0,"No","Yes")</f>
        <v/>
      </c>
    </row>
    <row r="296">
      <c r="A296" t="inlineStr">
        <is>
          <t>SIMULATED Commercial FA Study</t>
        </is>
      </c>
      <c r="B296" t="inlineStr">
        <is>
          <t>P46</t>
        </is>
      </c>
      <c r="C296" t="inlineStr">
        <is>
          <t>M</t>
        </is>
      </c>
      <c r="D296" t="n">
        <v>19</v>
      </c>
      <c r="E296" t="inlineStr">
        <is>
          <t>A_C2first</t>
        </is>
      </c>
      <c r="F296" t="inlineStr">
        <is>
          <t>Stimulus</t>
        </is>
      </c>
      <c r="G296" t="inlineStr">
        <is>
          <t>Baseline_2</t>
        </is>
      </c>
      <c r="H296" t="n">
        <v>201000</v>
      </c>
      <c r="I296" t="n">
        <v>60000</v>
      </c>
      <c r="J296" t="inlineStr">
        <is>
          <t>Baseline_2</t>
        </is>
      </c>
      <c r="K296" s="4" t="n">
        <v>0.6642</v>
      </c>
      <c r="L296" t="inlineStr">
        <is>
          <t>Frontal Asymmetry (Enobio EEG)</t>
        </is>
      </c>
      <c r="M296">
        <f>LEFT(E296,1)</f>
        <v/>
      </c>
      <c r="N296">
        <f>MID(E296,3,10)</f>
        <v/>
      </c>
      <c r="O296">
        <f>IF(F296="Stimulus",IF(LEFT(G296,8)="Baseline",G296,IF(LEFT(G296,12)="Commercial_1","C1","C2")),IF(G296="KeyScene","KeyScene",IF(LEFT(J296,12)="Commercial_1","EndScene_C1","EndScene_C2")))</f>
        <v/>
      </c>
      <c r="P296">
        <f>IF(COUNTIFS(Artifact!$B$2:$B$385,B296,Artifact!$K$2:$K$385,"&gt;25")+COUNTIFS(Log!$A$2:$A$49,B296,Log!$H$2:$H$49,"Red")+COUNTIFS(Log!$A$2:$A$49,B296,Log!$I$2:$I$49,"Red")&gt;0,"No","Yes")</f>
        <v/>
      </c>
      <c r="Q296">
        <f>IF(COUNTIFS(Artifact!$B$2:$B$385,B296,Artifact!$K$2:$K$385,"&gt;15")+COUNTIFS(Log!$A$2:$A$49,B296,Log!$H$2:$H$49,"Red")+COUNTIFS(Log!$A$2:$A$49,B296,Log!$I$2:$I$49,"Red")&gt;0,"No","Yes")</f>
        <v/>
      </c>
    </row>
    <row r="297">
      <c r="A297" t="inlineStr">
        <is>
          <t>SIMULATED Commercial FA Study</t>
        </is>
      </c>
      <c r="B297" t="inlineStr">
        <is>
          <t>P46</t>
        </is>
      </c>
      <c r="C297" t="inlineStr">
        <is>
          <t>M</t>
        </is>
      </c>
      <c r="D297" t="n">
        <v>19</v>
      </c>
      <c r="E297" t="inlineStr">
        <is>
          <t>A_C2first</t>
        </is>
      </c>
      <c r="F297" t="inlineStr">
        <is>
          <t>Stimulus</t>
        </is>
      </c>
      <c r="G297" t="inlineStr">
        <is>
          <t>Commercial_1A</t>
        </is>
      </c>
      <c r="H297" t="n">
        <v>261000</v>
      </c>
      <c r="I297" t="n">
        <v>60000</v>
      </c>
      <c r="J297" t="inlineStr">
        <is>
          <t>Commercial_1A</t>
        </is>
      </c>
      <c r="K297" s="4" t="n">
        <v>0.727</v>
      </c>
      <c r="L297" t="inlineStr">
        <is>
          <t>Frontal Asymmetry (Enobio EEG)</t>
        </is>
      </c>
      <c r="M297">
        <f>LEFT(E297,1)</f>
        <v/>
      </c>
      <c r="N297">
        <f>MID(E297,3,10)</f>
        <v/>
      </c>
      <c r="O297">
        <f>IF(F297="Stimulus",IF(LEFT(G297,8)="Baseline",G297,IF(LEFT(G297,12)="Commercial_1","C1","C2")),IF(G297="KeyScene","KeyScene",IF(LEFT(J297,12)="Commercial_1","EndScene_C1","EndScene_C2")))</f>
        <v/>
      </c>
      <c r="P297">
        <f>IF(COUNTIFS(Artifact!$B$2:$B$385,B297,Artifact!$K$2:$K$385,"&gt;25")+COUNTIFS(Log!$A$2:$A$49,B297,Log!$H$2:$H$49,"Red")+COUNTIFS(Log!$A$2:$A$49,B297,Log!$I$2:$I$49,"Red")&gt;0,"No","Yes")</f>
        <v/>
      </c>
      <c r="Q297">
        <f>IF(COUNTIFS(Artifact!$B$2:$B$385,B297,Artifact!$K$2:$K$385,"&gt;15")+COUNTIFS(Log!$A$2:$A$49,B297,Log!$H$2:$H$49,"Red")+COUNTIFS(Log!$A$2:$A$49,B297,Log!$I$2:$I$49,"Red")&gt;0,"No","Yes")</f>
        <v/>
      </c>
    </row>
    <row r="298">
      <c r="A298" t="inlineStr">
        <is>
          <t>SIMULATED Commercial FA Study</t>
        </is>
      </c>
      <c r="B298" t="inlineStr">
        <is>
          <t>P46</t>
        </is>
      </c>
      <c r="C298" t="inlineStr">
        <is>
          <t>M</t>
        </is>
      </c>
      <c r="D298" t="n">
        <v>19</v>
      </c>
      <c r="E298" t="inlineStr">
        <is>
          <t>A_C2first</t>
        </is>
      </c>
      <c r="F298" t="inlineStr">
        <is>
          <t>Annotation</t>
        </is>
      </c>
      <c r="G298" t="inlineStr">
        <is>
          <t>EndScene</t>
        </is>
      </c>
      <c r="H298" t="n">
        <v>135000</v>
      </c>
      <c r="I298" t="n">
        <v>10000</v>
      </c>
      <c r="J298" t="inlineStr">
        <is>
          <t>Commercial_2</t>
        </is>
      </c>
      <c r="K298" s="4" t="n">
        <v>0.6725</v>
      </c>
      <c r="L298" t="inlineStr">
        <is>
          <t>Frontal Asymmetry (Enobio EEG)</t>
        </is>
      </c>
      <c r="M298">
        <f>LEFT(E298,1)</f>
        <v/>
      </c>
      <c r="N298">
        <f>MID(E298,3,10)</f>
        <v/>
      </c>
      <c r="O298">
        <f>IF(F298="Stimulus",IF(LEFT(G298,8)="Baseline",G298,IF(LEFT(G298,12)="Commercial_1","C1","C2")),IF(G298="KeyScene","KeyScene",IF(LEFT(J298,12)="Commercial_1","EndScene_C1","EndScene_C2")))</f>
        <v/>
      </c>
      <c r="P298">
        <f>IF(COUNTIFS(Artifact!$B$2:$B$385,B298,Artifact!$K$2:$K$385,"&gt;25")+COUNTIFS(Log!$A$2:$A$49,B298,Log!$H$2:$H$49,"Red")+COUNTIFS(Log!$A$2:$A$49,B298,Log!$I$2:$I$49,"Red")&gt;0,"No","Yes")</f>
        <v/>
      </c>
      <c r="Q298">
        <f>IF(COUNTIFS(Artifact!$B$2:$B$385,B298,Artifact!$K$2:$K$385,"&gt;15")+COUNTIFS(Log!$A$2:$A$49,B298,Log!$H$2:$H$49,"Red")+COUNTIFS(Log!$A$2:$A$49,B298,Log!$I$2:$I$49,"Red")&gt;0,"No","Yes")</f>
        <v/>
      </c>
    </row>
    <row r="299">
      <c r="A299" t="inlineStr">
        <is>
          <t>SIMULATED Commercial FA Study</t>
        </is>
      </c>
      <c r="B299" t="inlineStr">
        <is>
          <t>P46</t>
        </is>
      </c>
      <c r="C299" t="inlineStr">
        <is>
          <t>M</t>
        </is>
      </c>
      <c r="D299" t="n">
        <v>19</v>
      </c>
      <c r="E299" t="inlineStr">
        <is>
          <t>A_C2first</t>
        </is>
      </c>
      <c r="F299" t="inlineStr">
        <is>
          <t>Annotation</t>
        </is>
      </c>
      <c r="G299" t="inlineStr">
        <is>
          <t>KeyScene</t>
        </is>
      </c>
      <c r="H299" t="n">
        <v>293000</v>
      </c>
      <c r="I299" t="n">
        <v>6000</v>
      </c>
      <c r="J299" t="inlineStr">
        <is>
          <t>Commercial_1A</t>
        </is>
      </c>
      <c r="K299" s="4" t="n">
        <v>0.7655</v>
      </c>
      <c r="L299" t="inlineStr">
        <is>
          <t>Frontal Asymmetry (Enobio EEG)</t>
        </is>
      </c>
      <c r="M299">
        <f>LEFT(E299,1)</f>
        <v/>
      </c>
      <c r="N299">
        <f>MID(E299,3,10)</f>
        <v/>
      </c>
      <c r="O299">
        <f>IF(F299="Stimulus",IF(LEFT(G299,8)="Baseline",G299,IF(LEFT(G299,12)="Commercial_1","C1","C2")),IF(G299="KeyScene","KeyScene",IF(LEFT(J299,12)="Commercial_1","EndScene_C1","EndScene_C2")))</f>
        <v/>
      </c>
      <c r="P299">
        <f>IF(COUNTIFS(Artifact!$B$2:$B$385,B299,Artifact!$K$2:$K$385,"&gt;25")+COUNTIFS(Log!$A$2:$A$49,B299,Log!$H$2:$H$49,"Red")+COUNTIFS(Log!$A$2:$A$49,B299,Log!$I$2:$I$49,"Red")&gt;0,"No","Yes")</f>
        <v/>
      </c>
      <c r="Q299">
        <f>IF(COUNTIFS(Artifact!$B$2:$B$385,B299,Artifact!$K$2:$K$385,"&gt;15")+COUNTIFS(Log!$A$2:$A$49,B299,Log!$H$2:$H$49,"Red")+COUNTIFS(Log!$A$2:$A$49,B299,Log!$I$2:$I$49,"Red")&gt;0,"No","Yes")</f>
        <v/>
      </c>
    </row>
    <row r="300">
      <c r="A300" t="inlineStr">
        <is>
          <t>SIMULATED Commercial FA Study</t>
        </is>
      </c>
      <c r="B300" t="inlineStr">
        <is>
          <t>P46</t>
        </is>
      </c>
      <c r="C300" t="inlineStr">
        <is>
          <t>M</t>
        </is>
      </c>
      <c r="D300" t="n">
        <v>19</v>
      </c>
      <c r="E300" t="inlineStr">
        <is>
          <t>A_C2first</t>
        </is>
      </c>
      <c r="F300" t="inlineStr">
        <is>
          <t>Annotation</t>
        </is>
      </c>
      <c r="G300" t="inlineStr">
        <is>
          <t>EndScene</t>
        </is>
      </c>
      <c r="H300" t="n">
        <v>311000</v>
      </c>
      <c r="I300" t="n">
        <v>10000</v>
      </c>
      <c r="J300" t="inlineStr">
        <is>
          <t>Commercial_1A</t>
        </is>
      </c>
      <c r="K300" s="4" t="n">
        <v>0.8067</v>
      </c>
      <c r="L300" t="inlineStr">
        <is>
          <t>Frontal Asymmetry (Enobio EEG)</t>
        </is>
      </c>
      <c r="M300">
        <f>LEFT(E300,1)</f>
        <v/>
      </c>
      <c r="N300">
        <f>MID(E300,3,10)</f>
        <v/>
      </c>
      <c r="O300">
        <f>IF(F300="Stimulus",IF(LEFT(G300,8)="Baseline",G300,IF(LEFT(G300,12)="Commercial_1","C1","C2")),IF(G300="KeyScene","KeyScene",IF(LEFT(J300,12)="Commercial_1","EndScene_C1","EndScene_C2")))</f>
        <v/>
      </c>
      <c r="P300">
        <f>IF(COUNTIFS(Artifact!$B$2:$B$385,B300,Artifact!$K$2:$K$385,"&gt;25")+COUNTIFS(Log!$A$2:$A$49,B300,Log!$H$2:$H$49,"Red")+COUNTIFS(Log!$A$2:$A$49,B300,Log!$I$2:$I$49,"Red")&gt;0,"No","Yes")</f>
        <v/>
      </c>
      <c r="Q300">
        <f>IF(COUNTIFS(Artifact!$B$2:$B$385,B300,Artifact!$K$2:$K$385,"&gt;15")+COUNTIFS(Log!$A$2:$A$49,B300,Log!$H$2:$H$49,"Red")+COUNTIFS(Log!$A$2:$A$49,B300,Log!$I$2:$I$49,"Red")&gt;0,"No","Yes")</f>
        <v/>
      </c>
    </row>
    <row r="301">
      <c r="A301" t="inlineStr">
        <is>
          <t>SIMULATED Commercial FA Study</t>
        </is>
      </c>
      <c r="B301" t="inlineStr">
        <is>
          <t>P47</t>
        </is>
      </c>
      <c r="C301" t="inlineStr">
        <is>
          <t>M</t>
        </is>
      </c>
      <c r="D301" t="n">
        <v>22</v>
      </c>
      <c r="E301" t="inlineStr">
        <is>
          <t>A_C1first</t>
        </is>
      </c>
      <c r="F301" t="inlineStr">
        <is>
          <t>Stimulus</t>
        </is>
      </c>
      <c r="G301" t="inlineStr">
        <is>
          <t>Baseline_1</t>
        </is>
      </c>
      <c r="H301" t="n">
        <v>27000</v>
      </c>
      <c r="I301" t="n">
        <v>60000</v>
      </c>
      <c r="J301" t="inlineStr">
        <is>
          <t>Baseline_1</t>
        </is>
      </c>
      <c r="K301" s="4" t="n">
        <v>0.6645</v>
      </c>
      <c r="L301" t="inlineStr">
        <is>
          <t>Frontal Asymmetry (Enobio EEG)</t>
        </is>
      </c>
      <c r="M301">
        <f>LEFT(E301,1)</f>
        <v/>
      </c>
      <c r="N301">
        <f>MID(E301,3,10)</f>
        <v/>
      </c>
      <c r="O301">
        <f>IF(F301="Stimulus",IF(LEFT(G301,8)="Baseline",G301,IF(LEFT(G301,12)="Commercial_1","C1","C2")),IF(G301="KeyScene","KeyScene",IF(LEFT(J301,12)="Commercial_1","EndScene_C1","EndScene_C2")))</f>
        <v/>
      </c>
      <c r="P301">
        <f>IF(COUNTIFS(Artifact!$B$2:$B$385,B301,Artifact!$K$2:$K$385,"&gt;25")+COUNTIFS(Log!$A$2:$A$49,B301,Log!$H$2:$H$49,"Red")+COUNTIFS(Log!$A$2:$A$49,B301,Log!$I$2:$I$49,"Red")&gt;0,"No","Yes")</f>
        <v/>
      </c>
      <c r="Q301">
        <f>IF(COUNTIFS(Artifact!$B$2:$B$385,B301,Artifact!$K$2:$K$385,"&gt;15")+COUNTIFS(Log!$A$2:$A$49,B301,Log!$H$2:$H$49,"Red")+COUNTIFS(Log!$A$2:$A$49,B301,Log!$I$2:$I$49,"Red")&gt;0,"No","Yes")</f>
        <v/>
      </c>
    </row>
    <row r="302">
      <c r="A302" t="inlineStr">
        <is>
          <t>SIMULATED Commercial FA Study</t>
        </is>
      </c>
      <c r="B302" t="inlineStr">
        <is>
          <t>P47</t>
        </is>
      </c>
      <c r="C302" t="inlineStr">
        <is>
          <t>M</t>
        </is>
      </c>
      <c r="D302" t="n">
        <v>22</v>
      </c>
      <c r="E302" t="inlineStr">
        <is>
          <t>A_C1first</t>
        </is>
      </c>
      <c r="F302" t="inlineStr">
        <is>
          <t>Stimulus</t>
        </is>
      </c>
      <c r="G302" t="inlineStr">
        <is>
          <t>Commercial_1A</t>
        </is>
      </c>
      <c r="H302" t="n">
        <v>87000</v>
      </c>
      <c r="I302" t="n">
        <v>60000</v>
      </c>
      <c r="J302" t="inlineStr">
        <is>
          <t>Commercial_1A</t>
        </is>
      </c>
      <c r="K302" s="4" t="n">
        <v>0.6259</v>
      </c>
      <c r="L302" t="inlineStr">
        <is>
          <t>Frontal Asymmetry (Enobio EEG)</t>
        </is>
      </c>
      <c r="M302">
        <f>LEFT(E302,1)</f>
        <v/>
      </c>
      <c r="N302">
        <f>MID(E302,3,10)</f>
        <v/>
      </c>
      <c r="O302">
        <f>IF(F302="Stimulus",IF(LEFT(G302,8)="Baseline",G302,IF(LEFT(G302,12)="Commercial_1","C1","C2")),IF(G302="KeyScene","KeyScene",IF(LEFT(J302,12)="Commercial_1","EndScene_C1","EndScene_C2")))</f>
        <v/>
      </c>
      <c r="P302">
        <f>IF(COUNTIFS(Artifact!$B$2:$B$385,B302,Artifact!$K$2:$K$385,"&gt;25")+COUNTIFS(Log!$A$2:$A$49,B302,Log!$H$2:$H$49,"Red")+COUNTIFS(Log!$A$2:$A$49,B302,Log!$I$2:$I$49,"Red")&gt;0,"No","Yes")</f>
        <v/>
      </c>
      <c r="Q302">
        <f>IF(COUNTIFS(Artifact!$B$2:$B$385,B302,Artifact!$K$2:$K$385,"&gt;15")+COUNTIFS(Log!$A$2:$A$49,B302,Log!$H$2:$H$49,"Red")+COUNTIFS(Log!$A$2:$A$49,B302,Log!$I$2:$I$49,"Red")&gt;0,"No","Yes")</f>
        <v/>
      </c>
    </row>
    <row r="303">
      <c r="A303" t="inlineStr">
        <is>
          <t>SIMULATED Commercial FA Study</t>
        </is>
      </c>
      <c r="B303" t="inlineStr">
        <is>
          <t>P47</t>
        </is>
      </c>
      <c r="C303" t="inlineStr">
        <is>
          <t>M</t>
        </is>
      </c>
      <c r="D303" t="n">
        <v>22</v>
      </c>
      <c r="E303" t="inlineStr">
        <is>
          <t>A_C1first</t>
        </is>
      </c>
      <c r="F303" t="inlineStr">
        <is>
          <t>Stimulus</t>
        </is>
      </c>
      <c r="G303" t="inlineStr">
        <is>
          <t>Baseline_2</t>
        </is>
      </c>
      <c r="H303" t="n">
        <v>186000</v>
      </c>
      <c r="I303" t="n">
        <v>60000</v>
      </c>
      <c r="J303" t="inlineStr">
        <is>
          <t>Baseline_2</t>
        </is>
      </c>
      <c r="K303" s="4" t="n">
        <v>0.5726</v>
      </c>
      <c r="L303" t="inlineStr">
        <is>
          <t>Frontal Asymmetry (Enobio EEG)</t>
        </is>
      </c>
      <c r="M303">
        <f>LEFT(E303,1)</f>
        <v/>
      </c>
      <c r="N303">
        <f>MID(E303,3,10)</f>
        <v/>
      </c>
      <c r="O303">
        <f>IF(F303="Stimulus",IF(LEFT(G303,8)="Baseline",G303,IF(LEFT(G303,12)="Commercial_1","C1","C2")),IF(G303="KeyScene","KeyScene",IF(LEFT(J303,12)="Commercial_1","EndScene_C1","EndScene_C2")))</f>
        <v/>
      </c>
      <c r="P303">
        <f>IF(COUNTIFS(Artifact!$B$2:$B$385,B303,Artifact!$K$2:$K$385,"&gt;25")+COUNTIFS(Log!$A$2:$A$49,B303,Log!$H$2:$H$49,"Red")+COUNTIFS(Log!$A$2:$A$49,B303,Log!$I$2:$I$49,"Red")&gt;0,"No","Yes")</f>
        <v/>
      </c>
      <c r="Q303">
        <f>IF(COUNTIFS(Artifact!$B$2:$B$385,B303,Artifact!$K$2:$K$385,"&gt;15")+COUNTIFS(Log!$A$2:$A$49,B303,Log!$H$2:$H$49,"Red")+COUNTIFS(Log!$A$2:$A$49,B303,Log!$I$2:$I$49,"Red")&gt;0,"No","Yes")</f>
        <v/>
      </c>
    </row>
    <row r="304">
      <c r="A304" t="inlineStr">
        <is>
          <t>SIMULATED Commercial FA Study</t>
        </is>
      </c>
      <c r="B304" t="inlineStr">
        <is>
          <t>P47</t>
        </is>
      </c>
      <c r="C304" t="inlineStr">
        <is>
          <t>M</t>
        </is>
      </c>
      <c r="D304" t="n">
        <v>22</v>
      </c>
      <c r="E304" t="inlineStr">
        <is>
          <t>A_C1first</t>
        </is>
      </c>
      <c r="F304" t="inlineStr">
        <is>
          <t>Stimulus</t>
        </is>
      </c>
      <c r="G304" t="inlineStr">
        <is>
          <t>Commercial_2</t>
        </is>
      </c>
      <c r="H304" t="n">
        <v>246000</v>
      </c>
      <c r="I304" t="n">
        <v>60000</v>
      </c>
      <c r="J304" t="inlineStr">
        <is>
          <t>Commercial_2</t>
        </is>
      </c>
      <c r="K304" s="4" t="n">
        <v>0.6369</v>
      </c>
      <c r="L304" t="inlineStr">
        <is>
          <t>Frontal Asymmetry (Enobio EEG)</t>
        </is>
      </c>
      <c r="M304">
        <f>LEFT(E304,1)</f>
        <v/>
      </c>
      <c r="N304">
        <f>MID(E304,3,10)</f>
        <v/>
      </c>
      <c r="O304">
        <f>IF(F304="Stimulus",IF(LEFT(G304,8)="Baseline",G304,IF(LEFT(G304,12)="Commercial_1","C1","C2")),IF(G304="KeyScene","KeyScene",IF(LEFT(J304,12)="Commercial_1","EndScene_C1","EndScene_C2")))</f>
        <v/>
      </c>
      <c r="P304">
        <f>IF(COUNTIFS(Artifact!$B$2:$B$385,B304,Artifact!$K$2:$K$385,"&gt;25")+COUNTIFS(Log!$A$2:$A$49,B304,Log!$H$2:$H$49,"Red")+COUNTIFS(Log!$A$2:$A$49,B304,Log!$I$2:$I$49,"Red")&gt;0,"No","Yes")</f>
        <v/>
      </c>
      <c r="Q304">
        <f>IF(COUNTIFS(Artifact!$B$2:$B$385,B304,Artifact!$K$2:$K$385,"&gt;15")+COUNTIFS(Log!$A$2:$A$49,B304,Log!$H$2:$H$49,"Red")+COUNTIFS(Log!$A$2:$A$49,B304,Log!$I$2:$I$49,"Red")&gt;0,"No","Yes")</f>
        <v/>
      </c>
    </row>
    <row r="305">
      <c r="A305" t="inlineStr">
        <is>
          <t>SIMULATED Commercial FA Study</t>
        </is>
      </c>
      <c r="B305" t="inlineStr">
        <is>
          <t>P47</t>
        </is>
      </c>
      <c r="C305" t="inlineStr">
        <is>
          <t>M</t>
        </is>
      </c>
      <c r="D305" t="n">
        <v>22</v>
      </c>
      <c r="E305" t="inlineStr">
        <is>
          <t>A_C1first</t>
        </is>
      </c>
      <c r="F305" t="inlineStr">
        <is>
          <t>Annotation</t>
        </is>
      </c>
      <c r="G305" t="inlineStr">
        <is>
          <t>KeyScene</t>
        </is>
      </c>
      <c r="H305" t="n">
        <v>119000</v>
      </c>
      <c r="I305" t="n">
        <v>6000</v>
      </c>
      <c r="J305" t="inlineStr">
        <is>
          <t>Commercial_1A</t>
        </is>
      </c>
      <c r="K305" s="4" t="n">
        <v>0.5149</v>
      </c>
      <c r="L305" t="inlineStr">
        <is>
          <t>Frontal Asymmetry (Enobio EEG)</t>
        </is>
      </c>
      <c r="M305">
        <f>LEFT(E305,1)</f>
        <v/>
      </c>
      <c r="N305">
        <f>MID(E305,3,10)</f>
        <v/>
      </c>
      <c r="O305">
        <f>IF(F305="Stimulus",IF(LEFT(G305,8)="Baseline",G305,IF(LEFT(G305,12)="Commercial_1","C1","C2")),IF(G305="KeyScene","KeyScene",IF(LEFT(J305,12)="Commercial_1","EndScene_C1","EndScene_C2")))</f>
        <v/>
      </c>
      <c r="P305">
        <f>IF(COUNTIFS(Artifact!$B$2:$B$385,B305,Artifact!$K$2:$K$385,"&gt;25")+COUNTIFS(Log!$A$2:$A$49,B305,Log!$H$2:$H$49,"Red")+COUNTIFS(Log!$A$2:$A$49,B305,Log!$I$2:$I$49,"Red")&gt;0,"No","Yes")</f>
        <v/>
      </c>
      <c r="Q305">
        <f>IF(COUNTIFS(Artifact!$B$2:$B$385,B305,Artifact!$K$2:$K$385,"&gt;15")+COUNTIFS(Log!$A$2:$A$49,B305,Log!$H$2:$H$49,"Red")+COUNTIFS(Log!$A$2:$A$49,B305,Log!$I$2:$I$49,"Red")&gt;0,"No","Yes")</f>
        <v/>
      </c>
    </row>
    <row r="306">
      <c r="A306" t="inlineStr">
        <is>
          <t>SIMULATED Commercial FA Study</t>
        </is>
      </c>
      <c r="B306" t="inlineStr">
        <is>
          <t>P47</t>
        </is>
      </c>
      <c r="C306" t="inlineStr">
        <is>
          <t>M</t>
        </is>
      </c>
      <c r="D306" t="n">
        <v>22</v>
      </c>
      <c r="E306" t="inlineStr">
        <is>
          <t>A_C1first</t>
        </is>
      </c>
      <c r="F306" t="inlineStr">
        <is>
          <t>Annotation</t>
        </is>
      </c>
      <c r="G306" t="inlineStr">
        <is>
          <t>EndScene</t>
        </is>
      </c>
      <c r="H306" t="n">
        <v>137000</v>
      </c>
      <c r="I306" t="n">
        <v>10000</v>
      </c>
      <c r="J306" t="inlineStr">
        <is>
          <t>Commercial_1A</t>
        </is>
      </c>
      <c r="K306" s="4" t="n">
        <v>0.7094</v>
      </c>
      <c r="L306" t="inlineStr">
        <is>
          <t>Frontal Asymmetry (Enobio EEG)</t>
        </is>
      </c>
      <c r="M306">
        <f>LEFT(E306,1)</f>
        <v/>
      </c>
      <c r="N306">
        <f>MID(E306,3,10)</f>
        <v/>
      </c>
      <c r="O306">
        <f>IF(F306="Stimulus",IF(LEFT(G306,8)="Baseline",G306,IF(LEFT(G306,12)="Commercial_1","C1","C2")),IF(G306="KeyScene","KeyScene",IF(LEFT(J306,12)="Commercial_1","EndScene_C1","EndScene_C2")))</f>
        <v/>
      </c>
      <c r="P306">
        <f>IF(COUNTIFS(Artifact!$B$2:$B$385,B306,Artifact!$K$2:$K$385,"&gt;25")+COUNTIFS(Log!$A$2:$A$49,B306,Log!$H$2:$H$49,"Red")+COUNTIFS(Log!$A$2:$A$49,B306,Log!$I$2:$I$49,"Red")&gt;0,"No","Yes")</f>
        <v/>
      </c>
      <c r="Q306">
        <f>IF(COUNTIFS(Artifact!$B$2:$B$385,B306,Artifact!$K$2:$K$385,"&gt;15")+COUNTIFS(Log!$A$2:$A$49,B306,Log!$H$2:$H$49,"Red")+COUNTIFS(Log!$A$2:$A$49,B306,Log!$I$2:$I$49,"Red")&gt;0,"No","Yes")</f>
        <v/>
      </c>
    </row>
    <row r="307">
      <c r="A307" t="inlineStr">
        <is>
          <t>SIMULATED Commercial FA Study</t>
        </is>
      </c>
      <c r="B307" t="inlineStr">
        <is>
          <t>P47</t>
        </is>
      </c>
      <c r="C307" t="inlineStr">
        <is>
          <t>M</t>
        </is>
      </c>
      <c r="D307" t="n">
        <v>22</v>
      </c>
      <c r="E307" t="inlineStr">
        <is>
          <t>A_C1first</t>
        </is>
      </c>
      <c r="F307" t="inlineStr">
        <is>
          <t>Annotation</t>
        </is>
      </c>
      <c r="G307" t="inlineStr">
        <is>
          <t>EndScene</t>
        </is>
      </c>
      <c r="H307" t="n">
        <v>296000</v>
      </c>
      <c r="I307" t="n">
        <v>10000</v>
      </c>
      <c r="J307" t="inlineStr">
        <is>
          <t>Commercial_2</t>
        </is>
      </c>
      <c r="K307" s="4" t="n">
        <v>0.5475</v>
      </c>
      <c r="L307" t="inlineStr">
        <is>
          <t>Frontal Asymmetry (Enobio EEG)</t>
        </is>
      </c>
      <c r="M307">
        <f>LEFT(E307,1)</f>
        <v/>
      </c>
      <c r="N307">
        <f>MID(E307,3,10)</f>
        <v/>
      </c>
      <c r="O307">
        <f>IF(F307="Stimulus",IF(LEFT(G307,8)="Baseline",G307,IF(LEFT(G307,12)="Commercial_1","C1","C2")),IF(G307="KeyScene","KeyScene",IF(LEFT(J307,12)="Commercial_1","EndScene_C1","EndScene_C2")))</f>
        <v/>
      </c>
      <c r="P307">
        <f>IF(COUNTIFS(Artifact!$B$2:$B$385,B307,Artifact!$K$2:$K$385,"&gt;25")+COUNTIFS(Log!$A$2:$A$49,B307,Log!$H$2:$H$49,"Red")+COUNTIFS(Log!$A$2:$A$49,B307,Log!$I$2:$I$49,"Red")&gt;0,"No","Yes")</f>
        <v/>
      </c>
      <c r="Q307">
        <f>IF(COUNTIFS(Artifact!$B$2:$B$385,B307,Artifact!$K$2:$K$385,"&gt;15")+COUNTIFS(Log!$A$2:$A$49,B307,Log!$H$2:$H$49,"Red")+COUNTIFS(Log!$A$2:$A$49,B307,Log!$I$2:$I$49,"Red")&gt;0,"No","Yes")</f>
        <v/>
      </c>
    </row>
    <row r="308">
      <c r="A308" t="inlineStr">
        <is>
          <t>SIMULATED Commercial FA Study</t>
        </is>
      </c>
      <c r="B308" t="inlineStr">
        <is>
          <t>P48</t>
        </is>
      </c>
      <c r="C308" t="inlineStr">
        <is>
          <t>F</t>
        </is>
      </c>
      <c r="D308" t="n">
        <v>21</v>
      </c>
      <c r="E308" t="inlineStr">
        <is>
          <t>B_C1first</t>
        </is>
      </c>
      <c r="F308" t="inlineStr">
        <is>
          <t>Stimulus</t>
        </is>
      </c>
      <c r="G308" t="inlineStr">
        <is>
          <t>Baseline_1</t>
        </is>
      </c>
      <c r="H308" t="n">
        <v>39000</v>
      </c>
      <c r="I308" t="n">
        <v>60000</v>
      </c>
      <c r="J308" t="inlineStr">
        <is>
          <t>Baseline_1</t>
        </is>
      </c>
      <c r="K308" s="4" t="n">
        <v>0.5261</v>
      </c>
      <c r="L308" t="inlineStr">
        <is>
          <t>Frontal Asymmetry (Enobio EEG)</t>
        </is>
      </c>
      <c r="M308">
        <f>LEFT(E308,1)</f>
        <v/>
      </c>
      <c r="N308">
        <f>MID(E308,3,10)</f>
        <v/>
      </c>
      <c r="O308">
        <f>IF(F308="Stimulus",IF(LEFT(G308,8)="Baseline",G308,IF(LEFT(G308,12)="Commercial_1","C1","C2")),IF(G308="KeyScene","KeyScene",IF(LEFT(J308,12)="Commercial_1","EndScene_C1","EndScene_C2")))</f>
        <v/>
      </c>
      <c r="P308">
        <f>IF(COUNTIFS(Artifact!$B$2:$B$385,B308,Artifact!$K$2:$K$385,"&gt;25")+COUNTIFS(Log!$A$2:$A$49,B308,Log!$H$2:$H$49,"Red")+COUNTIFS(Log!$A$2:$A$49,B308,Log!$I$2:$I$49,"Red")&gt;0,"No","Yes")</f>
        <v/>
      </c>
      <c r="Q308">
        <f>IF(COUNTIFS(Artifact!$B$2:$B$385,B308,Artifact!$K$2:$K$385,"&gt;15")+COUNTIFS(Log!$A$2:$A$49,B308,Log!$H$2:$H$49,"Red")+COUNTIFS(Log!$A$2:$A$49,B308,Log!$I$2:$I$49,"Red")&gt;0,"No","Yes")</f>
        <v/>
      </c>
    </row>
    <row r="309">
      <c r="A309" t="inlineStr">
        <is>
          <t>SIMULATED Commercial FA Study</t>
        </is>
      </c>
      <c r="B309" t="inlineStr">
        <is>
          <t>P48</t>
        </is>
      </c>
      <c r="C309" t="inlineStr">
        <is>
          <t>F</t>
        </is>
      </c>
      <c r="D309" t="n">
        <v>21</v>
      </c>
      <c r="E309" t="inlineStr">
        <is>
          <t>B_C1first</t>
        </is>
      </c>
      <c r="F309" t="inlineStr">
        <is>
          <t>Stimulus</t>
        </is>
      </c>
      <c r="G309" t="inlineStr">
        <is>
          <t>Commercial_1B</t>
        </is>
      </c>
      <c r="H309" t="n">
        <v>99000</v>
      </c>
      <c r="I309" t="n">
        <v>54000</v>
      </c>
      <c r="J309" t="inlineStr">
        <is>
          <t>Commercial_1B</t>
        </is>
      </c>
      <c r="K309" s="4" t="n">
        <v>0.5152</v>
      </c>
      <c r="L309" t="inlineStr">
        <is>
          <t>Frontal Asymmetry (Enobio EEG)</t>
        </is>
      </c>
      <c r="M309">
        <f>LEFT(E309,1)</f>
        <v/>
      </c>
      <c r="N309">
        <f>MID(E309,3,10)</f>
        <v/>
      </c>
      <c r="O309">
        <f>IF(F309="Stimulus",IF(LEFT(G309,8)="Baseline",G309,IF(LEFT(G309,12)="Commercial_1","C1","C2")),IF(G309="KeyScene","KeyScene",IF(LEFT(J309,12)="Commercial_1","EndScene_C1","EndScene_C2")))</f>
        <v/>
      </c>
      <c r="P309">
        <f>IF(COUNTIFS(Artifact!$B$2:$B$385,B309,Artifact!$K$2:$K$385,"&gt;25")+COUNTIFS(Log!$A$2:$A$49,B309,Log!$H$2:$H$49,"Red")+COUNTIFS(Log!$A$2:$A$49,B309,Log!$I$2:$I$49,"Red")&gt;0,"No","Yes")</f>
        <v/>
      </c>
      <c r="Q309">
        <f>IF(COUNTIFS(Artifact!$B$2:$B$385,B309,Artifact!$K$2:$K$385,"&gt;15")+COUNTIFS(Log!$A$2:$A$49,B309,Log!$H$2:$H$49,"Red")+COUNTIFS(Log!$A$2:$A$49,B309,Log!$I$2:$I$49,"Red")&gt;0,"No","Yes")</f>
        <v/>
      </c>
    </row>
    <row r="310">
      <c r="A310" t="inlineStr">
        <is>
          <t>SIMULATED Commercial FA Study</t>
        </is>
      </c>
      <c r="B310" t="inlineStr">
        <is>
          <t>P48</t>
        </is>
      </c>
      <c r="C310" t="inlineStr">
        <is>
          <t>F</t>
        </is>
      </c>
      <c r="D310" t="n">
        <v>21</v>
      </c>
      <c r="E310" t="inlineStr">
        <is>
          <t>B_C1first</t>
        </is>
      </c>
      <c r="F310" t="inlineStr">
        <is>
          <t>Stimulus</t>
        </is>
      </c>
      <c r="G310" t="inlineStr">
        <is>
          <t>Baseline_2</t>
        </is>
      </c>
      <c r="H310" t="n">
        <v>189000</v>
      </c>
      <c r="I310" t="n">
        <v>60000</v>
      </c>
      <c r="J310" t="inlineStr">
        <is>
          <t>Baseline_2</t>
        </is>
      </c>
      <c r="K310" s="4" t="n">
        <v>0.5276</v>
      </c>
      <c r="L310" t="inlineStr">
        <is>
          <t>Frontal Asymmetry (Enobio EEG)</t>
        </is>
      </c>
      <c r="M310">
        <f>LEFT(E310,1)</f>
        <v/>
      </c>
      <c r="N310">
        <f>MID(E310,3,10)</f>
        <v/>
      </c>
      <c r="O310">
        <f>IF(F310="Stimulus",IF(LEFT(G310,8)="Baseline",G310,IF(LEFT(G310,12)="Commercial_1","C1","C2")),IF(G310="KeyScene","KeyScene",IF(LEFT(J310,12)="Commercial_1","EndScene_C1","EndScene_C2")))</f>
        <v/>
      </c>
      <c r="P310">
        <f>IF(COUNTIFS(Artifact!$B$2:$B$385,B310,Artifact!$K$2:$K$385,"&gt;25")+COUNTIFS(Log!$A$2:$A$49,B310,Log!$H$2:$H$49,"Red")+COUNTIFS(Log!$A$2:$A$49,B310,Log!$I$2:$I$49,"Red")&gt;0,"No","Yes")</f>
        <v/>
      </c>
      <c r="Q310">
        <f>IF(COUNTIFS(Artifact!$B$2:$B$385,B310,Artifact!$K$2:$K$385,"&gt;15")+COUNTIFS(Log!$A$2:$A$49,B310,Log!$H$2:$H$49,"Red")+COUNTIFS(Log!$A$2:$A$49,B310,Log!$I$2:$I$49,"Red")&gt;0,"No","Yes")</f>
        <v/>
      </c>
    </row>
    <row r="311">
      <c r="A311" t="inlineStr">
        <is>
          <t>SIMULATED Commercial FA Study</t>
        </is>
      </c>
      <c r="B311" t="inlineStr">
        <is>
          <t>P48</t>
        </is>
      </c>
      <c r="C311" t="inlineStr">
        <is>
          <t>F</t>
        </is>
      </c>
      <c r="D311" t="n">
        <v>21</v>
      </c>
      <c r="E311" t="inlineStr">
        <is>
          <t>B_C1first</t>
        </is>
      </c>
      <c r="F311" t="inlineStr">
        <is>
          <t>Stimulus</t>
        </is>
      </c>
      <c r="G311" t="inlineStr">
        <is>
          <t>Commercial_2</t>
        </is>
      </c>
      <c r="H311" t="n">
        <v>249000</v>
      </c>
      <c r="I311" t="n">
        <v>60000</v>
      </c>
      <c r="J311" t="inlineStr">
        <is>
          <t>Commercial_2</t>
        </is>
      </c>
      <c r="K311" s="4" t="n">
        <v>0.5215</v>
      </c>
      <c r="L311" t="inlineStr">
        <is>
          <t>Frontal Asymmetry (Enobio EEG)</t>
        </is>
      </c>
      <c r="M311">
        <f>LEFT(E311,1)</f>
        <v/>
      </c>
      <c r="N311">
        <f>MID(E311,3,10)</f>
        <v/>
      </c>
      <c r="O311">
        <f>IF(F311="Stimulus",IF(LEFT(G311,8)="Baseline",G311,IF(LEFT(G311,12)="Commercial_1","C1","C2")),IF(G311="KeyScene","KeyScene",IF(LEFT(J311,12)="Commercial_1","EndScene_C1","EndScene_C2")))</f>
        <v/>
      </c>
      <c r="P311">
        <f>IF(COUNTIFS(Artifact!$B$2:$B$385,B311,Artifact!$K$2:$K$385,"&gt;25")+COUNTIFS(Log!$A$2:$A$49,B311,Log!$H$2:$H$49,"Red")+COUNTIFS(Log!$A$2:$A$49,B311,Log!$I$2:$I$49,"Red")&gt;0,"No","Yes")</f>
        <v/>
      </c>
      <c r="Q311">
        <f>IF(COUNTIFS(Artifact!$B$2:$B$385,B311,Artifact!$K$2:$K$385,"&gt;15")+COUNTIFS(Log!$A$2:$A$49,B311,Log!$H$2:$H$49,"Red")+COUNTIFS(Log!$A$2:$A$49,B311,Log!$I$2:$I$49,"Red")&gt;0,"No","Yes")</f>
        <v/>
      </c>
    </row>
    <row r="312">
      <c r="A312" t="inlineStr">
        <is>
          <t>SIMULATED Commercial FA Study</t>
        </is>
      </c>
      <c r="B312" t="inlineStr">
        <is>
          <t>P48</t>
        </is>
      </c>
      <c r="C312" t="inlineStr">
        <is>
          <t>F</t>
        </is>
      </c>
      <c r="D312" t="n">
        <v>21</v>
      </c>
      <c r="E312" t="inlineStr">
        <is>
          <t>B_C1first</t>
        </is>
      </c>
      <c r="F312" t="inlineStr">
        <is>
          <t>Annotation</t>
        </is>
      </c>
      <c r="G312" t="inlineStr">
        <is>
          <t>EndScene</t>
        </is>
      </c>
      <c r="H312" t="n">
        <v>143000</v>
      </c>
      <c r="I312" t="n">
        <v>10000</v>
      </c>
      <c r="J312" t="inlineStr">
        <is>
          <t>Commercial_1B</t>
        </is>
      </c>
      <c r="K312" s="4" t="n">
        <v>0.6109</v>
      </c>
      <c r="L312" t="inlineStr">
        <is>
          <t>Frontal Asymmetry (Enobio EEG)</t>
        </is>
      </c>
      <c r="M312">
        <f>LEFT(E312,1)</f>
        <v/>
      </c>
      <c r="N312">
        <f>MID(E312,3,10)</f>
        <v/>
      </c>
      <c r="O312">
        <f>IF(F312="Stimulus",IF(LEFT(G312,8)="Baseline",G312,IF(LEFT(G312,12)="Commercial_1","C1","C2")),IF(G312="KeyScene","KeyScene",IF(LEFT(J312,12)="Commercial_1","EndScene_C1","EndScene_C2")))</f>
        <v/>
      </c>
      <c r="P312">
        <f>IF(COUNTIFS(Artifact!$B$2:$B$385,B312,Artifact!$K$2:$K$385,"&gt;25")+COUNTIFS(Log!$A$2:$A$49,B312,Log!$H$2:$H$49,"Red")+COUNTIFS(Log!$A$2:$A$49,B312,Log!$I$2:$I$49,"Red")&gt;0,"No","Yes")</f>
        <v/>
      </c>
      <c r="Q312">
        <f>IF(COUNTIFS(Artifact!$B$2:$B$385,B312,Artifact!$K$2:$K$385,"&gt;15")+COUNTIFS(Log!$A$2:$A$49,B312,Log!$H$2:$H$49,"Red")+COUNTIFS(Log!$A$2:$A$49,B312,Log!$I$2:$I$49,"Red")&gt;0,"No","Yes")</f>
        <v/>
      </c>
    </row>
    <row r="313">
      <c r="A313" t="inlineStr">
        <is>
          <t>SIMULATED Commercial FA Study</t>
        </is>
      </c>
      <c r="B313" t="inlineStr">
        <is>
          <t>P48</t>
        </is>
      </c>
      <c r="C313" t="inlineStr">
        <is>
          <t>F</t>
        </is>
      </c>
      <c r="D313" t="n">
        <v>21</v>
      </c>
      <c r="E313" t="inlineStr">
        <is>
          <t>B_C1first</t>
        </is>
      </c>
      <c r="F313" t="inlineStr">
        <is>
          <t>Annotation</t>
        </is>
      </c>
      <c r="G313" t="inlineStr">
        <is>
          <t>EndScene</t>
        </is>
      </c>
      <c r="H313" t="n">
        <v>299000</v>
      </c>
      <c r="I313" t="n">
        <v>10000</v>
      </c>
      <c r="J313" t="inlineStr">
        <is>
          <t>Commercial_2</t>
        </is>
      </c>
      <c r="K313" s="4" t="n">
        <v>0.5591</v>
      </c>
      <c r="L313" t="inlineStr">
        <is>
          <t>Frontal Asymmetry (Enobio EEG)</t>
        </is>
      </c>
      <c r="M313">
        <f>LEFT(E313,1)</f>
        <v/>
      </c>
      <c r="N313">
        <f>MID(E313,3,10)</f>
        <v/>
      </c>
      <c r="O313">
        <f>IF(F313="Stimulus",IF(LEFT(G313,8)="Baseline",G313,IF(LEFT(G313,12)="Commercial_1","C1","C2")),IF(G313="KeyScene","KeyScene",IF(LEFT(J313,12)="Commercial_1","EndScene_C1","EndScene_C2")))</f>
        <v/>
      </c>
      <c r="P313">
        <f>IF(COUNTIFS(Artifact!$B$2:$B$385,B313,Artifact!$K$2:$K$385,"&gt;25")+COUNTIFS(Log!$A$2:$A$49,B313,Log!$H$2:$H$49,"Red")+COUNTIFS(Log!$A$2:$A$49,B313,Log!$I$2:$I$49,"Red")&gt;0,"No","Yes")</f>
        <v/>
      </c>
      <c r="Q313">
        <f>IF(COUNTIFS(Artifact!$B$2:$B$385,B313,Artifact!$K$2:$K$385,"&gt;15")+COUNTIFS(Log!$A$2:$A$49,B313,Log!$H$2:$H$49,"Red")+COUNTIFS(Log!$A$2:$A$49,B313,Log!$I$2:$I$49,"Red")&gt;0,"No","Yes")</f>
        <v/>
      </c>
    </row>
  </sheetData>
  <autoFilter ref="A1:Q3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7" customWidth="1" min="2" max="2"/>
    <col width="11" customWidth="1" min="3" max="3"/>
    <col width="15" customWidth="1" min="4" max="4"/>
    <col width="9" customWidth="1" min="5" max="5"/>
    <col width="21" customWidth="1" min="6" max="6"/>
    <col width="15" customWidth="1" min="7" max="7"/>
    <col width="18" customWidth="1" min="8" max="8"/>
    <col width="18" customWidth="1" min="9" max="9"/>
    <col width="17" customWidth="1" min="10" max="10"/>
    <col width="21" customWidth="1" min="11" max="11"/>
    <col width="22" customWidth="1" min="12" max="12"/>
    <col width="22" customWidth="1" min="13" max="13"/>
  </cols>
  <sheetData>
    <row r="1">
      <c r="A1" s="2" t="inlineStr">
        <is>
          <t>Study Name</t>
        </is>
      </c>
      <c r="B1" s="2" t="inlineStr">
        <is>
          <t>Respondent Name</t>
        </is>
      </c>
      <c r="C1" s="2" t="inlineStr">
        <is>
          <t>Group</t>
        </is>
      </c>
      <c r="D1" s="2" t="inlineStr">
        <is>
          <t>Label</t>
        </is>
      </c>
      <c r="E1" s="2" t="inlineStr">
        <is>
          <t>Channel</t>
        </is>
      </c>
      <c r="F1" s="2" t="inlineStr">
        <is>
          <t>Electrode (assumed)</t>
        </is>
      </c>
      <c r="G1" s="2" t="inlineStr">
        <is>
          <t>Duration (ms)</t>
        </is>
      </c>
      <c r="H1" s="2" t="inlineStr">
        <is>
          <t>Samples expected</t>
        </is>
      </c>
      <c r="I1" s="2" t="inlineStr">
        <is>
          <t>Samples recorded</t>
        </is>
      </c>
      <c r="J1" s="2" t="inlineStr">
        <is>
          <t>Samples removed</t>
        </is>
      </c>
      <c r="K1" s="2" t="inlineStr">
        <is>
          <t>Percent removed (%)</t>
        </is>
      </c>
      <c r="L1" s="3" t="inlineStr">
        <is>
          <t>Percent recalculated</t>
        </is>
      </c>
      <c r="M1" s="3" t="inlineStr">
        <is>
          <t>Gap samples (expected - recorded)</t>
        </is>
      </c>
    </row>
    <row r="2">
      <c r="A2" t="inlineStr">
        <is>
          <t>SIMULATED Commercial FA Study</t>
        </is>
      </c>
      <c r="B2" t="inlineStr">
        <is>
          <t>P01</t>
        </is>
      </c>
      <c r="C2" t="inlineStr">
        <is>
          <t>B_C2first</t>
        </is>
      </c>
      <c r="D2" t="inlineStr">
        <is>
          <t>Baseline_1</t>
        </is>
      </c>
      <c r="E2" t="inlineStr">
        <is>
          <t>Ch5</t>
        </is>
      </c>
      <c r="F2" t="inlineStr">
        <is>
          <t>F3</t>
        </is>
      </c>
      <c r="G2" t="n">
        <v>60000</v>
      </c>
      <c r="H2" t="n">
        <v>30000</v>
      </c>
      <c r="I2" t="n">
        <v>30000</v>
      </c>
      <c r="J2" t="n">
        <v>1251</v>
      </c>
      <c r="K2" t="n">
        <v>4.17</v>
      </c>
      <c r="L2" s="5">
        <f>100*J2/I2</f>
        <v/>
      </c>
      <c r="M2">
        <f>H2-I2</f>
        <v/>
      </c>
    </row>
    <row r="3">
      <c r="A3" t="inlineStr">
        <is>
          <t>SIMULATED Commercial FA Study</t>
        </is>
      </c>
      <c r="B3" t="inlineStr">
        <is>
          <t>P01</t>
        </is>
      </c>
      <c r="C3" t="inlineStr">
        <is>
          <t>B_C2first</t>
        </is>
      </c>
      <c r="D3" t="inlineStr">
        <is>
          <t>Baseline_1</t>
        </is>
      </c>
      <c r="E3" t="inlineStr">
        <is>
          <t>Ch6</t>
        </is>
      </c>
      <c r="F3" t="inlineStr">
        <is>
          <t>F4</t>
        </is>
      </c>
      <c r="G3" t="n">
        <v>60000</v>
      </c>
      <c r="H3" t="n">
        <v>30000</v>
      </c>
      <c r="I3" t="n">
        <v>30000</v>
      </c>
      <c r="J3" t="n">
        <v>1011</v>
      </c>
      <c r="K3" t="n">
        <v>3.37</v>
      </c>
      <c r="L3" s="5">
        <f>100*J3/I3</f>
        <v/>
      </c>
      <c r="M3">
        <f>H3-I3</f>
        <v/>
      </c>
    </row>
    <row r="4">
      <c r="A4" t="inlineStr">
        <is>
          <t>SIMULATED Commercial FA Study</t>
        </is>
      </c>
      <c r="B4" t="inlineStr">
        <is>
          <t>P01</t>
        </is>
      </c>
      <c r="C4" t="inlineStr">
        <is>
          <t>B_C2first</t>
        </is>
      </c>
      <c r="D4" t="inlineStr">
        <is>
          <t>Commercial_2</t>
        </is>
      </c>
      <c r="E4" t="inlineStr">
        <is>
          <t>Ch5</t>
        </is>
      </c>
      <c r="F4" t="inlineStr">
        <is>
          <t>F3</t>
        </is>
      </c>
      <c r="G4" t="n">
        <v>60000</v>
      </c>
      <c r="H4" t="n">
        <v>30000</v>
      </c>
      <c r="I4" t="n">
        <v>30000</v>
      </c>
      <c r="J4" t="n">
        <v>156</v>
      </c>
      <c r="K4" t="n">
        <v>0.52</v>
      </c>
      <c r="L4" s="5">
        <f>100*J4/I4</f>
        <v/>
      </c>
      <c r="M4">
        <f>H4-I4</f>
        <v/>
      </c>
    </row>
    <row r="5">
      <c r="A5" t="inlineStr">
        <is>
          <t>SIMULATED Commercial FA Study</t>
        </is>
      </c>
      <c r="B5" t="inlineStr">
        <is>
          <t>P01</t>
        </is>
      </c>
      <c r="C5" t="inlineStr">
        <is>
          <t>B_C2first</t>
        </is>
      </c>
      <c r="D5" t="inlineStr">
        <is>
          <t>Commercial_2</t>
        </is>
      </c>
      <c r="E5" t="inlineStr">
        <is>
          <t>Ch6</t>
        </is>
      </c>
      <c r="F5" t="inlineStr">
        <is>
          <t>F4</t>
        </is>
      </c>
      <c r="G5" t="n">
        <v>60000</v>
      </c>
      <c r="H5" t="n">
        <v>30000</v>
      </c>
      <c r="I5" t="n">
        <v>30000</v>
      </c>
      <c r="J5" t="n">
        <v>159</v>
      </c>
      <c r="K5" t="n">
        <v>0.53</v>
      </c>
      <c r="L5" s="5">
        <f>100*J5/I5</f>
        <v/>
      </c>
      <c r="M5">
        <f>H5-I5</f>
        <v/>
      </c>
    </row>
    <row r="6">
      <c r="A6" t="inlineStr">
        <is>
          <t>SIMULATED Commercial FA Study</t>
        </is>
      </c>
      <c r="B6" t="inlineStr">
        <is>
          <t>P01</t>
        </is>
      </c>
      <c r="C6" t="inlineStr">
        <is>
          <t>B_C2first</t>
        </is>
      </c>
      <c r="D6" t="inlineStr">
        <is>
          <t>Baseline_2</t>
        </is>
      </c>
      <c r="E6" t="inlineStr">
        <is>
          <t>Ch5</t>
        </is>
      </c>
      <c r="F6" t="inlineStr">
        <is>
          <t>F3</t>
        </is>
      </c>
      <c r="G6" t="n">
        <v>60000</v>
      </c>
      <c r="H6" t="n">
        <v>30000</v>
      </c>
      <c r="I6" t="n">
        <v>30000</v>
      </c>
      <c r="J6" t="n">
        <v>696</v>
      </c>
      <c r="K6" t="n">
        <v>2.32</v>
      </c>
      <c r="L6" s="5">
        <f>100*J6/I6</f>
        <v/>
      </c>
      <c r="M6">
        <f>H6-I6</f>
        <v/>
      </c>
    </row>
    <row r="7">
      <c r="A7" t="inlineStr">
        <is>
          <t>SIMULATED Commercial FA Study</t>
        </is>
      </c>
      <c r="B7" t="inlineStr">
        <is>
          <t>P01</t>
        </is>
      </c>
      <c r="C7" t="inlineStr">
        <is>
          <t>B_C2first</t>
        </is>
      </c>
      <c r="D7" t="inlineStr">
        <is>
          <t>Baseline_2</t>
        </is>
      </c>
      <c r="E7" t="inlineStr">
        <is>
          <t>Ch6</t>
        </is>
      </c>
      <c r="F7" t="inlineStr">
        <is>
          <t>F4</t>
        </is>
      </c>
      <c r="G7" t="n">
        <v>60000</v>
      </c>
      <c r="H7" t="n">
        <v>30000</v>
      </c>
      <c r="I7" t="n">
        <v>30000</v>
      </c>
      <c r="J7" t="n">
        <v>675</v>
      </c>
      <c r="K7" t="n">
        <v>2.25</v>
      </c>
      <c r="L7" s="5">
        <f>100*J7/I7</f>
        <v/>
      </c>
      <c r="M7">
        <f>H7-I7</f>
        <v/>
      </c>
    </row>
    <row r="8">
      <c r="A8" t="inlineStr">
        <is>
          <t>SIMULATED Commercial FA Study</t>
        </is>
      </c>
      <c r="B8" t="inlineStr">
        <is>
          <t>P01</t>
        </is>
      </c>
      <c r="C8" t="inlineStr">
        <is>
          <t>B_C2first</t>
        </is>
      </c>
      <c r="D8" t="inlineStr">
        <is>
          <t>Commercial_1B</t>
        </is>
      </c>
      <c r="E8" t="inlineStr">
        <is>
          <t>Ch5</t>
        </is>
      </c>
      <c r="F8" t="inlineStr">
        <is>
          <t>F3</t>
        </is>
      </c>
      <c r="G8" t="n">
        <v>54000</v>
      </c>
      <c r="H8" t="n">
        <v>27000</v>
      </c>
      <c r="I8" t="n">
        <v>27000</v>
      </c>
      <c r="J8" t="n">
        <v>103</v>
      </c>
      <c r="K8" t="n">
        <v>0.38</v>
      </c>
      <c r="L8" s="5">
        <f>100*J8/I8</f>
        <v/>
      </c>
      <c r="M8">
        <f>H8-I8</f>
        <v/>
      </c>
    </row>
    <row r="9">
      <c r="A9" t="inlineStr">
        <is>
          <t>SIMULATED Commercial FA Study</t>
        </is>
      </c>
      <c r="B9" t="inlineStr">
        <is>
          <t>P01</t>
        </is>
      </c>
      <c r="C9" t="inlineStr">
        <is>
          <t>B_C2first</t>
        </is>
      </c>
      <c r="D9" t="inlineStr">
        <is>
          <t>Commercial_1B</t>
        </is>
      </c>
      <c r="E9" t="inlineStr">
        <is>
          <t>Ch6</t>
        </is>
      </c>
      <c r="F9" t="inlineStr">
        <is>
          <t>F4</t>
        </is>
      </c>
      <c r="G9" t="n">
        <v>54000</v>
      </c>
      <c r="H9" t="n">
        <v>27000</v>
      </c>
      <c r="I9" t="n">
        <v>27000</v>
      </c>
      <c r="J9" t="n">
        <v>143</v>
      </c>
      <c r="K9" t="n">
        <v>0.53</v>
      </c>
      <c r="L9" s="5">
        <f>100*J9/I9</f>
        <v/>
      </c>
      <c r="M9">
        <f>H9-I9</f>
        <v/>
      </c>
    </row>
    <row r="10">
      <c r="A10" t="inlineStr">
        <is>
          <t>SIMULATED Commercial FA Study</t>
        </is>
      </c>
      <c r="B10" t="inlineStr">
        <is>
          <t>P02</t>
        </is>
      </c>
      <c r="C10" t="inlineStr">
        <is>
          <t>A_C2first</t>
        </is>
      </c>
      <c r="D10" t="inlineStr">
        <is>
          <t>Baseline_1</t>
        </is>
      </c>
      <c r="E10" t="inlineStr">
        <is>
          <t>Ch5</t>
        </is>
      </c>
      <c r="F10" t="inlineStr">
        <is>
          <t>F3</t>
        </is>
      </c>
      <c r="G10" t="n">
        <v>60000</v>
      </c>
      <c r="H10" t="n">
        <v>30000</v>
      </c>
      <c r="I10" t="n">
        <v>30000</v>
      </c>
      <c r="J10" t="n">
        <v>546</v>
      </c>
      <c r="K10" t="n">
        <v>1.82</v>
      </c>
      <c r="L10" s="5">
        <f>100*J10/I10</f>
        <v/>
      </c>
      <c r="M10">
        <f>H10-I10</f>
        <v/>
      </c>
    </row>
    <row r="11">
      <c r="A11" t="inlineStr">
        <is>
          <t>SIMULATED Commercial FA Study</t>
        </is>
      </c>
      <c r="B11" t="inlineStr">
        <is>
          <t>P02</t>
        </is>
      </c>
      <c r="C11" t="inlineStr">
        <is>
          <t>A_C2first</t>
        </is>
      </c>
      <c r="D11" t="inlineStr">
        <is>
          <t>Baseline_1</t>
        </is>
      </c>
      <c r="E11" t="inlineStr">
        <is>
          <t>Ch6</t>
        </is>
      </c>
      <c r="F11" t="inlineStr">
        <is>
          <t>F4</t>
        </is>
      </c>
      <c r="G11" t="n">
        <v>60000</v>
      </c>
      <c r="H11" t="n">
        <v>30000</v>
      </c>
      <c r="I11" t="n">
        <v>30000</v>
      </c>
      <c r="J11" t="n">
        <v>576</v>
      </c>
      <c r="K11" t="n">
        <v>1.92</v>
      </c>
      <c r="L11" s="5">
        <f>100*J11/I11</f>
        <v/>
      </c>
      <c r="M11">
        <f>H11-I11</f>
        <v/>
      </c>
    </row>
    <row r="12">
      <c r="A12" t="inlineStr">
        <is>
          <t>SIMULATED Commercial FA Study</t>
        </is>
      </c>
      <c r="B12" t="inlineStr">
        <is>
          <t>P02</t>
        </is>
      </c>
      <c r="C12" t="inlineStr">
        <is>
          <t>A_C2first</t>
        </is>
      </c>
      <c r="D12" t="inlineStr">
        <is>
          <t>Commercial_2</t>
        </is>
      </c>
      <c r="E12" t="inlineStr">
        <is>
          <t>Ch5</t>
        </is>
      </c>
      <c r="F12" t="inlineStr">
        <is>
          <t>F3</t>
        </is>
      </c>
      <c r="G12" t="n">
        <v>60000</v>
      </c>
      <c r="H12" t="n">
        <v>30000</v>
      </c>
      <c r="I12" t="n">
        <v>30000</v>
      </c>
      <c r="J12" t="n">
        <v>378</v>
      </c>
      <c r="K12" t="n">
        <v>1.26</v>
      </c>
      <c r="L12" s="5">
        <f>100*J12/I12</f>
        <v/>
      </c>
      <c r="M12">
        <f>H12-I12</f>
        <v/>
      </c>
    </row>
    <row r="13">
      <c r="A13" t="inlineStr">
        <is>
          <t>SIMULATED Commercial FA Study</t>
        </is>
      </c>
      <c r="B13" t="inlineStr">
        <is>
          <t>P02</t>
        </is>
      </c>
      <c r="C13" t="inlineStr">
        <is>
          <t>A_C2first</t>
        </is>
      </c>
      <c r="D13" t="inlineStr">
        <is>
          <t>Commercial_2</t>
        </is>
      </c>
      <c r="E13" t="inlineStr">
        <is>
          <t>Ch6</t>
        </is>
      </c>
      <c r="F13" t="inlineStr">
        <is>
          <t>F4</t>
        </is>
      </c>
      <c r="G13" t="n">
        <v>60000</v>
      </c>
      <c r="H13" t="n">
        <v>30000</v>
      </c>
      <c r="I13" t="n">
        <v>30000</v>
      </c>
      <c r="J13" t="n">
        <v>339</v>
      </c>
      <c r="K13" t="n">
        <v>1.13</v>
      </c>
      <c r="L13" s="5">
        <f>100*J13/I13</f>
        <v/>
      </c>
      <c r="M13">
        <f>H13-I13</f>
        <v/>
      </c>
    </row>
    <row r="14">
      <c r="A14" t="inlineStr">
        <is>
          <t>SIMULATED Commercial FA Study</t>
        </is>
      </c>
      <c r="B14" t="inlineStr">
        <is>
          <t>P02</t>
        </is>
      </c>
      <c r="C14" t="inlineStr">
        <is>
          <t>A_C2first</t>
        </is>
      </c>
      <c r="D14" t="inlineStr">
        <is>
          <t>Baseline_2</t>
        </is>
      </c>
      <c r="E14" t="inlineStr">
        <is>
          <t>Ch5</t>
        </is>
      </c>
      <c r="F14" t="inlineStr">
        <is>
          <t>F3</t>
        </is>
      </c>
      <c r="G14" t="n">
        <v>60000</v>
      </c>
      <c r="H14" t="n">
        <v>30000</v>
      </c>
      <c r="I14" t="n">
        <v>30000</v>
      </c>
      <c r="J14" t="n">
        <v>99</v>
      </c>
      <c r="K14" t="n">
        <v>0.33</v>
      </c>
      <c r="L14" s="5">
        <f>100*J14/I14</f>
        <v/>
      </c>
      <c r="M14">
        <f>H14-I14</f>
        <v/>
      </c>
    </row>
    <row r="15">
      <c r="A15" t="inlineStr">
        <is>
          <t>SIMULATED Commercial FA Study</t>
        </is>
      </c>
      <c r="B15" t="inlineStr">
        <is>
          <t>P02</t>
        </is>
      </c>
      <c r="C15" t="inlineStr">
        <is>
          <t>A_C2first</t>
        </is>
      </c>
      <c r="D15" t="inlineStr">
        <is>
          <t>Baseline_2</t>
        </is>
      </c>
      <c r="E15" t="inlineStr">
        <is>
          <t>Ch6</t>
        </is>
      </c>
      <c r="F15" t="inlineStr">
        <is>
          <t>F4</t>
        </is>
      </c>
      <c r="G15" t="n">
        <v>60000</v>
      </c>
      <c r="H15" t="n">
        <v>30000</v>
      </c>
      <c r="I15" t="n">
        <v>30000</v>
      </c>
      <c r="J15" t="n">
        <v>105</v>
      </c>
      <c r="K15" t="n">
        <v>0.35</v>
      </c>
      <c r="L15" s="5">
        <f>100*J15/I15</f>
        <v/>
      </c>
      <c r="M15">
        <f>H15-I15</f>
        <v/>
      </c>
    </row>
    <row r="16">
      <c r="A16" t="inlineStr">
        <is>
          <t>SIMULATED Commercial FA Study</t>
        </is>
      </c>
      <c r="B16" t="inlineStr">
        <is>
          <t>P02</t>
        </is>
      </c>
      <c r="C16" t="inlineStr">
        <is>
          <t>A_C2first</t>
        </is>
      </c>
      <c r="D16" t="inlineStr">
        <is>
          <t>Commercial_1A</t>
        </is>
      </c>
      <c r="E16" t="inlineStr">
        <is>
          <t>Ch5</t>
        </is>
      </c>
      <c r="F16" t="inlineStr">
        <is>
          <t>F3</t>
        </is>
      </c>
      <c r="G16" t="n">
        <v>60000</v>
      </c>
      <c r="H16" t="n">
        <v>30000</v>
      </c>
      <c r="I16" t="n">
        <v>30000</v>
      </c>
      <c r="J16" t="n">
        <v>90</v>
      </c>
      <c r="K16" t="n">
        <v>0.3</v>
      </c>
      <c r="L16" s="5">
        <f>100*J16/I16</f>
        <v/>
      </c>
      <c r="M16">
        <f>H16-I16</f>
        <v/>
      </c>
    </row>
    <row r="17">
      <c r="A17" t="inlineStr">
        <is>
          <t>SIMULATED Commercial FA Study</t>
        </is>
      </c>
      <c r="B17" t="inlineStr">
        <is>
          <t>P02</t>
        </is>
      </c>
      <c r="C17" t="inlineStr">
        <is>
          <t>A_C2first</t>
        </is>
      </c>
      <c r="D17" t="inlineStr">
        <is>
          <t>Commercial_1A</t>
        </is>
      </c>
      <c r="E17" t="inlineStr">
        <is>
          <t>Ch6</t>
        </is>
      </c>
      <c r="F17" t="inlineStr">
        <is>
          <t>F4</t>
        </is>
      </c>
      <c r="G17" t="n">
        <v>60000</v>
      </c>
      <c r="H17" t="n">
        <v>30000</v>
      </c>
      <c r="I17" t="n">
        <v>30000</v>
      </c>
      <c r="J17" t="n">
        <v>84</v>
      </c>
      <c r="K17" t="n">
        <v>0.28</v>
      </c>
      <c r="L17" s="5">
        <f>100*J17/I17</f>
        <v/>
      </c>
      <c r="M17">
        <f>H17-I17</f>
        <v/>
      </c>
    </row>
    <row r="18">
      <c r="A18" t="inlineStr">
        <is>
          <t>SIMULATED Commercial FA Study</t>
        </is>
      </c>
      <c r="B18" t="inlineStr">
        <is>
          <t>P03</t>
        </is>
      </c>
      <c r="C18" t="inlineStr">
        <is>
          <t>B_C1first</t>
        </is>
      </c>
      <c r="D18" t="inlineStr">
        <is>
          <t>Baseline_1</t>
        </is>
      </c>
      <c r="E18" t="inlineStr">
        <is>
          <t>Ch5</t>
        </is>
      </c>
      <c r="F18" t="inlineStr">
        <is>
          <t>F3</t>
        </is>
      </c>
      <c r="G18" t="n">
        <v>60000</v>
      </c>
      <c r="H18" t="n">
        <v>30000</v>
      </c>
      <c r="I18" t="n">
        <v>30000</v>
      </c>
      <c r="J18" t="n">
        <v>180</v>
      </c>
      <c r="K18" t="n">
        <v>0.6</v>
      </c>
      <c r="L18" s="5">
        <f>100*J18/I18</f>
        <v/>
      </c>
      <c r="M18">
        <f>H18-I18</f>
        <v/>
      </c>
    </row>
    <row r="19">
      <c r="A19" t="inlineStr">
        <is>
          <t>SIMULATED Commercial FA Study</t>
        </is>
      </c>
      <c r="B19" t="inlineStr">
        <is>
          <t>P03</t>
        </is>
      </c>
      <c r="C19" t="inlineStr">
        <is>
          <t>B_C1first</t>
        </is>
      </c>
      <c r="D19" t="inlineStr">
        <is>
          <t>Baseline_1</t>
        </is>
      </c>
      <c r="E19" t="inlineStr">
        <is>
          <t>Ch6</t>
        </is>
      </c>
      <c r="F19" t="inlineStr">
        <is>
          <t>F4</t>
        </is>
      </c>
      <c r="G19" t="n">
        <v>60000</v>
      </c>
      <c r="H19" t="n">
        <v>30000</v>
      </c>
      <c r="I19" t="n">
        <v>30000</v>
      </c>
      <c r="J19" t="n">
        <v>222</v>
      </c>
      <c r="K19" t="n">
        <v>0.74</v>
      </c>
      <c r="L19" s="5">
        <f>100*J19/I19</f>
        <v/>
      </c>
      <c r="M19">
        <f>H19-I19</f>
        <v/>
      </c>
    </row>
    <row r="20">
      <c r="A20" t="inlineStr">
        <is>
          <t>SIMULATED Commercial FA Study</t>
        </is>
      </c>
      <c r="B20" t="inlineStr">
        <is>
          <t>P03</t>
        </is>
      </c>
      <c r="C20" t="inlineStr">
        <is>
          <t>B_C1first</t>
        </is>
      </c>
      <c r="D20" t="inlineStr">
        <is>
          <t>Commercial_1B</t>
        </is>
      </c>
      <c r="E20" t="inlineStr">
        <is>
          <t>Ch5</t>
        </is>
      </c>
      <c r="F20" t="inlineStr">
        <is>
          <t>F3</t>
        </is>
      </c>
      <c r="G20" t="n">
        <v>54000</v>
      </c>
      <c r="H20" t="n">
        <v>27000</v>
      </c>
      <c r="I20" t="n">
        <v>27000</v>
      </c>
      <c r="J20" t="n">
        <v>208</v>
      </c>
      <c r="K20" t="n">
        <v>0.77</v>
      </c>
      <c r="L20" s="5">
        <f>100*J20/I20</f>
        <v/>
      </c>
      <c r="M20">
        <f>H20-I20</f>
        <v/>
      </c>
    </row>
    <row r="21">
      <c r="A21" t="inlineStr">
        <is>
          <t>SIMULATED Commercial FA Study</t>
        </is>
      </c>
      <c r="B21" t="inlineStr">
        <is>
          <t>P03</t>
        </is>
      </c>
      <c r="C21" t="inlineStr">
        <is>
          <t>B_C1first</t>
        </is>
      </c>
      <c r="D21" t="inlineStr">
        <is>
          <t>Commercial_1B</t>
        </is>
      </c>
      <c r="E21" t="inlineStr">
        <is>
          <t>Ch6</t>
        </is>
      </c>
      <c r="F21" t="inlineStr">
        <is>
          <t>F4</t>
        </is>
      </c>
      <c r="G21" t="n">
        <v>54000</v>
      </c>
      <c r="H21" t="n">
        <v>27000</v>
      </c>
      <c r="I21" t="n">
        <v>27000</v>
      </c>
      <c r="J21" t="n">
        <v>216</v>
      </c>
      <c r="K21" t="n">
        <v>0.8</v>
      </c>
      <c r="L21" s="5">
        <f>100*J21/I21</f>
        <v/>
      </c>
      <c r="M21">
        <f>H21-I21</f>
        <v/>
      </c>
    </row>
    <row r="22">
      <c r="A22" t="inlineStr">
        <is>
          <t>SIMULATED Commercial FA Study</t>
        </is>
      </c>
      <c r="B22" t="inlineStr">
        <is>
          <t>P03</t>
        </is>
      </c>
      <c r="C22" t="inlineStr">
        <is>
          <t>B_C1first</t>
        </is>
      </c>
      <c r="D22" t="inlineStr">
        <is>
          <t>Baseline_2</t>
        </is>
      </c>
      <c r="E22" t="inlineStr">
        <is>
          <t>Ch5</t>
        </is>
      </c>
      <c r="F22" t="inlineStr">
        <is>
          <t>F3</t>
        </is>
      </c>
      <c r="G22" t="n">
        <v>60000</v>
      </c>
      <c r="H22" t="n">
        <v>30000</v>
      </c>
      <c r="I22" t="n">
        <v>30000</v>
      </c>
      <c r="J22" t="n">
        <v>84</v>
      </c>
      <c r="K22" t="n">
        <v>0.28</v>
      </c>
      <c r="L22" s="5">
        <f>100*J22/I22</f>
        <v/>
      </c>
      <c r="M22">
        <f>H22-I22</f>
        <v/>
      </c>
    </row>
    <row r="23">
      <c r="A23" t="inlineStr">
        <is>
          <t>SIMULATED Commercial FA Study</t>
        </is>
      </c>
      <c r="B23" t="inlineStr">
        <is>
          <t>P03</t>
        </is>
      </c>
      <c r="C23" t="inlineStr">
        <is>
          <t>B_C1first</t>
        </is>
      </c>
      <c r="D23" t="inlineStr">
        <is>
          <t>Baseline_2</t>
        </is>
      </c>
      <c r="E23" t="inlineStr">
        <is>
          <t>Ch6</t>
        </is>
      </c>
      <c r="F23" t="inlineStr">
        <is>
          <t>F4</t>
        </is>
      </c>
      <c r="G23" t="n">
        <v>60000</v>
      </c>
      <c r="H23" t="n">
        <v>30000</v>
      </c>
      <c r="I23" t="n">
        <v>30000</v>
      </c>
      <c r="J23" t="n">
        <v>174</v>
      </c>
      <c r="K23" t="n">
        <v>0.58</v>
      </c>
      <c r="L23" s="5">
        <f>100*J23/I23</f>
        <v/>
      </c>
      <c r="M23">
        <f>H23-I23</f>
        <v/>
      </c>
    </row>
    <row r="24">
      <c r="A24" t="inlineStr">
        <is>
          <t>SIMULATED Commercial FA Study</t>
        </is>
      </c>
      <c r="B24" t="inlineStr">
        <is>
          <t>P03</t>
        </is>
      </c>
      <c r="C24" t="inlineStr">
        <is>
          <t>B_C1first</t>
        </is>
      </c>
      <c r="D24" t="inlineStr">
        <is>
          <t>Commercial_2</t>
        </is>
      </c>
      <c r="E24" t="inlineStr">
        <is>
          <t>Ch5</t>
        </is>
      </c>
      <c r="F24" t="inlineStr">
        <is>
          <t>F3</t>
        </is>
      </c>
      <c r="G24" t="n">
        <v>60000</v>
      </c>
      <c r="H24" t="n">
        <v>30000</v>
      </c>
      <c r="I24" t="n">
        <v>30000</v>
      </c>
      <c r="J24" t="n">
        <v>285</v>
      </c>
      <c r="K24" t="n">
        <v>0.95</v>
      </c>
      <c r="L24" s="5">
        <f>100*J24/I24</f>
        <v/>
      </c>
      <c r="M24">
        <f>H24-I24</f>
        <v/>
      </c>
    </row>
    <row r="25">
      <c r="A25" t="inlineStr">
        <is>
          <t>SIMULATED Commercial FA Study</t>
        </is>
      </c>
      <c r="B25" t="inlineStr">
        <is>
          <t>P03</t>
        </is>
      </c>
      <c r="C25" t="inlineStr">
        <is>
          <t>B_C1first</t>
        </is>
      </c>
      <c r="D25" t="inlineStr">
        <is>
          <t>Commercial_2</t>
        </is>
      </c>
      <c r="E25" t="inlineStr">
        <is>
          <t>Ch6</t>
        </is>
      </c>
      <c r="F25" t="inlineStr">
        <is>
          <t>F4</t>
        </is>
      </c>
      <c r="G25" t="n">
        <v>60000</v>
      </c>
      <c r="H25" t="n">
        <v>30000</v>
      </c>
      <c r="I25" t="n">
        <v>30000</v>
      </c>
      <c r="J25" t="n">
        <v>318</v>
      </c>
      <c r="K25" t="n">
        <v>1.06</v>
      </c>
      <c r="L25" s="5">
        <f>100*J25/I25</f>
        <v/>
      </c>
      <c r="M25">
        <f>H25-I25</f>
        <v/>
      </c>
    </row>
    <row r="26">
      <c r="A26" t="inlineStr">
        <is>
          <t>SIMULATED Commercial FA Study</t>
        </is>
      </c>
      <c r="B26" t="inlineStr">
        <is>
          <t>P04</t>
        </is>
      </c>
      <c r="C26" t="inlineStr">
        <is>
          <t>A_C1first</t>
        </is>
      </c>
      <c r="D26" t="inlineStr">
        <is>
          <t>Baseline_1</t>
        </is>
      </c>
      <c r="E26" t="inlineStr">
        <is>
          <t>Ch5</t>
        </is>
      </c>
      <c r="F26" t="inlineStr">
        <is>
          <t>F3</t>
        </is>
      </c>
      <c r="G26" t="n">
        <v>60000</v>
      </c>
      <c r="H26" t="n">
        <v>30000</v>
      </c>
      <c r="I26" t="n">
        <v>30000</v>
      </c>
      <c r="J26" t="n">
        <v>5964</v>
      </c>
      <c r="K26" t="n">
        <v>19.88</v>
      </c>
      <c r="L26" s="5">
        <f>100*J26/I26</f>
        <v/>
      </c>
      <c r="M26">
        <f>H26-I26</f>
        <v/>
      </c>
    </row>
    <row r="27">
      <c r="A27" t="inlineStr">
        <is>
          <t>SIMULATED Commercial FA Study</t>
        </is>
      </c>
      <c r="B27" t="inlineStr">
        <is>
          <t>P04</t>
        </is>
      </c>
      <c r="C27" t="inlineStr">
        <is>
          <t>A_C1first</t>
        </is>
      </c>
      <c r="D27" t="inlineStr">
        <is>
          <t>Baseline_1</t>
        </is>
      </c>
      <c r="E27" t="inlineStr">
        <is>
          <t>Ch6</t>
        </is>
      </c>
      <c r="F27" t="inlineStr">
        <is>
          <t>F4</t>
        </is>
      </c>
      <c r="G27" t="n">
        <v>60000</v>
      </c>
      <c r="H27" t="n">
        <v>30000</v>
      </c>
      <c r="I27" t="n">
        <v>30000</v>
      </c>
      <c r="J27" t="n">
        <v>6849</v>
      </c>
      <c r="K27" t="n">
        <v>22.83</v>
      </c>
      <c r="L27" s="5">
        <f>100*J27/I27</f>
        <v/>
      </c>
      <c r="M27">
        <f>H27-I27</f>
        <v/>
      </c>
    </row>
    <row r="28">
      <c r="A28" t="inlineStr">
        <is>
          <t>SIMULATED Commercial FA Study</t>
        </is>
      </c>
      <c r="B28" t="inlineStr">
        <is>
          <t>P04</t>
        </is>
      </c>
      <c r="C28" t="inlineStr">
        <is>
          <t>A_C1first</t>
        </is>
      </c>
      <c r="D28" t="inlineStr">
        <is>
          <t>Commercial_1A</t>
        </is>
      </c>
      <c r="E28" t="inlineStr">
        <is>
          <t>Ch5</t>
        </is>
      </c>
      <c r="F28" t="inlineStr">
        <is>
          <t>F3</t>
        </is>
      </c>
      <c r="G28" t="n">
        <v>60000</v>
      </c>
      <c r="H28" t="n">
        <v>30000</v>
      </c>
      <c r="I28" t="n">
        <v>30000</v>
      </c>
      <c r="J28" t="n">
        <v>336</v>
      </c>
      <c r="K28" t="n">
        <v>1.12</v>
      </c>
      <c r="L28" s="5">
        <f>100*J28/I28</f>
        <v/>
      </c>
      <c r="M28">
        <f>H28-I28</f>
        <v/>
      </c>
    </row>
    <row r="29">
      <c r="A29" t="inlineStr">
        <is>
          <t>SIMULATED Commercial FA Study</t>
        </is>
      </c>
      <c r="B29" t="inlineStr">
        <is>
          <t>P04</t>
        </is>
      </c>
      <c r="C29" t="inlineStr">
        <is>
          <t>A_C1first</t>
        </is>
      </c>
      <c r="D29" t="inlineStr">
        <is>
          <t>Commercial_1A</t>
        </is>
      </c>
      <c r="E29" t="inlineStr">
        <is>
          <t>Ch6</t>
        </is>
      </c>
      <c r="F29" t="inlineStr">
        <is>
          <t>F4</t>
        </is>
      </c>
      <c r="G29" t="n">
        <v>60000</v>
      </c>
      <c r="H29" t="n">
        <v>30000</v>
      </c>
      <c r="I29" t="n">
        <v>30000</v>
      </c>
      <c r="J29" t="n">
        <v>324</v>
      </c>
      <c r="K29" t="n">
        <v>1.08</v>
      </c>
      <c r="L29" s="5">
        <f>100*J29/I29</f>
        <v/>
      </c>
      <c r="M29">
        <f>H29-I29</f>
        <v/>
      </c>
    </row>
    <row r="30">
      <c r="A30" t="inlineStr">
        <is>
          <t>SIMULATED Commercial FA Study</t>
        </is>
      </c>
      <c r="B30" t="inlineStr">
        <is>
          <t>P04</t>
        </is>
      </c>
      <c r="C30" t="inlineStr">
        <is>
          <t>A_C1first</t>
        </is>
      </c>
      <c r="D30" t="inlineStr">
        <is>
          <t>Baseline_2</t>
        </is>
      </c>
      <c r="E30" t="inlineStr">
        <is>
          <t>Ch5</t>
        </is>
      </c>
      <c r="F30" t="inlineStr">
        <is>
          <t>F3</t>
        </is>
      </c>
      <c r="G30" t="n">
        <v>60000</v>
      </c>
      <c r="H30" t="n">
        <v>30000</v>
      </c>
      <c r="I30" t="n">
        <v>30000</v>
      </c>
      <c r="J30" t="n">
        <v>786</v>
      </c>
      <c r="K30" t="n">
        <v>2.62</v>
      </c>
      <c r="L30" s="5">
        <f>100*J30/I30</f>
        <v/>
      </c>
      <c r="M30">
        <f>H30-I30</f>
        <v/>
      </c>
    </row>
    <row r="31">
      <c r="A31" t="inlineStr">
        <is>
          <t>SIMULATED Commercial FA Study</t>
        </is>
      </c>
      <c r="B31" t="inlineStr">
        <is>
          <t>P04</t>
        </is>
      </c>
      <c r="C31" t="inlineStr">
        <is>
          <t>A_C1first</t>
        </is>
      </c>
      <c r="D31" t="inlineStr">
        <is>
          <t>Baseline_2</t>
        </is>
      </c>
      <c r="E31" t="inlineStr">
        <is>
          <t>Ch6</t>
        </is>
      </c>
      <c r="F31" t="inlineStr">
        <is>
          <t>F4</t>
        </is>
      </c>
      <c r="G31" t="n">
        <v>60000</v>
      </c>
      <c r="H31" t="n">
        <v>30000</v>
      </c>
      <c r="I31" t="n">
        <v>30000</v>
      </c>
      <c r="J31" t="n">
        <v>780</v>
      </c>
      <c r="K31" t="n">
        <v>2.6</v>
      </c>
      <c r="L31" s="5">
        <f>100*J31/I31</f>
        <v/>
      </c>
      <c r="M31">
        <f>H31-I31</f>
        <v/>
      </c>
    </row>
    <row r="32">
      <c r="A32" t="inlineStr">
        <is>
          <t>SIMULATED Commercial FA Study</t>
        </is>
      </c>
      <c r="B32" t="inlineStr">
        <is>
          <t>P04</t>
        </is>
      </c>
      <c r="C32" t="inlineStr">
        <is>
          <t>A_C1first</t>
        </is>
      </c>
      <c r="D32" t="inlineStr">
        <is>
          <t>Commercial_2</t>
        </is>
      </c>
      <c r="E32" t="inlineStr">
        <is>
          <t>Ch5</t>
        </is>
      </c>
      <c r="F32" t="inlineStr">
        <is>
          <t>F3</t>
        </is>
      </c>
      <c r="G32" t="n">
        <v>60000</v>
      </c>
      <c r="H32" t="n">
        <v>30000</v>
      </c>
      <c r="I32" t="n">
        <v>30000</v>
      </c>
      <c r="J32" t="n">
        <v>312</v>
      </c>
      <c r="K32" t="n">
        <v>1.04</v>
      </c>
      <c r="L32" s="5">
        <f>100*J32/I32</f>
        <v/>
      </c>
      <c r="M32">
        <f>H32-I32</f>
        <v/>
      </c>
    </row>
    <row r="33">
      <c r="A33" t="inlineStr">
        <is>
          <t>SIMULATED Commercial FA Study</t>
        </is>
      </c>
      <c r="B33" t="inlineStr">
        <is>
          <t>P04</t>
        </is>
      </c>
      <c r="C33" t="inlineStr">
        <is>
          <t>A_C1first</t>
        </is>
      </c>
      <c r="D33" t="inlineStr">
        <is>
          <t>Commercial_2</t>
        </is>
      </c>
      <c r="E33" t="inlineStr">
        <is>
          <t>Ch6</t>
        </is>
      </c>
      <c r="F33" t="inlineStr">
        <is>
          <t>F4</t>
        </is>
      </c>
      <c r="G33" t="n">
        <v>60000</v>
      </c>
      <c r="H33" t="n">
        <v>30000</v>
      </c>
      <c r="I33" t="n">
        <v>30000</v>
      </c>
      <c r="J33" t="n">
        <v>243</v>
      </c>
      <c r="K33" t="n">
        <v>0.8100000000000001</v>
      </c>
      <c r="L33" s="5">
        <f>100*J33/I33</f>
        <v/>
      </c>
      <c r="M33">
        <f>H33-I33</f>
        <v/>
      </c>
    </row>
    <row r="34">
      <c r="A34" t="inlineStr">
        <is>
          <t>SIMULATED Commercial FA Study</t>
        </is>
      </c>
      <c r="B34" t="inlineStr">
        <is>
          <t>P05</t>
        </is>
      </c>
      <c r="C34" t="inlineStr">
        <is>
          <t>A_C1first</t>
        </is>
      </c>
      <c r="D34" t="inlineStr">
        <is>
          <t>Baseline_1</t>
        </is>
      </c>
      <c r="E34" t="inlineStr">
        <is>
          <t>Ch5</t>
        </is>
      </c>
      <c r="F34" t="inlineStr">
        <is>
          <t>F3</t>
        </is>
      </c>
      <c r="G34" t="n">
        <v>60000</v>
      </c>
      <c r="H34" t="n">
        <v>30000</v>
      </c>
      <c r="I34" t="n">
        <v>30000</v>
      </c>
      <c r="J34" t="n">
        <v>117</v>
      </c>
      <c r="K34" t="n">
        <v>0.39</v>
      </c>
      <c r="L34" s="5">
        <f>100*J34/I34</f>
        <v/>
      </c>
      <c r="M34">
        <f>H34-I34</f>
        <v/>
      </c>
    </row>
    <row r="35">
      <c r="A35" t="inlineStr">
        <is>
          <t>SIMULATED Commercial FA Study</t>
        </is>
      </c>
      <c r="B35" t="inlineStr">
        <is>
          <t>P05</t>
        </is>
      </c>
      <c r="C35" t="inlineStr">
        <is>
          <t>A_C1first</t>
        </is>
      </c>
      <c r="D35" t="inlineStr">
        <is>
          <t>Baseline_1</t>
        </is>
      </c>
      <c r="E35" t="inlineStr">
        <is>
          <t>Ch6</t>
        </is>
      </c>
      <c r="F35" t="inlineStr">
        <is>
          <t>F4</t>
        </is>
      </c>
      <c r="G35" t="n">
        <v>60000</v>
      </c>
      <c r="H35" t="n">
        <v>30000</v>
      </c>
      <c r="I35" t="n">
        <v>30000</v>
      </c>
      <c r="J35" t="n">
        <v>105</v>
      </c>
      <c r="K35" t="n">
        <v>0.35</v>
      </c>
      <c r="L35" s="5">
        <f>100*J35/I35</f>
        <v/>
      </c>
      <c r="M35">
        <f>H35-I35</f>
        <v/>
      </c>
    </row>
    <row r="36">
      <c r="A36" t="inlineStr">
        <is>
          <t>SIMULATED Commercial FA Study</t>
        </is>
      </c>
      <c r="B36" t="inlineStr">
        <is>
          <t>P05</t>
        </is>
      </c>
      <c r="C36" t="inlineStr">
        <is>
          <t>A_C1first</t>
        </is>
      </c>
      <c r="D36" t="inlineStr">
        <is>
          <t>Commercial_1A</t>
        </is>
      </c>
      <c r="E36" t="inlineStr">
        <is>
          <t>Ch5</t>
        </is>
      </c>
      <c r="F36" t="inlineStr">
        <is>
          <t>F3</t>
        </is>
      </c>
      <c r="G36" t="n">
        <v>60000</v>
      </c>
      <c r="H36" t="n">
        <v>30000</v>
      </c>
      <c r="I36" t="n">
        <v>30000</v>
      </c>
      <c r="J36" t="n">
        <v>1767</v>
      </c>
      <c r="K36" t="n">
        <v>5.89</v>
      </c>
      <c r="L36" s="5">
        <f>100*J36/I36</f>
        <v/>
      </c>
      <c r="M36">
        <f>H36-I36</f>
        <v/>
      </c>
    </row>
    <row r="37">
      <c r="A37" t="inlineStr">
        <is>
          <t>SIMULATED Commercial FA Study</t>
        </is>
      </c>
      <c r="B37" t="inlineStr">
        <is>
          <t>P05</t>
        </is>
      </c>
      <c r="C37" t="inlineStr">
        <is>
          <t>A_C1first</t>
        </is>
      </c>
      <c r="D37" t="inlineStr">
        <is>
          <t>Commercial_1A</t>
        </is>
      </c>
      <c r="E37" t="inlineStr">
        <is>
          <t>Ch6</t>
        </is>
      </c>
      <c r="F37" t="inlineStr">
        <is>
          <t>F4</t>
        </is>
      </c>
      <c r="G37" t="n">
        <v>60000</v>
      </c>
      <c r="H37" t="n">
        <v>30000</v>
      </c>
      <c r="I37" t="n">
        <v>30000</v>
      </c>
      <c r="J37" t="n">
        <v>1740</v>
      </c>
      <c r="K37" t="n">
        <v>5.8</v>
      </c>
      <c r="L37" s="5">
        <f>100*J37/I37</f>
        <v/>
      </c>
      <c r="M37">
        <f>H37-I37</f>
        <v/>
      </c>
    </row>
    <row r="38">
      <c r="A38" t="inlineStr">
        <is>
          <t>SIMULATED Commercial FA Study</t>
        </is>
      </c>
      <c r="B38" t="inlineStr">
        <is>
          <t>P05</t>
        </is>
      </c>
      <c r="C38" t="inlineStr">
        <is>
          <t>A_C1first</t>
        </is>
      </c>
      <c r="D38" t="inlineStr">
        <is>
          <t>Baseline_2</t>
        </is>
      </c>
      <c r="E38" t="inlineStr">
        <is>
          <t>Ch5</t>
        </is>
      </c>
      <c r="F38" t="inlineStr">
        <is>
          <t>F3</t>
        </is>
      </c>
      <c r="G38" t="n">
        <v>60000</v>
      </c>
      <c r="H38" t="n">
        <v>30000</v>
      </c>
      <c r="I38" t="n">
        <v>30000</v>
      </c>
      <c r="J38" t="n">
        <v>312</v>
      </c>
      <c r="K38" t="n">
        <v>1.04</v>
      </c>
      <c r="L38" s="5">
        <f>100*J38/I38</f>
        <v/>
      </c>
      <c r="M38">
        <f>H38-I38</f>
        <v/>
      </c>
    </row>
    <row r="39">
      <c r="A39" t="inlineStr">
        <is>
          <t>SIMULATED Commercial FA Study</t>
        </is>
      </c>
      <c r="B39" t="inlineStr">
        <is>
          <t>P05</t>
        </is>
      </c>
      <c r="C39" t="inlineStr">
        <is>
          <t>A_C1first</t>
        </is>
      </c>
      <c r="D39" t="inlineStr">
        <is>
          <t>Baseline_2</t>
        </is>
      </c>
      <c r="E39" t="inlineStr">
        <is>
          <t>Ch6</t>
        </is>
      </c>
      <c r="F39" t="inlineStr">
        <is>
          <t>F4</t>
        </is>
      </c>
      <c r="G39" t="n">
        <v>60000</v>
      </c>
      <c r="H39" t="n">
        <v>30000</v>
      </c>
      <c r="I39" t="n">
        <v>30000</v>
      </c>
      <c r="J39" t="n">
        <v>306</v>
      </c>
      <c r="K39" t="n">
        <v>1.02</v>
      </c>
      <c r="L39" s="5">
        <f>100*J39/I39</f>
        <v/>
      </c>
      <c r="M39">
        <f>H39-I39</f>
        <v/>
      </c>
    </row>
    <row r="40">
      <c r="A40" t="inlineStr">
        <is>
          <t>SIMULATED Commercial FA Study</t>
        </is>
      </c>
      <c r="B40" t="inlineStr">
        <is>
          <t>P05</t>
        </is>
      </c>
      <c r="C40" t="inlineStr">
        <is>
          <t>A_C1first</t>
        </is>
      </c>
      <c r="D40" t="inlineStr">
        <is>
          <t>Commercial_2</t>
        </is>
      </c>
      <c r="E40" t="inlineStr">
        <is>
          <t>Ch5</t>
        </is>
      </c>
      <c r="F40" t="inlineStr">
        <is>
          <t>F3</t>
        </is>
      </c>
      <c r="G40" t="n">
        <v>60000</v>
      </c>
      <c r="H40" t="n">
        <v>30000</v>
      </c>
      <c r="I40" t="n">
        <v>30000</v>
      </c>
      <c r="J40" t="n">
        <v>183</v>
      </c>
      <c r="K40" t="n">
        <v>0.61</v>
      </c>
      <c r="L40" s="5">
        <f>100*J40/I40</f>
        <v/>
      </c>
      <c r="M40">
        <f>H40-I40</f>
        <v/>
      </c>
    </row>
    <row r="41">
      <c r="A41" t="inlineStr">
        <is>
          <t>SIMULATED Commercial FA Study</t>
        </is>
      </c>
      <c r="B41" t="inlineStr">
        <is>
          <t>P05</t>
        </is>
      </c>
      <c r="C41" t="inlineStr">
        <is>
          <t>A_C1first</t>
        </is>
      </c>
      <c r="D41" t="inlineStr">
        <is>
          <t>Commercial_2</t>
        </is>
      </c>
      <c r="E41" t="inlineStr">
        <is>
          <t>Ch6</t>
        </is>
      </c>
      <c r="F41" t="inlineStr">
        <is>
          <t>F4</t>
        </is>
      </c>
      <c r="G41" t="n">
        <v>60000</v>
      </c>
      <c r="H41" t="n">
        <v>30000</v>
      </c>
      <c r="I41" t="n">
        <v>30000</v>
      </c>
      <c r="J41" t="n">
        <v>60</v>
      </c>
      <c r="K41" t="n">
        <v>0.2</v>
      </c>
      <c r="L41" s="5">
        <f>100*J41/I41</f>
        <v/>
      </c>
      <c r="M41">
        <f>H41-I41</f>
        <v/>
      </c>
    </row>
    <row r="42">
      <c r="A42" t="inlineStr">
        <is>
          <t>SIMULATED Commercial FA Study</t>
        </is>
      </c>
      <c r="B42" t="inlineStr">
        <is>
          <t>P06</t>
        </is>
      </c>
      <c r="C42" t="inlineStr">
        <is>
          <t>B_C2first</t>
        </is>
      </c>
      <c r="D42" t="inlineStr">
        <is>
          <t>Baseline_1</t>
        </is>
      </c>
      <c r="E42" t="inlineStr">
        <is>
          <t>Ch5</t>
        </is>
      </c>
      <c r="F42" t="inlineStr">
        <is>
          <t>F3</t>
        </is>
      </c>
      <c r="G42" t="n">
        <v>60000</v>
      </c>
      <c r="H42" t="n">
        <v>30000</v>
      </c>
      <c r="I42" t="n">
        <v>30000</v>
      </c>
      <c r="J42" t="n">
        <v>210</v>
      </c>
      <c r="K42" t="n">
        <v>0.7</v>
      </c>
      <c r="L42" s="5">
        <f>100*J42/I42</f>
        <v/>
      </c>
      <c r="M42">
        <f>H42-I42</f>
        <v/>
      </c>
    </row>
    <row r="43">
      <c r="A43" t="inlineStr">
        <is>
          <t>SIMULATED Commercial FA Study</t>
        </is>
      </c>
      <c r="B43" t="inlineStr">
        <is>
          <t>P06</t>
        </is>
      </c>
      <c r="C43" t="inlineStr">
        <is>
          <t>B_C2first</t>
        </is>
      </c>
      <c r="D43" t="inlineStr">
        <is>
          <t>Baseline_1</t>
        </is>
      </c>
      <c r="E43" t="inlineStr">
        <is>
          <t>Ch6</t>
        </is>
      </c>
      <c r="F43" t="inlineStr">
        <is>
          <t>F4</t>
        </is>
      </c>
      <c r="G43" t="n">
        <v>60000</v>
      </c>
      <c r="H43" t="n">
        <v>30000</v>
      </c>
      <c r="I43" t="n">
        <v>30000</v>
      </c>
      <c r="J43" t="n">
        <v>201</v>
      </c>
      <c r="K43" t="n">
        <v>0.67</v>
      </c>
      <c r="L43" s="5">
        <f>100*J43/I43</f>
        <v/>
      </c>
      <c r="M43">
        <f>H43-I43</f>
        <v/>
      </c>
    </row>
    <row r="44">
      <c r="A44" t="inlineStr">
        <is>
          <t>SIMULATED Commercial FA Study</t>
        </is>
      </c>
      <c r="B44" t="inlineStr">
        <is>
          <t>P06</t>
        </is>
      </c>
      <c r="C44" t="inlineStr">
        <is>
          <t>B_C2first</t>
        </is>
      </c>
      <c r="D44" t="inlineStr">
        <is>
          <t>Commercial_2</t>
        </is>
      </c>
      <c r="E44" t="inlineStr">
        <is>
          <t>Ch5</t>
        </is>
      </c>
      <c r="F44" t="inlineStr">
        <is>
          <t>F3</t>
        </is>
      </c>
      <c r="G44" t="n">
        <v>60000</v>
      </c>
      <c r="H44" t="n">
        <v>30000</v>
      </c>
      <c r="I44" t="n">
        <v>30000</v>
      </c>
      <c r="J44" t="n">
        <v>162</v>
      </c>
      <c r="K44" t="n">
        <v>0.54</v>
      </c>
      <c r="L44" s="5">
        <f>100*J44/I44</f>
        <v/>
      </c>
      <c r="M44">
        <f>H44-I44</f>
        <v/>
      </c>
    </row>
    <row r="45">
      <c r="A45" t="inlineStr">
        <is>
          <t>SIMULATED Commercial FA Study</t>
        </is>
      </c>
      <c r="B45" t="inlineStr">
        <is>
          <t>P06</t>
        </is>
      </c>
      <c r="C45" t="inlineStr">
        <is>
          <t>B_C2first</t>
        </is>
      </c>
      <c r="D45" t="inlineStr">
        <is>
          <t>Commercial_2</t>
        </is>
      </c>
      <c r="E45" t="inlineStr">
        <is>
          <t>Ch6</t>
        </is>
      </c>
      <c r="F45" t="inlineStr">
        <is>
          <t>F4</t>
        </is>
      </c>
      <c r="G45" t="n">
        <v>60000</v>
      </c>
      <c r="H45" t="n">
        <v>30000</v>
      </c>
      <c r="I45" t="n">
        <v>30000</v>
      </c>
      <c r="J45" t="n">
        <v>168</v>
      </c>
      <c r="K45" t="n">
        <v>0.5600000000000001</v>
      </c>
      <c r="L45" s="5">
        <f>100*J45/I45</f>
        <v/>
      </c>
      <c r="M45">
        <f>H45-I45</f>
        <v/>
      </c>
    </row>
    <row r="46">
      <c r="A46" t="inlineStr">
        <is>
          <t>SIMULATED Commercial FA Study</t>
        </is>
      </c>
      <c r="B46" t="inlineStr">
        <is>
          <t>P06</t>
        </is>
      </c>
      <c r="C46" t="inlineStr">
        <is>
          <t>B_C2first</t>
        </is>
      </c>
      <c r="D46" t="inlineStr">
        <is>
          <t>Baseline_2</t>
        </is>
      </c>
      <c r="E46" t="inlineStr">
        <is>
          <t>Ch5</t>
        </is>
      </c>
      <c r="F46" t="inlineStr">
        <is>
          <t>F3</t>
        </is>
      </c>
      <c r="G46" t="n">
        <v>60000</v>
      </c>
      <c r="H46" t="n">
        <v>30000</v>
      </c>
      <c r="I46" t="n">
        <v>30000</v>
      </c>
      <c r="J46" t="n">
        <v>2484</v>
      </c>
      <c r="K46" t="n">
        <v>8.279999999999999</v>
      </c>
      <c r="L46" s="5">
        <f>100*J46/I46</f>
        <v/>
      </c>
      <c r="M46">
        <f>H46-I46</f>
        <v/>
      </c>
    </row>
    <row r="47">
      <c r="A47" t="inlineStr">
        <is>
          <t>SIMULATED Commercial FA Study</t>
        </is>
      </c>
      <c r="B47" t="inlineStr">
        <is>
          <t>P06</t>
        </is>
      </c>
      <c r="C47" t="inlineStr">
        <is>
          <t>B_C2first</t>
        </is>
      </c>
      <c r="D47" t="inlineStr">
        <is>
          <t>Baseline_2</t>
        </is>
      </c>
      <c r="E47" t="inlineStr">
        <is>
          <t>Ch6</t>
        </is>
      </c>
      <c r="F47" t="inlineStr">
        <is>
          <t>F4</t>
        </is>
      </c>
      <c r="G47" t="n">
        <v>60000</v>
      </c>
      <c r="H47" t="n">
        <v>30000</v>
      </c>
      <c r="I47" t="n">
        <v>30000</v>
      </c>
      <c r="J47" t="n">
        <v>2619</v>
      </c>
      <c r="K47" t="n">
        <v>8.73</v>
      </c>
      <c r="L47" s="5">
        <f>100*J47/I47</f>
        <v/>
      </c>
      <c r="M47">
        <f>H47-I47</f>
        <v/>
      </c>
    </row>
    <row r="48">
      <c r="A48" t="inlineStr">
        <is>
          <t>SIMULATED Commercial FA Study</t>
        </is>
      </c>
      <c r="B48" t="inlineStr">
        <is>
          <t>P06</t>
        </is>
      </c>
      <c r="C48" t="inlineStr">
        <is>
          <t>B_C2first</t>
        </is>
      </c>
      <c r="D48" t="inlineStr">
        <is>
          <t>Commercial_1B</t>
        </is>
      </c>
      <c r="E48" t="inlineStr">
        <is>
          <t>Ch5</t>
        </is>
      </c>
      <c r="F48" t="inlineStr">
        <is>
          <t>F3</t>
        </is>
      </c>
      <c r="G48" t="n">
        <v>54000</v>
      </c>
      <c r="H48" t="n">
        <v>27000</v>
      </c>
      <c r="I48" t="n">
        <v>27000</v>
      </c>
      <c r="J48" t="n">
        <v>154</v>
      </c>
      <c r="K48" t="n">
        <v>0.57</v>
      </c>
      <c r="L48" s="5">
        <f>100*J48/I48</f>
        <v/>
      </c>
      <c r="M48">
        <f>H48-I48</f>
        <v/>
      </c>
    </row>
    <row r="49">
      <c r="A49" t="inlineStr">
        <is>
          <t>SIMULATED Commercial FA Study</t>
        </is>
      </c>
      <c r="B49" t="inlineStr">
        <is>
          <t>P06</t>
        </is>
      </c>
      <c r="C49" t="inlineStr">
        <is>
          <t>B_C2first</t>
        </is>
      </c>
      <c r="D49" t="inlineStr">
        <is>
          <t>Commercial_1B</t>
        </is>
      </c>
      <c r="E49" t="inlineStr">
        <is>
          <t>Ch6</t>
        </is>
      </c>
      <c r="F49" t="inlineStr">
        <is>
          <t>F4</t>
        </is>
      </c>
      <c r="G49" t="n">
        <v>54000</v>
      </c>
      <c r="H49" t="n">
        <v>27000</v>
      </c>
      <c r="I49" t="n">
        <v>27000</v>
      </c>
      <c r="J49" t="n">
        <v>135</v>
      </c>
      <c r="K49" t="n">
        <v>0.5</v>
      </c>
      <c r="L49" s="5">
        <f>100*J49/I49</f>
        <v/>
      </c>
      <c r="M49">
        <f>H49-I49</f>
        <v/>
      </c>
    </row>
    <row r="50">
      <c r="A50" t="inlineStr">
        <is>
          <t>SIMULATED Commercial FA Study</t>
        </is>
      </c>
      <c r="B50" t="inlineStr">
        <is>
          <t>P07</t>
        </is>
      </c>
      <c r="C50" t="inlineStr">
        <is>
          <t>B_C1first</t>
        </is>
      </c>
      <c r="D50" t="inlineStr">
        <is>
          <t>Baseline_1</t>
        </is>
      </c>
      <c r="E50" t="inlineStr">
        <is>
          <t>Ch5</t>
        </is>
      </c>
      <c r="F50" t="inlineStr">
        <is>
          <t>F3</t>
        </is>
      </c>
      <c r="G50" t="n">
        <v>60000</v>
      </c>
      <c r="H50" t="n">
        <v>30000</v>
      </c>
      <c r="I50" t="n">
        <v>30000</v>
      </c>
      <c r="J50" t="n">
        <v>414</v>
      </c>
      <c r="K50" t="n">
        <v>1.38</v>
      </c>
      <c r="L50" s="5">
        <f>100*J50/I50</f>
        <v/>
      </c>
      <c r="M50">
        <f>H50-I50</f>
        <v/>
      </c>
    </row>
    <row r="51">
      <c r="A51" t="inlineStr">
        <is>
          <t>SIMULATED Commercial FA Study</t>
        </is>
      </c>
      <c r="B51" t="inlineStr">
        <is>
          <t>P07</t>
        </is>
      </c>
      <c r="C51" t="inlineStr">
        <is>
          <t>B_C1first</t>
        </is>
      </c>
      <c r="D51" t="inlineStr">
        <is>
          <t>Baseline_1</t>
        </is>
      </c>
      <c r="E51" t="inlineStr">
        <is>
          <t>Ch6</t>
        </is>
      </c>
      <c r="F51" t="inlineStr">
        <is>
          <t>F4</t>
        </is>
      </c>
      <c r="G51" t="n">
        <v>60000</v>
      </c>
      <c r="H51" t="n">
        <v>30000</v>
      </c>
      <c r="I51" t="n">
        <v>30000</v>
      </c>
      <c r="J51" t="n">
        <v>537</v>
      </c>
      <c r="K51" t="n">
        <v>1.79</v>
      </c>
      <c r="L51" s="5">
        <f>100*J51/I51</f>
        <v/>
      </c>
      <c r="M51">
        <f>H51-I51</f>
        <v/>
      </c>
    </row>
    <row r="52">
      <c r="A52" t="inlineStr">
        <is>
          <t>SIMULATED Commercial FA Study</t>
        </is>
      </c>
      <c r="B52" t="inlineStr">
        <is>
          <t>P07</t>
        </is>
      </c>
      <c r="C52" t="inlineStr">
        <is>
          <t>B_C1first</t>
        </is>
      </c>
      <c r="D52" t="inlineStr">
        <is>
          <t>Commercial_1B</t>
        </is>
      </c>
      <c r="E52" t="inlineStr">
        <is>
          <t>Ch5</t>
        </is>
      </c>
      <c r="F52" t="inlineStr">
        <is>
          <t>F3</t>
        </is>
      </c>
      <c r="G52" t="n">
        <v>54000</v>
      </c>
      <c r="H52" t="n">
        <v>27000</v>
      </c>
      <c r="I52" t="n">
        <v>27000</v>
      </c>
      <c r="J52" t="n">
        <v>751</v>
      </c>
      <c r="K52" t="n">
        <v>2.78</v>
      </c>
      <c r="L52" s="5">
        <f>100*J52/I52</f>
        <v/>
      </c>
      <c r="M52">
        <f>H52-I52</f>
        <v/>
      </c>
    </row>
    <row r="53">
      <c r="A53" t="inlineStr">
        <is>
          <t>SIMULATED Commercial FA Study</t>
        </is>
      </c>
      <c r="B53" t="inlineStr">
        <is>
          <t>P07</t>
        </is>
      </c>
      <c r="C53" t="inlineStr">
        <is>
          <t>B_C1first</t>
        </is>
      </c>
      <c r="D53" t="inlineStr">
        <is>
          <t>Commercial_1B</t>
        </is>
      </c>
      <c r="E53" t="inlineStr">
        <is>
          <t>Ch6</t>
        </is>
      </c>
      <c r="F53" t="inlineStr">
        <is>
          <t>F4</t>
        </is>
      </c>
      <c r="G53" t="n">
        <v>54000</v>
      </c>
      <c r="H53" t="n">
        <v>27000</v>
      </c>
      <c r="I53" t="n">
        <v>27000</v>
      </c>
      <c r="J53" t="n">
        <v>753</v>
      </c>
      <c r="K53" t="n">
        <v>2.79</v>
      </c>
      <c r="L53" s="5">
        <f>100*J53/I53</f>
        <v/>
      </c>
      <c r="M53">
        <f>H53-I53</f>
        <v/>
      </c>
    </row>
    <row r="54">
      <c r="A54" t="inlineStr">
        <is>
          <t>SIMULATED Commercial FA Study</t>
        </is>
      </c>
      <c r="B54" t="inlineStr">
        <is>
          <t>P07</t>
        </is>
      </c>
      <c r="C54" t="inlineStr">
        <is>
          <t>B_C1first</t>
        </is>
      </c>
      <c r="D54" t="inlineStr">
        <is>
          <t>Baseline_2</t>
        </is>
      </c>
      <c r="E54" t="inlineStr">
        <is>
          <t>Ch5</t>
        </is>
      </c>
      <c r="F54" t="inlineStr">
        <is>
          <t>F3</t>
        </is>
      </c>
      <c r="G54" t="n">
        <v>60000</v>
      </c>
      <c r="H54" t="n">
        <v>30000</v>
      </c>
      <c r="I54" t="n">
        <v>30000</v>
      </c>
      <c r="J54" t="n">
        <v>0</v>
      </c>
      <c r="K54" t="n">
        <v>0</v>
      </c>
      <c r="L54" s="5">
        <f>100*J54/I54</f>
        <v/>
      </c>
      <c r="M54">
        <f>H54-I54</f>
        <v/>
      </c>
    </row>
    <row r="55">
      <c r="A55" t="inlineStr">
        <is>
          <t>SIMULATED Commercial FA Study</t>
        </is>
      </c>
      <c r="B55" t="inlineStr">
        <is>
          <t>P07</t>
        </is>
      </c>
      <c r="C55" t="inlineStr">
        <is>
          <t>B_C1first</t>
        </is>
      </c>
      <c r="D55" t="inlineStr">
        <is>
          <t>Baseline_2</t>
        </is>
      </c>
      <c r="E55" t="inlineStr">
        <is>
          <t>Ch6</t>
        </is>
      </c>
      <c r="F55" t="inlineStr">
        <is>
          <t>F4</t>
        </is>
      </c>
      <c r="G55" t="n">
        <v>60000</v>
      </c>
      <c r="H55" t="n">
        <v>30000</v>
      </c>
      <c r="I55" t="n">
        <v>30000</v>
      </c>
      <c r="J55" t="n">
        <v>0</v>
      </c>
      <c r="K55" t="n">
        <v>0</v>
      </c>
      <c r="L55" s="5">
        <f>100*J55/I55</f>
        <v/>
      </c>
      <c r="M55">
        <f>H55-I55</f>
        <v/>
      </c>
    </row>
    <row r="56">
      <c r="A56" t="inlineStr">
        <is>
          <t>SIMULATED Commercial FA Study</t>
        </is>
      </c>
      <c r="B56" t="inlineStr">
        <is>
          <t>P07</t>
        </is>
      </c>
      <c r="C56" t="inlineStr">
        <is>
          <t>B_C1first</t>
        </is>
      </c>
      <c r="D56" t="inlineStr">
        <is>
          <t>Commercial_2</t>
        </is>
      </c>
      <c r="E56" t="inlineStr">
        <is>
          <t>Ch5</t>
        </is>
      </c>
      <c r="F56" t="inlineStr">
        <is>
          <t>F3</t>
        </is>
      </c>
      <c r="G56" t="n">
        <v>60000</v>
      </c>
      <c r="H56" t="n">
        <v>30000</v>
      </c>
      <c r="I56" t="n">
        <v>30000</v>
      </c>
      <c r="J56" t="n">
        <v>78</v>
      </c>
      <c r="K56" t="n">
        <v>0.26</v>
      </c>
      <c r="L56" s="5">
        <f>100*J56/I56</f>
        <v/>
      </c>
      <c r="M56">
        <f>H56-I56</f>
        <v/>
      </c>
    </row>
    <row r="57">
      <c r="A57" t="inlineStr">
        <is>
          <t>SIMULATED Commercial FA Study</t>
        </is>
      </c>
      <c r="B57" t="inlineStr">
        <is>
          <t>P07</t>
        </is>
      </c>
      <c r="C57" t="inlineStr">
        <is>
          <t>B_C1first</t>
        </is>
      </c>
      <c r="D57" t="inlineStr">
        <is>
          <t>Commercial_2</t>
        </is>
      </c>
      <c r="E57" t="inlineStr">
        <is>
          <t>Ch6</t>
        </is>
      </c>
      <c r="F57" t="inlineStr">
        <is>
          <t>F4</t>
        </is>
      </c>
      <c r="G57" t="n">
        <v>60000</v>
      </c>
      <c r="H57" t="n">
        <v>30000</v>
      </c>
      <c r="I57" t="n">
        <v>30000</v>
      </c>
      <c r="J57" t="n">
        <v>87</v>
      </c>
      <c r="K57" t="n">
        <v>0.29</v>
      </c>
      <c r="L57" s="5">
        <f>100*J57/I57</f>
        <v/>
      </c>
      <c r="M57">
        <f>H57-I57</f>
        <v/>
      </c>
    </row>
    <row r="58">
      <c r="A58" t="inlineStr">
        <is>
          <t>SIMULATED Commercial FA Study</t>
        </is>
      </c>
      <c r="B58" t="inlineStr">
        <is>
          <t>P08</t>
        </is>
      </c>
      <c r="C58" t="inlineStr">
        <is>
          <t>A_C2first</t>
        </is>
      </c>
      <c r="D58" t="inlineStr">
        <is>
          <t>Baseline_1</t>
        </is>
      </c>
      <c r="E58" t="inlineStr">
        <is>
          <t>Ch5</t>
        </is>
      </c>
      <c r="F58" t="inlineStr">
        <is>
          <t>F3</t>
        </is>
      </c>
      <c r="G58" t="n">
        <v>60000</v>
      </c>
      <c r="H58" t="n">
        <v>30000</v>
      </c>
      <c r="I58" t="n">
        <v>30000</v>
      </c>
      <c r="J58" t="n">
        <v>1536</v>
      </c>
      <c r="K58" t="n">
        <v>5.12</v>
      </c>
      <c r="L58" s="5">
        <f>100*J58/I58</f>
        <v/>
      </c>
      <c r="M58">
        <f>H58-I58</f>
        <v/>
      </c>
    </row>
    <row r="59">
      <c r="A59" t="inlineStr">
        <is>
          <t>SIMULATED Commercial FA Study</t>
        </is>
      </c>
      <c r="B59" t="inlineStr">
        <is>
          <t>P08</t>
        </is>
      </c>
      <c r="C59" t="inlineStr">
        <is>
          <t>A_C2first</t>
        </is>
      </c>
      <c r="D59" t="inlineStr">
        <is>
          <t>Baseline_1</t>
        </is>
      </c>
      <c r="E59" t="inlineStr">
        <is>
          <t>Ch6</t>
        </is>
      </c>
      <c r="F59" t="inlineStr">
        <is>
          <t>F4</t>
        </is>
      </c>
      <c r="G59" t="n">
        <v>60000</v>
      </c>
      <c r="H59" t="n">
        <v>30000</v>
      </c>
      <c r="I59" t="n">
        <v>30000</v>
      </c>
      <c r="J59" t="n">
        <v>1683</v>
      </c>
      <c r="K59" t="n">
        <v>5.61</v>
      </c>
      <c r="L59" s="5">
        <f>100*J59/I59</f>
        <v/>
      </c>
      <c r="M59">
        <f>H59-I59</f>
        <v/>
      </c>
    </row>
    <row r="60">
      <c r="A60" t="inlineStr">
        <is>
          <t>SIMULATED Commercial FA Study</t>
        </is>
      </c>
      <c r="B60" t="inlineStr">
        <is>
          <t>P08</t>
        </is>
      </c>
      <c r="C60" t="inlineStr">
        <is>
          <t>A_C2first</t>
        </is>
      </c>
      <c r="D60" t="inlineStr">
        <is>
          <t>Commercial_2</t>
        </is>
      </c>
      <c r="E60" t="inlineStr">
        <is>
          <t>Ch5</t>
        </is>
      </c>
      <c r="F60" t="inlineStr">
        <is>
          <t>F3</t>
        </is>
      </c>
      <c r="G60" t="n">
        <v>60000</v>
      </c>
      <c r="H60" t="n">
        <v>30000</v>
      </c>
      <c r="I60" t="n">
        <v>30000</v>
      </c>
      <c r="J60" t="n">
        <v>984</v>
      </c>
      <c r="K60" t="n">
        <v>3.28</v>
      </c>
      <c r="L60" s="5">
        <f>100*J60/I60</f>
        <v/>
      </c>
      <c r="M60">
        <f>H60-I60</f>
        <v/>
      </c>
    </row>
    <row r="61">
      <c r="A61" t="inlineStr">
        <is>
          <t>SIMULATED Commercial FA Study</t>
        </is>
      </c>
      <c r="B61" t="inlineStr">
        <is>
          <t>P08</t>
        </is>
      </c>
      <c r="C61" t="inlineStr">
        <is>
          <t>A_C2first</t>
        </is>
      </c>
      <c r="D61" t="inlineStr">
        <is>
          <t>Commercial_2</t>
        </is>
      </c>
      <c r="E61" t="inlineStr">
        <is>
          <t>Ch6</t>
        </is>
      </c>
      <c r="F61" t="inlineStr">
        <is>
          <t>F4</t>
        </is>
      </c>
      <c r="G61" t="n">
        <v>60000</v>
      </c>
      <c r="H61" t="n">
        <v>30000</v>
      </c>
      <c r="I61" t="n">
        <v>30000</v>
      </c>
      <c r="J61" t="n">
        <v>873</v>
      </c>
      <c r="K61" t="n">
        <v>2.91</v>
      </c>
      <c r="L61" s="5">
        <f>100*J61/I61</f>
        <v/>
      </c>
      <c r="M61">
        <f>H61-I61</f>
        <v/>
      </c>
    </row>
    <row r="62">
      <c r="A62" t="inlineStr">
        <is>
          <t>SIMULATED Commercial FA Study</t>
        </is>
      </c>
      <c r="B62" t="inlineStr">
        <is>
          <t>P08</t>
        </is>
      </c>
      <c r="C62" t="inlineStr">
        <is>
          <t>A_C2first</t>
        </is>
      </c>
      <c r="D62" t="inlineStr">
        <is>
          <t>Baseline_2</t>
        </is>
      </c>
      <c r="E62" t="inlineStr">
        <is>
          <t>Ch5</t>
        </is>
      </c>
      <c r="F62" t="inlineStr">
        <is>
          <t>F3</t>
        </is>
      </c>
      <c r="G62" t="n">
        <v>60000</v>
      </c>
      <c r="H62" t="n">
        <v>30000</v>
      </c>
      <c r="I62" t="n">
        <v>30000</v>
      </c>
      <c r="J62" t="n">
        <v>1545</v>
      </c>
      <c r="K62" t="n">
        <v>5.15</v>
      </c>
      <c r="L62" s="5">
        <f>100*J62/I62</f>
        <v/>
      </c>
      <c r="M62">
        <f>H62-I62</f>
        <v/>
      </c>
    </row>
    <row r="63">
      <c r="A63" t="inlineStr">
        <is>
          <t>SIMULATED Commercial FA Study</t>
        </is>
      </c>
      <c r="B63" t="inlineStr">
        <is>
          <t>P08</t>
        </is>
      </c>
      <c r="C63" t="inlineStr">
        <is>
          <t>A_C2first</t>
        </is>
      </c>
      <c r="D63" t="inlineStr">
        <is>
          <t>Baseline_2</t>
        </is>
      </c>
      <c r="E63" t="inlineStr">
        <is>
          <t>Ch6</t>
        </is>
      </c>
      <c r="F63" t="inlineStr">
        <is>
          <t>F4</t>
        </is>
      </c>
      <c r="G63" t="n">
        <v>60000</v>
      </c>
      <c r="H63" t="n">
        <v>30000</v>
      </c>
      <c r="I63" t="n">
        <v>30000</v>
      </c>
      <c r="J63" t="n">
        <v>1680</v>
      </c>
      <c r="K63" t="n">
        <v>5.6</v>
      </c>
      <c r="L63" s="5">
        <f>100*J63/I63</f>
        <v/>
      </c>
      <c r="M63">
        <f>H63-I63</f>
        <v/>
      </c>
    </row>
    <row r="64">
      <c r="A64" t="inlineStr">
        <is>
          <t>SIMULATED Commercial FA Study</t>
        </is>
      </c>
      <c r="B64" t="inlineStr">
        <is>
          <t>P08</t>
        </is>
      </c>
      <c r="C64" t="inlineStr">
        <is>
          <t>A_C2first</t>
        </is>
      </c>
      <c r="D64" t="inlineStr">
        <is>
          <t>Commercial_1A</t>
        </is>
      </c>
      <c r="E64" t="inlineStr">
        <is>
          <t>Ch5</t>
        </is>
      </c>
      <c r="F64" t="inlineStr">
        <is>
          <t>F3</t>
        </is>
      </c>
      <c r="G64" t="n">
        <v>60000</v>
      </c>
      <c r="H64" t="n">
        <v>30000</v>
      </c>
      <c r="I64" t="n">
        <v>30000</v>
      </c>
      <c r="J64" t="n">
        <v>1005</v>
      </c>
      <c r="K64" t="n">
        <v>3.35</v>
      </c>
      <c r="L64" s="5">
        <f>100*J64/I64</f>
        <v/>
      </c>
      <c r="M64">
        <f>H64-I64</f>
        <v/>
      </c>
    </row>
    <row r="65">
      <c r="A65" t="inlineStr">
        <is>
          <t>SIMULATED Commercial FA Study</t>
        </is>
      </c>
      <c r="B65" t="inlineStr">
        <is>
          <t>P08</t>
        </is>
      </c>
      <c r="C65" t="inlineStr">
        <is>
          <t>A_C2first</t>
        </is>
      </c>
      <c r="D65" t="inlineStr">
        <is>
          <t>Commercial_1A</t>
        </is>
      </c>
      <c r="E65" t="inlineStr">
        <is>
          <t>Ch6</t>
        </is>
      </c>
      <c r="F65" t="inlineStr">
        <is>
          <t>F4</t>
        </is>
      </c>
      <c r="G65" t="n">
        <v>60000</v>
      </c>
      <c r="H65" t="n">
        <v>30000</v>
      </c>
      <c r="I65" t="n">
        <v>30000</v>
      </c>
      <c r="J65" t="n">
        <v>1266</v>
      </c>
      <c r="K65" t="n">
        <v>4.22</v>
      </c>
      <c r="L65" s="5">
        <f>100*J65/I65</f>
        <v/>
      </c>
      <c r="M65">
        <f>H65-I65</f>
        <v/>
      </c>
    </row>
    <row r="66">
      <c r="A66" t="inlineStr">
        <is>
          <t>SIMULATED Commercial FA Study</t>
        </is>
      </c>
      <c r="B66" t="inlineStr">
        <is>
          <t>P09</t>
        </is>
      </c>
      <c r="C66" t="inlineStr">
        <is>
          <t>A_C1first</t>
        </is>
      </c>
      <c r="D66" t="inlineStr">
        <is>
          <t>Baseline_1</t>
        </is>
      </c>
      <c r="E66" t="inlineStr">
        <is>
          <t>Ch5</t>
        </is>
      </c>
      <c r="F66" t="inlineStr">
        <is>
          <t>F3</t>
        </is>
      </c>
      <c r="G66" t="n">
        <v>60000</v>
      </c>
      <c r="H66" t="n">
        <v>30000</v>
      </c>
      <c r="I66" t="n">
        <v>30000</v>
      </c>
      <c r="J66" t="n">
        <v>300</v>
      </c>
      <c r="K66" t="n">
        <v>1</v>
      </c>
      <c r="L66" s="5">
        <f>100*J66/I66</f>
        <v/>
      </c>
      <c r="M66">
        <f>H66-I66</f>
        <v/>
      </c>
    </row>
    <row r="67">
      <c r="A67" t="inlineStr">
        <is>
          <t>SIMULATED Commercial FA Study</t>
        </is>
      </c>
      <c r="B67" t="inlineStr">
        <is>
          <t>P09</t>
        </is>
      </c>
      <c r="C67" t="inlineStr">
        <is>
          <t>A_C1first</t>
        </is>
      </c>
      <c r="D67" t="inlineStr">
        <is>
          <t>Baseline_1</t>
        </is>
      </c>
      <c r="E67" t="inlineStr">
        <is>
          <t>Ch6</t>
        </is>
      </c>
      <c r="F67" t="inlineStr">
        <is>
          <t>F4</t>
        </is>
      </c>
      <c r="G67" t="n">
        <v>60000</v>
      </c>
      <c r="H67" t="n">
        <v>30000</v>
      </c>
      <c r="I67" t="n">
        <v>30000</v>
      </c>
      <c r="J67" t="n">
        <v>312</v>
      </c>
      <c r="K67" t="n">
        <v>1.04</v>
      </c>
      <c r="L67" s="5">
        <f>100*J67/I67</f>
        <v/>
      </c>
      <c r="M67">
        <f>H67-I67</f>
        <v/>
      </c>
    </row>
    <row r="68">
      <c r="A68" t="inlineStr">
        <is>
          <t>SIMULATED Commercial FA Study</t>
        </is>
      </c>
      <c r="B68" t="inlineStr">
        <is>
          <t>P09</t>
        </is>
      </c>
      <c r="C68" t="inlineStr">
        <is>
          <t>A_C1first</t>
        </is>
      </c>
      <c r="D68" t="inlineStr">
        <is>
          <t>Commercial_1A</t>
        </is>
      </c>
      <c r="E68" t="inlineStr">
        <is>
          <t>Ch5</t>
        </is>
      </c>
      <c r="F68" t="inlineStr">
        <is>
          <t>F3</t>
        </is>
      </c>
      <c r="G68" t="n">
        <v>60000</v>
      </c>
      <c r="H68" t="n">
        <v>30000</v>
      </c>
      <c r="I68" t="n">
        <v>30000</v>
      </c>
      <c r="J68" t="n">
        <v>303</v>
      </c>
      <c r="K68" t="n">
        <v>1.01</v>
      </c>
      <c r="L68" s="5">
        <f>100*J68/I68</f>
        <v/>
      </c>
      <c r="M68">
        <f>H68-I68</f>
        <v/>
      </c>
    </row>
    <row r="69">
      <c r="A69" t="inlineStr">
        <is>
          <t>SIMULATED Commercial FA Study</t>
        </is>
      </c>
      <c r="B69" t="inlineStr">
        <is>
          <t>P09</t>
        </is>
      </c>
      <c r="C69" t="inlineStr">
        <is>
          <t>A_C1first</t>
        </is>
      </c>
      <c r="D69" t="inlineStr">
        <is>
          <t>Commercial_1A</t>
        </is>
      </c>
      <c r="E69" t="inlineStr">
        <is>
          <t>Ch6</t>
        </is>
      </c>
      <c r="F69" t="inlineStr">
        <is>
          <t>F4</t>
        </is>
      </c>
      <c r="G69" t="n">
        <v>60000</v>
      </c>
      <c r="H69" t="n">
        <v>30000</v>
      </c>
      <c r="I69" t="n">
        <v>30000</v>
      </c>
      <c r="J69" t="n">
        <v>315</v>
      </c>
      <c r="K69" t="n">
        <v>1.05</v>
      </c>
      <c r="L69" s="5">
        <f>100*J69/I69</f>
        <v/>
      </c>
      <c r="M69">
        <f>H69-I69</f>
        <v/>
      </c>
    </row>
    <row r="70">
      <c r="A70" t="inlineStr">
        <is>
          <t>SIMULATED Commercial FA Study</t>
        </is>
      </c>
      <c r="B70" t="inlineStr">
        <is>
          <t>P09</t>
        </is>
      </c>
      <c r="C70" t="inlineStr">
        <is>
          <t>A_C1first</t>
        </is>
      </c>
      <c r="D70" t="inlineStr">
        <is>
          <t>Baseline_2</t>
        </is>
      </c>
      <c r="E70" t="inlineStr">
        <is>
          <t>Ch5</t>
        </is>
      </c>
      <c r="F70" t="inlineStr">
        <is>
          <t>F3</t>
        </is>
      </c>
      <c r="G70" t="n">
        <v>60000</v>
      </c>
      <c r="H70" t="n">
        <v>30000</v>
      </c>
      <c r="I70" t="n">
        <v>30000</v>
      </c>
      <c r="J70" t="n">
        <v>909</v>
      </c>
      <c r="K70" t="n">
        <v>3.03</v>
      </c>
      <c r="L70" s="5">
        <f>100*J70/I70</f>
        <v/>
      </c>
      <c r="M70">
        <f>H70-I70</f>
        <v/>
      </c>
    </row>
    <row r="71">
      <c r="A71" t="inlineStr">
        <is>
          <t>SIMULATED Commercial FA Study</t>
        </is>
      </c>
      <c r="B71" t="inlineStr">
        <is>
          <t>P09</t>
        </is>
      </c>
      <c r="C71" t="inlineStr">
        <is>
          <t>A_C1first</t>
        </is>
      </c>
      <c r="D71" t="inlineStr">
        <is>
          <t>Baseline_2</t>
        </is>
      </c>
      <c r="E71" t="inlineStr">
        <is>
          <t>Ch6</t>
        </is>
      </c>
      <c r="F71" t="inlineStr">
        <is>
          <t>F4</t>
        </is>
      </c>
      <c r="G71" t="n">
        <v>60000</v>
      </c>
      <c r="H71" t="n">
        <v>30000</v>
      </c>
      <c r="I71" t="n">
        <v>30000</v>
      </c>
      <c r="J71" t="n">
        <v>873</v>
      </c>
      <c r="K71" t="n">
        <v>2.91</v>
      </c>
      <c r="L71" s="5">
        <f>100*J71/I71</f>
        <v/>
      </c>
      <c r="M71">
        <f>H71-I71</f>
        <v/>
      </c>
    </row>
    <row r="72">
      <c r="A72" t="inlineStr">
        <is>
          <t>SIMULATED Commercial FA Study</t>
        </is>
      </c>
      <c r="B72" t="inlineStr">
        <is>
          <t>P09</t>
        </is>
      </c>
      <c r="C72" t="inlineStr">
        <is>
          <t>A_C1first</t>
        </is>
      </c>
      <c r="D72" t="inlineStr">
        <is>
          <t>Commercial_2</t>
        </is>
      </c>
      <c r="E72" t="inlineStr">
        <is>
          <t>Ch5</t>
        </is>
      </c>
      <c r="F72" t="inlineStr">
        <is>
          <t>F3</t>
        </is>
      </c>
      <c r="G72" t="n">
        <v>60000</v>
      </c>
      <c r="H72" t="n">
        <v>30000</v>
      </c>
      <c r="I72" t="n">
        <v>30000</v>
      </c>
      <c r="J72" t="n">
        <v>954</v>
      </c>
      <c r="K72" t="n">
        <v>3.18</v>
      </c>
      <c r="L72" s="5">
        <f>100*J72/I72</f>
        <v/>
      </c>
      <c r="M72">
        <f>H72-I72</f>
        <v/>
      </c>
    </row>
    <row r="73">
      <c r="A73" t="inlineStr">
        <is>
          <t>SIMULATED Commercial FA Study</t>
        </is>
      </c>
      <c r="B73" t="inlineStr">
        <is>
          <t>P09</t>
        </is>
      </c>
      <c r="C73" t="inlineStr">
        <is>
          <t>A_C1first</t>
        </is>
      </c>
      <c r="D73" t="inlineStr">
        <is>
          <t>Commercial_2</t>
        </is>
      </c>
      <c r="E73" t="inlineStr">
        <is>
          <t>Ch6</t>
        </is>
      </c>
      <c r="F73" t="inlineStr">
        <is>
          <t>F4</t>
        </is>
      </c>
      <c r="G73" t="n">
        <v>60000</v>
      </c>
      <c r="H73" t="n">
        <v>30000</v>
      </c>
      <c r="I73" t="n">
        <v>30000</v>
      </c>
      <c r="J73" t="n">
        <v>816</v>
      </c>
      <c r="K73" t="n">
        <v>2.72</v>
      </c>
      <c r="L73" s="5">
        <f>100*J73/I73</f>
        <v/>
      </c>
      <c r="M73">
        <f>H73-I73</f>
        <v/>
      </c>
    </row>
    <row r="74">
      <c r="A74" t="inlineStr">
        <is>
          <t>SIMULATED Commercial FA Study</t>
        </is>
      </c>
      <c r="B74" t="inlineStr">
        <is>
          <t>P10</t>
        </is>
      </c>
      <c r="C74" t="inlineStr">
        <is>
          <t>B_C1first</t>
        </is>
      </c>
      <c r="D74" t="inlineStr">
        <is>
          <t>Baseline_1</t>
        </is>
      </c>
      <c r="E74" t="inlineStr">
        <is>
          <t>Ch5</t>
        </is>
      </c>
      <c r="F74" t="inlineStr">
        <is>
          <t>F3</t>
        </is>
      </c>
      <c r="G74" t="n">
        <v>60000</v>
      </c>
      <c r="H74" t="n">
        <v>30000</v>
      </c>
      <c r="I74" t="n">
        <v>30000</v>
      </c>
      <c r="J74" t="n">
        <v>861</v>
      </c>
      <c r="K74" t="n">
        <v>2.87</v>
      </c>
      <c r="L74" s="5">
        <f>100*J74/I74</f>
        <v/>
      </c>
      <c r="M74">
        <f>H74-I74</f>
        <v/>
      </c>
    </row>
    <row r="75">
      <c r="A75" t="inlineStr">
        <is>
          <t>SIMULATED Commercial FA Study</t>
        </is>
      </c>
      <c r="B75" t="inlineStr">
        <is>
          <t>P10</t>
        </is>
      </c>
      <c r="C75" t="inlineStr">
        <is>
          <t>B_C1first</t>
        </is>
      </c>
      <c r="D75" t="inlineStr">
        <is>
          <t>Baseline_1</t>
        </is>
      </c>
      <c r="E75" t="inlineStr">
        <is>
          <t>Ch6</t>
        </is>
      </c>
      <c r="F75" t="inlineStr">
        <is>
          <t>F4</t>
        </is>
      </c>
      <c r="G75" t="n">
        <v>60000</v>
      </c>
      <c r="H75" t="n">
        <v>30000</v>
      </c>
      <c r="I75" t="n">
        <v>30000</v>
      </c>
      <c r="J75" t="n">
        <v>894</v>
      </c>
      <c r="K75" t="n">
        <v>2.98</v>
      </c>
      <c r="L75" s="5">
        <f>100*J75/I75</f>
        <v/>
      </c>
      <c r="M75">
        <f>H75-I75</f>
        <v/>
      </c>
    </row>
    <row r="76">
      <c r="A76" t="inlineStr">
        <is>
          <t>SIMULATED Commercial FA Study</t>
        </is>
      </c>
      <c r="B76" t="inlineStr">
        <is>
          <t>P10</t>
        </is>
      </c>
      <c r="C76" t="inlineStr">
        <is>
          <t>B_C1first</t>
        </is>
      </c>
      <c r="D76" t="inlineStr">
        <is>
          <t>Commercial_1B</t>
        </is>
      </c>
      <c r="E76" t="inlineStr">
        <is>
          <t>Ch5</t>
        </is>
      </c>
      <c r="F76" t="inlineStr">
        <is>
          <t>F3</t>
        </is>
      </c>
      <c r="G76" t="n">
        <v>54000</v>
      </c>
      <c r="H76" t="n">
        <v>27000</v>
      </c>
      <c r="I76" t="n">
        <v>27000</v>
      </c>
      <c r="J76" t="n">
        <v>745</v>
      </c>
      <c r="K76" t="n">
        <v>2.76</v>
      </c>
      <c r="L76" s="5">
        <f>100*J76/I76</f>
        <v/>
      </c>
      <c r="M76">
        <f>H76-I76</f>
        <v/>
      </c>
    </row>
    <row r="77">
      <c r="A77" t="inlineStr">
        <is>
          <t>SIMULATED Commercial FA Study</t>
        </is>
      </c>
      <c r="B77" t="inlineStr">
        <is>
          <t>P10</t>
        </is>
      </c>
      <c r="C77" t="inlineStr">
        <is>
          <t>B_C1first</t>
        </is>
      </c>
      <c r="D77" t="inlineStr">
        <is>
          <t>Commercial_1B</t>
        </is>
      </c>
      <c r="E77" t="inlineStr">
        <is>
          <t>Ch6</t>
        </is>
      </c>
      <c r="F77" t="inlineStr">
        <is>
          <t>F4</t>
        </is>
      </c>
      <c r="G77" t="n">
        <v>54000</v>
      </c>
      <c r="H77" t="n">
        <v>27000</v>
      </c>
      <c r="I77" t="n">
        <v>27000</v>
      </c>
      <c r="J77" t="n">
        <v>821</v>
      </c>
      <c r="K77" t="n">
        <v>3.04</v>
      </c>
      <c r="L77" s="5">
        <f>100*J77/I77</f>
        <v/>
      </c>
      <c r="M77">
        <f>H77-I77</f>
        <v/>
      </c>
    </row>
    <row r="78">
      <c r="A78" t="inlineStr">
        <is>
          <t>SIMULATED Commercial FA Study</t>
        </is>
      </c>
      <c r="B78" t="inlineStr">
        <is>
          <t>P10</t>
        </is>
      </c>
      <c r="C78" t="inlineStr">
        <is>
          <t>B_C1first</t>
        </is>
      </c>
      <c r="D78" t="inlineStr">
        <is>
          <t>Baseline_2</t>
        </is>
      </c>
      <c r="E78" t="inlineStr">
        <is>
          <t>Ch5</t>
        </is>
      </c>
      <c r="F78" t="inlineStr">
        <is>
          <t>F3</t>
        </is>
      </c>
      <c r="G78" t="n">
        <v>60000</v>
      </c>
      <c r="H78" t="n">
        <v>30000</v>
      </c>
      <c r="I78" t="n">
        <v>30000</v>
      </c>
      <c r="J78" t="n">
        <v>807</v>
      </c>
      <c r="K78" t="n">
        <v>2.69</v>
      </c>
      <c r="L78" s="5">
        <f>100*J78/I78</f>
        <v/>
      </c>
      <c r="M78">
        <f>H78-I78</f>
        <v/>
      </c>
    </row>
    <row r="79">
      <c r="A79" t="inlineStr">
        <is>
          <t>SIMULATED Commercial FA Study</t>
        </is>
      </c>
      <c r="B79" t="inlineStr">
        <is>
          <t>P10</t>
        </is>
      </c>
      <c r="C79" t="inlineStr">
        <is>
          <t>B_C1first</t>
        </is>
      </c>
      <c r="D79" t="inlineStr">
        <is>
          <t>Baseline_2</t>
        </is>
      </c>
      <c r="E79" t="inlineStr">
        <is>
          <t>Ch6</t>
        </is>
      </c>
      <c r="F79" t="inlineStr">
        <is>
          <t>F4</t>
        </is>
      </c>
      <c r="G79" t="n">
        <v>60000</v>
      </c>
      <c r="H79" t="n">
        <v>30000</v>
      </c>
      <c r="I79" t="n">
        <v>30000</v>
      </c>
      <c r="J79" t="n">
        <v>642</v>
      </c>
      <c r="K79" t="n">
        <v>2.14</v>
      </c>
      <c r="L79" s="5">
        <f>100*J79/I79</f>
        <v/>
      </c>
      <c r="M79">
        <f>H79-I79</f>
        <v/>
      </c>
    </row>
    <row r="80">
      <c r="A80" t="inlineStr">
        <is>
          <t>SIMULATED Commercial FA Study</t>
        </is>
      </c>
      <c r="B80" t="inlineStr">
        <is>
          <t>P10</t>
        </is>
      </c>
      <c r="C80" t="inlineStr">
        <is>
          <t>B_C1first</t>
        </is>
      </c>
      <c r="D80" t="inlineStr">
        <is>
          <t>Commercial_2</t>
        </is>
      </c>
      <c r="E80" t="inlineStr">
        <is>
          <t>Ch5</t>
        </is>
      </c>
      <c r="F80" t="inlineStr">
        <is>
          <t>F3</t>
        </is>
      </c>
      <c r="G80" t="n">
        <v>60000</v>
      </c>
      <c r="H80" t="n">
        <v>30000</v>
      </c>
      <c r="I80" t="n">
        <v>30000</v>
      </c>
      <c r="J80" t="n">
        <v>357</v>
      </c>
      <c r="K80" t="n">
        <v>1.19</v>
      </c>
      <c r="L80" s="5">
        <f>100*J80/I80</f>
        <v/>
      </c>
      <c r="M80">
        <f>H80-I80</f>
        <v/>
      </c>
    </row>
    <row r="81">
      <c r="A81" t="inlineStr">
        <is>
          <t>SIMULATED Commercial FA Study</t>
        </is>
      </c>
      <c r="B81" t="inlineStr">
        <is>
          <t>P10</t>
        </is>
      </c>
      <c r="C81" t="inlineStr">
        <is>
          <t>B_C1first</t>
        </is>
      </c>
      <c r="D81" t="inlineStr">
        <is>
          <t>Commercial_2</t>
        </is>
      </c>
      <c r="E81" t="inlineStr">
        <is>
          <t>Ch6</t>
        </is>
      </c>
      <c r="F81" t="inlineStr">
        <is>
          <t>F4</t>
        </is>
      </c>
      <c r="G81" t="n">
        <v>60000</v>
      </c>
      <c r="H81" t="n">
        <v>30000</v>
      </c>
      <c r="I81" t="n">
        <v>30000</v>
      </c>
      <c r="J81" t="n">
        <v>276</v>
      </c>
      <c r="K81" t="n">
        <v>0.92</v>
      </c>
      <c r="L81" s="5">
        <f>100*J81/I81</f>
        <v/>
      </c>
      <c r="M81">
        <f>H81-I81</f>
        <v/>
      </c>
    </row>
    <row r="82">
      <c r="A82" t="inlineStr">
        <is>
          <t>SIMULATED Commercial FA Study</t>
        </is>
      </c>
      <c r="B82" t="inlineStr">
        <is>
          <t>P11</t>
        </is>
      </c>
      <c r="C82" t="inlineStr">
        <is>
          <t>A_C2first</t>
        </is>
      </c>
      <c r="D82" t="inlineStr">
        <is>
          <t>Baseline_1</t>
        </is>
      </c>
      <c r="E82" t="inlineStr">
        <is>
          <t>Ch5</t>
        </is>
      </c>
      <c r="F82" t="inlineStr">
        <is>
          <t>F3</t>
        </is>
      </c>
      <c r="G82" t="n">
        <v>60000</v>
      </c>
      <c r="H82" t="n">
        <v>30000</v>
      </c>
      <c r="I82" t="n">
        <v>30000</v>
      </c>
      <c r="J82" t="n">
        <v>39</v>
      </c>
      <c r="K82" t="n">
        <v>0.13</v>
      </c>
      <c r="L82" s="5">
        <f>100*J82/I82</f>
        <v/>
      </c>
      <c r="M82">
        <f>H82-I82</f>
        <v/>
      </c>
    </row>
    <row r="83">
      <c r="A83" t="inlineStr">
        <is>
          <t>SIMULATED Commercial FA Study</t>
        </is>
      </c>
      <c r="B83" t="inlineStr">
        <is>
          <t>P11</t>
        </is>
      </c>
      <c r="C83" t="inlineStr">
        <is>
          <t>A_C2first</t>
        </is>
      </c>
      <c r="D83" t="inlineStr">
        <is>
          <t>Baseline_1</t>
        </is>
      </c>
      <c r="E83" t="inlineStr">
        <is>
          <t>Ch6</t>
        </is>
      </c>
      <c r="F83" t="inlineStr">
        <is>
          <t>F4</t>
        </is>
      </c>
      <c r="G83" t="n">
        <v>60000</v>
      </c>
      <c r="H83" t="n">
        <v>30000</v>
      </c>
      <c r="I83" t="n">
        <v>30000</v>
      </c>
      <c r="J83" t="n">
        <v>42</v>
      </c>
      <c r="K83" t="n">
        <v>0.14</v>
      </c>
      <c r="L83" s="5">
        <f>100*J83/I83</f>
        <v/>
      </c>
      <c r="M83">
        <f>H83-I83</f>
        <v/>
      </c>
    </row>
    <row r="84">
      <c r="A84" t="inlineStr">
        <is>
          <t>SIMULATED Commercial FA Study</t>
        </is>
      </c>
      <c r="B84" t="inlineStr">
        <is>
          <t>P11</t>
        </is>
      </c>
      <c r="C84" t="inlineStr">
        <is>
          <t>A_C2first</t>
        </is>
      </c>
      <c r="D84" t="inlineStr">
        <is>
          <t>Commercial_2</t>
        </is>
      </c>
      <c r="E84" t="inlineStr">
        <is>
          <t>Ch5</t>
        </is>
      </c>
      <c r="F84" t="inlineStr">
        <is>
          <t>F3</t>
        </is>
      </c>
      <c r="G84" t="n">
        <v>60000</v>
      </c>
      <c r="H84" t="n">
        <v>30000</v>
      </c>
      <c r="I84" t="n">
        <v>30000</v>
      </c>
      <c r="J84" t="n">
        <v>303</v>
      </c>
      <c r="K84" t="n">
        <v>1.01</v>
      </c>
      <c r="L84" s="5">
        <f>100*J84/I84</f>
        <v/>
      </c>
      <c r="M84">
        <f>H84-I84</f>
        <v/>
      </c>
    </row>
    <row r="85">
      <c r="A85" t="inlineStr">
        <is>
          <t>SIMULATED Commercial FA Study</t>
        </is>
      </c>
      <c r="B85" t="inlineStr">
        <is>
          <t>P11</t>
        </is>
      </c>
      <c r="C85" t="inlineStr">
        <is>
          <t>A_C2first</t>
        </is>
      </c>
      <c r="D85" t="inlineStr">
        <is>
          <t>Commercial_2</t>
        </is>
      </c>
      <c r="E85" t="inlineStr">
        <is>
          <t>Ch6</t>
        </is>
      </c>
      <c r="F85" t="inlineStr">
        <is>
          <t>F4</t>
        </is>
      </c>
      <c r="G85" t="n">
        <v>60000</v>
      </c>
      <c r="H85" t="n">
        <v>30000</v>
      </c>
      <c r="I85" t="n">
        <v>30000</v>
      </c>
      <c r="J85" t="n">
        <v>243</v>
      </c>
      <c r="K85" t="n">
        <v>0.8100000000000001</v>
      </c>
      <c r="L85" s="5">
        <f>100*J85/I85</f>
        <v/>
      </c>
      <c r="M85">
        <f>H85-I85</f>
        <v/>
      </c>
    </row>
    <row r="86">
      <c r="A86" t="inlineStr">
        <is>
          <t>SIMULATED Commercial FA Study</t>
        </is>
      </c>
      <c r="B86" t="inlineStr">
        <is>
          <t>P11</t>
        </is>
      </c>
      <c r="C86" t="inlineStr">
        <is>
          <t>A_C2first</t>
        </is>
      </c>
      <c r="D86" t="inlineStr">
        <is>
          <t>Baseline_2</t>
        </is>
      </c>
      <c r="E86" t="inlineStr">
        <is>
          <t>Ch5</t>
        </is>
      </c>
      <c r="F86" t="inlineStr">
        <is>
          <t>F3</t>
        </is>
      </c>
      <c r="G86" t="n">
        <v>60000</v>
      </c>
      <c r="H86" t="n">
        <v>30000</v>
      </c>
      <c r="I86" t="n">
        <v>30000</v>
      </c>
      <c r="J86" t="n">
        <v>0</v>
      </c>
      <c r="K86" t="n">
        <v>0</v>
      </c>
      <c r="L86" s="5">
        <f>100*J86/I86</f>
        <v/>
      </c>
      <c r="M86">
        <f>H86-I86</f>
        <v/>
      </c>
    </row>
    <row r="87">
      <c r="A87" t="inlineStr">
        <is>
          <t>SIMULATED Commercial FA Study</t>
        </is>
      </c>
      <c r="B87" t="inlineStr">
        <is>
          <t>P11</t>
        </is>
      </c>
      <c r="C87" t="inlineStr">
        <is>
          <t>A_C2first</t>
        </is>
      </c>
      <c r="D87" t="inlineStr">
        <is>
          <t>Baseline_2</t>
        </is>
      </c>
      <c r="E87" t="inlineStr">
        <is>
          <t>Ch6</t>
        </is>
      </c>
      <c r="F87" t="inlineStr">
        <is>
          <t>F4</t>
        </is>
      </c>
      <c r="G87" t="n">
        <v>60000</v>
      </c>
      <c r="H87" t="n">
        <v>30000</v>
      </c>
      <c r="I87" t="n">
        <v>30000</v>
      </c>
      <c r="J87" t="n">
        <v>0</v>
      </c>
      <c r="K87" t="n">
        <v>0</v>
      </c>
      <c r="L87" s="5">
        <f>100*J87/I87</f>
        <v/>
      </c>
      <c r="M87">
        <f>H87-I87</f>
        <v/>
      </c>
    </row>
    <row r="88">
      <c r="A88" t="inlineStr">
        <is>
          <t>SIMULATED Commercial FA Study</t>
        </is>
      </c>
      <c r="B88" t="inlineStr">
        <is>
          <t>P11</t>
        </is>
      </c>
      <c r="C88" t="inlineStr">
        <is>
          <t>A_C2first</t>
        </is>
      </c>
      <c r="D88" t="inlineStr">
        <is>
          <t>Commercial_1A</t>
        </is>
      </c>
      <c r="E88" t="inlineStr">
        <is>
          <t>Ch5</t>
        </is>
      </c>
      <c r="F88" t="inlineStr">
        <is>
          <t>F3</t>
        </is>
      </c>
      <c r="G88" t="n">
        <v>60000</v>
      </c>
      <c r="H88" t="n">
        <v>30000</v>
      </c>
      <c r="I88" t="n">
        <v>30000</v>
      </c>
      <c r="J88" t="n">
        <v>270</v>
      </c>
      <c r="K88" t="n">
        <v>0.9</v>
      </c>
      <c r="L88" s="5">
        <f>100*J88/I88</f>
        <v/>
      </c>
      <c r="M88">
        <f>H88-I88</f>
        <v/>
      </c>
    </row>
    <row r="89">
      <c r="A89" t="inlineStr">
        <is>
          <t>SIMULATED Commercial FA Study</t>
        </is>
      </c>
      <c r="B89" t="inlineStr">
        <is>
          <t>P11</t>
        </is>
      </c>
      <c r="C89" t="inlineStr">
        <is>
          <t>A_C2first</t>
        </is>
      </c>
      <c r="D89" t="inlineStr">
        <is>
          <t>Commercial_1A</t>
        </is>
      </c>
      <c r="E89" t="inlineStr">
        <is>
          <t>Ch6</t>
        </is>
      </c>
      <c r="F89" t="inlineStr">
        <is>
          <t>F4</t>
        </is>
      </c>
      <c r="G89" t="n">
        <v>60000</v>
      </c>
      <c r="H89" t="n">
        <v>30000</v>
      </c>
      <c r="I89" t="n">
        <v>30000</v>
      </c>
      <c r="J89" t="n">
        <v>249</v>
      </c>
      <c r="K89" t="n">
        <v>0.83</v>
      </c>
      <c r="L89" s="5">
        <f>100*J89/I89</f>
        <v/>
      </c>
      <c r="M89">
        <f>H89-I89</f>
        <v/>
      </c>
    </row>
    <row r="90">
      <c r="A90" t="inlineStr">
        <is>
          <t>SIMULATED Commercial FA Study</t>
        </is>
      </c>
      <c r="B90" t="inlineStr">
        <is>
          <t>P12</t>
        </is>
      </c>
      <c r="C90" t="inlineStr">
        <is>
          <t>B_C2first</t>
        </is>
      </c>
      <c r="D90" t="inlineStr">
        <is>
          <t>Baseline_1</t>
        </is>
      </c>
      <c r="E90" t="inlineStr">
        <is>
          <t>Ch5</t>
        </is>
      </c>
      <c r="F90" t="inlineStr">
        <is>
          <t>F3</t>
        </is>
      </c>
      <c r="G90" t="n">
        <v>60000</v>
      </c>
      <c r="H90" t="n">
        <v>30000</v>
      </c>
      <c r="I90" t="n">
        <v>30000</v>
      </c>
      <c r="J90" t="n">
        <v>621</v>
      </c>
      <c r="K90" t="n">
        <v>2.07</v>
      </c>
      <c r="L90" s="5">
        <f>100*J90/I90</f>
        <v/>
      </c>
      <c r="M90">
        <f>H90-I90</f>
        <v/>
      </c>
    </row>
    <row r="91">
      <c r="A91" t="inlineStr">
        <is>
          <t>SIMULATED Commercial FA Study</t>
        </is>
      </c>
      <c r="B91" t="inlineStr">
        <is>
          <t>P12</t>
        </is>
      </c>
      <c r="C91" t="inlineStr">
        <is>
          <t>B_C2first</t>
        </is>
      </c>
      <c r="D91" t="inlineStr">
        <is>
          <t>Baseline_1</t>
        </is>
      </c>
      <c r="E91" t="inlineStr">
        <is>
          <t>Ch6</t>
        </is>
      </c>
      <c r="F91" t="inlineStr">
        <is>
          <t>F4</t>
        </is>
      </c>
      <c r="G91" t="n">
        <v>60000</v>
      </c>
      <c r="H91" t="n">
        <v>30000</v>
      </c>
      <c r="I91" t="n">
        <v>30000</v>
      </c>
      <c r="J91" t="n">
        <v>402</v>
      </c>
      <c r="K91" t="n">
        <v>1.34</v>
      </c>
      <c r="L91" s="5">
        <f>100*J91/I91</f>
        <v/>
      </c>
      <c r="M91">
        <f>H91-I91</f>
        <v/>
      </c>
    </row>
    <row r="92">
      <c r="A92" t="inlineStr">
        <is>
          <t>SIMULATED Commercial FA Study</t>
        </is>
      </c>
      <c r="B92" t="inlineStr">
        <is>
          <t>P12</t>
        </is>
      </c>
      <c r="C92" t="inlineStr">
        <is>
          <t>B_C2first</t>
        </is>
      </c>
      <c r="D92" t="inlineStr">
        <is>
          <t>Commercial_2</t>
        </is>
      </c>
      <c r="E92" t="inlineStr">
        <is>
          <t>Ch5</t>
        </is>
      </c>
      <c r="F92" t="inlineStr">
        <is>
          <t>F3</t>
        </is>
      </c>
      <c r="G92" t="n">
        <v>60000</v>
      </c>
      <c r="H92" t="n">
        <v>30000</v>
      </c>
      <c r="I92" t="n">
        <v>30000</v>
      </c>
      <c r="J92" t="n">
        <v>720</v>
      </c>
      <c r="K92" t="n">
        <v>2.4</v>
      </c>
      <c r="L92" s="5">
        <f>100*J92/I92</f>
        <v/>
      </c>
      <c r="M92">
        <f>H92-I92</f>
        <v/>
      </c>
    </row>
    <row r="93">
      <c r="A93" t="inlineStr">
        <is>
          <t>SIMULATED Commercial FA Study</t>
        </is>
      </c>
      <c r="B93" t="inlineStr">
        <is>
          <t>P12</t>
        </is>
      </c>
      <c r="C93" t="inlineStr">
        <is>
          <t>B_C2first</t>
        </is>
      </c>
      <c r="D93" t="inlineStr">
        <is>
          <t>Commercial_2</t>
        </is>
      </c>
      <c r="E93" t="inlineStr">
        <is>
          <t>Ch6</t>
        </is>
      </c>
      <c r="F93" t="inlineStr">
        <is>
          <t>F4</t>
        </is>
      </c>
      <c r="G93" t="n">
        <v>60000</v>
      </c>
      <c r="H93" t="n">
        <v>30000</v>
      </c>
      <c r="I93" t="n">
        <v>30000</v>
      </c>
      <c r="J93" t="n">
        <v>696</v>
      </c>
      <c r="K93" t="n">
        <v>2.32</v>
      </c>
      <c r="L93" s="5">
        <f>100*J93/I93</f>
        <v/>
      </c>
      <c r="M93">
        <f>H93-I93</f>
        <v/>
      </c>
    </row>
    <row r="94">
      <c r="A94" t="inlineStr">
        <is>
          <t>SIMULATED Commercial FA Study</t>
        </is>
      </c>
      <c r="B94" t="inlineStr">
        <is>
          <t>P12</t>
        </is>
      </c>
      <c r="C94" t="inlineStr">
        <is>
          <t>B_C2first</t>
        </is>
      </c>
      <c r="D94" t="inlineStr">
        <is>
          <t>Baseline_2</t>
        </is>
      </c>
      <c r="E94" t="inlineStr">
        <is>
          <t>Ch5</t>
        </is>
      </c>
      <c r="F94" t="inlineStr">
        <is>
          <t>F3</t>
        </is>
      </c>
      <c r="G94" t="n">
        <v>60000</v>
      </c>
      <c r="H94" t="n">
        <v>30000</v>
      </c>
      <c r="I94" t="n">
        <v>30000</v>
      </c>
      <c r="J94" t="n">
        <v>1521</v>
      </c>
      <c r="K94" t="n">
        <v>5.07</v>
      </c>
      <c r="L94" s="5">
        <f>100*J94/I94</f>
        <v/>
      </c>
      <c r="M94">
        <f>H94-I94</f>
        <v/>
      </c>
    </row>
    <row r="95">
      <c r="A95" t="inlineStr">
        <is>
          <t>SIMULATED Commercial FA Study</t>
        </is>
      </c>
      <c r="B95" t="inlineStr">
        <is>
          <t>P12</t>
        </is>
      </c>
      <c r="C95" t="inlineStr">
        <is>
          <t>B_C2first</t>
        </is>
      </c>
      <c r="D95" t="inlineStr">
        <is>
          <t>Baseline_2</t>
        </is>
      </c>
      <c r="E95" t="inlineStr">
        <is>
          <t>Ch6</t>
        </is>
      </c>
      <c r="F95" t="inlineStr">
        <is>
          <t>F4</t>
        </is>
      </c>
      <c r="G95" t="n">
        <v>60000</v>
      </c>
      <c r="H95" t="n">
        <v>30000</v>
      </c>
      <c r="I95" t="n">
        <v>30000</v>
      </c>
      <c r="J95" t="n">
        <v>1647</v>
      </c>
      <c r="K95" t="n">
        <v>5.49</v>
      </c>
      <c r="L95" s="5">
        <f>100*J95/I95</f>
        <v/>
      </c>
      <c r="M95">
        <f>H95-I95</f>
        <v/>
      </c>
    </row>
    <row r="96">
      <c r="A96" t="inlineStr">
        <is>
          <t>SIMULATED Commercial FA Study</t>
        </is>
      </c>
      <c r="B96" t="inlineStr">
        <is>
          <t>P12</t>
        </is>
      </c>
      <c r="C96" t="inlineStr">
        <is>
          <t>B_C2first</t>
        </is>
      </c>
      <c r="D96" t="inlineStr">
        <is>
          <t>Commercial_1B</t>
        </is>
      </c>
      <c r="E96" t="inlineStr">
        <is>
          <t>Ch5</t>
        </is>
      </c>
      <c r="F96" t="inlineStr">
        <is>
          <t>F3</t>
        </is>
      </c>
      <c r="G96" t="n">
        <v>54000</v>
      </c>
      <c r="H96" t="n">
        <v>27000</v>
      </c>
      <c r="I96" t="n">
        <v>27000</v>
      </c>
      <c r="J96" t="n">
        <v>532</v>
      </c>
      <c r="K96" t="n">
        <v>1.97</v>
      </c>
      <c r="L96" s="5">
        <f>100*J96/I96</f>
        <v/>
      </c>
      <c r="M96">
        <f>H96-I96</f>
        <v/>
      </c>
    </row>
    <row r="97">
      <c r="A97" t="inlineStr">
        <is>
          <t>SIMULATED Commercial FA Study</t>
        </is>
      </c>
      <c r="B97" t="inlineStr">
        <is>
          <t>P12</t>
        </is>
      </c>
      <c r="C97" t="inlineStr">
        <is>
          <t>B_C2first</t>
        </is>
      </c>
      <c r="D97" t="inlineStr">
        <is>
          <t>Commercial_1B</t>
        </is>
      </c>
      <c r="E97" t="inlineStr">
        <is>
          <t>Ch6</t>
        </is>
      </c>
      <c r="F97" t="inlineStr">
        <is>
          <t>F4</t>
        </is>
      </c>
      <c r="G97" t="n">
        <v>54000</v>
      </c>
      <c r="H97" t="n">
        <v>27000</v>
      </c>
      <c r="I97" t="n">
        <v>27000</v>
      </c>
      <c r="J97" t="n">
        <v>624</v>
      </c>
      <c r="K97" t="n">
        <v>2.31</v>
      </c>
      <c r="L97" s="5">
        <f>100*J97/I97</f>
        <v/>
      </c>
      <c r="M97">
        <f>H97-I97</f>
        <v/>
      </c>
    </row>
    <row r="98">
      <c r="A98" t="inlineStr">
        <is>
          <t>SIMULATED Commercial FA Study</t>
        </is>
      </c>
      <c r="B98" t="inlineStr">
        <is>
          <t>P13</t>
        </is>
      </c>
      <c r="C98" t="inlineStr">
        <is>
          <t>A_C1first</t>
        </is>
      </c>
      <c r="D98" t="inlineStr">
        <is>
          <t>Baseline_1</t>
        </is>
      </c>
      <c r="E98" t="inlineStr">
        <is>
          <t>Ch5</t>
        </is>
      </c>
      <c r="F98" t="inlineStr">
        <is>
          <t>F3</t>
        </is>
      </c>
      <c r="G98" t="n">
        <v>60000</v>
      </c>
      <c r="H98" t="n">
        <v>30000</v>
      </c>
      <c r="I98" t="n">
        <v>30000</v>
      </c>
      <c r="J98" t="n">
        <v>153</v>
      </c>
      <c r="K98" t="n">
        <v>0.51</v>
      </c>
      <c r="L98" s="5">
        <f>100*J98/I98</f>
        <v/>
      </c>
      <c r="M98">
        <f>H98-I98</f>
        <v/>
      </c>
    </row>
    <row r="99">
      <c r="A99" t="inlineStr">
        <is>
          <t>SIMULATED Commercial FA Study</t>
        </is>
      </c>
      <c r="B99" t="inlineStr">
        <is>
          <t>P13</t>
        </is>
      </c>
      <c r="C99" t="inlineStr">
        <is>
          <t>A_C1first</t>
        </is>
      </c>
      <c r="D99" t="inlineStr">
        <is>
          <t>Baseline_1</t>
        </is>
      </c>
      <c r="E99" t="inlineStr">
        <is>
          <t>Ch6</t>
        </is>
      </c>
      <c r="F99" t="inlineStr">
        <is>
          <t>F4</t>
        </is>
      </c>
      <c r="G99" t="n">
        <v>60000</v>
      </c>
      <c r="H99" t="n">
        <v>30000</v>
      </c>
      <c r="I99" t="n">
        <v>30000</v>
      </c>
      <c r="J99" t="n">
        <v>159</v>
      </c>
      <c r="K99" t="n">
        <v>0.53</v>
      </c>
      <c r="L99" s="5">
        <f>100*J99/I99</f>
        <v/>
      </c>
      <c r="M99">
        <f>H99-I99</f>
        <v/>
      </c>
    </row>
    <row r="100">
      <c r="A100" t="inlineStr">
        <is>
          <t>SIMULATED Commercial FA Study</t>
        </is>
      </c>
      <c r="B100" t="inlineStr">
        <is>
          <t>P13</t>
        </is>
      </c>
      <c r="C100" t="inlineStr">
        <is>
          <t>A_C1first</t>
        </is>
      </c>
      <c r="D100" t="inlineStr">
        <is>
          <t>Commercial_1A</t>
        </is>
      </c>
      <c r="E100" t="inlineStr">
        <is>
          <t>Ch5</t>
        </is>
      </c>
      <c r="F100" t="inlineStr">
        <is>
          <t>F3</t>
        </is>
      </c>
      <c r="G100" t="n">
        <v>60000</v>
      </c>
      <c r="H100" t="n">
        <v>30000</v>
      </c>
      <c r="I100" t="n">
        <v>30000</v>
      </c>
      <c r="J100" t="n">
        <v>432</v>
      </c>
      <c r="K100" t="n">
        <v>1.44</v>
      </c>
      <c r="L100" s="5">
        <f>100*J100/I100</f>
        <v/>
      </c>
      <c r="M100">
        <f>H100-I100</f>
        <v/>
      </c>
    </row>
    <row r="101">
      <c r="A101" t="inlineStr">
        <is>
          <t>SIMULATED Commercial FA Study</t>
        </is>
      </c>
      <c r="B101" t="inlineStr">
        <is>
          <t>P13</t>
        </is>
      </c>
      <c r="C101" t="inlineStr">
        <is>
          <t>A_C1first</t>
        </is>
      </c>
      <c r="D101" t="inlineStr">
        <is>
          <t>Commercial_1A</t>
        </is>
      </c>
      <c r="E101" t="inlineStr">
        <is>
          <t>Ch6</t>
        </is>
      </c>
      <c r="F101" t="inlineStr">
        <is>
          <t>F4</t>
        </is>
      </c>
      <c r="G101" t="n">
        <v>60000</v>
      </c>
      <c r="H101" t="n">
        <v>30000</v>
      </c>
      <c r="I101" t="n">
        <v>30000</v>
      </c>
      <c r="J101" t="n">
        <v>549</v>
      </c>
      <c r="K101" t="n">
        <v>1.83</v>
      </c>
      <c r="L101" s="5">
        <f>100*J101/I101</f>
        <v/>
      </c>
      <c r="M101">
        <f>H101-I101</f>
        <v/>
      </c>
    </row>
    <row r="102">
      <c r="A102" t="inlineStr">
        <is>
          <t>SIMULATED Commercial FA Study</t>
        </is>
      </c>
      <c r="B102" t="inlineStr">
        <is>
          <t>P13</t>
        </is>
      </c>
      <c r="C102" t="inlineStr">
        <is>
          <t>A_C1first</t>
        </is>
      </c>
      <c r="D102" t="inlineStr">
        <is>
          <t>Baseline_2</t>
        </is>
      </c>
      <c r="E102" t="inlineStr">
        <is>
          <t>Ch5</t>
        </is>
      </c>
      <c r="F102" t="inlineStr">
        <is>
          <t>F3</t>
        </is>
      </c>
      <c r="G102" t="n">
        <v>60000</v>
      </c>
      <c r="H102" t="n">
        <v>30000</v>
      </c>
      <c r="I102" t="n">
        <v>30000</v>
      </c>
      <c r="J102" t="n">
        <v>0</v>
      </c>
      <c r="K102" t="n">
        <v>0</v>
      </c>
      <c r="L102" s="5">
        <f>100*J102/I102</f>
        <v/>
      </c>
      <c r="M102">
        <f>H102-I102</f>
        <v/>
      </c>
    </row>
    <row r="103">
      <c r="A103" t="inlineStr">
        <is>
          <t>SIMULATED Commercial FA Study</t>
        </is>
      </c>
      <c r="B103" t="inlineStr">
        <is>
          <t>P13</t>
        </is>
      </c>
      <c r="C103" t="inlineStr">
        <is>
          <t>A_C1first</t>
        </is>
      </c>
      <c r="D103" t="inlineStr">
        <is>
          <t>Baseline_2</t>
        </is>
      </c>
      <c r="E103" t="inlineStr">
        <is>
          <t>Ch6</t>
        </is>
      </c>
      <c r="F103" t="inlineStr">
        <is>
          <t>F4</t>
        </is>
      </c>
      <c r="G103" t="n">
        <v>60000</v>
      </c>
      <c r="H103" t="n">
        <v>30000</v>
      </c>
      <c r="I103" t="n">
        <v>30000</v>
      </c>
      <c r="J103" t="n">
        <v>0</v>
      </c>
      <c r="K103" t="n">
        <v>0</v>
      </c>
      <c r="L103" s="5">
        <f>100*J103/I103</f>
        <v/>
      </c>
      <c r="M103">
        <f>H103-I103</f>
        <v/>
      </c>
    </row>
    <row r="104">
      <c r="A104" t="inlineStr">
        <is>
          <t>SIMULATED Commercial FA Study</t>
        </is>
      </c>
      <c r="B104" t="inlineStr">
        <is>
          <t>P13</t>
        </is>
      </c>
      <c r="C104" t="inlineStr">
        <is>
          <t>A_C1first</t>
        </is>
      </c>
      <c r="D104" t="inlineStr">
        <is>
          <t>Commercial_2</t>
        </is>
      </c>
      <c r="E104" t="inlineStr">
        <is>
          <t>Ch5</t>
        </is>
      </c>
      <c r="F104" t="inlineStr">
        <is>
          <t>F3</t>
        </is>
      </c>
      <c r="G104" t="n">
        <v>60000</v>
      </c>
      <c r="H104" t="n">
        <v>30000</v>
      </c>
      <c r="I104" t="n">
        <v>30000</v>
      </c>
      <c r="J104" t="n">
        <v>1665</v>
      </c>
      <c r="K104" t="n">
        <v>5.55</v>
      </c>
      <c r="L104" s="5">
        <f>100*J104/I104</f>
        <v/>
      </c>
      <c r="M104">
        <f>H104-I104</f>
        <v/>
      </c>
    </row>
    <row r="105">
      <c r="A105" t="inlineStr">
        <is>
          <t>SIMULATED Commercial FA Study</t>
        </is>
      </c>
      <c r="B105" t="inlineStr">
        <is>
          <t>P13</t>
        </is>
      </c>
      <c r="C105" t="inlineStr">
        <is>
          <t>A_C1first</t>
        </is>
      </c>
      <c r="D105" t="inlineStr">
        <is>
          <t>Commercial_2</t>
        </is>
      </c>
      <c r="E105" t="inlineStr">
        <is>
          <t>Ch6</t>
        </is>
      </c>
      <c r="F105" t="inlineStr">
        <is>
          <t>F4</t>
        </is>
      </c>
      <c r="G105" t="n">
        <v>60000</v>
      </c>
      <c r="H105" t="n">
        <v>30000</v>
      </c>
      <c r="I105" t="n">
        <v>30000</v>
      </c>
      <c r="J105" t="n">
        <v>1425</v>
      </c>
      <c r="K105" t="n">
        <v>4.75</v>
      </c>
      <c r="L105" s="5">
        <f>100*J105/I105</f>
        <v/>
      </c>
      <c r="M105">
        <f>H105-I105</f>
        <v/>
      </c>
    </row>
    <row r="106">
      <c r="A106" t="inlineStr">
        <is>
          <t>SIMULATED Commercial FA Study</t>
        </is>
      </c>
      <c r="B106" t="inlineStr">
        <is>
          <t>P14</t>
        </is>
      </c>
      <c r="C106" t="inlineStr">
        <is>
          <t>A_C2first</t>
        </is>
      </c>
      <c r="D106" t="inlineStr">
        <is>
          <t>Baseline_1</t>
        </is>
      </c>
      <c r="E106" t="inlineStr">
        <is>
          <t>Ch5</t>
        </is>
      </c>
      <c r="F106" t="inlineStr">
        <is>
          <t>F3</t>
        </is>
      </c>
      <c r="G106" t="n">
        <v>60000</v>
      </c>
      <c r="H106" t="n">
        <v>30000</v>
      </c>
      <c r="I106" t="n">
        <v>30000</v>
      </c>
      <c r="J106" t="n">
        <v>588</v>
      </c>
      <c r="K106" t="n">
        <v>1.96</v>
      </c>
      <c r="L106" s="5">
        <f>100*J106/I106</f>
        <v/>
      </c>
      <c r="M106">
        <f>H106-I106</f>
        <v/>
      </c>
    </row>
    <row r="107">
      <c r="A107" t="inlineStr">
        <is>
          <t>SIMULATED Commercial FA Study</t>
        </is>
      </c>
      <c r="B107" t="inlineStr">
        <is>
          <t>P14</t>
        </is>
      </c>
      <c r="C107" t="inlineStr">
        <is>
          <t>A_C2first</t>
        </is>
      </c>
      <c r="D107" t="inlineStr">
        <is>
          <t>Baseline_1</t>
        </is>
      </c>
      <c r="E107" t="inlineStr">
        <is>
          <t>Ch6</t>
        </is>
      </c>
      <c r="F107" t="inlineStr">
        <is>
          <t>F4</t>
        </is>
      </c>
      <c r="G107" t="n">
        <v>60000</v>
      </c>
      <c r="H107" t="n">
        <v>30000</v>
      </c>
      <c r="I107" t="n">
        <v>30000</v>
      </c>
      <c r="J107" t="n">
        <v>795</v>
      </c>
      <c r="K107" t="n">
        <v>2.65</v>
      </c>
      <c r="L107" s="5">
        <f>100*J107/I107</f>
        <v/>
      </c>
      <c r="M107">
        <f>H107-I107</f>
        <v/>
      </c>
    </row>
    <row r="108">
      <c r="A108" t="inlineStr">
        <is>
          <t>SIMULATED Commercial FA Study</t>
        </is>
      </c>
      <c r="B108" t="inlineStr">
        <is>
          <t>P14</t>
        </is>
      </c>
      <c r="C108" t="inlineStr">
        <is>
          <t>A_C2first</t>
        </is>
      </c>
      <c r="D108" t="inlineStr">
        <is>
          <t>Commercial_2</t>
        </is>
      </c>
      <c r="E108" t="inlineStr">
        <is>
          <t>Ch5</t>
        </is>
      </c>
      <c r="F108" t="inlineStr">
        <is>
          <t>F3</t>
        </is>
      </c>
      <c r="G108" t="n">
        <v>60000</v>
      </c>
      <c r="H108" t="n">
        <v>30000</v>
      </c>
      <c r="I108" t="n">
        <v>30000</v>
      </c>
      <c r="J108" t="n">
        <v>108</v>
      </c>
      <c r="K108" t="n">
        <v>0.36</v>
      </c>
      <c r="L108" s="5">
        <f>100*J108/I108</f>
        <v/>
      </c>
      <c r="M108">
        <f>H108-I108</f>
        <v/>
      </c>
    </row>
    <row r="109">
      <c r="A109" t="inlineStr">
        <is>
          <t>SIMULATED Commercial FA Study</t>
        </is>
      </c>
      <c r="B109" t="inlineStr">
        <is>
          <t>P14</t>
        </is>
      </c>
      <c r="C109" t="inlineStr">
        <is>
          <t>A_C2first</t>
        </is>
      </c>
      <c r="D109" t="inlineStr">
        <is>
          <t>Commercial_2</t>
        </is>
      </c>
      <c r="E109" t="inlineStr">
        <is>
          <t>Ch6</t>
        </is>
      </c>
      <c r="F109" t="inlineStr">
        <is>
          <t>F4</t>
        </is>
      </c>
      <c r="G109" t="n">
        <v>60000</v>
      </c>
      <c r="H109" t="n">
        <v>30000</v>
      </c>
      <c r="I109" t="n">
        <v>30000</v>
      </c>
      <c r="J109" t="n">
        <v>0</v>
      </c>
      <c r="K109" t="n">
        <v>0</v>
      </c>
      <c r="L109" s="5">
        <f>100*J109/I109</f>
        <v/>
      </c>
      <c r="M109">
        <f>H109-I109</f>
        <v/>
      </c>
    </row>
    <row r="110">
      <c r="A110" t="inlineStr">
        <is>
          <t>SIMULATED Commercial FA Study</t>
        </is>
      </c>
      <c r="B110" t="inlineStr">
        <is>
          <t>P14</t>
        </is>
      </c>
      <c r="C110" t="inlineStr">
        <is>
          <t>A_C2first</t>
        </is>
      </c>
      <c r="D110" t="inlineStr">
        <is>
          <t>Baseline_2</t>
        </is>
      </c>
      <c r="E110" t="inlineStr">
        <is>
          <t>Ch5</t>
        </is>
      </c>
      <c r="F110" t="inlineStr">
        <is>
          <t>F3</t>
        </is>
      </c>
      <c r="G110" t="n">
        <v>60000</v>
      </c>
      <c r="H110" t="n">
        <v>30000</v>
      </c>
      <c r="I110" t="n">
        <v>30000</v>
      </c>
      <c r="J110" t="n">
        <v>450</v>
      </c>
      <c r="K110" t="n">
        <v>1.5</v>
      </c>
      <c r="L110" s="5">
        <f>100*J110/I110</f>
        <v/>
      </c>
      <c r="M110">
        <f>H110-I110</f>
        <v/>
      </c>
    </row>
    <row r="111">
      <c r="A111" t="inlineStr">
        <is>
          <t>SIMULATED Commercial FA Study</t>
        </is>
      </c>
      <c r="B111" t="inlineStr">
        <is>
          <t>P14</t>
        </is>
      </c>
      <c r="C111" t="inlineStr">
        <is>
          <t>A_C2first</t>
        </is>
      </c>
      <c r="D111" t="inlineStr">
        <is>
          <t>Baseline_2</t>
        </is>
      </c>
      <c r="E111" t="inlineStr">
        <is>
          <t>Ch6</t>
        </is>
      </c>
      <c r="F111" t="inlineStr">
        <is>
          <t>F4</t>
        </is>
      </c>
      <c r="G111" t="n">
        <v>60000</v>
      </c>
      <c r="H111" t="n">
        <v>30000</v>
      </c>
      <c r="I111" t="n">
        <v>30000</v>
      </c>
      <c r="J111" t="n">
        <v>588</v>
      </c>
      <c r="K111" t="n">
        <v>1.96</v>
      </c>
      <c r="L111" s="5">
        <f>100*J111/I111</f>
        <v/>
      </c>
      <c r="M111">
        <f>H111-I111</f>
        <v/>
      </c>
    </row>
    <row r="112">
      <c r="A112" t="inlineStr">
        <is>
          <t>SIMULATED Commercial FA Study</t>
        </is>
      </c>
      <c r="B112" t="inlineStr">
        <is>
          <t>P14</t>
        </is>
      </c>
      <c r="C112" t="inlineStr">
        <is>
          <t>A_C2first</t>
        </is>
      </c>
      <c r="D112" t="inlineStr">
        <is>
          <t>Commercial_1A</t>
        </is>
      </c>
      <c r="E112" t="inlineStr">
        <is>
          <t>Ch5</t>
        </is>
      </c>
      <c r="F112" t="inlineStr">
        <is>
          <t>F3</t>
        </is>
      </c>
      <c r="G112" t="n">
        <v>60000</v>
      </c>
      <c r="H112" t="n">
        <v>30000</v>
      </c>
      <c r="I112" t="n">
        <v>30000</v>
      </c>
      <c r="J112" t="n">
        <v>258</v>
      </c>
      <c r="K112" t="n">
        <v>0.86</v>
      </c>
      <c r="L112" s="5">
        <f>100*J112/I112</f>
        <v/>
      </c>
      <c r="M112">
        <f>H112-I112</f>
        <v/>
      </c>
    </row>
    <row r="113">
      <c r="A113" t="inlineStr">
        <is>
          <t>SIMULATED Commercial FA Study</t>
        </is>
      </c>
      <c r="B113" t="inlineStr">
        <is>
          <t>P14</t>
        </is>
      </c>
      <c r="C113" t="inlineStr">
        <is>
          <t>A_C2first</t>
        </is>
      </c>
      <c r="D113" t="inlineStr">
        <is>
          <t>Commercial_1A</t>
        </is>
      </c>
      <c r="E113" t="inlineStr">
        <is>
          <t>Ch6</t>
        </is>
      </c>
      <c r="F113" t="inlineStr">
        <is>
          <t>F4</t>
        </is>
      </c>
      <c r="G113" t="n">
        <v>60000</v>
      </c>
      <c r="H113" t="n">
        <v>30000</v>
      </c>
      <c r="I113" t="n">
        <v>30000</v>
      </c>
      <c r="J113" t="n">
        <v>153</v>
      </c>
      <c r="K113" t="n">
        <v>0.51</v>
      </c>
      <c r="L113" s="5">
        <f>100*J113/I113</f>
        <v/>
      </c>
      <c r="M113">
        <f>H113-I113</f>
        <v/>
      </c>
    </row>
    <row r="114">
      <c r="A114" t="inlineStr">
        <is>
          <t>SIMULATED Commercial FA Study</t>
        </is>
      </c>
      <c r="B114" t="inlineStr">
        <is>
          <t>P15</t>
        </is>
      </c>
      <c r="C114" t="inlineStr">
        <is>
          <t>B_C1first</t>
        </is>
      </c>
      <c r="D114" t="inlineStr">
        <is>
          <t>Baseline_1</t>
        </is>
      </c>
      <c r="E114" t="inlineStr">
        <is>
          <t>Ch5</t>
        </is>
      </c>
      <c r="F114" t="inlineStr">
        <is>
          <t>F3</t>
        </is>
      </c>
      <c r="G114" t="n">
        <v>60000</v>
      </c>
      <c r="H114" t="n">
        <v>30000</v>
      </c>
      <c r="I114" t="n">
        <v>30000</v>
      </c>
      <c r="J114" t="n">
        <v>51</v>
      </c>
      <c r="K114" t="n">
        <v>0.17</v>
      </c>
      <c r="L114" s="5">
        <f>100*J114/I114</f>
        <v/>
      </c>
      <c r="M114">
        <f>H114-I114</f>
        <v/>
      </c>
    </row>
    <row r="115">
      <c r="A115" t="inlineStr">
        <is>
          <t>SIMULATED Commercial FA Study</t>
        </is>
      </c>
      <c r="B115" t="inlineStr">
        <is>
          <t>P15</t>
        </is>
      </c>
      <c r="C115" t="inlineStr">
        <is>
          <t>B_C1first</t>
        </is>
      </c>
      <c r="D115" t="inlineStr">
        <is>
          <t>Baseline_1</t>
        </is>
      </c>
      <c r="E115" t="inlineStr">
        <is>
          <t>Ch6</t>
        </is>
      </c>
      <c r="F115" t="inlineStr">
        <is>
          <t>F4</t>
        </is>
      </c>
      <c r="G115" t="n">
        <v>60000</v>
      </c>
      <c r="H115" t="n">
        <v>30000</v>
      </c>
      <c r="I115" t="n">
        <v>30000</v>
      </c>
      <c r="J115" t="n">
        <v>63</v>
      </c>
      <c r="K115" t="n">
        <v>0.21</v>
      </c>
      <c r="L115" s="5">
        <f>100*J115/I115</f>
        <v/>
      </c>
      <c r="M115">
        <f>H115-I115</f>
        <v/>
      </c>
    </row>
    <row r="116">
      <c r="A116" t="inlineStr">
        <is>
          <t>SIMULATED Commercial FA Study</t>
        </is>
      </c>
      <c r="B116" t="inlineStr">
        <is>
          <t>P15</t>
        </is>
      </c>
      <c r="C116" t="inlineStr">
        <is>
          <t>B_C1first</t>
        </is>
      </c>
      <c r="D116" t="inlineStr">
        <is>
          <t>Commercial_1B</t>
        </is>
      </c>
      <c r="E116" t="inlineStr">
        <is>
          <t>Ch5</t>
        </is>
      </c>
      <c r="F116" t="inlineStr">
        <is>
          <t>F3</t>
        </is>
      </c>
      <c r="G116" t="n">
        <v>54000</v>
      </c>
      <c r="H116" t="n">
        <v>27000</v>
      </c>
      <c r="I116" t="n">
        <v>27000</v>
      </c>
      <c r="J116" t="n">
        <v>65</v>
      </c>
      <c r="K116" t="n">
        <v>0.24</v>
      </c>
      <c r="L116" s="5">
        <f>100*J116/I116</f>
        <v/>
      </c>
      <c r="M116">
        <f>H116-I116</f>
        <v/>
      </c>
    </row>
    <row r="117">
      <c r="A117" t="inlineStr">
        <is>
          <t>SIMULATED Commercial FA Study</t>
        </is>
      </c>
      <c r="B117" t="inlineStr">
        <is>
          <t>P15</t>
        </is>
      </c>
      <c r="C117" t="inlineStr">
        <is>
          <t>B_C1first</t>
        </is>
      </c>
      <c r="D117" t="inlineStr">
        <is>
          <t>Commercial_1B</t>
        </is>
      </c>
      <c r="E117" t="inlineStr">
        <is>
          <t>Ch6</t>
        </is>
      </c>
      <c r="F117" t="inlineStr">
        <is>
          <t>F4</t>
        </is>
      </c>
      <c r="G117" t="n">
        <v>54000</v>
      </c>
      <c r="H117" t="n">
        <v>27000</v>
      </c>
      <c r="I117" t="n">
        <v>27000</v>
      </c>
      <c r="J117" t="n">
        <v>59</v>
      </c>
      <c r="K117" t="n">
        <v>0.22</v>
      </c>
      <c r="L117" s="5">
        <f>100*J117/I117</f>
        <v/>
      </c>
      <c r="M117">
        <f>H117-I117</f>
        <v/>
      </c>
    </row>
    <row r="118">
      <c r="A118" t="inlineStr">
        <is>
          <t>SIMULATED Commercial FA Study</t>
        </is>
      </c>
      <c r="B118" t="inlineStr">
        <is>
          <t>P15</t>
        </is>
      </c>
      <c r="C118" t="inlineStr">
        <is>
          <t>B_C1first</t>
        </is>
      </c>
      <c r="D118" t="inlineStr">
        <is>
          <t>Baseline_2</t>
        </is>
      </c>
      <c r="E118" t="inlineStr">
        <is>
          <t>Ch5</t>
        </is>
      </c>
      <c r="F118" t="inlineStr">
        <is>
          <t>F3</t>
        </is>
      </c>
      <c r="G118" t="n">
        <v>60000</v>
      </c>
      <c r="H118" t="n">
        <v>30000</v>
      </c>
      <c r="I118" t="n">
        <v>30000</v>
      </c>
      <c r="J118" t="n">
        <v>381</v>
      </c>
      <c r="K118" t="n">
        <v>1.27</v>
      </c>
      <c r="L118" s="5">
        <f>100*J118/I118</f>
        <v/>
      </c>
      <c r="M118">
        <f>H118-I118</f>
        <v/>
      </c>
    </row>
    <row r="119">
      <c r="A119" t="inlineStr">
        <is>
          <t>SIMULATED Commercial FA Study</t>
        </is>
      </c>
      <c r="B119" t="inlineStr">
        <is>
          <t>P15</t>
        </is>
      </c>
      <c r="C119" t="inlineStr">
        <is>
          <t>B_C1first</t>
        </is>
      </c>
      <c r="D119" t="inlineStr">
        <is>
          <t>Baseline_2</t>
        </is>
      </c>
      <c r="E119" t="inlineStr">
        <is>
          <t>Ch6</t>
        </is>
      </c>
      <c r="F119" t="inlineStr">
        <is>
          <t>F4</t>
        </is>
      </c>
      <c r="G119" t="n">
        <v>60000</v>
      </c>
      <c r="H119" t="n">
        <v>30000</v>
      </c>
      <c r="I119" t="n">
        <v>30000</v>
      </c>
      <c r="J119" t="n">
        <v>411</v>
      </c>
      <c r="K119" t="n">
        <v>1.37</v>
      </c>
      <c r="L119" s="5">
        <f>100*J119/I119</f>
        <v/>
      </c>
      <c r="M119">
        <f>H119-I119</f>
        <v/>
      </c>
    </row>
    <row r="120">
      <c r="A120" t="inlineStr">
        <is>
          <t>SIMULATED Commercial FA Study</t>
        </is>
      </c>
      <c r="B120" t="inlineStr">
        <is>
          <t>P15</t>
        </is>
      </c>
      <c r="C120" t="inlineStr">
        <is>
          <t>B_C1first</t>
        </is>
      </c>
      <c r="D120" t="inlineStr">
        <is>
          <t>Commercial_2</t>
        </is>
      </c>
      <c r="E120" t="inlineStr">
        <is>
          <t>Ch5</t>
        </is>
      </c>
      <c r="F120" t="inlineStr">
        <is>
          <t>F3</t>
        </is>
      </c>
      <c r="G120" t="n">
        <v>60000</v>
      </c>
      <c r="H120" t="n">
        <v>30000</v>
      </c>
      <c r="I120" t="n">
        <v>30000</v>
      </c>
      <c r="J120" t="n">
        <v>162</v>
      </c>
      <c r="K120" t="n">
        <v>0.54</v>
      </c>
      <c r="L120" s="5">
        <f>100*J120/I120</f>
        <v/>
      </c>
      <c r="M120">
        <f>H120-I120</f>
        <v/>
      </c>
    </row>
    <row r="121">
      <c r="A121" t="inlineStr">
        <is>
          <t>SIMULATED Commercial FA Study</t>
        </is>
      </c>
      <c r="B121" t="inlineStr">
        <is>
          <t>P15</t>
        </is>
      </c>
      <c r="C121" t="inlineStr">
        <is>
          <t>B_C1first</t>
        </is>
      </c>
      <c r="D121" t="inlineStr">
        <is>
          <t>Commercial_2</t>
        </is>
      </c>
      <c r="E121" t="inlineStr">
        <is>
          <t>Ch6</t>
        </is>
      </c>
      <c r="F121" t="inlineStr">
        <is>
          <t>F4</t>
        </is>
      </c>
      <c r="G121" t="n">
        <v>60000</v>
      </c>
      <c r="H121" t="n">
        <v>30000</v>
      </c>
      <c r="I121" t="n">
        <v>30000</v>
      </c>
      <c r="J121" t="n">
        <v>171</v>
      </c>
      <c r="K121" t="n">
        <v>0.57</v>
      </c>
      <c r="L121" s="5">
        <f>100*J121/I121</f>
        <v/>
      </c>
      <c r="M121">
        <f>H121-I121</f>
        <v/>
      </c>
    </row>
    <row r="122">
      <c r="A122" t="inlineStr">
        <is>
          <t>SIMULATED Commercial FA Study</t>
        </is>
      </c>
      <c r="B122" t="inlineStr">
        <is>
          <t>P16</t>
        </is>
      </c>
      <c r="C122" t="inlineStr">
        <is>
          <t>B_C2first</t>
        </is>
      </c>
      <c r="D122" t="inlineStr">
        <is>
          <t>Baseline_1</t>
        </is>
      </c>
      <c r="E122" t="inlineStr">
        <is>
          <t>Ch5</t>
        </is>
      </c>
      <c r="F122" t="inlineStr">
        <is>
          <t>F3</t>
        </is>
      </c>
      <c r="G122" t="n">
        <v>60000</v>
      </c>
      <c r="H122" t="n">
        <v>30000</v>
      </c>
      <c r="I122" t="n">
        <v>30000</v>
      </c>
      <c r="J122" t="n">
        <v>573</v>
      </c>
      <c r="K122" t="n">
        <v>1.91</v>
      </c>
      <c r="L122" s="5">
        <f>100*J122/I122</f>
        <v/>
      </c>
      <c r="M122">
        <f>H122-I122</f>
        <v/>
      </c>
    </row>
    <row r="123">
      <c r="A123" t="inlineStr">
        <is>
          <t>SIMULATED Commercial FA Study</t>
        </is>
      </c>
      <c r="B123" t="inlineStr">
        <is>
          <t>P16</t>
        </is>
      </c>
      <c r="C123" t="inlineStr">
        <is>
          <t>B_C2first</t>
        </is>
      </c>
      <c r="D123" t="inlineStr">
        <is>
          <t>Baseline_1</t>
        </is>
      </c>
      <c r="E123" t="inlineStr">
        <is>
          <t>Ch6</t>
        </is>
      </c>
      <c r="F123" t="inlineStr">
        <is>
          <t>F4</t>
        </is>
      </c>
      <c r="G123" t="n">
        <v>60000</v>
      </c>
      <c r="H123" t="n">
        <v>30000</v>
      </c>
      <c r="I123" t="n">
        <v>30000</v>
      </c>
      <c r="J123" t="n">
        <v>522</v>
      </c>
      <c r="K123" t="n">
        <v>1.74</v>
      </c>
      <c r="L123" s="5">
        <f>100*J123/I123</f>
        <v/>
      </c>
      <c r="M123">
        <f>H123-I123</f>
        <v/>
      </c>
    </row>
    <row r="124">
      <c r="A124" t="inlineStr">
        <is>
          <t>SIMULATED Commercial FA Study</t>
        </is>
      </c>
      <c r="B124" t="inlineStr">
        <is>
          <t>P16</t>
        </is>
      </c>
      <c r="C124" t="inlineStr">
        <is>
          <t>B_C2first</t>
        </is>
      </c>
      <c r="D124" t="inlineStr">
        <is>
          <t>Commercial_2</t>
        </is>
      </c>
      <c r="E124" t="inlineStr">
        <is>
          <t>Ch5</t>
        </is>
      </c>
      <c r="F124" t="inlineStr">
        <is>
          <t>F3</t>
        </is>
      </c>
      <c r="G124" t="n">
        <v>60000</v>
      </c>
      <c r="H124" t="n">
        <v>30000</v>
      </c>
      <c r="I124" t="n">
        <v>30000</v>
      </c>
      <c r="J124" t="n">
        <v>210</v>
      </c>
      <c r="K124" t="n">
        <v>0.7</v>
      </c>
      <c r="L124" s="5">
        <f>100*J124/I124</f>
        <v/>
      </c>
      <c r="M124">
        <f>H124-I124</f>
        <v/>
      </c>
    </row>
    <row r="125">
      <c r="A125" t="inlineStr">
        <is>
          <t>SIMULATED Commercial FA Study</t>
        </is>
      </c>
      <c r="B125" t="inlineStr">
        <is>
          <t>P16</t>
        </is>
      </c>
      <c r="C125" t="inlineStr">
        <is>
          <t>B_C2first</t>
        </is>
      </c>
      <c r="D125" t="inlineStr">
        <is>
          <t>Commercial_2</t>
        </is>
      </c>
      <c r="E125" t="inlineStr">
        <is>
          <t>Ch6</t>
        </is>
      </c>
      <c r="F125" t="inlineStr">
        <is>
          <t>F4</t>
        </is>
      </c>
      <c r="G125" t="n">
        <v>60000</v>
      </c>
      <c r="H125" t="n">
        <v>30000</v>
      </c>
      <c r="I125" t="n">
        <v>30000</v>
      </c>
      <c r="J125" t="n">
        <v>210</v>
      </c>
      <c r="K125" t="n">
        <v>0.7</v>
      </c>
      <c r="L125" s="5">
        <f>100*J125/I125</f>
        <v/>
      </c>
      <c r="M125">
        <f>H125-I125</f>
        <v/>
      </c>
    </row>
    <row r="126">
      <c r="A126" t="inlineStr">
        <is>
          <t>SIMULATED Commercial FA Study</t>
        </is>
      </c>
      <c r="B126" t="inlineStr">
        <is>
          <t>P16</t>
        </is>
      </c>
      <c r="C126" t="inlineStr">
        <is>
          <t>B_C2first</t>
        </is>
      </c>
      <c r="D126" t="inlineStr">
        <is>
          <t>Baseline_2</t>
        </is>
      </c>
      <c r="E126" t="inlineStr">
        <is>
          <t>Ch5</t>
        </is>
      </c>
      <c r="F126" t="inlineStr">
        <is>
          <t>F3</t>
        </is>
      </c>
      <c r="G126" t="n">
        <v>60000</v>
      </c>
      <c r="H126" t="n">
        <v>30000</v>
      </c>
      <c r="I126" t="n">
        <v>30000</v>
      </c>
      <c r="J126" t="n">
        <v>444</v>
      </c>
      <c r="K126" t="n">
        <v>1.48</v>
      </c>
      <c r="L126" s="5">
        <f>100*J126/I126</f>
        <v/>
      </c>
      <c r="M126">
        <f>H126-I126</f>
        <v/>
      </c>
    </row>
    <row r="127">
      <c r="A127" t="inlineStr">
        <is>
          <t>SIMULATED Commercial FA Study</t>
        </is>
      </c>
      <c r="B127" t="inlineStr">
        <is>
          <t>P16</t>
        </is>
      </c>
      <c r="C127" t="inlineStr">
        <is>
          <t>B_C2first</t>
        </is>
      </c>
      <c r="D127" t="inlineStr">
        <is>
          <t>Baseline_2</t>
        </is>
      </c>
      <c r="E127" t="inlineStr">
        <is>
          <t>Ch6</t>
        </is>
      </c>
      <c r="F127" t="inlineStr">
        <is>
          <t>F4</t>
        </is>
      </c>
      <c r="G127" t="n">
        <v>60000</v>
      </c>
      <c r="H127" t="n">
        <v>30000</v>
      </c>
      <c r="I127" t="n">
        <v>30000</v>
      </c>
      <c r="J127" t="n">
        <v>504</v>
      </c>
      <c r="K127" t="n">
        <v>1.68</v>
      </c>
      <c r="L127" s="5">
        <f>100*J127/I127</f>
        <v/>
      </c>
      <c r="M127">
        <f>H127-I127</f>
        <v/>
      </c>
    </row>
    <row r="128">
      <c r="A128" t="inlineStr">
        <is>
          <t>SIMULATED Commercial FA Study</t>
        </is>
      </c>
      <c r="B128" t="inlineStr">
        <is>
          <t>P16</t>
        </is>
      </c>
      <c r="C128" t="inlineStr">
        <is>
          <t>B_C2first</t>
        </is>
      </c>
      <c r="D128" t="inlineStr">
        <is>
          <t>Commercial_1B</t>
        </is>
      </c>
      <c r="E128" t="inlineStr">
        <is>
          <t>Ch5</t>
        </is>
      </c>
      <c r="F128" t="inlineStr">
        <is>
          <t>F3</t>
        </is>
      </c>
      <c r="G128" t="n">
        <v>54000</v>
      </c>
      <c r="H128" t="n">
        <v>27000</v>
      </c>
      <c r="I128" t="n">
        <v>27000</v>
      </c>
      <c r="J128" t="n">
        <v>324</v>
      </c>
      <c r="K128" t="n">
        <v>1.2</v>
      </c>
      <c r="L128" s="5">
        <f>100*J128/I128</f>
        <v/>
      </c>
      <c r="M128">
        <f>H128-I128</f>
        <v/>
      </c>
    </row>
    <row r="129">
      <c r="A129" t="inlineStr">
        <is>
          <t>SIMULATED Commercial FA Study</t>
        </is>
      </c>
      <c r="B129" t="inlineStr">
        <is>
          <t>P16</t>
        </is>
      </c>
      <c r="C129" t="inlineStr">
        <is>
          <t>B_C2first</t>
        </is>
      </c>
      <c r="D129" t="inlineStr">
        <is>
          <t>Commercial_1B</t>
        </is>
      </c>
      <c r="E129" t="inlineStr">
        <is>
          <t>Ch6</t>
        </is>
      </c>
      <c r="F129" t="inlineStr">
        <is>
          <t>F4</t>
        </is>
      </c>
      <c r="G129" t="n">
        <v>54000</v>
      </c>
      <c r="H129" t="n">
        <v>27000</v>
      </c>
      <c r="I129" t="n">
        <v>27000</v>
      </c>
      <c r="J129" t="n">
        <v>300</v>
      </c>
      <c r="K129" t="n">
        <v>1.11</v>
      </c>
      <c r="L129" s="5">
        <f>100*J129/I129</f>
        <v/>
      </c>
      <c r="M129">
        <f>H129-I129</f>
        <v/>
      </c>
    </row>
    <row r="130">
      <c r="A130" t="inlineStr">
        <is>
          <t>SIMULATED Commercial FA Study</t>
        </is>
      </c>
      <c r="B130" t="inlineStr">
        <is>
          <t>P17</t>
        </is>
      </c>
      <c r="C130" t="inlineStr">
        <is>
          <t>B_C2first</t>
        </is>
      </c>
      <c r="D130" t="inlineStr">
        <is>
          <t>Baseline_1</t>
        </is>
      </c>
      <c r="E130" t="inlineStr">
        <is>
          <t>Ch5</t>
        </is>
      </c>
      <c r="F130" t="inlineStr">
        <is>
          <t>F3</t>
        </is>
      </c>
      <c r="G130" t="n">
        <v>60000</v>
      </c>
      <c r="H130" t="n">
        <v>30000</v>
      </c>
      <c r="I130" t="n">
        <v>30000</v>
      </c>
      <c r="J130" t="n">
        <v>1305</v>
      </c>
      <c r="K130" t="n">
        <v>4.35</v>
      </c>
      <c r="L130" s="5">
        <f>100*J130/I130</f>
        <v/>
      </c>
      <c r="M130">
        <f>H130-I130</f>
        <v/>
      </c>
    </row>
    <row r="131">
      <c r="A131" t="inlineStr">
        <is>
          <t>SIMULATED Commercial FA Study</t>
        </is>
      </c>
      <c r="B131" t="inlineStr">
        <is>
          <t>P17</t>
        </is>
      </c>
      <c r="C131" t="inlineStr">
        <is>
          <t>B_C2first</t>
        </is>
      </c>
      <c r="D131" t="inlineStr">
        <is>
          <t>Baseline_1</t>
        </is>
      </c>
      <c r="E131" t="inlineStr">
        <is>
          <t>Ch6</t>
        </is>
      </c>
      <c r="F131" t="inlineStr">
        <is>
          <t>F4</t>
        </is>
      </c>
      <c r="G131" t="n">
        <v>60000</v>
      </c>
      <c r="H131" t="n">
        <v>30000</v>
      </c>
      <c r="I131" t="n">
        <v>30000</v>
      </c>
      <c r="J131" t="n">
        <v>1146</v>
      </c>
      <c r="K131" t="n">
        <v>3.82</v>
      </c>
      <c r="L131" s="5">
        <f>100*J131/I131</f>
        <v/>
      </c>
      <c r="M131">
        <f>H131-I131</f>
        <v/>
      </c>
    </row>
    <row r="132">
      <c r="A132" t="inlineStr">
        <is>
          <t>SIMULATED Commercial FA Study</t>
        </is>
      </c>
      <c r="B132" t="inlineStr">
        <is>
          <t>P17</t>
        </is>
      </c>
      <c r="C132" t="inlineStr">
        <is>
          <t>B_C2first</t>
        </is>
      </c>
      <c r="D132" t="inlineStr">
        <is>
          <t>Commercial_2</t>
        </is>
      </c>
      <c r="E132" t="inlineStr">
        <is>
          <t>Ch5</t>
        </is>
      </c>
      <c r="F132" t="inlineStr">
        <is>
          <t>F3</t>
        </is>
      </c>
      <c r="G132" t="n">
        <v>60000</v>
      </c>
      <c r="H132" t="n">
        <v>30000</v>
      </c>
      <c r="I132" t="n">
        <v>30000</v>
      </c>
      <c r="J132" t="n">
        <v>1293</v>
      </c>
      <c r="K132" t="n">
        <v>4.31</v>
      </c>
      <c r="L132" s="5">
        <f>100*J132/I132</f>
        <v/>
      </c>
      <c r="M132">
        <f>H132-I132</f>
        <v/>
      </c>
    </row>
    <row r="133">
      <c r="A133" t="inlineStr">
        <is>
          <t>SIMULATED Commercial FA Study</t>
        </is>
      </c>
      <c r="B133" t="inlineStr">
        <is>
          <t>P17</t>
        </is>
      </c>
      <c r="C133" t="inlineStr">
        <is>
          <t>B_C2first</t>
        </is>
      </c>
      <c r="D133" t="inlineStr">
        <is>
          <t>Commercial_2</t>
        </is>
      </c>
      <c r="E133" t="inlineStr">
        <is>
          <t>Ch6</t>
        </is>
      </c>
      <c r="F133" t="inlineStr">
        <is>
          <t>F4</t>
        </is>
      </c>
      <c r="G133" t="n">
        <v>60000</v>
      </c>
      <c r="H133" t="n">
        <v>30000</v>
      </c>
      <c r="I133" t="n">
        <v>30000</v>
      </c>
      <c r="J133" t="n">
        <v>1197</v>
      </c>
      <c r="K133" t="n">
        <v>3.99</v>
      </c>
      <c r="L133" s="5">
        <f>100*J133/I133</f>
        <v/>
      </c>
      <c r="M133">
        <f>H133-I133</f>
        <v/>
      </c>
    </row>
    <row r="134">
      <c r="A134" t="inlineStr">
        <is>
          <t>SIMULATED Commercial FA Study</t>
        </is>
      </c>
      <c r="B134" t="inlineStr">
        <is>
          <t>P17</t>
        </is>
      </c>
      <c r="C134" t="inlineStr">
        <is>
          <t>B_C2first</t>
        </is>
      </c>
      <c r="D134" t="inlineStr">
        <is>
          <t>Baseline_2</t>
        </is>
      </c>
      <c r="E134" t="inlineStr">
        <is>
          <t>Ch5</t>
        </is>
      </c>
      <c r="F134" t="inlineStr">
        <is>
          <t>F3</t>
        </is>
      </c>
      <c r="G134" t="n">
        <v>60000</v>
      </c>
      <c r="H134" t="n">
        <v>30000</v>
      </c>
      <c r="I134" t="n">
        <v>30000</v>
      </c>
      <c r="J134" t="n">
        <v>900</v>
      </c>
      <c r="K134" t="n">
        <v>3</v>
      </c>
      <c r="L134" s="5">
        <f>100*J134/I134</f>
        <v/>
      </c>
      <c r="M134">
        <f>H134-I134</f>
        <v/>
      </c>
    </row>
    <row r="135">
      <c r="A135" t="inlineStr">
        <is>
          <t>SIMULATED Commercial FA Study</t>
        </is>
      </c>
      <c r="B135" t="inlineStr">
        <is>
          <t>P17</t>
        </is>
      </c>
      <c r="C135" t="inlineStr">
        <is>
          <t>B_C2first</t>
        </is>
      </c>
      <c r="D135" t="inlineStr">
        <is>
          <t>Baseline_2</t>
        </is>
      </c>
      <c r="E135" t="inlineStr">
        <is>
          <t>Ch6</t>
        </is>
      </c>
      <c r="F135" t="inlineStr">
        <is>
          <t>F4</t>
        </is>
      </c>
      <c r="G135" t="n">
        <v>60000</v>
      </c>
      <c r="H135" t="n">
        <v>30000</v>
      </c>
      <c r="I135" t="n">
        <v>30000</v>
      </c>
      <c r="J135" t="n">
        <v>939</v>
      </c>
      <c r="K135" t="n">
        <v>3.13</v>
      </c>
      <c r="L135" s="5">
        <f>100*J135/I135</f>
        <v/>
      </c>
      <c r="M135">
        <f>H135-I135</f>
        <v/>
      </c>
    </row>
    <row r="136">
      <c r="A136" t="inlineStr">
        <is>
          <t>SIMULATED Commercial FA Study</t>
        </is>
      </c>
      <c r="B136" t="inlineStr">
        <is>
          <t>P17</t>
        </is>
      </c>
      <c r="C136" t="inlineStr">
        <is>
          <t>B_C2first</t>
        </is>
      </c>
      <c r="D136" t="inlineStr">
        <is>
          <t>Commercial_1B</t>
        </is>
      </c>
      <c r="E136" t="inlineStr">
        <is>
          <t>Ch5</t>
        </is>
      </c>
      <c r="F136" t="inlineStr">
        <is>
          <t>F3</t>
        </is>
      </c>
      <c r="G136" t="n">
        <v>54000</v>
      </c>
      <c r="H136" t="n">
        <v>27000</v>
      </c>
      <c r="I136" t="n">
        <v>27000</v>
      </c>
      <c r="J136" t="n">
        <v>321</v>
      </c>
      <c r="K136" t="n">
        <v>1.19</v>
      </c>
      <c r="L136" s="5">
        <f>100*J136/I136</f>
        <v/>
      </c>
      <c r="M136">
        <f>H136-I136</f>
        <v/>
      </c>
    </row>
    <row r="137">
      <c r="A137" t="inlineStr">
        <is>
          <t>SIMULATED Commercial FA Study</t>
        </is>
      </c>
      <c r="B137" t="inlineStr">
        <is>
          <t>P17</t>
        </is>
      </c>
      <c r="C137" t="inlineStr">
        <is>
          <t>B_C2first</t>
        </is>
      </c>
      <c r="D137" t="inlineStr">
        <is>
          <t>Commercial_1B</t>
        </is>
      </c>
      <c r="E137" t="inlineStr">
        <is>
          <t>Ch6</t>
        </is>
      </c>
      <c r="F137" t="inlineStr">
        <is>
          <t>F4</t>
        </is>
      </c>
      <c r="G137" t="n">
        <v>54000</v>
      </c>
      <c r="H137" t="n">
        <v>27000</v>
      </c>
      <c r="I137" t="n">
        <v>27000</v>
      </c>
      <c r="J137" t="n">
        <v>154</v>
      </c>
      <c r="K137" t="n">
        <v>0.57</v>
      </c>
      <c r="L137" s="5">
        <f>100*J137/I137</f>
        <v/>
      </c>
      <c r="M137">
        <f>H137-I137</f>
        <v/>
      </c>
    </row>
    <row r="138">
      <c r="A138" t="inlineStr">
        <is>
          <t>SIMULATED Commercial FA Study</t>
        </is>
      </c>
      <c r="B138" t="inlineStr">
        <is>
          <t>P18</t>
        </is>
      </c>
      <c r="C138" t="inlineStr">
        <is>
          <t>A_C2first</t>
        </is>
      </c>
      <c r="D138" t="inlineStr">
        <is>
          <t>Baseline_1</t>
        </is>
      </c>
      <c r="E138" t="inlineStr">
        <is>
          <t>Ch5</t>
        </is>
      </c>
      <c r="F138" t="inlineStr">
        <is>
          <t>F3</t>
        </is>
      </c>
      <c r="G138" t="n">
        <v>60000</v>
      </c>
      <c r="H138" t="n">
        <v>30000</v>
      </c>
      <c r="I138" t="n">
        <v>30000</v>
      </c>
      <c r="J138" t="n">
        <v>1425</v>
      </c>
      <c r="K138" t="n">
        <v>4.75</v>
      </c>
      <c r="L138" s="5">
        <f>100*J138/I138</f>
        <v/>
      </c>
      <c r="M138">
        <f>H138-I138</f>
        <v/>
      </c>
    </row>
    <row r="139">
      <c r="A139" t="inlineStr">
        <is>
          <t>SIMULATED Commercial FA Study</t>
        </is>
      </c>
      <c r="B139" t="inlineStr">
        <is>
          <t>P18</t>
        </is>
      </c>
      <c r="C139" t="inlineStr">
        <is>
          <t>A_C2first</t>
        </is>
      </c>
      <c r="D139" t="inlineStr">
        <is>
          <t>Baseline_1</t>
        </is>
      </c>
      <c r="E139" t="inlineStr">
        <is>
          <t>Ch6</t>
        </is>
      </c>
      <c r="F139" t="inlineStr">
        <is>
          <t>F4</t>
        </is>
      </c>
      <c r="G139" t="n">
        <v>60000</v>
      </c>
      <c r="H139" t="n">
        <v>30000</v>
      </c>
      <c r="I139" t="n">
        <v>30000</v>
      </c>
      <c r="J139" t="n">
        <v>1338</v>
      </c>
      <c r="K139" t="n">
        <v>4.46</v>
      </c>
      <c r="L139" s="5">
        <f>100*J139/I139</f>
        <v/>
      </c>
      <c r="M139">
        <f>H139-I139</f>
        <v/>
      </c>
    </row>
    <row r="140">
      <c r="A140" t="inlineStr">
        <is>
          <t>SIMULATED Commercial FA Study</t>
        </is>
      </c>
      <c r="B140" t="inlineStr">
        <is>
          <t>P18</t>
        </is>
      </c>
      <c r="C140" t="inlineStr">
        <is>
          <t>A_C2first</t>
        </is>
      </c>
      <c r="D140" t="inlineStr">
        <is>
          <t>Commercial_2</t>
        </is>
      </c>
      <c r="E140" t="inlineStr">
        <is>
          <t>Ch5</t>
        </is>
      </c>
      <c r="F140" t="inlineStr">
        <is>
          <t>F3</t>
        </is>
      </c>
      <c r="G140" t="n">
        <v>60000</v>
      </c>
      <c r="H140" t="n">
        <v>30000</v>
      </c>
      <c r="I140" t="n">
        <v>30000</v>
      </c>
      <c r="J140" t="n">
        <v>1008</v>
      </c>
      <c r="K140" t="n">
        <v>3.36</v>
      </c>
      <c r="L140" s="5">
        <f>100*J140/I140</f>
        <v/>
      </c>
      <c r="M140">
        <f>H140-I140</f>
        <v/>
      </c>
    </row>
    <row r="141">
      <c r="A141" t="inlineStr">
        <is>
          <t>SIMULATED Commercial FA Study</t>
        </is>
      </c>
      <c r="B141" t="inlineStr">
        <is>
          <t>P18</t>
        </is>
      </c>
      <c r="C141" t="inlineStr">
        <is>
          <t>A_C2first</t>
        </is>
      </c>
      <c r="D141" t="inlineStr">
        <is>
          <t>Commercial_2</t>
        </is>
      </c>
      <c r="E141" t="inlineStr">
        <is>
          <t>Ch6</t>
        </is>
      </c>
      <c r="F141" t="inlineStr">
        <is>
          <t>F4</t>
        </is>
      </c>
      <c r="G141" t="n">
        <v>60000</v>
      </c>
      <c r="H141" t="n">
        <v>30000</v>
      </c>
      <c r="I141" t="n">
        <v>30000</v>
      </c>
      <c r="J141" t="n">
        <v>786</v>
      </c>
      <c r="K141" t="n">
        <v>2.62</v>
      </c>
      <c r="L141" s="5">
        <f>100*J141/I141</f>
        <v/>
      </c>
      <c r="M141">
        <f>H141-I141</f>
        <v/>
      </c>
    </row>
    <row r="142">
      <c r="A142" t="inlineStr">
        <is>
          <t>SIMULATED Commercial FA Study</t>
        </is>
      </c>
      <c r="B142" t="inlineStr">
        <is>
          <t>P18</t>
        </is>
      </c>
      <c r="C142" t="inlineStr">
        <is>
          <t>A_C2first</t>
        </is>
      </c>
      <c r="D142" t="inlineStr">
        <is>
          <t>Baseline_2</t>
        </is>
      </c>
      <c r="E142" t="inlineStr">
        <is>
          <t>Ch5</t>
        </is>
      </c>
      <c r="F142" t="inlineStr">
        <is>
          <t>F3</t>
        </is>
      </c>
      <c r="G142" t="n">
        <v>60000</v>
      </c>
      <c r="H142" t="n">
        <v>30000</v>
      </c>
      <c r="I142" t="n">
        <v>30000</v>
      </c>
      <c r="J142" t="n">
        <v>837</v>
      </c>
      <c r="K142" t="n">
        <v>2.79</v>
      </c>
      <c r="L142" s="5">
        <f>100*J142/I142</f>
        <v/>
      </c>
      <c r="M142">
        <f>H142-I142</f>
        <v/>
      </c>
    </row>
    <row r="143">
      <c r="A143" t="inlineStr">
        <is>
          <t>SIMULATED Commercial FA Study</t>
        </is>
      </c>
      <c r="B143" t="inlineStr">
        <is>
          <t>P18</t>
        </is>
      </c>
      <c r="C143" t="inlineStr">
        <is>
          <t>A_C2first</t>
        </is>
      </c>
      <c r="D143" t="inlineStr">
        <is>
          <t>Baseline_2</t>
        </is>
      </c>
      <c r="E143" t="inlineStr">
        <is>
          <t>Ch6</t>
        </is>
      </c>
      <c r="F143" t="inlineStr">
        <is>
          <t>F4</t>
        </is>
      </c>
      <c r="G143" t="n">
        <v>60000</v>
      </c>
      <c r="H143" t="n">
        <v>30000</v>
      </c>
      <c r="I143" t="n">
        <v>30000</v>
      </c>
      <c r="J143" t="n">
        <v>1032</v>
      </c>
      <c r="K143" t="n">
        <v>3.44</v>
      </c>
      <c r="L143" s="5">
        <f>100*J143/I143</f>
        <v/>
      </c>
      <c r="M143">
        <f>H143-I143</f>
        <v/>
      </c>
    </row>
    <row r="144">
      <c r="A144" t="inlineStr">
        <is>
          <t>SIMULATED Commercial FA Study</t>
        </is>
      </c>
      <c r="B144" t="inlineStr">
        <is>
          <t>P18</t>
        </is>
      </c>
      <c r="C144" t="inlineStr">
        <is>
          <t>A_C2first</t>
        </is>
      </c>
      <c r="D144" t="inlineStr">
        <is>
          <t>Commercial_1A</t>
        </is>
      </c>
      <c r="E144" t="inlineStr">
        <is>
          <t>Ch5</t>
        </is>
      </c>
      <c r="F144" t="inlineStr">
        <is>
          <t>F3</t>
        </is>
      </c>
      <c r="G144" t="n">
        <v>60000</v>
      </c>
      <c r="H144" t="n">
        <v>30000</v>
      </c>
      <c r="I144" t="n">
        <v>30000</v>
      </c>
      <c r="J144" t="n">
        <v>5013</v>
      </c>
      <c r="K144" t="n">
        <v>16.71</v>
      </c>
      <c r="L144" s="5">
        <f>100*J144/I144</f>
        <v/>
      </c>
      <c r="M144">
        <f>H144-I144</f>
        <v/>
      </c>
    </row>
    <row r="145">
      <c r="A145" t="inlineStr">
        <is>
          <t>SIMULATED Commercial FA Study</t>
        </is>
      </c>
      <c r="B145" t="inlineStr">
        <is>
          <t>P18</t>
        </is>
      </c>
      <c r="C145" t="inlineStr">
        <is>
          <t>A_C2first</t>
        </is>
      </c>
      <c r="D145" t="inlineStr">
        <is>
          <t>Commercial_1A</t>
        </is>
      </c>
      <c r="E145" t="inlineStr">
        <is>
          <t>Ch6</t>
        </is>
      </c>
      <c r="F145" t="inlineStr">
        <is>
          <t>F4</t>
        </is>
      </c>
      <c r="G145" t="n">
        <v>60000</v>
      </c>
      <c r="H145" t="n">
        <v>30000</v>
      </c>
      <c r="I145" t="n">
        <v>30000</v>
      </c>
      <c r="J145" t="n">
        <v>5184</v>
      </c>
      <c r="K145" t="n">
        <v>17.28</v>
      </c>
      <c r="L145" s="5">
        <f>100*J145/I145</f>
        <v/>
      </c>
      <c r="M145">
        <f>H145-I145</f>
        <v/>
      </c>
    </row>
    <row r="146">
      <c r="A146" t="inlineStr">
        <is>
          <t>SIMULATED Commercial FA Study</t>
        </is>
      </c>
      <c r="B146" t="inlineStr">
        <is>
          <t>P19</t>
        </is>
      </c>
      <c r="C146" t="inlineStr">
        <is>
          <t>B_C1first</t>
        </is>
      </c>
      <c r="D146" t="inlineStr">
        <is>
          <t>Baseline_1</t>
        </is>
      </c>
      <c r="E146" t="inlineStr">
        <is>
          <t>Ch5</t>
        </is>
      </c>
      <c r="F146" t="inlineStr">
        <is>
          <t>F3</t>
        </is>
      </c>
      <c r="G146" t="n">
        <v>60000</v>
      </c>
      <c r="H146" t="n">
        <v>30000</v>
      </c>
      <c r="I146" t="n">
        <v>30000</v>
      </c>
      <c r="J146" t="n">
        <v>432</v>
      </c>
      <c r="K146" t="n">
        <v>1.44</v>
      </c>
      <c r="L146" s="5">
        <f>100*J146/I146</f>
        <v/>
      </c>
      <c r="M146">
        <f>H146-I146</f>
        <v/>
      </c>
    </row>
    <row r="147">
      <c r="A147" t="inlineStr">
        <is>
          <t>SIMULATED Commercial FA Study</t>
        </is>
      </c>
      <c r="B147" t="inlineStr">
        <is>
          <t>P19</t>
        </is>
      </c>
      <c r="C147" t="inlineStr">
        <is>
          <t>B_C1first</t>
        </is>
      </c>
      <c r="D147" t="inlineStr">
        <is>
          <t>Baseline_1</t>
        </is>
      </c>
      <c r="E147" t="inlineStr">
        <is>
          <t>Ch6</t>
        </is>
      </c>
      <c r="F147" t="inlineStr">
        <is>
          <t>F4</t>
        </is>
      </c>
      <c r="G147" t="n">
        <v>60000</v>
      </c>
      <c r="H147" t="n">
        <v>30000</v>
      </c>
      <c r="I147" t="n">
        <v>30000</v>
      </c>
      <c r="J147" t="n">
        <v>315</v>
      </c>
      <c r="K147" t="n">
        <v>1.05</v>
      </c>
      <c r="L147" s="5">
        <f>100*J147/I147</f>
        <v/>
      </c>
      <c r="M147">
        <f>H147-I147</f>
        <v/>
      </c>
    </row>
    <row r="148">
      <c r="A148" t="inlineStr">
        <is>
          <t>SIMULATED Commercial FA Study</t>
        </is>
      </c>
      <c r="B148" t="inlineStr">
        <is>
          <t>P19</t>
        </is>
      </c>
      <c r="C148" t="inlineStr">
        <is>
          <t>B_C1first</t>
        </is>
      </c>
      <c r="D148" t="inlineStr">
        <is>
          <t>Commercial_1B</t>
        </is>
      </c>
      <c r="E148" t="inlineStr">
        <is>
          <t>Ch5</t>
        </is>
      </c>
      <c r="F148" t="inlineStr">
        <is>
          <t>F3</t>
        </is>
      </c>
      <c r="G148" t="n">
        <v>54000</v>
      </c>
      <c r="H148" t="n">
        <v>27000</v>
      </c>
      <c r="I148" t="n">
        <v>27000</v>
      </c>
      <c r="J148" t="n">
        <v>540</v>
      </c>
      <c r="K148" t="n">
        <v>2</v>
      </c>
      <c r="L148" s="5">
        <f>100*J148/I148</f>
        <v/>
      </c>
      <c r="M148">
        <f>H148-I148</f>
        <v/>
      </c>
    </row>
    <row r="149">
      <c r="A149" t="inlineStr">
        <is>
          <t>SIMULATED Commercial FA Study</t>
        </is>
      </c>
      <c r="B149" t="inlineStr">
        <is>
          <t>P19</t>
        </is>
      </c>
      <c r="C149" t="inlineStr">
        <is>
          <t>B_C1first</t>
        </is>
      </c>
      <c r="D149" t="inlineStr">
        <is>
          <t>Commercial_1B</t>
        </is>
      </c>
      <c r="E149" t="inlineStr">
        <is>
          <t>Ch6</t>
        </is>
      </c>
      <c r="F149" t="inlineStr">
        <is>
          <t>F4</t>
        </is>
      </c>
      <c r="G149" t="n">
        <v>54000</v>
      </c>
      <c r="H149" t="n">
        <v>27000</v>
      </c>
      <c r="I149" t="n">
        <v>27000</v>
      </c>
      <c r="J149" t="n">
        <v>559</v>
      </c>
      <c r="K149" t="n">
        <v>2.07</v>
      </c>
      <c r="L149" s="5">
        <f>100*J149/I149</f>
        <v/>
      </c>
      <c r="M149">
        <f>H149-I149</f>
        <v/>
      </c>
    </row>
    <row r="150">
      <c r="A150" t="inlineStr">
        <is>
          <t>SIMULATED Commercial FA Study</t>
        </is>
      </c>
      <c r="B150" t="inlineStr">
        <is>
          <t>P19</t>
        </is>
      </c>
      <c r="C150" t="inlineStr">
        <is>
          <t>B_C1first</t>
        </is>
      </c>
      <c r="D150" t="inlineStr">
        <is>
          <t>Baseline_2</t>
        </is>
      </c>
      <c r="E150" t="inlineStr">
        <is>
          <t>Ch5</t>
        </is>
      </c>
      <c r="F150" t="inlineStr">
        <is>
          <t>F3</t>
        </is>
      </c>
      <c r="G150" t="n">
        <v>60000</v>
      </c>
      <c r="H150" t="n">
        <v>30000</v>
      </c>
      <c r="I150" t="n">
        <v>30000</v>
      </c>
      <c r="J150" t="n">
        <v>2682</v>
      </c>
      <c r="K150" t="n">
        <v>8.94</v>
      </c>
      <c r="L150" s="5">
        <f>100*J150/I150</f>
        <v/>
      </c>
      <c r="M150">
        <f>H150-I150</f>
        <v/>
      </c>
    </row>
    <row r="151">
      <c r="A151" t="inlineStr">
        <is>
          <t>SIMULATED Commercial FA Study</t>
        </is>
      </c>
      <c r="B151" t="inlineStr">
        <is>
          <t>P19</t>
        </is>
      </c>
      <c r="C151" t="inlineStr">
        <is>
          <t>B_C1first</t>
        </is>
      </c>
      <c r="D151" t="inlineStr">
        <is>
          <t>Baseline_2</t>
        </is>
      </c>
      <c r="E151" t="inlineStr">
        <is>
          <t>Ch6</t>
        </is>
      </c>
      <c r="F151" t="inlineStr">
        <is>
          <t>F4</t>
        </is>
      </c>
      <c r="G151" t="n">
        <v>60000</v>
      </c>
      <c r="H151" t="n">
        <v>30000</v>
      </c>
      <c r="I151" t="n">
        <v>30000</v>
      </c>
      <c r="J151" t="n">
        <v>1719</v>
      </c>
      <c r="K151" t="n">
        <v>5.73</v>
      </c>
      <c r="L151" s="5">
        <f>100*J151/I151</f>
        <v/>
      </c>
      <c r="M151">
        <f>H151-I151</f>
        <v/>
      </c>
    </row>
    <row r="152">
      <c r="A152" t="inlineStr">
        <is>
          <t>SIMULATED Commercial FA Study</t>
        </is>
      </c>
      <c r="B152" t="inlineStr">
        <is>
          <t>P19</t>
        </is>
      </c>
      <c r="C152" t="inlineStr">
        <is>
          <t>B_C1first</t>
        </is>
      </c>
      <c r="D152" t="inlineStr">
        <is>
          <t>Commercial_2</t>
        </is>
      </c>
      <c r="E152" t="inlineStr">
        <is>
          <t>Ch5</t>
        </is>
      </c>
      <c r="F152" t="inlineStr">
        <is>
          <t>F3</t>
        </is>
      </c>
      <c r="G152" t="n">
        <v>60000</v>
      </c>
      <c r="H152" t="n">
        <v>30000</v>
      </c>
      <c r="I152" t="n">
        <v>30000</v>
      </c>
      <c r="J152" t="n">
        <v>951</v>
      </c>
      <c r="K152" t="n">
        <v>3.17</v>
      </c>
      <c r="L152" s="5">
        <f>100*J152/I152</f>
        <v/>
      </c>
      <c r="M152">
        <f>H152-I152</f>
        <v/>
      </c>
    </row>
    <row r="153">
      <c r="A153" t="inlineStr">
        <is>
          <t>SIMULATED Commercial FA Study</t>
        </is>
      </c>
      <c r="B153" t="inlineStr">
        <is>
          <t>P19</t>
        </is>
      </c>
      <c r="C153" t="inlineStr">
        <is>
          <t>B_C1first</t>
        </is>
      </c>
      <c r="D153" t="inlineStr">
        <is>
          <t>Commercial_2</t>
        </is>
      </c>
      <c r="E153" t="inlineStr">
        <is>
          <t>Ch6</t>
        </is>
      </c>
      <c r="F153" t="inlineStr">
        <is>
          <t>F4</t>
        </is>
      </c>
      <c r="G153" t="n">
        <v>60000</v>
      </c>
      <c r="H153" t="n">
        <v>30000</v>
      </c>
      <c r="I153" t="n">
        <v>30000</v>
      </c>
      <c r="J153" t="n">
        <v>1062</v>
      </c>
      <c r="K153" t="n">
        <v>3.54</v>
      </c>
      <c r="L153" s="5">
        <f>100*J153/I153</f>
        <v/>
      </c>
      <c r="M153">
        <f>H153-I153</f>
        <v/>
      </c>
    </row>
    <row r="154">
      <c r="A154" t="inlineStr">
        <is>
          <t>SIMULATED Commercial FA Study</t>
        </is>
      </c>
      <c r="B154" t="inlineStr">
        <is>
          <t>P20</t>
        </is>
      </c>
      <c r="C154" t="inlineStr">
        <is>
          <t>A_C1first</t>
        </is>
      </c>
      <c r="D154" t="inlineStr">
        <is>
          <t>Baseline_1</t>
        </is>
      </c>
      <c r="E154" t="inlineStr">
        <is>
          <t>Ch5</t>
        </is>
      </c>
      <c r="F154" t="inlineStr">
        <is>
          <t>F3</t>
        </is>
      </c>
      <c r="G154" t="n">
        <v>60000</v>
      </c>
      <c r="H154" t="n">
        <v>30000</v>
      </c>
      <c r="I154" t="n">
        <v>30000</v>
      </c>
      <c r="J154" t="n">
        <v>171</v>
      </c>
      <c r="K154" t="n">
        <v>0.57</v>
      </c>
      <c r="L154" s="5">
        <f>100*J154/I154</f>
        <v/>
      </c>
      <c r="M154">
        <f>H154-I154</f>
        <v/>
      </c>
    </row>
    <row r="155">
      <c r="A155" t="inlineStr">
        <is>
          <t>SIMULATED Commercial FA Study</t>
        </is>
      </c>
      <c r="B155" t="inlineStr">
        <is>
          <t>P20</t>
        </is>
      </c>
      <c r="C155" t="inlineStr">
        <is>
          <t>A_C1first</t>
        </is>
      </c>
      <c r="D155" t="inlineStr">
        <is>
          <t>Baseline_1</t>
        </is>
      </c>
      <c r="E155" t="inlineStr">
        <is>
          <t>Ch6</t>
        </is>
      </c>
      <c r="F155" t="inlineStr">
        <is>
          <t>F4</t>
        </is>
      </c>
      <c r="G155" t="n">
        <v>60000</v>
      </c>
      <c r="H155" t="n">
        <v>30000</v>
      </c>
      <c r="I155" t="n">
        <v>30000</v>
      </c>
      <c r="J155" t="n">
        <v>63</v>
      </c>
      <c r="K155" t="n">
        <v>0.21</v>
      </c>
      <c r="L155" s="5">
        <f>100*J155/I155</f>
        <v/>
      </c>
      <c r="M155">
        <f>H155-I155</f>
        <v/>
      </c>
    </row>
    <row r="156">
      <c r="A156" t="inlineStr">
        <is>
          <t>SIMULATED Commercial FA Study</t>
        </is>
      </c>
      <c r="B156" t="inlineStr">
        <is>
          <t>P20</t>
        </is>
      </c>
      <c r="C156" t="inlineStr">
        <is>
          <t>A_C1first</t>
        </is>
      </c>
      <c r="D156" t="inlineStr">
        <is>
          <t>Commercial_1A</t>
        </is>
      </c>
      <c r="E156" t="inlineStr">
        <is>
          <t>Ch5</t>
        </is>
      </c>
      <c r="F156" t="inlineStr">
        <is>
          <t>F3</t>
        </is>
      </c>
      <c r="G156" t="n">
        <v>60000</v>
      </c>
      <c r="H156" t="n">
        <v>30000</v>
      </c>
      <c r="I156" t="n">
        <v>30000</v>
      </c>
      <c r="J156" t="n">
        <v>183</v>
      </c>
      <c r="K156" t="n">
        <v>0.61</v>
      </c>
      <c r="L156" s="5">
        <f>100*J156/I156</f>
        <v/>
      </c>
      <c r="M156">
        <f>H156-I156</f>
        <v/>
      </c>
    </row>
    <row r="157">
      <c r="A157" t="inlineStr">
        <is>
          <t>SIMULATED Commercial FA Study</t>
        </is>
      </c>
      <c r="B157" t="inlineStr">
        <is>
          <t>P20</t>
        </is>
      </c>
      <c r="C157" t="inlineStr">
        <is>
          <t>A_C1first</t>
        </is>
      </c>
      <c r="D157" t="inlineStr">
        <is>
          <t>Commercial_1A</t>
        </is>
      </c>
      <c r="E157" t="inlineStr">
        <is>
          <t>Ch6</t>
        </is>
      </c>
      <c r="F157" t="inlineStr">
        <is>
          <t>F4</t>
        </is>
      </c>
      <c r="G157" t="n">
        <v>60000</v>
      </c>
      <c r="H157" t="n">
        <v>30000</v>
      </c>
      <c r="I157" t="n">
        <v>30000</v>
      </c>
      <c r="J157" t="n">
        <v>204</v>
      </c>
      <c r="K157" t="n">
        <v>0.68</v>
      </c>
      <c r="L157" s="5">
        <f>100*J157/I157</f>
        <v/>
      </c>
      <c r="M157">
        <f>H157-I157</f>
        <v/>
      </c>
    </row>
    <row r="158">
      <c r="A158" t="inlineStr">
        <is>
          <t>SIMULATED Commercial FA Study</t>
        </is>
      </c>
      <c r="B158" t="inlineStr">
        <is>
          <t>P20</t>
        </is>
      </c>
      <c r="C158" t="inlineStr">
        <is>
          <t>A_C1first</t>
        </is>
      </c>
      <c r="D158" t="inlineStr">
        <is>
          <t>Baseline_2</t>
        </is>
      </c>
      <c r="E158" t="inlineStr">
        <is>
          <t>Ch5</t>
        </is>
      </c>
      <c r="F158" t="inlineStr">
        <is>
          <t>F3</t>
        </is>
      </c>
      <c r="G158" t="n">
        <v>60000</v>
      </c>
      <c r="H158" t="n">
        <v>30000</v>
      </c>
      <c r="I158" t="n">
        <v>30000</v>
      </c>
      <c r="J158" t="n">
        <v>1524</v>
      </c>
      <c r="K158" t="n">
        <v>5.08</v>
      </c>
      <c r="L158" s="5">
        <f>100*J158/I158</f>
        <v/>
      </c>
      <c r="M158">
        <f>H158-I158</f>
        <v/>
      </c>
    </row>
    <row r="159">
      <c r="A159" t="inlineStr">
        <is>
          <t>SIMULATED Commercial FA Study</t>
        </is>
      </c>
      <c r="B159" t="inlineStr">
        <is>
          <t>P20</t>
        </is>
      </c>
      <c r="C159" t="inlineStr">
        <is>
          <t>A_C1first</t>
        </is>
      </c>
      <c r="D159" t="inlineStr">
        <is>
          <t>Baseline_2</t>
        </is>
      </c>
      <c r="E159" t="inlineStr">
        <is>
          <t>Ch6</t>
        </is>
      </c>
      <c r="F159" t="inlineStr">
        <is>
          <t>F4</t>
        </is>
      </c>
      <c r="G159" t="n">
        <v>60000</v>
      </c>
      <c r="H159" t="n">
        <v>30000</v>
      </c>
      <c r="I159" t="n">
        <v>30000</v>
      </c>
      <c r="J159" t="n">
        <v>1437</v>
      </c>
      <c r="K159" t="n">
        <v>4.79</v>
      </c>
      <c r="L159" s="5">
        <f>100*J159/I159</f>
        <v/>
      </c>
      <c r="M159">
        <f>H159-I159</f>
        <v/>
      </c>
    </row>
    <row r="160">
      <c r="A160" t="inlineStr">
        <is>
          <t>SIMULATED Commercial FA Study</t>
        </is>
      </c>
      <c r="B160" t="inlineStr">
        <is>
          <t>P20</t>
        </is>
      </c>
      <c r="C160" t="inlineStr">
        <is>
          <t>A_C1first</t>
        </is>
      </c>
      <c r="D160" t="inlineStr">
        <is>
          <t>Commercial_2</t>
        </is>
      </c>
      <c r="E160" t="inlineStr">
        <is>
          <t>Ch5</t>
        </is>
      </c>
      <c r="F160" t="inlineStr">
        <is>
          <t>F3</t>
        </is>
      </c>
      <c r="G160" t="n">
        <v>60000</v>
      </c>
      <c r="H160" t="n">
        <v>30000</v>
      </c>
      <c r="I160" t="n">
        <v>30000</v>
      </c>
      <c r="J160" t="n">
        <v>309</v>
      </c>
      <c r="K160" t="n">
        <v>1.03</v>
      </c>
      <c r="L160" s="5">
        <f>100*J160/I160</f>
        <v/>
      </c>
      <c r="M160">
        <f>H160-I160</f>
        <v/>
      </c>
    </row>
    <row r="161">
      <c r="A161" t="inlineStr">
        <is>
          <t>SIMULATED Commercial FA Study</t>
        </is>
      </c>
      <c r="B161" t="inlineStr">
        <is>
          <t>P20</t>
        </is>
      </c>
      <c r="C161" t="inlineStr">
        <is>
          <t>A_C1first</t>
        </is>
      </c>
      <c r="D161" t="inlineStr">
        <is>
          <t>Commercial_2</t>
        </is>
      </c>
      <c r="E161" t="inlineStr">
        <is>
          <t>Ch6</t>
        </is>
      </c>
      <c r="F161" t="inlineStr">
        <is>
          <t>F4</t>
        </is>
      </c>
      <c r="G161" t="n">
        <v>60000</v>
      </c>
      <c r="H161" t="n">
        <v>30000</v>
      </c>
      <c r="I161" t="n">
        <v>30000</v>
      </c>
      <c r="J161" t="n">
        <v>273</v>
      </c>
      <c r="K161" t="n">
        <v>0.91</v>
      </c>
      <c r="L161" s="5">
        <f>100*J161/I161</f>
        <v/>
      </c>
      <c r="M161">
        <f>H161-I161</f>
        <v/>
      </c>
    </row>
    <row r="162">
      <c r="A162" t="inlineStr">
        <is>
          <t>SIMULATED Commercial FA Study</t>
        </is>
      </c>
      <c r="B162" t="inlineStr">
        <is>
          <t>P21</t>
        </is>
      </c>
      <c r="C162" t="inlineStr">
        <is>
          <t>B_C2first</t>
        </is>
      </c>
      <c r="D162" t="inlineStr">
        <is>
          <t>Baseline_1</t>
        </is>
      </c>
      <c r="E162" t="inlineStr">
        <is>
          <t>Ch5</t>
        </is>
      </c>
      <c r="F162" t="inlineStr">
        <is>
          <t>F3</t>
        </is>
      </c>
      <c r="G162" t="n">
        <v>60000</v>
      </c>
      <c r="H162" t="n">
        <v>30000</v>
      </c>
      <c r="I162" t="n">
        <v>30000</v>
      </c>
      <c r="J162" t="n">
        <v>204</v>
      </c>
      <c r="K162" t="n">
        <v>0.68</v>
      </c>
      <c r="L162" s="5">
        <f>100*J162/I162</f>
        <v/>
      </c>
      <c r="M162">
        <f>H162-I162</f>
        <v/>
      </c>
    </row>
    <row r="163">
      <c r="A163" t="inlineStr">
        <is>
          <t>SIMULATED Commercial FA Study</t>
        </is>
      </c>
      <c r="B163" t="inlineStr">
        <is>
          <t>P21</t>
        </is>
      </c>
      <c r="C163" t="inlineStr">
        <is>
          <t>B_C2first</t>
        </is>
      </c>
      <c r="D163" t="inlineStr">
        <is>
          <t>Baseline_1</t>
        </is>
      </c>
      <c r="E163" t="inlineStr">
        <is>
          <t>Ch6</t>
        </is>
      </c>
      <c r="F163" t="inlineStr">
        <is>
          <t>F4</t>
        </is>
      </c>
      <c r="G163" t="n">
        <v>60000</v>
      </c>
      <c r="H163" t="n">
        <v>30000</v>
      </c>
      <c r="I163" t="n">
        <v>30000</v>
      </c>
      <c r="J163" t="n">
        <v>570</v>
      </c>
      <c r="K163" t="n">
        <v>1.9</v>
      </c>
      <c r="L163" s="5">
        <f>100*J163/I163</f>
        <v/>
      </c>
      <c r="M163">
        <f>H163-I163</f>
        <v/>
      </c>
    </row>
    <row r="164">
      <c r="A164" t="inlineStr">
        <is>
          <t>SIMULATED Commercial FA Study</t>
        </is>
      </c>
      <c r="B164" t="inlineStr">
        <is>
          <t>P21</t>
        </is>
      </c>
      <c r="C164" t="inlineStr">
        <is>
          <t>B_C2first</t>
        </is>
      </c>
      <c r="D164" t="inlineStr">
        <is>
          <t>Commercial_2</t>
        </is>
      </c>
      <c r="E164" t="inlineStr">
        <is>
          <t>Ch5</t>
        </is>
      </c>
      <c r="F164" t="inlineStr">
        <is>
          <t>F3</t>
        </is>
      </c>
      <c r="G164" t="n">
        <v>60000</v>
      </c>
      <c r="H164" t="n">
        <v>30000</v>
      </c>
      <c r="I164" t="n">
        <v>30000</v>
      </c>
      <c r="J164" t="n">
        <v>48</v>
      </c>
      <c r="K164" t="n">
        <v>0.16</v>
      </c>
      <c r="L164" s="5">
        <f>100*J164/I164</f>
        <v/>
      </c>
      <c r="M164">
        <f>H164-I164</f>
        <v/>
      </c>
    </row>
    <row r="165">
      <c r="A165" t="inlineStr">
        <is>
          <t>SIMULATED Commercial FA Study</t>
        </is>
      </c>
      <c r="B165" t="inlineStr">
        <is>
          <t>P21</t>
        </is>
      </c>
      <c r="C165" t="inlineStr">
        <is>
          <t>B_C2first</t>
        </is>
      </c>
      <c r="D165" t="inlineStr">
        <is>
          <t>Commercial_2</t>
        </is>
      </c>
      <c r="E165" t="inlineStr">
        <is>
          <t>Ch6</t>
        </is>
      </c>
      <c r="F165" t="inlineStr">
        <is>
          <t>F4</t>
        </is>
      </c>
      <c r="G165" t="n">
        <v>60000</v>
      </c>
      <c r="H165" t="n">
        <v>30000</v>
      </c>
      <c r="I165" t="n">
        <v>30000</v>
      </c>
      <c r="J165" t="n">
        <v>57</v>
      </c>
      <c r="K165" t="n">
        <v>0.19</v>
      </c>
      <c r="L165" s="5">
        <f>100*J165/I165</f>
        <v/>
      </c>
      <c r="M165">
        <f>H165-I165</f>
        <v/>
      </c>
    </row>
    <row r="166">
      <c r="A166" t="inlineStr">
        <is>
          <t>SIMULATED Commercial FA Study</t>
        </is>
      </c>
      <c r="B166" t="inlineStr">
        <is>
          <t>P21</t>
        </is>
      </c>
      <c r="C166" t="inlineStr">
        <is>
          <t>B_C2first</t>
        </is>
      </c>
      <c r="D166" t="inlineStr">
        <is>
          <t>Baseline_2</t>
        </is>
      </c>
      <c r="E166" t="inlineStr">
        <is>
          <t>Ch5</t>
        </is>
      </c>
      <c r="F166" t="inlineStr">
        <is>
          <t>F3</t>
        </is>
      </c>
      <c r="G166" t="n">
        <v>60000</v>
      </c>
      <c r="H166" t="n">
        <v>30000</v>
      </c>
      <c r="I166" t="n">
        <v>30000</v>
      </c>
      <c r="J166" t="n">
        <v>351</v>
      </c>
      <c r="K166" t="n">
        <v>1.17</v>
      </c>
      <c r="L166" s="5">
        <f>100*J166/I166</f>
        <v/>
      </c>
      <c r="M166">
        <f>H166-I166</f>
        <v/>
      </c>
    </row>
    <row r="167">
      <c r="A167" t="inlineStr">
        <is>
          <t>SIMULATED Commercial FA Study</t>
        </is>
      </c>
      <c r="B167" t="inlineStr">
        <is>
          <t>P21</t>
        </is>
      </c>
      <c r="C167" t="inlineStr">
        <is>
          <t>B_C2first</t>
        </is>
      </c>
      <c r="D167" t="inlineStr">
        <is>
          <t>Baseline_2</t>
        </is>
      </c>
      <c r="E167" t="inlineStr">
        <is>
          <t>Ch6</t>
        </is>
      </c>
      <c r="F167" t="inlineStr">
        <is>
          <t>F4</t>
        </is>
      </c>
      <c r="G167" t="n">
        <v>60000</v>
      </c>
      <c r="H167" t="n">
        <v>30000</v>
      </c>
      <c r="I167" t="n">
        <v>30000</v>
      </c>
      <c r="J167" t="n">
        <v>441</v>
      </c>
      <c r="K167" t="n">
        <v>1.47</v>
      </c>
      <c r="L167" s="5">
        <f>100*J167/I167</f>
        <v/>
      </c>
      <c r="M167">
        <f>H167-I167</f>
        <v/>
      </c>
    </row>
    <row r="168">
      <c r="A168" t="inlineStr">
        <is>
          <t>SIMULATED Commercial FA Study</t>
        </is>
      </c>
      <c r="B168" t="inlineStr">
        <is>
          <t>P21</t>
        </is>
      </c>
      <c r="C168" t="inlineStr">
        <is>
          <t>B_C2first</t>
        </is>
      </c>
      <c r="D168" t="inlineStr">
        <is>
          <t>Commercial_1B</t>
        </is>
      </c>
      <c r="E168" t="inlineStr">
        <is>
          <t>Ch5</t>
        </is>
      </c>
      <c r="F168" t="inlineStr">
        <is>
          <t>F3</t>
        </is>
      </c>
      <c r="G168" t="n">
        <v>54000</v>
      </c>
      <c r="H168" t="n">
        <v>27000</v>
      </c>
      <c r="I168" t="n">
        <v>27000</v>
      </c>
      <c r="J168" t="n">
        <v>2136</v>
      </c>
      <c r="K168" t="n">
        <v>7.91</v>
      </c>
      <c r="L168" s="5">
        <f>100*J168/I168</f>
        <v/>
      </c>
      <c r="M168">
        <f>H168-I168</f>
        <v/>
      </c>
    </row>
    <row r="169">
      <c r="A169" t="inlineStr">
        <is>
          <t>SIMULATED Commercial FA Study</t>
        </is>
      </c>
      <c r="B169" t="inlineStr">
        <is>
          <t>P21</t>
        </is>
      </c>
      <c r="C169" t="inlineStr">
        <is>
          <t>B_C2first</t>
        </is>
      </c>
      <c r="D169" t="inlineStr">
        <is>
          <t>Commercial_1B</t>
        </is>
      </c>
      <c r="E169" t="inlineStr">
        <is>
          <t>Ch6</t>
        </is>
      </c>
      <c r="F169" t="inlineStr">
        <is>
          <t>F4</t>
        </is>
      </c>
      <c r="G169" t="n">
        <v>54000</v>
      </c>
      <c r="H169" t="n">
        <v>27000</v>
      </c>
      <c r="I169" t="n">
        <v>27000</v>
      </c>
      <c r="J169" t="n">
        <v>2101</v>
      </c>
      <c r="K169" t="n">
        <v>7.78</v>
      </c>
      <c r="L169" s="5">
        <f>100*J169/I169</f>
        <v/>
      </c>
      <c r="M169">
        <f>H169-I169</f>
        <v/>
      </c>
    </row>
    <row r="170">
      <c r="A170" t="inlineStr">
        <is>
          <t>SIMULATED Commercial FA Study</t>
        </is>
      </c>
      <c r="B170" t="inlineStr">
        <is>
          <t>P22</t>
        </is>
      </c>
      <c r="C170" t="inlineStr">
        <is>
          <t>B_C1first</t>
        </is>
      </c>
      <c r="D170" t="inlineStr">
        <is>
          <t>Baseline_1</t>
        </is>
      </c>
      <c r="E170" t="inlineStr">
        <is>
          <t>Ch5</t>
        </is>
      </c>
      <c r="F170" t="inlineStr">
        <is>
          <t>F3</t>
        </is>
      </c>
      <c r="G170" t="n">
        <v>60000</v>
      </c>
      <c r="H170" t="n">
        <v>30000</v>
      </c>
      <c r="I170" t="n">
        <v>30000</v>
      </c>
      <c r="J170" t="n">
        <v>5694</v>
      </c>
      <c r="K170" t="n">
        <v>18.98</v>
      </c>
      <c r="L170" s="5">
        <f>100*J170/I170</f>
        <v/>
      </c>
      <c r="M170">
        <f>H170-I170</f>
        <v/>
      </c>
    </row>
    <row r="171">
      <c r="A171" t="inlineStr">
        <is>
          <t>SIMULATED Commercial FA Study</t>
        </is>
      </c>
      <c r="B171" t="inlineStr">
        <is>
          <t>P22</t>
        </is>
      </c>
      <c r="C171" t="inlineStr">
        <is>
          <t>B_C1first</t>
        </is>
      </c>
      <c r="D171" t="inlineStr">
        <is>
          <t>Baseline_1</t>
        </is>
      </c>
      <c r="E171" t="inlineStr">
        <is>
          <t>Ch6</t>
        </is>
      </c>
      <c r="F171" t="inlineStr">
        <is>
          <t>F4</t>
        </is>
      </c>
      <c r="G171" t="n">
        <v>60000</v>
      </c>
      <c r="H171" t="n">
        <v>30000</v>
      </c>
      <c r="I171" t="n">
        <v>30000</v>
      </c>
      <c r="J171" t="n">
        <v>5937</v>
      </c>
      <c r="K171" t="n">
        <v>19.79</v>
      </c>
      <c r="L171" s="5">
        <f>100*J171/I171</f>
        <v/>
      </c>
      <c r="M171">
        <f>H171-I171</f>
        <v/>
      </c>
    </row>
    <row r="172">
      <c r="A172" t="inlineStr">
        <is>
          <t>SIMULATED Commercial FA Study</t>
        </is>
      </c>
      <c r="B172" t="inlineStr">
        <is>
          <t>P22</t>
        </is>
      </c>
      <c r="C172" t="inlineStr">
        <is>
          <t>B_C1first</t>
        </is>
      </c>
      <c r="D172" t="inlineStr">
        <is>
          <t>Commercial_1B</t>
        </is>
      </c>
      <c r="E172" t="inlineStr">
        <is>
          <t>Ch5</t>
        </is>
      </c>
      <c r="F172" t="inlineStr">
        <is>
          <t>F3</t>
        </is>
      </c>
      <c r="G172" t="n">
        <v>54000</v>
      </c>
      <c r="H172" t="n">
        <v>27000</v>
      </c>
      <c r="I172" t="n">
        <v>27000</v>
      </c>
      <c r="J172" t="n">
        <v>2414</v>
      </c>
      <c r="K172" t="n">
        <v>8.94</v>
      </c>
      <c r="L172" s="5">
        <f>100*J172/I172</f>
        <v/>
      </c>
      <c r="M172">
        <f>H172-I172</f>
        <v/>
      </c>
    </row>
    <row r="173">
      <c r="A173" t="inlineStr">
        <is>
          <t>SIMULATED Commercial FA Study</t>
        </is>
      </c>
      <c r="B173" t="inlineStr">
        <is>
          <t>P22</t>
        </is>
      </c>
      <c r="C173" t="inlineStr">
        <is>
          <t>B_C1first</t>
        </is>
      </c>
      <c r="D173" t="inlineStr">
        <is>
          <t>Commercial_1B</t>
        </is>
      </c>
      <c r="E173" t="inlineStr">
        <is>
          <t>Ch6</t>
        </is>
      </c>
      <c r="F173" t="inlineStr">
        <is>
          <t>F4</t>
        </is>
      </c>
      <c r="G173" t="n">
        <v>54000</v>
      </c>
      <c r="H173" t="n">
        <v>27000</v>
      </c>
      <c r="I173" t="n">
        <v>27000</v>
      </c>
      <c r="J173" t="n">
        <v>1461</v>
      </c>
      <c r="K173" t="n">
        <v>5.41</v>
      </c>
      <c r="L173" s="5">
        <f>100*J173/I173</f>
        <v/>
      </c>
      <c r="M173">
        <f>H173-I173</f>
        <v/>
      </c>
    </row>
    <row r="174">
      <c r="A174" t="inlineStr">
        <is>
          <t>SIMULATED Commercial FA Study</t>
        </is>
      </c>
      <c r="B174" t="inlineStr">
        <is>
          <t>P22</t>
        </is>
      </c>
      <c r="C174" t="inlineStr">
        <is>
          <t>B_C1first</t>
        </is>
      </c>
      <c r="D174" t="inlineStr">
        <is>
          <t>Baseline_2</t>
        </is>
      </c>
      <c r="E174" t="inlineStr">
        <is>
          <t>Ch5</t>
        </is>
      </c>
      <c r="F174" t="inlineStr">
        <is>
          <t>F3</t>
        </is>
      </c>
      <c r="G174" t="n">
        <v>60000</v>
      </c>
      <c r="H174" t="n">
        <v>30000</v>
      </c>
      <c r="I174" t="n">
        <v>30000</v>
      </c>
      <c r="J174" t="n">
        <v>1761</v>
      </c>
      <c r="K174" t="n">
        <v>5.87</v>
      </c>
      <c r="L174" s="5">
        <f>100*J174/I174</f>
        <v/>
      </c>
      <c r="M174">
        <f>H174-I174</f>
        <v/>
      </c>
    </row>
    <row r="175">
      <c r="A175" t="inlineStr">
        <is>
          <t>SIMULATED Commercial FA Study</t>
        </is>
      </c>
      <c r="B175" t="inlineStr">
        <is>
          <t>P22</t>
        </is>
      </c>
      <c r="C175" t="inlineStr">
        <is>
          <t>B_C1first</t>
        </is>
      </c>
      <c r="D175" t="inlineStr">
        <is>
          <t>Baseline_2</t>
        </is>
      </c>
      <c r="E175" t="inlineStr">
        <is>
          <t>Ch6</t>
        </is>
      </c>
      <c r="F175" t="inlineStr">
        <is>
          <t>F4</t>
        </is>
      </c>
      <c r="G175" t="n">
        <v>60000</v>
      </c>
      <c r="H175" t="n">
        <v>30000</v>
      </c>
      <c r="I175" t="n">
        <v>30000</v>
      </c>
      <c r="J175" t="n">
        <v>2280</v>
      </c>
      <c r="K175" t="n">
        <v>7.6</v>
      </c>
      <c r="L175" s="5">
        <f>100*J175/I175</f>
        <v/>
      </c>
      <c r="M175">
        <f>H175-I175</f>
        <v/>
      </c>
    </row>
    <row r="176">
      <c r="A176" t="inlineStr">
        <is>
          <t>SIMULATED Commercial FA Study</t>
        </is>
      </c>
      <c r="B176" t="inlineStr">
        <is>
          <t>P22</t>
        </is>
      </c>
      <c r="C176" t="inlineStr">
        <is>
          <t>B_C1first</t>
        </is>
      </c>
      <c r="D176" t="inlineStr">
        <is>
          <t>Commercial_2</t>
        </is>
      </c>
      <c r="E176" t="inlineStr">
        <is>
          <t>Ch5</t>
        </is>
      </c>
      <c r="F176" t="inlineStr">
        <is>
          <t>F3</t>
        </is>
      </c>
      <c r="G176" t="n">
        <v>60000</v>
      </c>
      <c r="H176" t="n">
        <v>30000</v>
      </c>
      <c r="I176" t="n">
        <v>30000</v>
      </c>
      <c r="J176" t="n">
        <v>1182</v>
      </c>
      <c r="K176" t="n">
        <v>3.94</v>
      </c>
      <c r="L176" s="5">
        <f>100*J176/I176</f>
        <v/>
      </c>
      <c r="M176">
        <f>H176-I176</f>
        <v/>
      </c>
    </row>
    <row r="177">
      <c r="A177" t="inlineStr">
        <is>
          <t>SIMULATED Commercial FA Study</t>
        </is>
      </c>
      <c r="B177" t="inlineStr">
        <is>
          <t>P22</t>
        </is>
      </c>
      <c r="C177" t="inlineStr">
        <is>
          <t>B_C1first</t>
        </is>
      </c>
      <c r="D177" t="inlineStr">
        <is>
          <t>Commercial_2</t>
        </is>
      </c>
      <c r="E177" t="inlineStr">
        <is>
          <t>Ch6</t>
        </is>
      </c>
      <c r="F177" t="inlineStr">
        <is>
          <t>F4</t>
        </is>
      </c>
      <c r="G177" t="n">
        <v>60000</v>
      </c>
      <c r="H177" t="n">
        <v>30000</v>
      </c>
      <c r="I177" t="n">
        <v>30000</v>
      </c>
      <c r="J177" t="n">
        <v>1389</v>
      </c>
      <c r="K177" t="n">
        <v>4.63</v>
      </c>
      <c r="L177" s="5">
        <f>100*J177/I177</f>
        <v/>
      </c>
      <c r="M177">
        <f>H177-I177</f>
        <v/>
      </c>
    </row>
    <row r="178">
      <c r="A178" t="inlineStr">
        <is>
          <t>SIMULATED Commercial FA Study</t>
        </is>
      </c>
      <c r="B178" t="inlineStr">
        <is>
          <t>P23</t>
        </is>
      </c>
      <c r="C178" t="inlineStr">
        <is>
          <t>A_C2first</t>
        </is>
      </c>
      <c r="D178" t="inlineStr">
        <is>
          <t>Baseline_1</t>
        </is>
      </c>
      <c r="E178" t="inlineStr">
        <is>
          <t>Ch5</t>
        </is>
      </c>
      <c r="F178" t="inlineStr">
        <is>
          <t>F3</t>
        </is>
      </c>
      <c r="G178" t="n">
        <v>60000</v>
      </c>
      <c r="H178" t="n">
        <v>30000</v>
      </c>
      <c r="I178" t="n">
        <v>30000</v>
      </c>
      <c r="J178" t="n">
        <v>219</v>
      </c>
      <c r="K178" t="n">
        <v>0.73</v>
      </c>
      <c r="L178" s="5">
        <f>100*J178/I178</f>
        <v/>
      </c>
      <c r="M178">
        <f>H178-I178</f>
        <v/>
      </c>
    </row>
    <row r="179">
      <c r="A179" t="inlineStr">
        <is>
          <t>SIMULATED Commercial FA Study</t>
        </is>
      </c>
      <c r="B179" t="inlineStr">
        <is>
          <t>P23</t>
        </is>
      </c>
      <c r="C179" t="inlineStr">
        <is>
          <t>A_C2first</t>
        </is>
      </c>
      <c r="D179" t="inlineStr">
        <is>
          <t>Baseline_1</t>
        </is>
      </c>
      <c r="E179" t="inlineStr">
        <is>
          <t>Ch6</t>
        </is>
      </c>
      <c r="F179" t="inlineStr">
        <is>
          <t>F4</t>
        </is>
      </c>
      <c r="G179" t="n">
        <v>60000</v>
      </c>
      <c r="H179" t="n">
        <v>30000</v>
      </c>
      <c r="I179" t="n">
        <v>30000</v>
      </c>
      <c r="J179" t="n">
        <v>195</v>
      </c>
      <c r="K179" t="n">
        <v>0.65</v>
      </c>
      <c r="L179" s="5">
        <f>100*J179/I179</f>
        <v/>
      </c>
      <c r="M179">
        <f>H179-I179</f>
        <v/>
      </c>
    </row>
    <row r="180">
      <c r="A180" t="inlineStr">
        <is>
          <t>SIMULATED Commercial FA Study</t>
        </is>
      </c>
      <c r="B180" t="inlineStr">
        <is>
          <t>P23</t>
        </is>
      </c>
      <c r="C180" t="inlineStr">
        <is>
          <t>A_C2first</t>
        </is>
      </c>
      <c r="D180" t="inlineStr">
        <is>
          <t>Commercial_2</t>
        </is>
      </c>
      <c r="E180" t="inlineStr">
        <is>
          <t>Ch5</t>
        </is>
      </c>
      <c r="F180" t="inlineStr">
        <is>
          <t>F3</t>
        </is>
      </c>
      <c r="G180" t="n">
        <v>60000</v>
      </c>
      <c r="H180" t="n">
        <v>30000</v>
      </c>
      <c r="I180" t="n">
        <v>30000</v>
      </c>
      <c r="J180" t="n">
        <v>885</v>
      </c>
      <c r="K180" t="n">
        <v>2.95</v>
      </c>
      <c r="L180" s="5">
        <f>100*J180/I180</f>
        <v/>
      </c>
      <c r="M180">
        <f>H180-I180</f>
        <v/>
      </c>
    </row>
    <row r="181">
      <c r="A181" t="inlineStr">
        <is>
          <t>SIMULATED Commercial FA Study</t>
        </is>
      </c>
      <c r="B181" t="inlineStr">
        <is>
          <t>P23</t>
        </is>
      </c>
      <c r="C181" t="inlineStr">
        <is>
          <t>A_C2first</t>
        </is>
      </c>
      <c r="D181" t="inlineStr">
        <is>
          <t>Commercial_2</t>
        </is>
      </c>
      <c r="E181" t="inlineStr">
        <is>
          <t>Ch6</t>
        </is>
      </c>
      <c r="F181" t="inlineStr">
        <is>
          <t>F4</t>
        </is>
      </c>
      <c r="G181" t="n">
        <v>60000</v>
      </c>
      <c r="H181" t="n">
        <v>30000</v>
      </c>
      <c r="I181" t="n">
        <v>30000</v>
      </c>
      <c r="J181" t="n">
        <v>915</v>
      </c>
      <c r="K181" t="n">
        <v>3.05</v>
      </c>
      <c r="L181" s="5">
        <f>100*J181/I181</f>
        <v/>
      </c>
      <c r="M181">
        <f>H181-I181</f>
        <v/>
      </c>
    </row>
    <row r="182">
      <c r="A182" t="inlineStr">
        <is>
          <t>SIMULATED Commercial FA Study</t>
        </is>
      </c>
      <c r="B182" t="inlineStr">
        <is>
          <t>P23</t>
        </is>
      </c>
      <c r="C182" t="inlineStr">
        <is>
          <t>A_C2first</t>
        </is>
      </c>
      <c r="D182" t="inlineStr">
        <is>
          <t>Baseline_2</t>
        </is>
      </c>
      <c r="E182" t="inlineStr">
        <is>
          <t>Ch5</t>
        </is>
      </c>
      <c r="F182" t="inlineStr">
        <is>
          <t>F3</t>
        </is>
      </c>
      <c r="G182" t="n">
        <v>60000</v>
      </c>
      <c r="H182" t="n">
        <v>30000</v>
      </c>
      <c r="I182" t="n">
        <v>30000</v>
      </c>
      <c r="J182" t="n">
        <v>675</v>
      </c>
      <c r="K182" t="n">
        <v>2.25</v>
      </c>
      <c r="L182" s="5">
        <f>100*J182/I182</f>
        <v/>
      </c>
      <c r="M182">
        <f>H182-I182</f>
        <v/>
      </c>
    </row>
    <row r="183">
      <c r="A183" t="inlineStr">
        <is>
          <t>SIMULATED Commercial FA Study</t>
        </is>
      </c>
      <c r="B183" t="inlineStr">
        <is>
          <t>P23</t>
        </is>
      </c>
      <c r="C183" t="inlineStr">
        <is>
          <t>A_C2first</t>
        </is>
      </c>
      <c r="D183" t="inlineStr">
        <is>
          <t>Baseline_2</t>
        </is>
      </c>
      <c r="E183" t="inlineStr">
        <is>
          <t>Ch6</t>
        </is>
      </c>
      <c r="F183" t="inlineStr">
        <is>
          <t>F4</t>
        </is>
      </c>
      <c r="G183" t="n">
        <v>60000</v>
      </c>
      <c r="H183" t="n">
        <v>30000</v>
      </c>
      <c r="I183" t="n">
        <v>30000</v>
      </c>
      <c r="J183" t="n">
        <v>819</v>
      </c>
      <c r="K183" t="n">
        <v>2.73</v>
      </c>
      <c r="L183" s="5">
        <f>100*J183/I183</f>
        <v/>
      </c>
      <c r="M183">
        <f>H183-I183</f>
        <v/>
      </c>
    </row>
    <row r="184">
      <c r="A184" t="inlineStr">
        <is>
          <t>SIMULATED Commercial FA Study</t>
        </is>
      </c>
      <c r="B184" t="inlineStr">
        <is>
          <t>P23</t>
        </is>
      </c>
      <c r="C184" t="inlineStr">
        <is>
          <t>A_C2first</t>
        </is>
      </c>
      <c r="D184" t="inlineStr">
        <is>
          <t>Commercial_1A</t>
        </is>
      </c>
      <c r="E184" t="inlineStr">
        <is>
          <t>Ch5</t>
        </is>
      </c>
      <c r="F184" t="inlineStr">
        <is>
          <t>F3</t>
        </is>
      </c>
      <c r="G184" t="n">
        <v>60000</v>
      </c>
      <c r="H184" t="n">
        <v>30000</v>
      </c>
      <c r="I184" t="n">
        <v>30000</v>
      </c>
      <c r="J184" t="n">
        <v>753</v>
      </c>
      <c r="K184" t="n">
        <v>2.51</v>
      </c>
      <c r="L184" s="5">
        <f>100*J184/I184</f>
        <v/>
      </c>
      <c r="M184">
        <f>H184-I184</f>
        <v/>
      </c>
    </row>
    <row r="185">
      <c r="A185" t="inlineStr">
        <is>
          <t>SIMULATED Commercial FA Study</t>
        </is>
      </c>
      <c r="B185" t="inlineStr">
        <is>
          <t>P23</t>
        </is>
      </c>
      <c r="C185" t="inlineStr">
        <is>
          <t>A_C2first</t>
        </is>
      </c>
      <c r="D185" t="inlineStr">
        <is>
          <t>Commercial_1A</t>
        </is>
      </c>
      <c r="E185" t="inlineStr">
        <is>
          <t>Ch6</t>
        </is>
      </c>
      <c r="F185" t="inlineStr">
        <is>
          <t>F4</t>
        </is>
      </c>
      <c r="G185" t="n">
        <v>60000</v>
      </c>
      <c r="H185" t="n">
        <v>30000</v>
      </c>
      <c r="I185" t="n">
        <v>30000</v>
      </c>
      <c r="J185" t="n">
        <v>618</v>
      </c>
      <c r="K185" t="n">
        <v>2.06</v>
      </c>
      <c r="L185" s="5">
        <f>100*J185/I185</f>
        <v/>
      </c>
      <c r="M185">
        <f>H185-I185</f>
        <v/>
      </c>
    </row>
    <row r="186">
      <c r="A186" t="inlineStr">
        <is>
          <t>SIMULATED Commercial FA Study</t>
        </is>
      </c>
      <c r="B186" t="inlineStr">
        <is>
          <t>P24</t>
        </is>
      </c>
      <c r="C186" t="inlineStr">
        <is>
          <t>A_C1first</t>
        </is>
      </c>
      <c r="D186" t="inlineStr">
        <is>
          <t>Baseline_1</t>
        </is>
      </c>
      <c r="E186" t="inlineStr">
        <is>
          <t>Ch5</t>
        </is>
      </c>
      <c r="F186" t="inlineStr">
        <is>
          <t>F3</t>
        </is>
      </c>
      <c r="G186" t="n">
        <v>60000</v>
      </c>
      <c r="H186" t="n">
        <v>30000</v>
      </c>
      <c r="I186" t="n">
        <v>30000</v>
      </c>
      <c r="J186" t="n">
        <v>1392</v>
      </c>
      <c r="K186" t="n">
        <v>4.64</v>
      </c>
      <c r="L186" s="5">
        <f>100*J186/I186</f>
        <v/>
      </c>
      <c r="M186">
        <f>H186-I186</f>
        <v/>
      </c>
    </row>
    <row r="187">
      <c r="A187" t="inlineStr">
        <is>
          <t>SIMULATED Commercial FA Study</t>
        </is>
      </c>
      <c r="B187" t="inlineStr">
        <is>
          <t>P24</t>
        </is>
      </c>
      <c r="C187" t="inlineStr">
        <is>
          <t>A_C1first</t>
        </is>
      </c>
      <c r="D187" t="inlineStr">
        <is>
          <t>Baseline_1</t>
        </is>
      </c>
      <c r="E187" t="inlineStr">
        <is>
          <t>Ch6</t>
        </is>
      </c>
      <c r="F187" t="inlineStr">
        <is>
          <t>F4</t>
        </is>
      </c>
      <c r="G187" t="n">
        <v>60000</v>
      </c>
      <c r="H187" t="n">
        <v>30000</v>
      </c>
      <c r="I187" t="n">
        <v>30000</v>
      </c>
      <c r="J187" t="n">
        <v>1176</v>
      </c>
      <c r="K187" t="n">
        <v>3.92</v>
      </c>
      <c r="L187" s="5">
        <f>100*J187/I187</f>
        <v/>
      </c>
      <c r="M187">
        <f>H187-I187</f>
        <v/>
      </c>
    </row>
    <row r="188">
      <c r="A188" t="inlineStr">
        <is>
          <t>SIMULATED Commercial FA Study</t>
        </is>
      </c>
      <c r="B188" t="inlineStr">
        <is>
          <t>P24</t>
        </is>
      </c>
      <c r="C188" t="inlineStr">
        <is>
          <t>A_C1first</t>
        </is>
      </c>
      <c r="D188" t="inlineStr">
        <is>
          <t>Commercial_1A</t>
        </is>
      </c>
      <c r="E188" t="inlineStr">
        <is>
          <t>Ch5</t>
        </is>
      </c>
      <c r="F188" t="inlineStr">
        <is>
          <t>F3</t>
        </is>
      </c>
      <c r="G188" t="n">
        <v>60000</v>
      </c>
      <c r="H188" t="n">
        <v>30000</v>
      </c>
      <c r="I188" t="n">
        <v>30000</v>
      </c>
      <c r="J188" t="n">
        <v>2568</v>
      </c>
      <c r="K188" t="n">
        <v>8.56</v>
      </c>
      <c r="L188" s="5">
        <f>100*J188/I188</f>
        <v/>
      </c>
      <c r="M188">
        <f>H188-I188</f>
        <v/>
      </c>
    </row>
    <row r="189">
      <c r="A189" t="inlineStr">
        <is>
          <t>SIMULATED Commercial FA Study</t>
        </is>
      </c>
      <c r="B189" t="inlineStr">
        <is>
          <t>P24</t>
        </is>
      </c>
      <c r="C189" t="inlineStr">
        <is>
          <t>A_C1first</t>
        </is>
      </c>
      <c r="D189" t="inlineStr">
        <is>
          <t>Commercial_1A</t>
        </is>
      </c>
      <c r="E189" t="inlineStr">
        <is>
          <t>Ch6</t>
        </is>
      </c>
      <c r="F189" t="inlineStr">
        <is>
          <t>F4</t>
        </is>
      </c>
      <c r="G189" t="n">
        <v>60000</v>
      </c>
      <c r="H189" t="n">
        <v>30000</v>
      </c>
      <c r="I189" t="n">
        <v>30000</v>
      </c>
      <c r="J189" t="n">
        <v>2547</v>
      </c>
      <c r="K189" t="n">
        <v>8.49</v>
      </c>
      <c r="L189" s="5">
        <f>100*J189/I189</f>
        <v/>
      </c>
      <c r="M189">
        <f>H189-I189</f>
        <v/>
      </c>
    </row>
    <row r="190">
      <c r="A190" t="inlineStr">
        <is>
          <t>SIMULATED Commercial FA Study</t>
        </is>
      </c>
      <c r="B190" t="inlineStr">
        <is>
          <t>P24</t>
        </is>
      </c>
      <c r="C190" t="inlineStr">
        <is>
          <t>A_C1first</t>
        </is>
      </c>
      <c r="D190" t="inlineStr">
        <is>
          <t>Baseline_2</t>
        </is>
      </c>
      <c r="E190" t="inlineStr">
        <is>
          <t>Ch5</t>
        </is>
      </c>
      <c r="F190" t="inlineStr">
        <is>
          <t>F3</t>
        </is>
      </c>
      <c r="G190" t="n">
        <v>60000</v>
      </c>
      <c r="H190" t="n">
        <v>30000</v>
      </c>
      <c r="I190" t="n">
        <v>30000</v>
      </c>
      <c r="J190" t="n">
        <v>1977</v>
      </c>
      <c r="K190" t="n">
        <v>6.59</v>
      </c>
      <c r="L190" s="5">
        <f>100*J190/I190</f>
        <v/>
      </c>
      <c r="M190">
        <f>H190-I190</f>
        <v/>
      </c>
    </row>
    <row r="191">
      <c r="A191" t="inlineStr">
        <is>
          <t>SIMULATED Commercial FA Study</t>
        </is>
      </c>
      <c r="B191" t="inlineStr">
        <is>
          <t>P24</t>
        </is>
      </c>
      <c r="C191" t="inlineStr">
        <is>
          <t>A_C1first</t>
        </is>
      </c>
      <c r="D191" t="inlineStr">
        <is>
          <t>Baseline_2</t>
        </is>
      </c>
      <c r="E191" t="inlineStr">
        <is>
          <t>Ch6</t>
        </is>
      </c>
      <c r="F191" t="inlineStr">
        <is>
          <t>F4</t>
        </is>
      </c>
      <c r="G191" t="n">
        <v>60000</v>
      </c>
      <c r="H191" t="n">
        <v>30000</v>
      </c>
      <c r="I191" t="n">
        <v>30000</v>
      </c>
      <c r="J191" t="n">
        <v>1830</v>
      </c>
      <c r="K191" t="n">
        <v>6.1</v>
      </c>
      <c r="L191" s="5">
        <f>100*J191/I191</f>
        <v/>
      </c>
      <c r="M191">
        <f>H191-I191</f>
        <v/>
      </c>
    </row>
    <row r="192">
      <c r="A192" t="inlineStr">
        <is>
          <t>SIMULATED Commercial FA Study</t>
        </is>
      </c>
      <c r="B192" t="inlineStr">
        <is>
          <t>P24</t>
        </is>
      </c>
      <c r="C192" t="inlineStr">
        <is>
          <t>A_C1first</t>
        </is>
      </c>
      <c r="D192" t="inlineStr">
        <is>
          <t>Commercial_2</t>
        </is>
      </c>
      <c r="E192" t="inlineStr">
        <is>
          <t>Ch5</t>
        </is>
      </c>
      <c r="F192" t="inlineStr">
        <is>
          <t>F3</t>
        </is>
      </c>
      <c r="G192" t="n">
        <v>60000</v>
      </c>
      <c r="H192" t="n">
        <v>30000</v>
      </c>
      <c r="I192" t="n">
        <v>30000</v>
      </c>
      <c r="J192" t="n">
        <v>1818</v>
      </c>
      <c r="K192" t="n">
        <v>6.06</v>
      </c>
      <c r="L192" s="5">
        <f>100*J192/I192</f>
        <v/>
      </c>
      <c r="M192">
        <f>H192-I192</f>
        <v/>
      </c>
    </row>
    <row r="193">
      <c r="A193" t="inlineStr">
        <is>
          <t>SIMULATED Commercial FA Study</t>
        </is>
      </c>
      <c r="B193" t="inlineStr">
        <is>
          <t>P24</t>
        </is>
      </c>
      <c r="C193" t="inlineStr">
        <is>
          <t>A_C1first</t>
        </is>
      </c>
      <c r="D193" t="inlineStr">
        <is>
          <t>Commercial_2</t>
        </is>
      </c>
      <c r="E193" t="inlineStr">
        <is>
          <t>Ch6</t>
        </is>
      </c>
      <c r="F193" t="inlineStr">
        <is>
          <t>F4</t>
        </is>
      </c>
      <c r="G193" t="n">
        <v>60000</v>
      </c>
      <c r="H193" t="n">
        <v>30000</v>
      </c>
      <c r="I193" t="n">
        <v>30000</v>
      </c>
      <c r="J193" t="n">
        <v>1800</v>
      </c>
      <c r="K193" t="n">
        <v>6</v>
      </c>
      <c r="L193" s="5">
        <f>100*J193/I193</f>
        <v/>
      </c>
      <c r="M193">
        <f>H193-I193</f>
        <v/>
      </c>
    </row>
    <row r="194">
      <c r="A194" t="inlineStr">
        <is>
          <t>SIMULATED Commercial FA Study</t>
        </is>
      </c>
      <c r="B194" t="inlineStr">
        <is>
          <t>P25</t>
        </is>
      </c>
      <c r="C194" t="inlineStr">
        <is>
          <t>B_C1first</t>
        </is>
      </c>
      <c r="D194" t="inlineStr">
        <is>
          <t>Baseline_1</t>
        </is>
      </c>
      <c r="E194" t="inlineStr">
        <is>
          <t>Ch5</t>
        </is>
      </c>
      <c r="F194" t="inlineStr">
        <is>
          <t>F3</t>
        </is>
      </c>
      <c r="G194" t="n">
        <v>60000</v>
      </c>
      <c r="H194" t="n">
        <v>30000</v>
      </c>
      <c r="I194" t="n">
        <v>30000</v>
      </c>
      <c r="J194" t="n">
        <v>255</v>
      </c>
      <c r="K194" t="n">
        <v>0.85</v>
      </c>
      <c r="L194" s="5">
        <f>100*J194/I194</f>
        <v/>
      </c>
      <c r="M194">
        <f>H194-I194</f>
        <v/>
      </c>
    </row>
    <row r="195">
      <c r="A195" t="inlineStr">
        <is>
          <t>SIMULATED Commercial FA Study</t>
        </is>
      </c>
      <c r="B195" t="inlineStr">
        <is>
          <t>P25</t>
        </is>
      </c>
      <c r="C195" t="inlineStr">
        <is>
          <t>B_C1first</t>
        </is>
      </c>
      <c r="D195" t="inlineStr">
        <is>
          <t>Baseline_1</t>
        </is>
      </c>
      <c r="E195" t="inlineStr">
        <is>
          <t>Ch6</t>
        </is>
      </c>
      <c r="F195" t="inlineStr">
        <is>
          <t>F4</t>
        </is>
      </c>
      <c r="G195" t="n">
        <v>60000</v>
      </c>
      <c r="H195" t="n">
        <v>30000</v>
      </c>
      <c r="I195" t="n">
        <v>30000</v>
      </c>
      <c r="J195" t="n">
        <v>87</v>
      </c>
      <c r="K195" t="n">
        <v>0.29</v>
      </c>
      <c r="L195" s="5">
        <f>100*J195/I195</f>
        <v/>
      </c>
      <c r="M195">
        <f>H195-I195</f>
        <v/>
      </c>
    </row>
    <row r="196">
      <c r="A196" t="inlineStr">
        <is>
          <t>SIMULATED Commercial FA Study</t>
        </is>
      </c>
      <c r="B196" t="inlineStr">
        <is>
          <t>P25</t>
        </is>
      </c>
      <c r="C196" t="inlineStr">
        <is>
          <t>B_C1first</t>
        </is>
      </c>
      <c r="D196" t="inlineStr">
        <is>
          <t>Commercial_1B</t>
        </is>
      </c>
      <c r="E196" t="inlineStr">
        <is>
          <t>Ch5</t>
        </is>
      </c>
      <c r="F196" t="inlineStr">
        <is>
          <t>F3</t>
        </is>
      </c>
      <c r="G196" t="n">
        <v>54000</v>
      </c>
      <c r="H196" t="n">
        <v>27000</v>
      </c>
      <c r="I196" t="n">
        <v>27000</v>
      </c>
      <c r="J196" t="n">
        <v>289</v>
      </c>
      <c r="K196" t="n">
        <v>1.07</v>
      </c>
      <c r="L196" s="5">
        <f>100*J196/I196</f>
        <v/>
      </c>
      <c r="M196">
        <f>H196-I196</f>
        <v/>
      </c>
    </row>
    <row r="197">
      <c r="A197" t="inlineStr">
        <is>
          <t>SIMULATED Commercial FA Study</t>
        </is>
      </c>
      <c r="B197" t="inlineStr">
        <is>
          <t>P25</t>
        </is>
      </c>
      <c r="C197" t="inlineStr">
        <is>
          <t>B_C1first</t>
        </is>
      </c>
      <c r="D197" t="inlineStr">
        <is>
          <t>Commercial_1B</t>
        </is>
      </c>
      <c r="E197" t="inlineStr">
        <is>
          <t>Ch6</t>
        </is>
      </c>
      <c r="F197" t="inlineStr">
        <is>
          <t>F4</t>
        </is>
      </c>
      <c r="G197" t="n">
        <v>54000</v>
      </c>
      <c r="H197" t="n">
        <v>27000</v>
      </c>
      <c r="I197" t="n">
        <v>27000</v>
      </c>
      <c r="J197" t="n">
        <v>224</v>
      </c>
      <c r="K197" t="n">
        <v>0.83</v>
      </c>
      <c r="L197" s="5">
        <f>100*J197/I197</f>
        <v/>
      </c>
      <c r="M197">
        <f>H197-I197</f>
        <v/>
      </c>
    </row>
    <row r="198">
      <c r="A198" t="inlineStr">
        <is>
          <t>SIMULATED Commercial FA Study</t>
        </is>
      </c>
      <c r="B198" t="inlineStr">
        <is>
          <t>P25</t>
        </is>
      </c>
      <c r="C198" t="inlineStr">
        <is>
          <t>B_C1first</t>
        </is>
      </c>
      <c r="D198" t="inlineStr">
        <is>
          <t>Baseline_2</t>
        </is>
      </c>
      <c r="E198" t="inlineStr">
        <is>
          <t>Ch5</t>
        </is>
      </c>
      <c r="F198" t="inlineStr">
        <is>
          <t>F3</t>
        </is>
      </c>
      <c r="G198" t="n">
        <v>60000</v>
      </c>
      <c r="H198" t="n">
        <v>30000</v>
      </c>
      <c r="I198" t="n">
        <v>30000</v>
      </c>
      <c r="J198" t="n">
        <v>138</v>
      </c>
      <c r="K198" t="n">
        <v>0.46</v>
      </c>
      <c r="L198" s="5">
        <f>100*J198/I198</f>
        <v/>
      </c>
      <c r="M198">
        <f>H198-I198</f>
        <v/>
      </c>
    </row>
    <row r="199">
      <c r="A199" t="inlineStr">
        <is>
          <t>SIMULATED Commercial FA Study</t>
        </is>
      </c>
      <c r="B199" t="inlineStr">
        <is>
          <t>P25</t>
        </is>
      </c>
      <c r="C199" t="inlineStr">
        <is>
          <t>B_C1first</t>
        </is>
      </c>
      <c r="D199" t="inlineStr">
        <is>
          <t>Baseline_2</t>
        </is>
      </c>
      <c r="E199" t="inlineStr">
        <is>
          <t>Ch6</t>
        </is>
      </c>
      <c r="F199" t="inlineStr">
        <is>
          <t>F4</t>
        </is>
      </c>
      <c r="G199" t="n">
        <v>60000</v>
      </c>
      <c r="H199" t="n">
        <v>30000</v>
      </c>
      <c r="I199" t="n">
        <v>30000</v>
      </c>
      <c r="J199" t="n">
        <v>150</v>
      </c>
      <c r="K199" t="n">
        <v>0.5</v>
      </c>
      <c r="L199" s="5">
        <f>100*J199/I199</f>
        <v/>
      </c>
      <c r="M199">
        <f>H199-I199</f>
        <v/>
      </c>
    </row>
    <row r="200">
      <c r="A200" t="inlineStr">
        <is>
          <t>SIMULATED Commercial FA Study</t>
        </is>
      </c>
      <c r="B200" t="inlineStr">
        <is>
          <t>P25</t>
        </is>
      </c>
      <c r="C200" t="inlineStr">
        <is>
          <t>B_C1first</t>
        </is>
      </c>
      <c r="D200" t="inlineStr">
        <is>
          <t>Commercial_2</t>
        </is>
      </c>
      <c r="E200" t="inlineStr">
        <is>
          <t>Ch5</t>
        </is>
      </c>
      <c r="F200" t="inlineStr">
        <is>
          <t>F3</t>
        </is>
      </c>
      <c r="G200" t="n">
        <v>60000</v>
      </c>
      <c r="H200" t="n">
        <v>30000</v>
      </c>
      <c r="I200" t="n">
        <v>30000</v>
      </c>
      <c r="J200" t="n">
        <v>261</v>
      </c>
      <c r="K200" t="n">
        <v>0.87</v>
      </c>
      <c r="L200" s="5">
        <f>100*J200/I200</f>
        <v/>
      </c>
      <c r="M200">
        <f>H200-I200</f>
        <v/>
      </c>
    </row>
    <row r="201">
      <c r="A201" t="inlineStr">
        <is>
          <t>SIMULATED Commercial FA Study</t>
        </is>
      </c>
      <c r="B201" t="inlineStr">
        <is>
          <t>P25</t>
        </is>
      </c>
      <c r="C201" t="inlineStr">
        <is>
          <t>B_C1first</t>
        </is>
      </c>
      <c r="D201" t="inlineStr">
        <is>
          <t>Commercial_2</t>
        </is>
      </c>
      <c r="E201" t="inlineStr">
        <is>
          <t>Ch6</t>
        </is>
      </c>
      <c r="F201" t="inlineStr">
        <is>
          <t>F4</t>
        </is>
      </c>
      <c r="G201" t="n">
        <v>60000</v>
      </c>
      <c r="H201" t="n">
        <v>30000</v>
      </c>
      <c r="I201" t="n">
        <v>30000</v>
      </c>
      <c r="J201" t="n">
        <v>165</v>
      </c>
      <c r="K201" t="n">
        <v>0.55</v>
      </c>
      <c r="L201" s="5">
        <f>100*J201/I201</f>
        <v/>
      </c>
      <c r="M201">
        <f>H201-I201</f>
        <v/>
      </c>
    </row>
    <row r="202">
      <c r="A202" t="inlineStr">
        <is>
          <t>SIMULATED Commercial FA Study</t>
        </is>
      </c>
      <c r="B202" t="inlineStr">
        <is>
          <t>P26</t>
        </is>
      </c>
      <c r="C202" t="inlineStr">
        <is>
          <t>B_C2first</t>
        </is>
      </c>
      <c r="D202" t="inlineStr">
        <is>
          <t>Baseline_1</t>
        </is>
      </c>
      <c r="E202" t="inlineStr">
        <is>
          <t>Ch5</t>
        </is>
      </c>
      <c r="F202" t="inlineStr">
        <is>
          <t>F3</t>
        </is>
      </c>
      <c r="G202" t="n">
        <v>60000</v>
      </c>
      <c r="H202" t="n">
        <v>30000</v>
      </c>
      <c r="I202" t="n">
        <v>30000</v>
      </c>
      <c r="J202" t="n">
        <v>111</v>
      </c>
      <c r="K202" t="n">
        <v>0.37</v>
      </c>
      <c r="L202" s="5">
        <f>100*J202/I202</f>
        <v/>
      </c>
      <c r="M202">
        <f>H202-I202</f>
        <v/>
      </c>
    </row>
    <row r="203">
      <c r="A203" t="inlineStr">
        <is>
          <t>SIMULATED Commercial FA Study</t>
        </is>
      </c>
      <c r="B203" t="inlineStr">
        <is>
          <t>P26</t>
        </is>
      </c>
      <c r="C203" t="inlineStr">
        <is>
          <t>B_C2first</t>
        </is>
      </c>
      <c r="D203" t="inlineStr">
        <is>
          <t>Baseline_1</t>
        </is>
      </c>
      <c r="E203" t="inlineStr">
        <is>
          <t>Ch6</t>
        </is>
      </c>
      <c r="F203" t="inlineStr">
        <is>
          <t>F4</t>
        </is>
      </c>
      <c r="G203" t="n">
        <v>60000</v>
      </c>
      <c r="H203" t="n">
        <v>30000</v>
      </c>
      <c r="I203" t="n">
        <v>30000</v>
      </c>
      <c r="J203" t="n">
        <v>108</v>
      </c>
      <c r="K203" t="n">
        <v>0.36</v>
      </c>
      <c r="L203" s="5">
        <f>100*J203/I203</f>
        <v/>
      </c>
      <c r="M203">
        <f>H203-I203</f>
        <v/>
      </c>
    </row>
    <row r="204">
      <c r="A204" t="inlineStr">
        <is>
          <t>SIMULATED Commercial FA Study</t>
        </is>
      </c>
      <c r="B204" t="inlineStr">
        <is>
          <t>P26</t>
        </is>
      </c>
      <c r="C204" t="inlineStr">
        <is>
          <t>B_C2first</t>
        </is>
      </c>
      <c r="D204" t="inlineStr">
        <is>
          <t>Commercial_2</t>
        </is>
      </c>
      <c r="E204" t="inlineStr">
        <is>
          <t>Ch5</t>
        </is>
      </c>
      <c r="F204" t="inlineStr">
        <is>
          <t>F3</t>
        </is>
      </c>
      <c r="G204" t="n">
        <v>60000</v>
      </c>
      <c r="H204" t="n">
        <v>30000</v>
      </c>
      <c r="I204" t="n">
        <v>30000</v>
      </c>
      <c r="J204" t="n">
        <v>1689</v>
      </c>
      <c r="K204" t="n">
        <v>5.63</v>
      </c>
      <c r="L204" s="5">
        <f>100*J204/I204</f>
        <v/>
      </c>
      <c r="M204">
        <f>H204-I204</f>
        <v/>
      </c>
    </row>
    <row r="205">
      <c r="A205" t="inlineStr">
        <is>
          <t>SIMULATED Commercial FA Study</t>
        </is>
      </c>
      <c r="B205" t="inlineStr">
        <is>
          <t>P26</t>
        </is>
      </c>
      <c r="C205" t="inlineStr">
        <is>
          <t>B_C2first</t>
        </is>
      </c>
      <c r="D205" t="inlineStr">
        <is>
          <t>Commercial_2</t>
        </is>
      </c>
      <c r="E205" t="inlineStr">
        <is>
          <t>Ch6</t>
        </is>
      </c>
      <c r="F205" t="inlineStr">
        <is>
          <t>F4</t>
        </is>
      </c>
      <c r="G205" t="n">
        <v>60000</v>
      </c>
      <c r="H205" t="n">
        <v>30000</v>
      </c>
      <c r="I205" t="n">
        <v>30000</v>
      </c>
      <c r="J205" t="n">
        <v>1842</v>
      </c>
      <c r="K205" t="n">
        <v>6.14</v>
      </c>
      <c r="L205" s="5">
        <f>100*J205/I205</f>
        <v/>
      </c>
      <c r="M205">
        <f>H205-I205</f>
        <v/>
      </c>
    </row>
    <row r="206">
      <c r="A206" t="inlineStr">
        <is>
          <t>SIMULATED Commercial FA Study</t>
        </is>
      </c>
      <c r="B206" t="inlineStr">
        <is>
          <t>P26</t>
        </is>
      </c>
      <c r="C206" t="inlineStr">
        <is>
          <t>B_C2first</t>
        </is>
      </c>
      <c r="D206" t="inlineStr">
        <is>
          <t>Baseline_2</t>
        </is>
      </c>
      <c r="E206" t="inlineStr">
        <is>
          <t>Ch5</t>
        </is>
      </c>
      <c r="F206" t="inlineStr">
        <is>
          <t>F3</t>
        </is>
      </c>
      <c r="G206" t="n">
        <v>60000</v>
      </c>
      <c r="H206" t="n">
        <v>30000</v>
      </c>
      <c r="I206" t="n">
        <v>30000</v>
      </c>
      <c r="J206" t="n">
        <v>810</v>
      </c>
      <c r="K206" t="n">
        <v>2.7</v>
      </c>
      <c r="L206" s="5">
        <f>100*J206/I206</f>
        <v/>
      </c>
      <c r="M206">
        <f>H206-I206</f>
        <v/>
      </c>
    </row>
    <row r="207">
      <c r="A207" t="inlineStr">
        <is>
          <t>SIMULATED Commercial FA Study</t>
        </is>
      </c>
      <c r="B207" t="inlineStr">
        <is>
          <t>P26</t>
        </is>
      </c>
      <c r="C207" t="inlineStr">
        <is>
          <t>B_C2first</t>
        </is>
      </c>
      <c r="D207" t="inlineStr">
        <is>
          <t>Baseline_2</t>
        </is>
      </c>
      <c r="E207" t="inlineStr">
        <is>
          <t>Ch6</t>
        </is>
      </c>
      <c r="F207" t="inlineStr">
        <is>
          <t>F4</t>
        </is>
      </c>
      <c r="G207" t="n">
        <v>60000</v>
      </c>
      <c r="H207" t="n">
        <v>30000</v>
      </c>
      <c r="I207" t="n">
        <v>30000</v>
      </c>
      <c r="J207" t="n">
        <v>834</v>
      </c>
      <c r="K207" t="n">
        <v>2.78</v>
      </c>
      <c r="L207" s="5">
        <f>100*J207/I207</f>
        <v/>
      </c>
      <c r="M207">
        <f>H207-I207</f>
        <v/>
      </c>
    </row>
    <row r="208">
      <c r="A208" t="inlineStr">
        <is>
          <t>SIMULATED Commercial FA Study</t>
        </is>
      </c>
      <c r="B208" t="inlineStr">
        <is>
          <t>P26</t>
        </is>
      </c>
      <c r="C208" t="inlineStr">
        <is>
          <t>B_C2first</t>
        </is>
      </c>
      <c r="D208" t="inlineStr">
        <is>
          <t>Commercial_1B</t>
        </is>
      </c>
      <c r="E208" t="inlineStr">
        <is>
          <t>Ch5</t>
        </is>
      </c>
      <c r="F208" t="inlineStr">
        <is>
          <t>F3</t>
        </is>
      </c>
      <c r="G208" t="n">
        <v>54000</v>
      </c>
      <c r="H208" t="n">
        <v>27000</v>
      </c>
      <c r="I208" t="n">
        <v>27000</v>
      </c>
      <c r="J208" t="n">
        <v>1253</v>
      </c>
      <c r="K208" t="n">
        <v>4.64</v>
      </c>
      <c r="L208" s="5">
        <f>100*J208/I208</f>
        <v/>
      </c>
      <c r="M208">
        <f>H208-I208</f>
        <v/>
      </c>
    </row>
    <row r="209">
      <c r="A209" t="inlineStr">
        <is>
          <t>SIMULATED Commercial FA Study</t>
        </is>
      </c>
      <c r="B209" t="inlineStr">
        <is>
          <t>P26</t>
        </is>
      </c>
      <c r="C209" t="inlineStr">
        <is>
          <t>B_C2first</t>
        </is>
      </c>
      <c r="D209" t="inlineStr">
        <is>
          <t>Commercial_1B</t>
        </is>
      </c>
      <c r="E209" t="inlineStr">
        <is>
          <t>Ch6</t>
        </is>
      </c>
      <c r="F209" t="inlineStr">
        <is>
          <t>F4</t>
        </is>
      </c>
      <c r="G209" t="n">
        <v>54000</v>
      </c>
      <c r="H209" t="n">
        <v>27000</v>
      </c>
      <c r="I209" t="n">
        <v>27000</v>
      </c>
      <c r="J209" t="n">
        <v>1355</v>
      </c>
      <c r="K209" t="n">
        <v>5.02</v>
      </c>
      <c r="L209" s="5">
        <f>100*J209/I209</f>
        <v/>
      </c>
      <c r="M209">
        <f>H209-I209</f>
        <v/>
      </c>
    </row>
    <row r="210">
      <c r="A210" t="inlineStr">
        <is>
          <t>SIMULATED Commercial FA Study</t>
        </is>
      </c>
      <c r="B210" t="inlineStr">
        <is>
          <t>P27</t>
        </is>
      </c>
      <c r="C210" t="inlineStr">
        <is>
          <t>A_C2first</t>
        </is>
      </c>
      <c r="D210" t="inlineStr">
        <is>
          <t>Baseline_1</t>
        </is>
      </c>
      <c r="E210" t="inlineStr">
        <is>
          <t>Ch5</t>
        </is>
      </c>
      <c r="F210" t="inlineStr">
        <is>
          <t>F3</t>
        </is>
      </c>
      <c r="G210" t="n">
        <v>60000</v>
      </c>
      <c r="H210" t="n">
        <v>30000</v>
      </c>
      <c r="I210" t="n">
        <v>30000</v>
      </c>
      <c r="J210" t="n">
        <v>147</v>
      </c>
      <c r="K210" t="n">
        <v>0.49</v>
      </c>
      <c r="L210" s="5">
        <f>100*J210/I210</f>
        <v/>
      </c>
      <c r="M210">
        <f>H210-I210</f>
        <v/>
      </c>
    </row>
    <row r="211">
      <c r="A211" t="inlineStr">
        <is>
          <t>SIMULATED Commercial FA Study</t>
        </is>
      </c>
      <c r="B211" t="inlineStr">
        <is>
          <t>P27</t>
        </is>
      </c>
      <c r="C211" t="inlineStr">
        <is>
          <t>A_C2first</t>
        </is>
      </c>
      <c r="D211" t="inlineStr">
        <is>
          <t>Baseline_1</t>
        </is>
      </c>
      <c r="E211" t="inlineStr">
        <is>
          <t>Ch6</t>
        </is>
      </c>
      <c r="F211" t="inlineStr">
        <is>
          <t>F4</t>
        </is>
      </c>
      <c r="G211" t="n">
        <v>60000</v>
      </c>
      <c r="H211" t="n">
        <v>30000</v>
      </c>
      <c r="I211" t="n">
        <v>30000</v>
      </c>
      <c r="J211" t="n">
        <v>8046</v>
      </c>
      <c r="K211" t="n">
        <v>26.82</v>
      </c>
      <c r="L211" s="5">
        <f>100*J211/I211</f>
        <v/>
      </c>
      <c r="M211">
        <f>H211-I211</f>
        <v/>
      </c>
    </row>
    <row r="212">
      <c r="A212" t="inlineStr">
        <is>
          <t>SIMULATED Commercial FA Study</t>
        </is>
      </c>
      <c r="B212" t="inlineStr">
        <is>
          <t>P27</t>
        </is>
      </c>
      <c r="C212" t="inlineStr">
        <is>
          <t>A_C2first</t>
        </is>
      </c>
      <c r="D212" t="inlineStr">
        <is>
          <t>Commercial_2</t>
        </is>
      </c>
      <c r="E212" t="inlineStr">
        <is>
          <t>Ch5</t>
        </is>
      </c>
      <c r="F212" t="inlineStr">
        <is>
          <t>F3</t>
        </is>
      </c>
      <c r="G212" t="n">
        <v>60000</v>
      </c>
      <c r="H212" t="n">
        <v>30000</v>
      </c>
      <c r="I212" t="n">
        <v>30000</v>
      </c>
      <c r="J212" t="n">
        <v>648</v>
      </c>
      <c r="K212" t="n">
        <v>2.16</v>
      </c>
      <c r="L212" s="5">
        <f>100*J212/I212</f>
        <v/>
      </c>
      <c r="M212">
        <f>H212-I212</f>
        <v/>
      </c>
    </row>
    <row r="213">
      <c r="A213" t="inlineStr">
        <is>
          <t>SIMULATED Commercial FA Study</t>
        </is>
      </c>
      <c r="B213" t="inlineStr">
        <is>
          <t>P27</t>
        </is>
      </c>
      <c r="C213" t="inlineStr">
        <is>
          <t>A_C2first</t>
        </is>
      </c>
      <c r="D213" t="inlineStr">
        <is>
          <t>Commercial_2</t>
        </is>
      </c>
      <c r="E213" t="inlineStr">
        <is>
          <t>Ch6</t>
        </is>
      </c>
      <c r="F213" t="inlineStr">
        <is>
          <t>F4</t>
        </is>
      </c>
      <c r="G213" t="n">
        <v>60000</v>
      </c>
      <c r="H213" t="n">
        <v>30000</v>
      </c>
      <c r="I213" t="n">
        <v>30000</v>
      </c>
      <c r="J213" t="n">
        <v>10878</v>
      </c>
      <c r="K213" t="n">
        <v>36.26</v>
      </c>
      <c r="L213" s="5">
        <f>100*J213/I213</f>
        <v/>
      </c>
      <c r="M213">
        <f>H213-I213</f>
        <v/>
      </c>
    </row>
    <row r="214">
      <c r="A214" t="inlineStr">
        <is>
          <t>SIMULATED Commercial FA Study</t>
        </is>
      </c>
      <c r="B214" t="inlineStr">
        <is>
          <t>P27</t>
        </is>
      </c>
      <c r="C214" t="inlineStr">
        <is>
          <t>A_C2first</t>
        </is>
      </c>
      <c r="D214" t="inlineStr">
        <is>
          <t>Baseline_2</t>
        </is>
      </c>
      <c r="E214" t="inlineStr">
        <is>
          <t>Ch5</t>
        </is>
      </c>
      <c r="F214" t="inlineStr">
        <is>
          <t>F3</t>
        </is>
      </c>
      <c r="G214" t="n">
        <v>60000</v>
      </c>
      <c r="H214" t="n">
        <v>30000</v>
      </c>
      <c r="I214" t="n">
        <v>30000</v>
      </c>
      <c r="J214" t="n">
        <v>210</v>
      </c>
      <c r="K214" t="n">
        <v>0.7</v>
      </c>
      <c r="L214" s="5">
        <f>100*J214/I214</f>
        <v/>
      </c>
      <c r="M214">
        <f>H214-I214</f>
        <v/>
      </c>
    </row>
    <row r="215">
      <c r="A215" t="inlineStr">
        <is>
          <t>SIMULATED Commercial FA Study</t>
        </is>
      </c>
      <c r="B215" t="inlineStr">
        <is>
          <t>P27</t>
        </is>
      </c>
      <c r="C215" t="inlineStr">
        <is>
          <t>A_C2first</t>
        </is>
      </c>
      <c r="D215" t="inlineStr">
        <is>
          <t>Baseline_2</t>
        </is>
      </c>
      <c r="E215" t="inlineStr">
        <is>
          <t>Ch6</t>
        </is>
      </c>
      <c r="F215" t="inlineStr">
        <is>
          <t>F4</t>
        </is>
      </c>
      <c r="G215" t="n">
        <v>60000</v>
      </c>
      <c r="H215" t="n">
        <v>30000</v>
      </c>
      <c r="I215" t="n">
        <v>30000</v>
      </c>
      <c r="J215" t="n">
        <v>10182</v>
      </c>
      <c r="K215" t="n">
        <v>33.94</v>
      </c>
      <c r="L215" s="5">
        <f>100*J215/I215</f>
        <v/>
      </c>
      <c r="M215">
        <f>H215-I215</f>
        <v/>
      </c>
    </row>
    <row r="216">
      <c r="A216" t="inlineStr">
        <is>
          <t>SIMULATED Commercial FA Study</t>
        </is>
      </c>
      <c r="B216" t="inlineStr">
        <is>
          <t>P27</t>
        </is>
      </c>
      <c r="C216" t="inlineStr">
        <is>
          <t>A_C2first</t>
        </is>
      </c>
      <c r="D216" t="inlineStr">
        <is>
          <t>Commercial_1A</t>
        </is>
      </c>
      <c r="E216" t="inlineStr">
        <is>
          <t>Ch5</t>
        </is>
      </c>
      <c r="F216" t="inlineStr">
        <is>
          <t>F3</t>
        </is>
      </c>
      <c r="G216" t="n">
        <v>60000</v>
      </c>
      <c r="H216" t="n">
        <v>30000</v>
      </c>
      <c r="I216" t="n">
        <v>30000</v>
      </c>
      <c r="J216" t="n">
        <v>210</v>
      </c>
      <c r="K216" t="n">
        <v>0.7</v>
      </c>
      <c r="L216" s="5">
        <f>100*J216/I216</f>
        <v/>
      </c>
      <c r="M216">
        <f>H216-I216</f>
        <v/>
      </c>
    </row>
    <row r="217">
      <c r="A217" t="inlineStr">
        <is>
          <t>SIMULATED Commercial FA Study</t>
        </is>
      </c>
      <c r="B217" t="inlineStr">
        <is>
          <t>P27</t>
        </is>
      </c>
      <c r="C217" t="inlineStr">
        <is>
          <t>A_C2first</t>
        </is>
      </c>
      <c r="D217" t="inlineStr">
        <is>
          <t>Commercial_1A</t>
        </is>
      </c>
      <c r="E217" t="inlineStr">
        <is>
          <t>Ch6</t>
        </is>
      </c>
      <c r="F217" t="inlineStr">
        <is>
          <t>F4</t>
        </is>
      </c>
      <c r="G217" t="n">
        <v>60000</v>
      </c>
      <c r="H217" t="n">
        <v>30000</v>
      </c>
      <c r="I217" t="n">
        <v>30000</v>
      </c>
      <c r="J217" t="n">
        <v>12534</v>
      </c>
      <c r="K217" t="n">
        <v>41.78</v>
      </c>
      <c r="L217" s="5">
        <f>100*J217/I217</f>
        <v/>
      </c>
      <c r="M217">
        <f>H217-I217</f>
        <v/>
      </c>
    </row>
    <row r="218">
      <c r="A218" t="inlineStr">
        <is>
          <t>SIMULATED Commercial FA Study</t>
        </is>
      </c>
      <c r="B218" t="inlineStr">
        <is>
          <t>P28</t>
        </is>
      </c>
      <c r="C218" t="inlineStr">
        <is>
          <t>A_C1first</t>
        </is>
      </c>
      <c r="D218" t="inlineStr">
        <is>
          <t>Baseline_1</t>
        </is>
      </c>
      <c r="E218" t="inlineStr">
        <is>
          <t>Ch5</t>
        </is>
      </c>
      <c r="F218" t="inlineStr">
        <is>
          <t>F3</t>
        </is>
      </c>
      <c r="G218" t="n">
        <v>60000</v>
      </c>
      <c r="H218" t="n">
        <v>30000</v>
      </c>
      <c r="I218" t="n">
        <v>30000</v>
      </c>
      <c r="J218" t="n">
        <v>1620</v>
      </c>
      <c r="K218" t="n">
        <v>5.4</v>
      </c>
      <c r="L218" s="5">
        <f>100*J218/I218</f>
        <v/>
      </c>
      <c r="M218">
        <f>H218-I218</f>
        <v/>
      </c>
    </row>
    <row r="219">
      <c r="A219" t="inlineStr">
        <is>
          <t>SIMULATED Commercial FA Study</t>
        </is>
      </c>
      <c r="B219" t="inlineStr">
        <is>
          <t>P28</t>
        </is>
      </c>
      <c r="C219" t="inlineStr">
        <is>
          <t>A_C1first</t>
        </is>
      </c>
      <c r="D219" t="inlineStr">
        <is>
          <t>Baseline_1</t>
        </is>
      </c>
      <c r="E219" t="inlineStr">
        <is>
          <t>Ch6</t>
        </is>
      </c>
      <c r="F219" t="inlineStr">
        <is>
          <t>F4</t>
        </is>
      </c>
      <c r="G219" t="n">
        <v>60000</v>
      </c>
      <c r="H219" t="n">
        <v>30000</v>
      </c>
      <c r="I219" t="n">
        <v>30000</v>
      </c>
      <c r="J219" t="n">
        <v>1488</v>
      </c>
      <c r="K219" t="n">
        <v>4.96</v>
      </c>
      <c r="L219" s="5">
        <f>100*J219/I219</f>
        <v/>
      </c>
      <c r="M219">
        <f>H219-I219</f>
        <v/>
      </c>
    </row>
    <row r="220">
      <c r="A220" t="inlineStr">
        <is>
          <t>SIMULATED Commercial FA Study</t>
        </is>
      </c>
      <c r="B220" t="inlineStr">
        <is>
          <t>P28</t>
        </is>
      </c>
      <c r="C220" t="inlineStr">
        <is>
          <t>A_C1first</t>
        </is>
      </c>
      <c r="D220" t="inlineStr">
        <is>
          <t>Commercial_1A</t>
        </is>
      </c>
      <c r="E220" t="inlineStr">
        <is>
          <t>Ch5</t>
        </is>
      </c>
      <c r="F220" t="inlineStr">
        <is>
          <t>F3</t>
        </is>
      </c>
      <c r="G220" t="n">
        <v>60000</v>
      </c>
      <c r="H220" t="n">
        <v>30000</v>
      </c>
      <c r="I220" t="n">
        <v>30000</v>
      </c>
      <c r="J220" t="n">
        <v>861</v>
      </c>
      <c r="K220" t="n">
        <v>2.87</v>
      </c>
      <c r="L220" s="5">
        <f>100*J220/I220</f>
        <v/>
      </c>
      <c r="M220">
        <f>H220-I220</f>
        <v/>
      </c>
    </row>
    <row r="221">
      <c r="A221" t="inlineStr">
        <is>
          <t>SIMULATED Commercial FA Study</t>
        </is>
      </c>
      <c r="B221" t="inlineStr">
        <is>
          <t>P28</t>
        </is>
      </c>
      <c r="C221" t="inlineStr">
        <is>
          <t>A_C1first</t>
        </is>
      </c>
      <c r="D221" t="inlineStr">
        <is>
          <t>Commercial_1A</t>
        </is>
      </c>
      <c r="E221" t="inlineStr">
        <is>
          <t>Ch6</t>
        </is>
      </c>
      <c r="F221" t="inlineStr">
        <is>
          <t>F4</t>
        </is>
      </c>
      <c r="G221" t="n">
        <v>60000</v>
      </c>
      <c r="H221" t="n">
        <v>30000</v>
      </c>
      <c r="I221" t="n">
        <v>30000</v>
      </c>
      <c r="J221" t="n">
        <v>762</v>
      </c>
      <c r="K221" t="n">
        <v>2.54</v>
      </c>
      <c r="L221" s="5">
        <f>100*J221/I221</f>
        <v/>
      </c>
      <c r="M221">
        <f>H221-I221</f>
        <v/>
      </c>
    </row>
    <row r="222">
      <c r="A222" t="inlineStr">
        <is>
          <t>SIMULATED Commercial FA Study</t>
        </is>
      </c>
      <c r="B222" t="inlineStr">
        <is>
          <t>P28</t>
        </is>
      </c>
      <c r="C222" t="inlineStr">
        <is>
          <t>A_C1first</t>
        </is>
      </c>
      <c r="D222" t="inlineStr">
        <is>
          <t>Baseline_2</t>
        </is>
      </c>
      <c r="E222" t="inlineStr">
        <is>
          <t>Ch5</t>
        </is>
      </c>
      <c r="F222" t="inlineStr">
        <is>
          <t>F3</t>
        </is>
      </c>
      <c r="G222" t="n">
        <v>60000</v>
      </c>
      <c r="H222" t="n">
        <v>30000</v>
      </c>
      <c r="I222" t="n">
        <v>30000</v>
      </c>
      <c r="J222" t="n">
        <v>57</v>
      </c>
      <c r="K222" t="n">
        <v>0.19</v>
      </c>
      <c r="L222" s="5">
        <f>100*J222/I222</f>
        <v/>
      </c>
      <c r="M222">
        <f>H222-I222</f>
        <v/>
      </c>
    </row>
    <row r="223">
      <c r="A223" t="inlineStr">
        <is>
          <t>SIMULATED Commercial FA Study</t>
        </is>
      </c>
      <c r="B223" t="inlineStr">
        <is>
          <t>P28</t>
        </is>
      </c>
      <c r="C223" t="inlineStr">
        <is>
          <t>A_C1first</t>
        </is>
      </c>
      <c r="D223" t="inlineStr">
        <is>
          <t>Baseline_2</t>
        </is>
      </c>
      <c r="E223" t="inlineStr">
        <is>
          <t>Ch6</t>
        </is>
      </c>
      <c r="F223" t="inlineStr">
        <is>
          <t>F4</t>
        </is>
      </c>
      <c r="G223" t="n">
        <v>60000</v>
      </c>
      <c r="H223" t="n">
        <v>30000</v>
      </c>
      <c r="I223" t="n">
        <v>30000</v>
      </c>
      <c r="J223" t="n">
        <v>111</v>
      </c>
      <c r="K223" t="n">
        <v>0.37</v>
      </c>
      <c r="L223" s="5">
        <f>100*J223/I223</f>
        <v/>
      </c>
      <c r="M223">
        <f>H223-I223</f>
        <v/>
      </c>
    </row>
    <row r="224">
      <c r="A224" t="inlineStr">
        <is>
          <t>SIMULATED Commercial FA Study</t>
        </is>
      </c>
      <c r="B224" t="inlineStr">
        <is>
          <t>P28</t>
        </is>
      </c>
      <c r="C224" t="inlineStr">
        <is>
          <t>A_C1first</t>
        </is>
      </c>
      <c r="D224" t="inlineStr">
        <is>
          <t>Commercial_2</t>
        </is>
      </c>
      <c r="E224" t="inlineStr">
        <is>
          <t>Ch5</t>
        </is>
      </c>
      <c r="F224" t="inlineStr">
        <is>
          <t>F3</t>
        </is>
      </c>
      <c r="G224" t="n">
        <v>60000</v>
      </c>
      <c r="H224" t="n">
        <v>30000</v>
      </c>
      <c r="I224" t="n">
        <v>30000</v>
      </c>
      <c r="J224" t="n">
        <v>444</v>
      </c>
      <c r="K224" t="n">
        <v>1.48</v>
      </c>
      <c r="L224" s="5">
        <f>100*J224/I224</f>
        <v/>
      </c>
      <c r="M224">
        <f>H224-I224</f>
        <v/>
      </c>
    </row>
    <row r="225">
      <c r="A225" t="inlineStr">
        <is>
          <t>SIMULATED Commercial FA Study</t>
        </is>
      </c>
      <c r="B225" t="inlineStr">
        <is>
          <t>P28</t>
        </is>
      </c>
      <c r="C225" t="inlineStr">
        <is>
          <t>A_C1first</t>
        </is>
      </c>
      <c r="D225" t="inlineStr">
        <is>
          <t>Commercial_2</t>
        </is>
      </c>
      <c r="E225" t="inlineStr">
        <is>
          <t>Ch6</t>
        </is>
      </c>
      <c r="F225" t="inlineStr">
        <is>
          <t>F4</t>
        </is>
      </c>
      <c r="G225" t="n">
        <v>60000</v>
      </c>
      <c r="H225" t="n">
        <v>30000</v>
      </c>
      <c r="I225" t="n">
        <v>30000</v>
      </c>
      <c r="J225" t="n">
        <v>429</v>
      </c>
      <c r="K225" t="n">
        <v>1.43</v>
      </c>
      <c r="L225" s="5">
        <f>100*J225/I225</f>
        <v/>
      </c>
      <c r="M225">
        <f>H225-I225</f>
        <v/>
      </c>
    </row>
    <row r="226">
      <c r="A226" t="inlineStr">
        <is>
          <t>SIMULATED Commercial FA Study</t>
        </is>
      </c>
      <c r="B226" t="inlineStr">
        <is>
          <t>P29</t>
        </is>
      </c>
      <c r="C226" t="inlineStr">
        <is>
          <t>B_C1first</t>
        </is>
      </c>
      <c r="D226" t="inlineStr">
        <is>
          <t>Baseline_1</t>
        </is>
      </c>
      <c r="E226" t="inlineStr">
        <is>
          <t>Ch5</t>
        </is>
      </c>
      <c r="F226" t="inlineStr">
        <is>
          <t>F3</t>
        </is>
      </c>
      <c r="G226" t="n">
        <v>60000</v>
      </c>
      <c r="H226" t="n">
        <v>30000</v>
      </c>
      <c r="I226" t="n">
        <v>30000</v>
      </c>
      <c r="J226" t="n">
        <v>687</v>
      </c>
      <c r="K226" t="n">
        <v>2.29</v>
      </c>
      <c r="L226" s="5">
        <f>100*J226/I226</f>
        <v/>
      </c>
      <c r="M226">
        <f>H226-I226</f>
        <v/>
      </c>
    </row>
    <row r="227">
      <c r="A227" t="inlineStr">
        <is>
          <t>SIMULATED Commercial FA Study</t>
        </is>
      </c>
      <c r="B227" t="inlineStr">
        <is>
          <t>P29</t>
        </is>
      </c>
      <c r="C227" t="inlineStr">
        <is>
          <t>B_C1first</t>
        </is>
      </c>
      <c r="D227" t="inlineStr">
        <is>
          <t>Baseline_1</t>
        </is>
      </c>
      <c r="E227" t="inlineStr">
        <is>
          <t>Ch6</t>
        </is>
      </c>
      <c r="F227" t="inlineStr">
        <is>
          <t>F4</t>
        </is>
      </c>
      <c r="G227" t="n">
        <v>60000</v>
      </c>
      <c r="H227" t="n">
        <v>30000</v>
      </c>
      <c r="I227" t="n">
        <v>30000</v>
      </c>
      <c r="J227" t="n">
        <v>678</v>
      </c>
      <c r="K227" t="n">
        <v>2.26</v>
      </c>
      <c r="L227" s="5">
        <f>100*J227/I227</f>
        <v/>
      </c>
      <c r="M227">
        <f>H227-I227</f>
        <v/>
      </c>
    </row>
    <row r="228">
      <c r="A228" t="inlineStr">
        <is>
          <t>SIMULATED Commercial FA Study</t>
        </is>
      </c>
      <c r="B228" t="inlineStr">
        <is>
          <t>P29</t>
        </is>
      </c>
      <c r="C228" t="inlineStr">
        <is>
          <t>B_C1first</t>
        </is>
      </c>
      <c r="D228" t="inlineStr">
        <is>
          <t>Commercial_1B</t>
        </is>
      </c>
      <c r="E228" t="inlineStr">
        <is>
          <t>Ch5</t>
        </is>
      </c>
      <c r="F228" t="inlineStr">
        <is>
          <t>F3</t>
        </is>
      </c>
      <c r="G228" t="n">
        <v>54000</v>
      </c>
      <c r="H228" t="n">
        <v>27000</v>
      </c>
      <c r="I228" t="n">
        <v>27000</v>
      </c>
      <c r="J228" t="n">
        <v>1347</v>
      </c>
      <c r="K228" t="n">
        <v>4.99</v>
      </c>
      <c r="L228" s="5">
        <f>100*J228/I228</f>
        <v/>
      </c>
      <c r="M228">
        <f>H228-I228</f>
        <v/>
      </c>
    </row>
    <row r="229">
      <c r="A229" t="inlineStr">
        <is>
          <t>SIMULATED Commercial FA Study</t>
        </is>
      </c>
      <c r="B229" t="inlineStr">
        <is>
          <t>P29</t>
        </is>
      </c>
      <c r="C229" t="inlineStr">
        <is>
          <t>B_C1first</t>
        </is>
      </c>
      <c r="D229" t="inlineStr">
        <is>
          <t>Commercial_1B</t>
        </is>
      </c>
      <c r="E229" t="inlineStr">
        <is>
          <t>Ch6</t>
        </is>
      </c>
      <c r="F229" t="inlineStr">
        <is>
          <t>F4</t>
        </is>
      </c>
      <c r="G229" t="n">
        <v>54000</v>
      </c>
      <c r="H229" t="n">
        <v>27000</v>
      </c>
      <c r="I229" t="n">
        <v>27000</v>
      </c>
      <c r="J229" t="n">
        <v>1323</v>
      </c>
      <c r="K229" t="n">
        <v>4.9</v>
      </c>
      <c r="L229" s="5">
        <f>100*J229/I229</f>
        <v/>
      </c>
      <c r="M229">
        <f>H229-I229</f>
        <v/>
      </c>
    </row>
    <row r="230">
      <c r="A230" t="inlineStr">
        <is>
          <t>SIMULATED Commercial FA Study</t>
        </is>
      </c>
      <c r="B230" t="inlineStr">
        <is>
          <t>P29</t>
        </is>
      </c>
      <c r="C230" t="inlineStr">
        <is>
          <t>B_C1first</t>
        </is>
      </c>
      <c r="D230" t="inlineStr">
        <is>
          <t>Baseline_2</t>
        </is>
      </c>
      <c r="E230" t="inlineStr">
        <is>
          <t>Ch5</t>
        </is>
      </c>
      <c r="F230" t="inlineStr">
        <is>
          <t>F3</t>
        </is>
      </c>
      <c r="G230" t="n">
        <v>60000</v>
      </c>
      <c r="H230" t="n">
        <v>30000</v>
      </c>
      <c r="I230" t="n">
        <v>30000</v>
      </c>
      <c r="J230" t="n">
        <v>279</v>
      </c>
      <c r="K230" t="n">
        <v>0.93</v>
      </c>
      <c r="L230" s="5">
        <f>100*J230/I230</f>
        <v/>
      </c>
      <c r="M230">
        <f>H230-I230</f>
        <v/>
      </c>
    </row>
    <row r="231">
      <c r="A231" t="inlineStr">
        <is>
          <t>SIMULATED Commercial FA Study</t>
        </is>
      </c>
      <c r="B231" t="inlineStr">
        <is>
          <t>P29</t>
        </is>
      </c>
      <c r="C231" t="inlineStr">
        <is>
          <t>B_C1first</t>
        </is>
      </c>
      <c r="D231" t="inlineStr">
        <is>
          <t>Baseline_2</t>
        </is>
      </c>
      <c r="E231" t="inlineStr">
        <is>
          <t>Ch6</t>
        </is>
      </c>
      <c r="F231" t="inlineStr">
        <is>
          <t>F4</t>
        </is>
      </c>
      <c r="G231" t="n">
        <v>60000</v>
      </c>
      <c r="H231" t="n">
        <v>30000</v>
      </c>
      <c r="I231" t="n">
        <v>30000</v>
      </c>
      <c r="J231" t="n">
        <v>336</v>
      </c>
      <c r="K231" t="n">
        <v>1.12</v>
      </c>
      <c r="L231" s="5">
        <f>100*J231/I231</f>
        <v/>
      </c>
      <c r="M231">
        <f>H231-I231</f>
        <v/>
      </c>
    </row>
    <row r="232">
      <c r="A232" t="inlineStr">
        <is>
          <t>SIMULATED Commercial FA Study</t>
        </is>
      </c>
      <c r="B232" t="inlineStr">
        <is>
          <t>P29</t>
        </is>
      </c>
      <c r="C232" t="inlineStr">
        <is>
          <t>B_C1first</t>
        </is>
      </c>
      <c r="D232" t="inlineStr">
        <is>
          <t>Commercial_2</t>
        </is>
      </c>
      <c r="E232" t="inlineStr">
        <is>
          <t>Ch5</t>
        </is>
      </c>
      <c r="F232" t="inlineStr">
        <is>
          <t>F3</t>
        </is>
      </c>
      <c r="G232" t="n">
        <v>60000</v>
      </c>
      <c r="H232" t="n">
        <v>30000</v>
      </c>
      <c r="I232" t="n">
        <v>30000</v>
      </c>
      <c r="J232" t="n">
        <v>780</v>
      </c>
      <c r="K232" t="n">
        <v>2.6</v>
      </c>
      <c r="L232" s="5">
        <f>100*J232/I232</f>
        <v/>
      </c>
      <c r="M232">
        <f>H232-I232</f>
        <v/>
      </c>
    </row>
    <row r="233">
      <c r="A233" t="inlineStr">
        <is>
          <t>SIMULATED Commercial FA Study</t>
        </is>
      </c>
      <c r="B233" t="inlineStr">
        <is>
          <t>P29</t>
        </is>
      </c>
      <c r="C233" t="inlineStr">
        <is>
          <t>B_C1first</t>
        </is>
      </c>
      <c r="D233" t="inlineStr">
        <is>
          <t>Commercial_2</t>
        </is>
      </c>
      <c r="E233" t="inlineStr">
        <is>
          <t>Ch6</t>
        </is>
      </c>
      <c r="F233" t="inlineStr">
        <is>
          <t>F4</t>
        </is>
      </c>
      <c r="G233" t="n">
        <v>60000</v>
      </c>
      <c r="H233" t="n">
        <v>30000</v>
      </c>
      <c r="I233" t="n">
        <v>30000</v>
      </c>
      <c r="J233" t="n">
        <v>822</v>
      </c>
      <c r="K233" t="n">
        <v>2.74</v>
      </c>
      <c r="L233" s="5">
        <f>100*J233/I233</f>
        <v/>
      </c>
      <c r="M233">
        <f>H233-I233</f>
        <v/>
      </c>
    </row>
    <row r="234">
      <c r="A234" t="inlineStr">
        <is>
          <t>SIMULATED Commercial FA Study</t>
        </is>
      </c>
      <c r="B234" t="inlineStr">
        <is>
          <t>P30</t>
        </is>
      </c>
      <c r="C234" t="inlineStr">
        <is>
          <t>A_C2first</t>
        </is>
      </c>
      <c r="D234" t="inlineStr">
        <is>
          <t>Baseline_1</t>
        </is>
      </c>
      <c r="E234" t="inlineStr">
        <is>
          <t>Ch5</t>
        </is>
      </c>
      <c r="F234" t="inlineStr">
        <is>
          <t>F3</t>
        </is>
      </c>
      <c r="G234" t="n">
        <v>60000</v>
      </c>
      <c r="H234" t="n">
        <v>30000</v>
      </c>
      <c r="I234" t="n">
        <v>30000</v>
      </c>
      <c r="J234" t="n">
        <v>1143</v>
      </c>
      <c r="K234" t="n">
        <v>3.81</v>
      </c>
      <c r="L234" s="5">
        <f>100*J234/I234</f>
        <v/>
      </c>
      <c r="M234">
        <f>H234-I234</f>
        <v/>
      </c>
    </row>
    <row r="235">
      <c r="A235" t="inlineStr">
        <is>
          <t>SIMULATED Commercial FA Study</t>
        </is>
      </c>
      <c r="B235" t="inlineStr">
        <is>
          <t>P30</t>
        </is>
      </c>
      <c r="C235" t="inlineStr">
        <is>
          <t>A_C2first</t>
        </is>
      </c>
      <c r="D235" t="inlineStr">
        <is>
          <t>Baseline_1</t>
        </is>
      </c>
      <c r="E235" t="inlineStr">
        <is>
          <t>Ch6</t>
        </is>
      </c>
      <c r="F235" t="inlineStr">
        <is>
          <t>F4</t>
        </is>
      </c>
      <c r="G235" t="n">
        <v>60000</v>
      </c>
      <c r="H235" t="n">
        <v>30000</v>
      </c>
      <c r="I235" t="n">
        <v>30000</v>
      </c>
      <c r="J235" t="n">
        <v>1248</v>
      </c>
      <c r="K235" t="n">
        <v>4.16</v>
      </c>
      <c r="L235" s="5">
        <f>100*J235/I235</f>
        <v/>
      </c>
      <c r="M235">
        <f>H235-I235</f>
        <v/>
      </c>
    </row>
    <row r="236">
      <c r="A236" t="inlineStr">
        <is>
          <t>SIMULATED Commercial FA Study</t>
        </is>
      </c>
      <c r="B236" t="inlineStr">
        <is>
          <t>P30</t>
        </is>
      </c>
      <c r="C236" t="inlineStr">
        <is>
          <t>A_C2first</t>
        </is>
      </c>
      <c r="D236" t="inlineStr">
        <is>
          <t>Commercial_2</t>
        </is>
      </c>
      <c r="E236" t="inlineStr">
        <is>
          <t>Ch5</t>
        </is>
      </c>
      <c r="F236" t="inlineStr">
        <is>
          <t>F3</t>
        </is>
      </c>
      <c r="G236" t="n">
        <v>60000</v>
      </c>
      <c r="H236" t="n">
        <v>30000</v>
      </c>
      <c r="I236" t="n">
        <v>30000</v>
      </c>
      <c r="J236" t="n">
        <v>435</v>
      </c>
      <c r="K236" t="n">
        <v>1.45</v>
      </c>
      <c r="L236" s="5">
        <f>100*J236/I236</f>
        <v/>
      </c>
      <c r="M236">
        <f>H236-I236</f>
        <v/>
      </c>
    </row>
    <row r="237">
      <c r="A237" t="inlineStr">
        <is>
          <t>SIMULATED Commercial FA Study</t>
        </is>
      </c>
      <c r="B237" t="inlineStr">
        <is>
          <t>P30</t>
        </is>
      </c>
      <c r="C237" t="inlineStr">
        <is>
          <t>A_C2first</t>
        </is>
      </c>
      <c r="D237" t="inlineStr">
        <is>
          <t>Commercial_2</t>
        </is>
      </c>
      <c r="E237" t="inlineStr">
        <is>
          <t>Ch6</t>
        </is>
      </c>
      <c r="F237" t="inlineStr">
        <is>
          <t>F4</t>
        </is>
      </c>
      <c r="G237" t="n">
        <v>60000</v>
      </c>
      <c r="H237" t="n">
        <v>30000</v>
      </c>
      <c r="I237" t="n">
        <v>30000</v>
      </c>
      <c r="J237" t="n">
        <v>471</v>
      </c>
      <c r="K237" t="n">
        <v>1.57</v>
      </c>
      <c r="L237" s="5">
        <f>100*J237/I237</f>
        <v/>
      </c>
      <c r="M237">
        <f>H237-I237</f>
        <v/>
      </c>
    </row>
    <row r="238">
      <c r="A238" t="inlineStr">
        <is>
          <t>SIMULATED Commercial FA Study</t>
        </is>
      </c>
      <c r="B238" t="inlineStr">
        <is>
          <t>P30</t>
        </is>
      </c>
      <c r="C238" t="inlineStr">
        <is>
          <t>A_C2first</t>
        </is>
      </c>
      <c r="D238" t="inlineStr">
        <is>
          <t>Baseline_2</t>
        </is>
      </c>
      <c r="E238" t="inlineStr">
        <is>
          <t>Ch5</t>
        </is>
      </c>
      <c r="F238" t="inlineStr">
        <is>
          <t>F3</t>
        </is>
      </c>
      <c r="G238" t="n">
        <v>60000</v>
      </c>
      <c r="H238" t="n">
        <v>30000</v>
      </c>
      <c r="I238" t="n">
        <v>30000</v>
      </c>
      <c r="J238" t="n">
        <v>495</v>
      </c>
      <c r="K238" t="n">
        <v>1.65</v>
      </c>
      <c r="L238" s="5">
        <f>100*J238/I238</f>
        <v/>
      </c>
      <c r="M238">
        <f>H238-I238</f>
        <v/>
      </c>
    </row>
    <row r="239">
      <c r="A239" t="inlineStr">
        <is>
          <t>SIMULATED Commercial FA Study</t>
        </is>
      </c>
      <c r="B239" t="inlineStr">
        <is>
          <t>P30</t>
        </is>
      </c>
      <c r="C239" t="inlineStr">
        <is>
          <t>A_C2first</t>
        </is>
      </c>
      <c r="D239" t="inlineStr">
        <is>
          <t>Baseline_2</t>
        </is>
      </c>
      <c r="E239" t="inlineStr">
        <is>
          <t>Ch6</t>
        </is>
      </c>
      <c r="F239" t="inlineStr">
        <is>
          <t>F4</t>
        </is>
      </c>
      <c r="G239" t="n">
        <v>60000</v>
      </c>
      <c r="H239" t="n">
        <v>30000</v>
      </c>
      <c r="I239" t="n">
        <v>30000</v>
      </c>
      <c r="J239" t="n">
        <v>546</v>
      </c>
      <c r="K239" t="n">
        <v>1.82</v>
      </c>
      <c r="L239" s="5">
        <f>100*J239/I239</f>
        <v/>
      </c>
      <c r="M239">
        <f>H239-I239</f>
        <v/>
      </c>
    </row>
    <row r="240">
      <c r="A240" t="inlineStr">
        <is>
          <t>SIMULATED Commercial FA Study</t>
        </is>
      </c>
      <c r="B240" t="inlineStr">
        <is>
          <t>P30</t>
        </is>
      </c>
      <c r="C240" t="inlineStr">
        <is>
          <t>A_C2first</t>
        </is>
      </c>
      <c r="D240" t="inlineStr">
        <is>
          <t>Commercial_1A</t>
        </is>
      </c>
      <c r="E240" t="inlineStr">
        <is>
          <t>Ch5</t>
        </is>
      </c>
      <c r="F240" t="inlineStr">
        <is>
          <t>F3</t>
        </is>
      </c>
      <c r="G240" t="n">
        <v>60000</v>
      </c>
      <c r="H240" t="n">
        <v>30000</v>
      </c>
      <c r="I240" t="n">
        <v>30000</v>
      </c>
      <c r="J240" t="n">
        <v>141</v>
      </c>
      <c r="K240" t="n">
        <v>0.47</v>
      </c>
      <c r="L240" s="5">
        <f>100*J240/I240</f>
        <v/>
      </c>
      <c r="M240">
        <f>H240-I240</f>
        <v/>
      </c>
    </row>
    <row r="241">
      <c r="A241" t="inlineStr">
        <is>
          <t>SIMULATED Commercial FA Study</t>
        </is>
      </c>
      <c r="B241" t="inlineStr">
        <is>
          <t>P30</t>
        </is>
      </c>
      <c r="C241" t="inlineStr">
        <is>
          <t>A_C2first</t>
        </is>
      </c>
      <c r="D241" t="inlineStr">
        <is>
          <t>Commercial_1A</t>
        </is>
      </c>
      <c r="E241" t="inlineStr">
        <is>
          <t>Ch6</t>
        </is>
      </c>
      <c r="F241" t="inlineStr">
        <is>
          <t>F4</t>
        </is>
      </c>
      <c r="G241" t="n">
        <v>60000</v>
      </c>
      <c r="H241" t="n">
        <v>30000</v>
      </c>
      <c r="I241" t="n">
        <v>30000</v>
      </c>
      <c r="J241" t="n">
        <v>129</v>
      </c>
      <c r="K241" t="n">
        <v>0.43</v>
      </c>
      <c r="L241" s="5">
        <f>100*J241/I241</f>
        <v/>
      </c>
      <c r="M241">
        <f>H241-I241</f>
        <v/>
      </c>
    </row>
    <row r="242">
      <c r="A242" t="inlineStr">
        <is>
          <t>SIMULATED Commercial FA Study</t>
        </is>
      </c>
      <c r="B242" t="inlineStr">
        <is>
          <t>P31</t>
        </is>
      </c>
      <c r="C242" t="inlineStr">
        <is>
          <t>A_C1first</t>
        </is>
      </c>
      <c r="D242" t="inlineStr">
        <is>
          <t>Baseline_1</t>
        </is>
      </c>
      <c r="E242" t="inlineStr">
        <is>
          <t>Ch5</t>
        </is>
      </c>
      <c r="F242" t="inlineStr">
        <is>
          <t>F3</t>
        </is>
      </c>
      <c r="G242" t="n">
        <v>60000</v>
      </c>
      <c r="H242" t="n">
        <v>30000</v>
      </c>
      <c r="I242" t="n">
        <v>30000</v>
      </c>
      <c r="J242" t="n">
        <v>690</v>
      </c>
      <c r="K242" t="n">
        <v>2.3</v>
      </c>
      <c r="L242" s="5">
        <f>100*J242/I242</f>
        <v/>
      </c>
      <c r="M242">
        <f>H242-I242</f>
        <v/>
      </c>
    </row>
    <row r="243">
      <c r="A243" t="inlineStr">
        <is>
          <t>SIMULATED Commercial FA Study</t>
        </is>
      </c>
      <c r="B243" t="inlineStr">
        <is>
          <t>P31</t>
        </is>
      </c>
      <c r="C243" t="inlineStr">
        <is>
          <t>A_C1first</t>
        </is>
      </c>
      <c r="D243" t="inlineStr">
        <is>
          <t>Baseline_1</t>
        </is>
      </c>
      <c r="E243" t="inlineStr">
        <is>
          <t>Ch6</t>
        </is>
      </c>
      <c r="F243" t="inlineStr">
        <is>
          <t>F4</t>
        </is>
      </c>
      <c r="G243" t="n">
        <v>60000</v>
      </c>
      <c r="H243" t="n">
        <v>30000</v>
      </c>
      <c r="I243" t="n">
        <v>30000</v>
      </c>
      <c r="J243" t="n">
        <v>582</v>
      </c>
      <c r="K243" t="n">
        <v>1.94</v>
      </c>
      <c r="L243" s="5">
        <f>100*J243/I243</f>
        <v/>
      </c>
      <c r="M243">
        <f>H243-I243</f>
        <v/>
      </c>
    </row>
    <row r="244">
      <c r="A244" t="inlineStr">
        <is>
          <t>SIMULATED Commercial FA Study</t>
        </is>
      </c>
      <c r="B244" t="inlineStr">
        <is>
          <t>P31</t>
        </is>
      </c>
      <c r="C244" t="inlineStr">
        <is>
          <t>A_C1first</t>
        </is>
      </c>
      <c r="D244" t="inlineStr">
        <is>
          <t>Commercial_1A</t>
        </is>
      </c>
      <c r="E244" t="inlineStr">
        <is>
          <t>Ch5</t>
        </is>
      </c>
      <c r="F244" t="inlineStr">
        <is>
          <t>F3</t>
        </is>
      </c>
      <c r="G244" t="n">
        <v>60000</v>
      </c>
      <c r="H244" t="n">
        <v>30000</v>
      </c>
      <c r="I244" t="n">
        <v>30000</v>
      </c>
      <c r="J244" t="n">
        <v>867</v>
      </c>
      <c r="K244" t="n">
        <v>2.89</v>
      </c>
      <c r="L244" s="5">
        <f>100*J244/I244</f>
        <v/>
      </c>
      <c r="M244">
        <f>H244-I244</f>
        <v/>
      </c>
    </row>
    <row r="245">
      <c r="A245" t="inlineStr">
        <is>
          <t>SIMULATED Commercial FA Study</t>
        </is>
      </c>
      <c r="B245" t="inlineStr">
        <is>
          <t>P31</t>
        </is>
      </c>
      <c r="C245" t="inlineStr">
        <is>
          <t>A_C1first</t>
        </is>
      </c>
      <c r="D245" t="inlineStr">
        <is>
          <t>Commercial_1A</t>
        </is>
      </c>
      <c r="E245" t="inlineStr">
        <is>
          <t>Ch6</t>
        </is>
      </c>
      <c r="F245" t="inlineStr">
        <is>
          <t>F4</t>
        </is>
      </c>
      <c r="G245" t="n">
        <v>60000</v>
      </c>
      <c r="H245" t="n">
        <v>30000</v>
      </c>
      <c r="I245" t="n">
        <v>30000</v>
      </c>
      <c r="J245" t="n">
        <v>843</v>
      </c>
      <c r="K245" t="n">
        <v>2.81</v>
      </c>
      <c r="L245" s="5">
        <f>100*J245/I245</f>
        <v/>
      </c>
      <c r="M245">
        <f>H245-I245</f>
        <v/>
      </c>
    </row>
    <row r="246">
      <c r="A246" t="inlineStr">
        <is>
          <t>SIMULATED Commercial FA Study</t>
        </is>
      </c>
      <c r="B246" t="inlineStr">
        <is>
          <t>P31</t>
        </is>
      </c>
      <c r="C246" t="inlineStr">
        <is>
          <t>A_C1first</t>
        </is>
      </c>
      <c r="D246" t="inlineStr">
        <is>
          <t>Baseline_2</t>
        </is>
      </c>
      <c r="E246" t="inlineStr">
        <is>
          <t>Ch5</t>
        </is>
      </c>
      <c r="F246" t="inlineStr">
        <is>
          <t>F3</t>
        </is>
      </c>
      <c r="G246" t="n">
        <v>60000</v>
      </c>
      <c r="H246" t="n">
        <v>30000</v>
      </c>
      <c r="I246" t="n">
        <v>30000</v>
      </c>
      <c r="J246" t="n">
        <v>1029</v>
      </c>
      <c r="K246" t="n">
        <v>3.43</v>
      </c>
      <c r="L246" s="5">
        <f>100*J246/I246</f>
        <v/>
      </c>
      <c r="M246">
        <f>H246-I246</f>
        <v/>
      </c>
    </row>
    <row r="247">
      <c r="A247" t="inlineStr">
        <is>
          <t>SIMULATED Commercial FA Study</t>
        </is>
      </c>
      <c r="B247" t="inlineStr">
        <is>
          <t>P31</t>
        </is>
      </c>
      <c r="C247" t="inlineStr">
        <is>
          <t>A_C1first</t>
        </is>
      </c>
      <c r="D247" t="inlineStr">
        <is>
          <t>Baseline_2</t>
        </is>
      </c>
      <c r="E247" t="inlineStr">
        <is>
          <t>Ch6</t>
        </is>
      </c>
      <c r="F247" t="inlineStr">
        <is>
          <t>F4</t>
        </is>
      </c>
      <c r="G247" t="n">
        <v>60000</v>
      </c>
      <c r="H247" t="n">
        <v>30000</v>
      </c>
      <c r="I247" t="n">
        <v>30000</v>
      </c>
      <c r="J247" t="n">
        <v>942</v>
      </c>
      <c r="K247" t="n">
        <v>3.14</v>
      </c>
      <c r="L247" s="5">
        <f>100*J247/I247</f>
        <v/>
      </c>
      <c r="M247">
        <f>H247-I247</f>
        <v/>
      </c>
    </row>
    <row r="248">
      <c r="A248" t="inlineStr">
        <is>
          <t>SIMULATED Commercial FA Study</t>
        </is>
      </c>
      <c r="B248" t="inlineStr">
        <is>
          <t>P31</t>
        </is>
      </c>
      <c r="C248" t="inlineStr">
        <is>
          <t>A_C1first</t>
        </is>
      </c>
      <c r="D248" t="inlineStr">
        <is>
          <t>Commercial_2</t>
        </is>
      </c>
      <c r="E248" t="inlineStr">
        <is>
          <t>Ch5</t>
        </is>
      </c>
      <c r="F248" t="inlineStr">
        <is>
          <t>F3</t>
        </is>
      </c>
      <c r="G248" t="n">
        <v>60000</v>
      </c>
      <c r="H248" t="n">
        <v>30000</v>
      </c>
      <c r="I248" t="n">
        <v>30000</v>
      </c>
      <c r="J248" t="n">
        <v>1557</v>
      </c>
      <c r="K248" t="n">
        <v>5.19</v>
      </c>
      <c r="L248" s="5">
        <f>100*J248/I248</f>
        <v/>
      </c>
      <c r="M248">
        <f>H248-I248</f>
        <v/>
      </c>
    </row>
    <row r="249">
      <c r="A249" t="inlineStr">
        <is>
          <t>SIMULATED Commercial FA Study</t>
        </is>
      </c>
      <c r="B249" t="inlineStr">
        <is>
          <t>P31</t>
        </is>
      </c>
      <c r="C249" t="inlineStr">
        <is>
          <t>A_C1first</t>
        </is>
      </c>
      <c r="D249" t="inlineStr">
        <is>
          <t>Commercial_2</t>
        </is>
      </c>
      <c r="E249" t="inlineStr">
        <is>
          <t>Ch6</t>
        </is>
      </c>
      <c r="F249" t="inlineStr">
        <is>
          <t>F4</t>
        </is>
      </c>
      <c r="G249" t="n">
        <v>60000</v>
      </c>
      <c r="H249" t="n">
        <v>30000</v>
      </c>
      <c r="I249" t="n">
        <v>30000</v>
      </c>
      <c r="J249" t="n">
        <v>1419</v>
      </c>
      <c r="K249" t="n">
        <v>4.73</v>
      </c>
      <c r="L249" s="5">
        <f>100*J249/I249</f>
        <v/>
      </c>
      <c r="M249">
        <f>H249-I249</f>
        <v/>
      </c>
    </row>
    <row r="250">
      <c r="A250" t="inlineStr">
        <is>
          <t>SIMULATED Commercial FA Study</t>
        </is>
      </c>
      <c r="B250" t="inlineStr">
        <is>
          <t>P32</t>
        </is>
      </c>
      <c r="C250" t="inlineStr">
        <is>
          <t>B_C2first</t>
        </is>
      </c>
      <c r="D250" t="inlineStr">
        <is>
          <t>Baseline_1</t>
        </is>
      </c>
      <c r="E250" t="inlineStr">
        <is>
          <t>Ch5</t>
        </is>
      </c>
      <c r="F250" t="inlineStr">
        <is>
          <t>F3</t>
        </is>
      </c>
      <c r="G250" t="n">
        <v>60000</v>
      </c>
      <c r="H250" t="n">
        <v>30000</v>
      </c>
      <c r="I250" t="n">
        <v>30000</v>
      </c>
      <c r="J250" t="n">
        <v>2658</v>
      </c>
      <c r="K250" t="n">
        <v>8.859999999999999</v>
      </c>
      <c r="L250" s="5">
        <f>100*J250/I250</f>
        <v/>
      </c>
      <c r="M250">
        <f>H250-I250</f>
        <v/>
      </c>
    </row>
    <row r="251">
      <c r="A251" t="inlineStr">
        <is>
          <t>SIMULATED Commercial FA Study</t>
        </is>
      </c>
      <c r="B251" t="inlineStr">
        <is>
          <t>P32</t>
        </is>
      </c>
      <c r="C251" t="inlineStr">
        <is>
          <t>B_C2first</t>
        </is>
      </c>
      <c r="D251" t="inlineStr">
        <is>
          <t>Baseline_1</t>
        </is>
      </c>
      <c r="E251" t="inlineStr">
        <is>
          <t>Ch6</t>
        </is>
      </c>
      <c r="F251" t="inlineStr">
        <is>
          <t>F4</t>
        </is>
      </c>
      <c r="G251" t="n">
        <v>60000</v>
      </c>
      <c r="H251" t="n">
        <v>30000</v>
      </c>
      <c r="I251" t="n">
        <v>30000</v>
      </c>
      <c r="J251" t="n">
        <v>2697</v>
      </c>
      <c r="K251" t="n">
        <v>8.99</v>
      </c>
      <c r="L251" s="5">
        <f>100*J251/I251</f>
        <v/>
      </c>
      <c r="M251">
        <f>H251-I251</f>
        <v/>
      </c>
    </row>
    <row r="252">
      <c r="A252" t="inlineStr">
        <is>
          <t>SIMULATED Commercial FA Study</t>
        </is>
      </c>
      <c r="B252" t="inlineStr">
        <is>
          <t>P32</t>
        </is>
      </c>
      <c r="C252" t="inlineStr">
        <is>
          <t>B_C2first</t>
        </is>
      </c>
      <c r="D252" t="inlineStr">
        <is>
          <t>Commercial_2</t>
        </is>
      </c>
      <c r="E252" t="inlineStr">
        <is>
          <t>Ch5</t>
        </is>
      </c>
      <c r="F252" t="inlineStr">
        <is>
          <t>F3</t>
        </is>
      </c>
      <c r="G252" t="n">
        <v>60000</v>
      </c>
      <c r="H252" t="n">
        <v>30000</v>
      </c>
      <c r="I252" t="n">
        <v>30000</v>
      </c>
      <c r="J252" t="n">
        <v>2085</v>
      </c>
      <c r="K252" t="n">
        <v>6.95</v>
      </c>
      <c r="L252" s="5">
        <f>100*J252/I252</f>
        <v/>
      </c>
      <c r="M252">
        <f>H252-I252</f>
        <v/>
      </c>
    </row>
    <row r="253">
      <c r="A253" t="inlineStr">
        <is>
          <t>SIMULATED Commercial FA Study</t>
        </is>
      </c>
      <c r="B253" t="inlineStr">
        <is>
          <t>P32</t>
        </is>
      </c>
      <c r="C253" t="inlineStr">
        <is>
          <t>B_C2first</t>
        </is>
      </c>
      <c r="D253" t="inlineStr">
        <is>
          <t>Commercial_2</t>
        </is>
      </c>
      <c r="E253" t="inlineStr">
        <is>
          <t>Ch6</t>
        </is>
      </c>
      <c r="F253" t="inlineStr">
        <is>
          <t>F4</t>
        </is>
      </c>
      <c r="G253" t="n">
        <v>60000</v>
      </c>
      <c r="H253" t="n">
        <v>30000</v>
      </c>
      <c r="I253" t="n">
        <v>30000</v>
      </c>
      <c r="J253" t="n">
        <v>1986</v>
      </c>
      <c r="K253" t="n">
        <v>6.62</v>
      </c>
      <c r="L253" s="5">
        <f>100*J253/I253</f>
        <v/>
      </c>
      <c r="M253">
        <f>H253-I253</f>
        <v/>
      </c>
    </row>
    <row r="254">
      <c r="A254" t="inlineStr">
        <is>
          <t>SIMULATED Commercial FA Study</t>
        </is>
      </c>
      <c r="B254" t="inlineStr">
        <is>
          <t>P32</t>
        </is>
      </c>
      <c r="C254" t="inlineStr">
        <is>
          <t>B_C2first</t>
        </is>
      </c>
      <c r="D254" t="inlineStr">
        <is>
          <t>Baseline_2</t>
        </is>
      </c>
      <c r="E254" t="inlineStr">
        <is>
          <t>Ch5</t>
        </is>
      </c>
      <c r="F254" t="inlineStr">
        <is>
          <t>F3</t>
        </is>
      </c>
      <c r="G254" t="n">
        <v>60000</v>
      </c>
      <c r="H254" t="n">
        <v>30000</v>
      </c>
      <c r="I254" t="n">
        <v>30000</v>
      </c>
      <c r="J254" t="n">
        <v>1563</v>
      </c>
      <c r="K254" t="n">
        <v>5.21</v>
      </c>
      <c r="L254" s="5">
        <f>100*J254/I254</f>
        <v/>
      </c>
      <c r="M254">
        <f>H254-I254</f>
        <v/>
      </c>
    </row>
    <row r="255">
      <c r="A255" t="inlineStr">
        <is>
          <t>SIMULATED Commercial FA Study</t>
        </is>
      </c>
      <c r="B255" t="inlineStr">
        <is>
          <t>P32</t>
        </is>
      </c>
      <c r="C255" t="inlineStr">
        <is>
          <t>B_C2first</t>
        </is>
      </c>
      <c r="D255" t="inlineStr">
        <is>
          <t>Baseline_2</t>
        </is>
      </c>
      <c r="E255" t="inlineStr">
        <is>
          <t>Ch6</t>
        </is>
      </c>
      <c r="F255" t="inlineStr">
        <is>
          <t>F4</t>
        </is>
      </c>
      <c r="G255" t="n">
        <v>60000</v>
      </c>
      <c r="H255" t="n">
        <v>30000</v>
      </c>
      <c r="I255" t="n">
        <v>30000</v>
      </c>
      <c r="J255" t="n">
        <v>1839</v>
      </c>
      <c r="K255" t="n">
        <v>6.13</v>
      </c>
      <c r="L255" s="5">
        <f>100*J255/I255</f>
        <v/>
      </c>
      <c r="M255">
        <f>H255-I255</f>
        <v/>
      </c>
    </row>
    <row r="256">
      <c r="A256" t="inlineStr">
        <is>
          <t>SIMULATED Commercial FA Study</t>
        </is>
      </c>
      <c r="B256" t="inlineStr">
        <is>
          <t>P32</t>
        </is>
      </c>
      <c r="C256" t="inlineStr">
        <is>
          <t>B_C2first</t>
        </is>
      </c>
      <c r="D256" t="inlineStr">
        <is>
          <t>Commercial_1B</t>
        </is>
      </c>
      <c r="E256" t="inlineStr">
        <is>
          <t>Ch5</t>
        </is>
      </c>
      <c r="F256" t="inlineStr">
        <is>
          <t>F3</t>
        </is>
      </c>
      <c r="G256" t="n">
        <v>54000</v>
      </c>
      <c r="H256" t="n">
        <v>27000</v>
      </c>
      <c r="I256" t="n">
        <v>27000</v>
      </c>
      <c r="J256" t="n">
        <v>5673</v>
      </c>
      <c r="K256" t="n">
        <v>21.01</v>
      </c>
      <c r="L256" s="5">
        <f>100*J256/I256</f>
        <v/>
      </c>
      <c r="M256">
        <f>H256-I256</f>
        <v/>
      </c>
    </row>
    <row r="257">
      <c r="A257" t="inlineStr">
        <is>
          <t>SIMULATED Commercial FA Study</t>
        </is>
      </c>
      <c r="B257" t="inlineStr">
        <is>
          <t>P32</t>
        </is>
      </c>
      <c r="C257" t="inlineStr">
        <is>
          <t>B_C2first</t>
        </is>
      </c>
      <c r="D257" t="inlineStr">
        <is>
          <t>Commercial_1B</t>
        </is>
      </c>
      <c r="E257" t="inlineStr">
        <is>
          <t>Ch6</t>
        </is>
      </c>
      <c r="F257" t="inlineStr">
        <is>
          <t>F4</t>
        </is>
      </c>
      <c r="G257" t="n">
        <v>54000</v>
      </c>
      <c r="H257" t="n">
        <v>27000</v>
      </c>
      <c r="I257" t="n">
        <v>27000</v>
      </c>
      <c r="J257" t="n">
        <v>5260</v>
      </c>
      <c r="K257" t="n">
        <v>19.48</v>
      </c>
      <c r="L257" s="5">
        <f>100*J257/I257</f>
        <v/>
      </c>
      <c r="M257">
        <f>H257-I257</f>
        <v/>
      </c>
    </row>
    <row r="258">
      <c r="A258" t="inlineStr">
        <is>
          <t>SIMULATED Commercial FA Study</t>
        </is>
      </c>
      <c r="B258" t="inlineStr">
        <is>
          <t>P33</t>
        </is>
      </c>
      <c r="C258" t="inlineStr">
        <is>
          <t>B_C1first</t>
        </is>
      </c>
      <c r="D258" t="inlineStr">
        <is>
          <t>Baseline_1</t>
        </is>
      </c>
      <c r="E258" t="inlineStr">
        <is>
          <t>Ch5</t>
        </is>
      </c>
      <c r="F258" t="inlineStr">
        <is>
          <t>F3</t>
        </is>
      </c>
      <c r="G258" t="n">
        <v>60000</v>
      </c>
      <c r="H258" t="n">
        <v>30000</v>
      </c>
      <c r="I258" t="n">
        <v>30000</v>
      </c>
      <c r="J258" t="n">
        <v>2037</v>
      </c>
      <c r="K258" t="n">
        <v>6.79</v>
      </c>
      <c r="L258" s="5">
        <f>100*J258/I258</f>
        <v/>
      </c>
      <c r="M258">
        <f>H258-I258</f>
        <v/>
      </c>
    </row>
    <row r="259">
      <c r="A259" t="inlineStr">
        <is>
          <t>SIMULATED Commercial FA Study</t>
        </is>
      </c>
      <c r="B259" t="inlineStr">
        <is>
          <t>P33</t>
        </is>
      </c>
      <c r="C259" t="inlineStr">
        <is>
          <t>B_C1first</t>
        </is>
      </c>
      <c r="D259" t="inlineStr">
        <is>
          <t>Baseline_1</t>
        </is>
      </c>
      <c r="E259" t="inlineStr">
        <is>
          <t>Ch6</t>
        </is>
      </c>
      <c r="F259" t="inlineStr">
        <is>
          <t>F4</t>
        </is>
      </c>
      <c r="G259" t="n">
        <v>60000</v>
      </c>
      <c r="H259" t="n">
        <v>30000</v>
      </c>
      <c r="I259" t="n">
        <v>30000</v>
      </c>
      <c r="J259" t="n">
        <v>2100</v>
      </c>
      <c r="K259" t="n">
        <v>7</v>
      </c>
      <c r="L259" s="5">
        <f>100*J259/I259</f>
        <v/>
      </c>
      <c r="M259">
        <f>H259-I259</f>
        <v/>
      </c>
    </row>
    <row r="260">
      <c r="A260" t="inlineStr">
        <is>
          <t>SIMULATED Commercial FA Study</t>
        </is>
      </c>
      <c r="B260" t="inlineStr">
        <is>
          <t>P33</t>
        </is>
      </c>
      <c r="C260" t="inlineStr">
        <is>
          <t>B_C1first</t>
        </is>
      </c>
      <c r="D260" t="inlineStr">
        <is>
          <t>Commercial_1B</t>
        </is>
      </c>
      <c r="E260" t="inlineStr">
        <is>
          <t>Ch5</t>
        </is>
      </c>
      <c r="F260" t="inlineStr">
        <is>
          <t>F3</t>
        </is>
      </c>
      <c r="G260" t="n">
        <v>54000</v>
      </c>
      <c r="H260" t="n">
        <v>27000</v>
      </c>
      <c r="I260" t="n">
        <v>27000</v>
      </c>
      <c r="J260" t="n">
        <v>0</v>
      </c>
      <c r="K260" t="n">
        <v>0</v>
      </c>
      <c r="L260" s="5">
        <f>100*J260/I260</f>
        <v/>
      </c>
      <c r="M260">
        <f>H260-I260</f>
        <v/>
      </c>
    </row>
    <row r="261">
      <c r="A261" t="inlineStr">
        <is>
          <t>SIMULATED Commercial FA Study</t>
        </is>
      </c>
      <c r="B261" t="inlineStr">
        <is>
          <t>P33</t>
        </is>
      </c>
      <c r="C261" t="inlineStr">
        <is>
          <t>B_C1first</t>
        </is>
      </c>
      <c r="D261" t="inlineStr">
        <is>
          <t>Commercial_1B</t>
        </is>
      </c>
      <c r="E261" t="inlineStr">
        <is>
          <t>Ch6</t>
        </is>
      </c>
      <c r="F261" t="inlineStr">
        <is>
          <t>F4</t>
        </is>
      </c>
      <c r="G261" t="n">
        <v>54000</v>
      </c>
      <c r="H261" t="n">
        <v>27000</v>
      </c>
      <c r="I261" t="n">
        <v>27000</v>
      </c>
      <c r="J261" t="n">
        <v>0</v>
      </c>
      <c r="K261" t="n">
        <v>0</v>
      </c>
      <c r="L261" s="5">
        <f>100*J261/I261</f>
        <v/>
      </c>
      <c r="M261">
        <f>H261-I261</f>
        <v/>
      </c>
    </row>
    <row r="262">
      <c r="A262" t="inlineStr">
        <is>
          <t>SIMULATED Commercial FA Study</t>
        </is>
      </c>
      <c r="B262" t="inlineStr">
        <is>
          <t>P33</t>
        </is>
      </c>
      <c r="C262" t="inlineStr">
        <is>
          <t>B_C1first</t>
        </is>
      </c>
      <c r="D262" t="inlineStr">
        <is>
          <t>Baseline_2</t>
        </is>
      </c>
      <c r="E262" t="inlineStr">
        <is>
          <t>Ch5</t>
        </is>
      </c>
      <c r="F262" t="inlineStr">
        <is>
          <t>F3</t>
        </is>
      </c>
      <c r="G262" t="n">
        <v>60000</v>
      </c>
      <c r="H262" t="n">
        <v>30000</v>
      </c>
      <c r="I262" t="n">
        <v>30000</v>
      </c>
      <c r="J262" t="n">
        <v>336</v>
      </c>
      <c r="K262" t="n">
        <v>1.12</v>
      </c>
      <c r="L262" s="5">
        <f>100*J262/I262</f>
        <v/>
      </c>
      <c r="M262">
        <f>H262-I262</f>
        <v/>
      </c>
    </row>
    <row r="263">
      <c r="A263" t="inlineStr">
        <is>
          <t>SIMULATED Commercial FA Study</t>
        </is>
      </c>
      <c r="B263" t="inlineStr">
        <is>
          <t>P33</t>
        </is>
      </c>
      <c r="C263" t="inlineStr">
        <is>
          <t>B_C1first</t>
        </is>
      </c>
      <c r="D263" t="inlineStr">
        <is>
          <t>Baseline_2</t>
        </is>
      </c>
      <c r="E263" t="inlineStr">
        <is>
          <t>Ch6</t>
        </is>
      </c>
      <c r="F263" t="inlineStr">
        <is>
          <t>F4</t>
        </is>
      </c>
      <c r="G263" t="n">
        <v>60000</v>
      </c>
      <c r="H263" t="n">
        <v>30000</v>
      </c>
      <c r="I263" t="n">
        <v>30000</v>
      </c>
      <c r="J263" t="n">
        <v>624</v>
      </c>
      <c r="K263" t="n">
        <v>2.08</v>
      </c>
      <c r="L263" s="5">
        <f>100*J263/I263</f>
        <v/>
      </c>
      <c r="M263">
        <f>H263-I263</f>
        <v/>
      </c>
    </row>
    <row r="264">
      <c r="A264" t="inlineStr">
        <is>
          <t>SIMULATED Commercial FA Study</t>
        </is>
      </c>
      <c r="B264" t="inlineStr">
        <is>
          <t>P33</t>
        </is>
      </c>
      <c r="C264" t="inlineStr">
        <is>
          <t>B_C1first</t>
        </is>
      </c>
      <c r="D264" t="inlineStr">
        <is>
          <t>Commercial_2</t>
        </is>
      </c>
      <c r="E264" t="inlineStr">
        <is>
          <t>Ch5</t>
        </is>
      </c>
      <c r="F264" t="inlineStr">
        <is>
          <t>F3</t>
        </is>
      </c>
      <c r="G264" t="n">
        <v>60000</v>
      </c>
      <c r="H264" t="n">
        <v>30000</v>
      </c>
      <c r="I264" t="n">
        <v>30000</v>
      </c>
      <c r="J264" t="n">
        <v>168</v>
      </c>
      <c r="K264" t="n">
        <v>0.5600000000000001</v>
      </c>
      <c r="L264" s="5">
        <f>100*J264/I264</f>
        <v/>
      </c>
      <c r="M264">
        <f>H264-I264</f>
        <v/>
      </c>
    </row>
    <row r="265">
      <c r="A265" t="inlineStr">
        <is>
          <t>SIMULATED Commercial FA Study</t>
        </is>
      </c>
      <c r="B265" t="inlineStr">
        <is>
          <t>P33</t>
        </is>
      </c>
      <c r="C265" t="inlineStr">
        <is>
          <t>B_C1first</t>
        </is>
      </c>
      <c r="D265" t="inlineStr">
        <is>
          <t>Commercial_2</t>
        </is>
      </c>
      <c r="E265" t="inlineStr">
        <is>
          <t>Ch6</t>
        </is>
      </c>
      <c r="F265" t="inlineStr">
        <is>
          <t>F4</t>
        </is>
      </c>
      <c r="G265" t="n">
        <v>60000</v>
      </c>
      <c r="H265" t="n">
        <v>30000</v>
      </c>
      <c r="I265" t="n">
        <v>30000</v>
      </c>
      <c r="J265" t="n">
        <v>159</v>
      </c>
      <c r="K265" t="n">
        <v>0.53</v>
      </c>
      <c r="L265" s="5">
        <f>100*J265/I265</f>
        <v/>
      </c>
      <c r="M265">
        <f>H265-I265</f>
        <v/>
      </c>
    </row>
    <row r="266">
      <c r="A266" t="inlineStr">
        <is>
          <t>SIMULATED Commercial FA Study</t>
        </is>
      </c>
      <c r="B266" t="inlineStr">
        <is>
          <t>P34</t>
        </is>
      </c>
      <c r="C266" t="inlineStr">
        <is>
          <t>A_C1first</t>
        </is>
      </c>
      <c r="D266" t="inlineStr">
        <is>
          <t>Baseline_1</t>
        </is>
      </c>
      <c r="E266" t="inlineStr">
        <is>
          <t>Ch5</t>
        </is>
      </c>
      <c r="F266" t="inlineStr">
        <is>
          <t>F3</t>
        </is>
      </c>
      <c r="G266" t="n">
        <v>60000</v>
      </c>
      <c r="H266" t="n">
        <v>30000</v>
      </c>
      <c r="I266" t="n">
        <v>30000</v>
      </c>
      <c r="J266" t="n">
        <v>3285</v>
      </c>
      <c r="K266" t="n">
        <v>10.95</v>
      </c>
      <c r="L266" s="5">
        <f>100*J266/I266</f>
        <v/>
      </c>
      <c r="M266">
        <f>H266-I266</f>
        <v/>
      </c>
    </row>
    <row r="267">
      <c r="A267" t="inlineStr">
        <is>
          <t>SIMULATED Commercial FA Study</t>
        </is>
      </c>
      <c r="B267" t="inlineStr">
        <is>
          <t>P34</t>
        </is>
      </c>
      <c r="C267" t="inlineStr">
        <is>
          <t>A_C1first</t>
        </is>
      </c>
      <c r="D267" t="inlineStr">
        <is>
          <t>Baseline_1</t>
        </is>
      </c>
      <c r="E267" t="inlineStr">
        <is>
          <t>Ch6</t>
        </is>
      </c>
      <c r="F267" t="inlineStr">
        <is>
          <t>F4</t>
        </is>
      </c>
      <c r="G267" t="n">
        <v>60000</v>
      </c>
      <c r="H267" t="n">
        <v>30000</v>
      </c>
      <c r="I267" t="n">
        <v>30000</v>
      </c>
      <c r="J267" t="n">
        <v>3351</v>
      </c>
      <c r="K267" t="n">
        <v>11.17</v>
      </c>
      <c r="L267" s="5">
        <f>100*J267/I267</f>
        <v/>
      </c>
      <c r="M267">
        <f>H267-I267</f>
        <v/>
      </c>
    </row>
    <row r="268">
      <c r="A268" t="inlineStr">
        <is>
          <t>SIMULATED Commercial FA Study</t>
        </is>
      </c>
      <c r="B268" t="inlineStr">
        <is>
          <t>P34</t>
        </is>
      </c>
      <c r="C268" t="inlineStr">
        <is>
          <t>A_C1first</t>
        </is>
      </c>
      <c r="D268" t="inlineStr">
        <is>
          <t>Commercial_1A</t>
        </is>
      </c>
      <c r="E268" t="inlineStr">
        <is>
          <t>Ch5</t>
        </is>
      </c>
      <c r="F268" t="inlineStr">
        <is>
          <t>F3</t>
        </is>
      </c>
      <c r="G268" t="n">
        <v>60000</v>
      </c>
      <c r="H268" t="n">
        <v>30000</v>
      </c>
      <c r="I268" t="n">
        <v>30000</v>
      </c>
      <c r="J268" t="n">
        <v>924</v>
      </c>
      <c r="K268" t="n">
        <v>3.08</v>
      </c>
      <c r="L268" s="5">
        <f>100*J268/I268</f>
        <v/>
      </c>
      <c r="M268">
        <f>H268-I268</f>
        <v/>
      </c>
    </row>
    <row r="269">
      <c r="A269" t="inlineStr">
        <is>
          <t>SIMULATED Commercial FA Study</t>
        </is>
      </c>
      <c r="B269" t="inlineStr">
        <is>
          <t>P34</t>
        </is>
      </c>
      <c r="C269" t="inlineStr">
        <is>
          <t>A_C1first</t>
        </is>
      </c>
      <c r="D269" t="inlineStr">
        <is>
          <t>Commercial_1A</t>
        </is>
      </c>
      <c r="E269" t="inlineStr">
        <is>
          <t>Ch6</t>
        </is>
      </c>
      <c r="F269" t="inlineStr">
        <is>
          <t>F4</t>
        </is>
      </c>
      <c r="G269" t="n">
        <v>60000</v>
      </c>
      <c r="H269" t="n">
        <v>30000</v>
      </c>
      <c r="I269" t="n">
        <v>30000</v>
      </c>
      <c r="J269" t="n">
        <v>903</v>
      </c>
      <c r="K269" t="n">
        <v>3.01</v>
      </c>
      <c r="L269" s="5">
        <f>100*J269/I269</f>
        <v/>
      </c>
      <c r="M269">
        <f>H269-I269</f>
        <v/>
      </c>
    </row>
    <row r="270">
      <c r="A270" t="inlineStr">
        <is>
          <t>SIMULATED Commercial FA Study</t>
        </is>
      </c>
      <c r="B270" t="inlineStr">
        <is>
          <t>P34</t>
        </is>
      </c>
      <c r="C270" t="inlineStr">
        <is>
          <t>A_C1first</t>
        </is>
      </c>
      <c r="D270" t="inlineStr">
        <is>
          <t>Baseline_2</t>
        </is>
      </c>
      <c r="E270" t="inlineStr">
        <is>
          <t>Ch5</t>
        </is>
      </c>
      <c r="F270" t="inlineStr">
        <is>
          <t>F3</t>
        </is>
      </c>
      <c r="G270" t="n">
        <v>60000</v>
      </c>
      <c r="H270" t="n">
        <v>30000</v>
      </c>
      <c r="I270" t="n">
        <v>30000</v>
      </c>
      <c r="J270" t="n">
        <v>1716</v>
      </c>
      <c r="K270" t="n">
        <v>5.72</v>
      </c>
      <c r="L270" s="5">
        <f>100*J270/I270</f>
        <v/>
      </c>
      <c r="M270">
        <f>H270-I270</f>
        <v/>
      </c>
    </row>
    <row r="271">
      <c r="A271" t="inlineStr">
        <is>
          <t>SIMULATED Commercial FA Study</t>
        </is>
      </c>
      <c r="B271" t="inlineStr">
        <is>
          <t>P34</t>
        </is>
      </c>
      <c r="C271" t="inlineStr">
        <is>
          <t>A_C1first</t>
        </is>
      </c>
      <c r="D271" t="inlineStr">
        <is>
          <t>Baseline_2</t>
        </is>
      </c>
      <c r="E271" t="inlineStr">
        <is>
          <t>Ch6</t>
        </is>
      </c>
      <c r="F271" t="inlineStr">
        <is>
          <t>F4</t>
        </is>
      </c>
      <c r="G271" t="n">
        <v>60000</v>
      </c>
      <c r="H271" t="n">
        <v>30000</v>
      </c>
      <c r="I271" t="n">
        <v>30000</v>
      </c>
      <c r="J271" t="n">
        <v>1626</v>
      </c>
      <c r="K271" t="n">
        <v>5.42</v>
      </c>
      <c r="L271" s="5">
        <f>100*J271/I271</f>
        <v/>
      </c>
      <c r="M271">
        <f>H271-I271</f>
        <v/>
      </c>
    </row>
    <row r="272">
      <c r="A272" t="inlineStr">
        <is>
          <t>SIMULATED Commercial FA Study</t>
        </is>
      </c>
      <c r="B272" t="inlineStr">
        <is>
          <t>P34</t>
        </is>
      </c>
      <c r="C272" t="inlineStr">
        <is>
          <t>A_C1first</t>
        </is>
      </c>
      <c r="D272" t="inlineStr">
        <is>
          <t>Commercial_2</t>
        </is>
      </c>
      <c r="E272" t="inlineStr">
        <is>
          <t>Ch5</t>
        </is>
      </c>
      <c r="F272" t="inlineStr">
        <is>
          <t>F3</t>
        </is>
      </c>
      <c r="G272" t="n">
        <v>60000</v>
      </c>
      <c r="H272" t="n">
        <v>30000</v>
      </c>
      <c r="I272" t="n">
        <v>30000</v>
      </c>
      <c r="J272" t="n">
        <v>768</v>
      </c>
      <c r="K272" t="n">
        <v>2.56</v>
      </c>
      <c r="L272" s="5">
        <f>100*J272/I272</f>
        <v/>
      </c>
      <c r="M272">
        <f>H272-I272</f>
        <v/>
      </c>
    </row>
    <row r="273">
      <c r="A273" t="inlineStr">
        <is>
          <t>SIMULATED Commercial FA Study</t>
        </is>
      </c>
      <c r="B273" t="inlineStr">
        <is>
          <t>P34</t>
        </is>
      </c>
      <c r="C273" t="inlineStr">
        <is>
          <t>A_C1first</t>
        </is>
      </c>
      <c r="D273" t="inlineStr">
        <is>
          <t>Commercial_2</t>
        </is>
      </c>
      <c r="E273" t="inlineStr">
        <is>
          <t>Ch6</t>
        </is>
      </c>
      <c r="F273" t="inlineStr">
        <is>
          <t>F4</t>
        </is>
      </c>
      <c r="G273" t="n">
        <v>60000</v>
      </c>
      <c r="H273" t="n">
        <v>30000</v>
      </c>
      <c r="I273" t="n">
        <v>30000</v>
      </c>
      <c r="J273" t="n">
        <v>2400</v>
      </c>
      <c r="K273" t="n">
        <v>8</v>
      </c>
      <c r="L273" s="5">
        <f>100*J273/I273</f>
        <v/>
      </c>
      <c r="M273">
        <f>H273-I273</f>
        <v/>
      </c>
    </row>
    <row r="274">
      <c r="A274" t="inlineStr">
        <is>
          <t>SIMULATED Commercial FA Study</t>
        </is>
      </c>
      <c r="B274" t="inlineStr">
        <is>
          <t>P35</t>
        </is>
      </c>
      <c r="C274" t="inlineStr">
        <is>
          <t>A_C2first</t>
        </is>
      </c>
      <c r="D274" t="inlineStr">
        <is>
          <t>Baseline_1</t>
        </is>
      </c>
      <c r="E274" t="inlineStr">
        <is>
          <t>Ch5</t>
        </is>
      </c>
      <c r="F274" t="inlineStr">
        <is>
          <t>F3</t>
        </is>
      </c>
      <c r="G274" t="n">
        <v>60000</v>
      </c>
      <c r="H274" t="n">
        <v>30000</v>
      </c>
      <c r="I274" t="n">
        <v>30000</v>
      </c>
      <c r="J274" t="n">
        <v>237</v>
      </c>
      <c r="K274" t="n">
        <v>0.79</v>
      </c>
      <c r="L274" s="5">
        <f>100*J274/I274</f>
        <v/>
      </c>
      <c r="M274">
        <f>H274-I274</f>
        <v/>
      </c>
    </row>
    <row r="275">
      <c r="A275" t="inlineStr">
        <is>
          <t>SIMULATED Commercial FA Study</t>
        </is>
      </c>
      <c r="B275" t="inlineStr">
        <is>
          <t>P35</t>
        </is>
      </c>
      <c r="C275" t="inlineStr">
        <is>
          <t>A_C2first</t>
        </is>
      </c>
      <c r="D275" t="inlineStr">
        <is>
          <t>Baseline_1</t>
        </is>
      </c>
      <c r="E275" t="inlineStr">
        <is>
          <t>Ch6</t>
        </is>
      </c>
      <c r="F275" t="inlineStr">
        <is>
          <t>F4</t>
        </is>
      </c>
      <c r="G275" t="n">
        <v>60000</v>
      </c>
      <c r="H275" t="n">
        <v>30000</v>
      </c>
      <c r="I275" t="n">
        <v>30000</v>
      </c>
      <c r="J275" t="n">
        <v>219</v>
      </c>
      <c r="K275" t="n">
        <v>0.73</v>
      </c>
      <c r="L275" s="5">
        <f>100*J275/I275</f>
        <v/>
      </c>
      <c r="M275">
        <f>H275-I275</f>
        <v/>
      </c>
    </row>
    <row r="276">
      <c r="A276" t="inlineStr">
        <is>
          <t>SIMULATED Commercial FA Study</t>
        </is>
      </c>
      <c r="B276" t="inlineStr">
        <is>
          <t>P35</t>
        </is>
      </c>
      <c r="C276" t="inlineStr">
        <is>
          <t>A_C2first</t>
        </is>
      </c>
      <c r="D276" t="inlineStr">
        <is>
          <t>Commercial_2</t>
        </is>
      </c>
      <c r="E276" t="inlineStr">
        <is>
          <t>Ch5</t>
        </is>
      </c>
      <c r="F276" t="inlineStr">
        <is>
          <t>F3</t>
        </is>
      </c>
      <c r="G276" t="n">
        <v>60000</v>
      </c>
      <c r="H276" t="n">
        <v>30000</v>
      </c>
      <c r="I276" t="n">
        <v>30000</v>
      </c>
      <c r="J276" t="n">
        <v>288</v>
      </c>
      <c r="K276" t="n">
        <v>0.96</v>
      </c>
      <c r="L276" s="5">
        <f>100*J276/I276</f>
        <v/>
      </c>
      <c r="M276">
        <f>H276-I276</f>
        <v/>
      </c>
    </row>
    <row r="277">
      <c r="A277" t="inlineStr">
        <is>
          <t>SIMULATED Commercial FA Study</t>
        </is>
      </c>
      <c r="B277" t="inlineStr">
        <is>
          <t>P35</t>
        </is>
      </c>
      <c r="C277" t="inlineStr">
        <is>
          <t>A_C2first</t>
        </is>
      </c>
      <c r="D277" t="inlineStr">
        <is>
          <t>Commercial_2</t>
        </is>
      </c>
      <c r="E277" t="inlineStr">
        <is>
          <t>Ch6</t>
        </is>
      </c>
      <c r="F277" t="inlineStr">
        <is>
          <t>F4</t>
        </is>
      </c>
      <c r="G277" t="n">
        <v>60000</v>
      </c>
      <c r="H277" t="n">
        <v>30000</v>
      </c>
      <c r="I277" t="n">
        <v>30000</v>
      </c>
      <c r="J277" t="n">
        <v>117</v>
      </c>
      <c r="K277" t="n">
        <v>0.39</v>
      </c>
      <c r="L277" s="5">
        <f>100*J277/I277</f>
        <v/>
      </c>
      <c r="M277">
        <f>H277-I277</f>
        <v/>
      </c>
    </row>
    <row r="278">
      <c r="A278" t="inlineStr">
        <is>
          <t>SIMULATED Commercial FA Study</t>
        </is>
      </c>
      <c r="B278" t="inlineStr">
        <is>
          <t>P35</t>
        </is>
      </c>
      <c r="C278" t="inlineStr">
        <is>
          <t>A_C2first</t>
        </is>
      </c>
      <c r="D278" t="inlineStr">
        <is>
          <t>Baseline_2</t>
        </is>
      </c>
      <c r="E278" t="inlineStr">
        <is>
          <t>Ch5</t>
        </is>
      </c>
      <c r="F278" t="inlineStr">
        <is>
          <t>F3</t>
        </is>
      </c>
      <c r="G278" t="n">
        <v>60000</v>
      </c>
      <c r="H278" t="n">
        <v>30000</v>
      </c>
      <c r="I278" t="n">
        <v>30000</v>
      </c>
      <c r="J278" t="n">
        <v>615</v>
      </c>
      <c r="K278" t="n">
        <v>2.05</v>
      </c>
      <c r="L278" s="5">
        <f>100*J278/I278</f>
        <v/>
      </c>
      <c r="M278">
        <f>H278-I278</f>
        <v/>
      </c>
    </row>
    <row r="279">
      <c r="A279" t="inlineStr">
        <is>
          <t>SIMULATED Commercial FA Study</t>
        </is>
      </c>
      <c r="B279" t="inlineStr">
        <is>
          <t>P35</t>
        </is>
      </c>
      <c r="C279" t="inlineStr">
        <is>
          <t>A_C2first</t>
        </is>
      </c>
      <c r="D279" t="inlineStr">
        <is>
          <t>Baseline_2</t>
        </is>
      </c>
      <c r="E279" t="inlineStr">
        <is>
          <t>Ch6</t>
        </is>
      </c>
      <c r="F279" t="inlineStr">
        <is>
          <t>F4</t>
        </is>
      </c>
      <c r="G279" t="n">
        <v>60000</v>
      </c>
      <c r="H279" t="n">
        <v>30000</v>
      </c>
      <c r="I279" t="n">
        <v>30000</v>
      </c>
      <c r="J279" t="n">
        <v>582</v>
      </c>
      <c r="K279" t="n">
        <v>1.94</v>
      </c>
      <c r="L279" s="5">
        <f>100*J279/I279</f>
        <v/>
      </c>
      <c r="M279">
        <f>H279-I279</f>
        <v/>
      </c>
    </row>
    <row r="280">
      <c r="A280" t="inlineStr">
        <is>
          <t>SIMULATED Commercial FA Study</t>
        </is>
      </c>
      <c r="B280" t="inlineStr">
        <is>
          <t>P35</t>
        </is>
      </c>
      <c r="C280" t="inlineStr">
        <is>
          <t>A_C2first</t>
        </is>
      </c>
      <c r="D280" t="inlineStr">
        <is>
          <t>Commercial_1A</t>
        </is>
      </c>
      <c r="E280" t="inlineStr">
        <is>
          <t>Ch5</t>
        </is>
      </c>
      <c r="F280" t="inlineStr">
        <is>
          <t>F3</t>
        </is>
      </c>
      <c r="G280" t="n">
        <v>60000</v>
      </c>
      <c r="H280" t="n">
        <v>30000</v>
      </c>
      <c r="I280" t="n">
        <v>30000</v>
      </c>
      <c r="J280" t="n">
        <v>135</v>
      </c>
      <c r="K280" t="n">
        <v>0.45</v>
      </c>
      <c r="L280" s="5">
        <f>100*J280/I280</f>
        <v/>
      </c>
      <c r="M280">
        <f>H280-I280</f>
        <v/>
      </c>
    </row>
    <row r="281">
      <c r="A281" t="inlineStr">
        <is>
          <t>SIMULATED Commercial FA Study</t>
        </is>
      </c>
      <c r="B281" t="inlineStr">
        <is>
          <t>P35</t>
        </is>
      </c>
      <c r="C281" t="inlineStr">
        <is>
          <t>A_C2first</t>
        </is>
      </c>
      <c r="D281" t="inlineStr">
        <is>
          <t>Commercial_1A</t>
        </is>
      </c>
      <c r="E281" t="inlineStr">
        <is>
          <t>Ch6</t>
        </is>
      </c>
      <c r="F281" t="inlineStr">
        <is>
          <t>F4</t>
        </is>
      </c>
      <c r="G281" t="n">
        <v>60000</v>
      </c>
      <c r="H281" t="n">
        <v>30000</v>
      </c>
      <c r="I281" t="n">
        <v>30000</v>
      </c>
      <c r="J281" t="n">
        <v>159</v>
      </c>
      <c r="K281" t="n">
        <v>0.53</v>
      </c>
      <c r="L281" s="5">
        <f>100*J281/I281</f>
        <v/>
      </c>
      <c r="M281">
        <f>H281-I281</f>
        <v/>
      </c>
    </row>
    <row r="282">
      <c r="A282" t="inlineStr">
        <is>
          <t>SIMULATED Commercial FA Study</t>
        </is>
      </c>
      <c r="B282" t="inlineStr">
        <is>
          <t>P36</t>
        </is>
      </c>
      <c r="C282" t="inlineStr">
        <is>
          <t>B_C2first</t>
        </is>
      </c>
      <c r="D282" t="inlineStr">
        <is>
          <t>Baseline_1</t>
        </is>
      </c>
      <c r="E282" t="inlineStr">
        <is>
          <t>Ch5</t>
        </is>
      </c>
      <c r="F282" t="inlineStr">
        <is>
          <t>F3</t>
        </is>
      </c>
      <c r="G282" t="n">
        <v>60000</v>
      </c>
      <c r="H282" t="n">
        <v>30000</v>
      </c>
      <c r="I282" t="n">
        <v>30000</v>
      </c>
      <c r="J282" t="n">
        <v>213</v>
      </c>
      <c r="K282" t="n">
        <v>0.71</v>
      </c>
      <c r="L282" s="5">
        <f>100*J282/I282</f>
        <v/>
      </c>
      <c r="M282">
        <f>H282-I282</f>
        <v/>
      </c>
    </row>
    <row r="283">
      <c r="A283" t="inlineStr">
        <is>
          <t>SIMULATED Commercial FA Study</t>
        </is>
      </c>
      <c r="B283" t="inlineStr">
        <is>
          <t>P36</t>
        </is>
      </c>
      <c r="C283" t="inlineStr">
        <is>
          <t>B_C2first</t>
        </is>
      </c>
      <c r="D283" t="inlineStr">
        <is>
          <t>Baseline_1</t>
        </is>
      </c>
      <c r="E283" t="inlineStr">
        <is>
          <t>Ch6</t>
        </is>
      </c>
      <c r="F283" t="inlineStr">
        <is>
          <t>F4</t>
        </is>
      </c>
      <c r="G283" t="n">
        <v>60000</v>
      </c>
      <c r="H283" t="n">
        <v>30000</v>
      </c>
      <c r="I283" t="n">
        <v>30000</v>
      </c>
      <c r="J283" t="n">
        <v>210</v>
      </c>
      <c r="K283" t="n">
        <v>0.7</v>
      </c>
      <c r="L283" s="5">
        <f>100*J283/I283</f>
        <v/>
      </c>
      <c r="M283">
        <f>H283-I283</f>
        <v/>
      </c>
    </row>
    <row r="284">
      <c r="A284" t="inlineStr">
        <is>
          <t>SIMULATED Commercial FA Study</t>
        </is>
      </c>
      <c r="B284" t="inlineStr">
        <is>
          <t>P36</t>
        </is>
      </c>
      <c r="C284" t="inlineStr">
        <is>
          <t>B_C2first</t>
        </is>
      </c>
      <c r="D284" t="inlineStr">
        <is>
          <t>Commercial_2</t>
        </is>
      </c>
      <c r="E284" t="inlineStr">
        <is>
          <t>Ch5</t>
        </is>
      </c>
      <c r="F284" t="inlineStr">
        <is>
          <t>F3</t>
        </is>
      </c>
      <c r="G284" t="n">
        <v>60000</v>
      </c>
      <c r="H284" t="n">
        <v>30000</v>
      </c>
      <c r="I284" t="n">
        <v>30000</v>
      </c>
      <c r="J284" t="n">
        <v>357</v>
      </c>
      <c r="K284" t="n">
        <v>1.19</v>
      </c>
      <c r="L284" s="5">
        <f>100*J284/I284</f>
        <v/>
      </c>
      <c r="M284">
        <f>H284-I284</f>
        <v/>
      </c>
    </row>
    <row r="285">
      <c r="A285" t="inlineStr">
        <is>
          <t>SIMULATED Commercial FA Study</t>
        </is>
      </c>
      <c r="B285" t="inlineStr">
        <is>
          <t>P36</t>
        </is>
      </c>
      <c r="C285" t="inlineStr">
        <is>
          <t>B_C2first</t>
        </is>
      </c>
      <c r="D285" t="inlineStr">
        <is>
          <t>Commercial_2</t>
        </is>
      </c>
      <c r="E285" t="inlineStr">
        <is>
          <t>Ch6</t>
        </is>
      </c>
      <c r="F285" t="inlineStr">
        <is>
          <t>F4</t>
        </is>
      </c>
      <c r="G285" t="n">
        <v>60000</v>
      </c>
      <c r="H285" t="n">
        <v>30000</v>
      </c>
      <c r="I285" t="n">
        <v>30000</v>
      </c>
      <c r="J285" t="n">
        <v>426</v>
      </c>
      <c r="K285" t="n">
        <v>1.42</v>
      </c>
      <c r="L285" s="5">
        <f>100*J285/I285</f>
        <v/>
      </c>
      <c r="M285">
        <f>H285-I285</f>
        <v/>
      </c>
    </row>
    <row r="286">
      <c r="A286" t="inlineStr">
        <is>
          <t>SIMULATED Commercial FA Study</t>
        </is>
      </c>
      <c r="B286" t="inlineStr">
        <is>
          <t>P36</t>
        </is>
      </c>
      <c r="C286" t="inlineStr">
        <is>
          <t>B_C2first</t>
        </is>
      </c>
      <c r="D286" t="inlineStr">
        <is>
          <t>Baseline_2</t>
        </is>
      </c>
      <c r="E286" t="inlineStr">
        <is>
          <t>Ch5</t>
        </is>
      </c>
      <c r="F286" t="inlineStr">
        <is>
          <t>F3</t>
        </is>
      </c>
      <c r="G286" t="n">
        <v>60000</v>
      </c>
      <c r="H286" t="n">
        <v>30000</v>
      </c>
      <c r="I286" t="n">
        <v>30000</v>
      </c>
      <c r="J286" t="n">
        <v>93</v>
      </c>
      <c r="K286" t="n">
        <v>0.31</v>
      </c>
      <c r="L286" s="5">
        <f>100*J286/I286</f>
        <v/>
      </c>
      <c r="M286">
        <f>H286-I286</f>
        <v/>
      </c>
    </row>
    <row r="287">
      <c r="A287" t="inlineStr">
        <is>
          <t>SIMULATED Commercial FA Study</t>
        </is>
      </c>
      <c r="B287" t="inlineStr">
        <is>
          <t>P36</t>
        </is>
      </c>
      <c r="C287" t="inlineStr">
        <is>
          <t>B_C2first</t>
        </is>
      </c>
      <c r="D287" t="inlineStr">
        <is>
          <t>Baseline_2</t>
        </is>
      </c>
      <c r="E287" t="inlineStr">
        <is>
          <t>Ch6</t>
        </is>
      </c>
      <c r="F287" t="inlineStr">
        <is>
          <t>F4</t>
        </is>
      </c>
      <c r="G287" t="n">
        <v>60000</v>
      </c>
      <c r="H287" t="n">
        <v>30000</v>
      </c>
      <c r="I287" t="n">
        <v>30000</v>
      </c>
      <c r="J287" t="n">
        <v>93</v>
      </c>
      <c r="K287" t="n">
        <v>0.31</v>
      </c>
      <c r="L287" s="5">
        <f>100*J287/I287</f>
        <v/>
      </c>
      <c r="M287">
        <f>H287-I287</f>
        <v/>
      </c>
    </row>
    <row r="288">
      <c r="A288" t="inlineStr">
        <is>
          <t>SIMULATED Commercial FA Study</t>
        </is>
      </c>
      <c r="B288" t="inlineStr">
        <is>
          <t>P36</t>
        </is>
      </c>
      <c r="C288" t="inlineStr">
        <is>
          <t>B_C2first</t>
        </is>
      </c>
      <c r="D288" t="inlineStr">
        <is>
          <t>Commercial_1B</t>
        </is>
      </c>
      <c r="E288" t="inlineStr">
        <is>
          <t>Ch5</t>
        </is>
      </c>
      <c r="F288" t="inlineStr">
        <is>
          <t>F3</t>
        </is>
      </c>
      <c r="G288" t="n">
        <v>54000</v>
      </c>
      <c r="H288" t="n">
        <v>27000</v>
      </c>
      <c r="I288" t="n">
        <v>27000</v>
      </c>
      <c r="J288" t="n">
        <v>470</v>
      </c>
      <c r="K288" t="n">
        <v>1.74</v>
      </c>
      <c r="L288" s="5">
        <f>100*J288/I288</f>
        <v/>
      </c>
      <c r="M288">
        <f>H288-I288</f>
        <v/>
      </c>
    </row>
    <row r="289">
      <c r="A289" t="inlineStr">
        <is>
          <t>SIMULATED Commercial FA Study</t>
        </is>
      </c>
      <c r="B289" t="inlineStr">
        <is>
          <t>P36</t>
        </is>
      </c>
      <c r="C289" t="inlineStr">
        <is>
          <t>B_C2first</t>
        </is>
      </c>
      <c r="D289" t="inlineStr">
        <is>
          <t>Commercial_1B</t>
        </is>
      </c>
      <c r="E289" t="inlineStr">
        <is>
          <t>Ch6</t>
        </is>
      </c>
      <c r="F289" t="inlineStr">
        <is>
          <t>F4</t>
        </is>
      </c>
      <c r="G289" t="n">
        <v>54000</v>
      </c>
      <c r="H289" t="n">
        <v>27000</v>
      </c>
      <c r="I289" t="n">
        <v>27000</v>
      </c>
      <c r="J289" t="n">
        <v>505</v>
      </c>
      <c r="K289" t="n">
        <v>1.87</v>
      </c>
      <c r="L289" s="5">
        <f>100*J289/I289</f>
        <v/>
      </c>
      <c r="M289">
        <f>H289-I289</f>
        <v/>
      </c>
    </row>
    <row r="290">
      <c r="A290" t="inlineStr">
        <is>
          <t>SIMULATED Commercial FA Study</t>
        </is>
      </c>
      <c r="B290" t="inlineStr">
        <is>
          <t>P37</t>
        </is>
      </c>
      <c r="C290" t="inlineStr">
        <is>
          <t>A_C1first</t>
        </is>
      </c>
      <c r="D290" t="inlineStr">
        <is>
          <t>Baseline_1</t>
        </is>
      </c>
      <c r="E290" t="inlineStr">
        <is>
          <t>Ch5</t>
        </is>
      </c>
      <c r="F290" t="inlineStr">
        <is>
          <t>F3</t>
        </is>
      </c>
      <c r="G290" t="n">
        <v>60000</v>
      </c>
      <c r="H290" t="n">
        <v>30000</v>
      </c>
      <c r="I290" t="n">
        <v>30000</v>
      </c>
      <c r="J290" t="n">
        <v>60</v>
      </c>
      <c r="K290" t="n">
        <v>0.2</v>
      </c>
      <c r="L290" s="5">
        <f>100*J290/I290</f>
        <v/>
      </c>
      <c r="M290">
        <f>H290-I290</f>
        <v/>
      </c>
    </row>
    <row r="291">
      <c r="A291" t="inlineStr">
        <is>
          <t>SIMULATED Commercial FA Study</t>
        </is>
      </c>
      <c r="B291" t="inlineStr">
        <is>
          <t>P37</t>
        </is>
      </c>
      <c r="C291" t="inlineStr">
        <is>
          <t>A_C1first</t>
        </is>
      </c>
      <c r="D291" t="inlineStr">
        <is>
          <t>Baseline_1</t>
        </is>
      </c>
      <c r="E291" t="inlineStr">
        <is>
          <t>Ch6</t>
        </is>
      </c>
      <c r="F291" t="inlineStr">
        <is>
          <t>F4</t>
        </is>
      </c>
      <c r="G291" t="n">
        <v>60000</v>
      </c>
      <c r="H291" t="n">
        <v>30000</v>
      </c>
      <c r="I291" t="n">
        <v>30000</v>
      </c>
      <c r="J291" t="n">
        <v>60</v>
      </c>
      <c r="K291" t="n">
        <v>0.2</v>
      </c>
      <c r="L291" s="5">
        <f>100*J291/I291</f>
        <v/>
      </c>
      <c r="M291">
        <f>H291-I291</f>
        <v/>
      </c>
    </row>
    <row r="292">
      <c r="A292" t="inlineStr">
        <is>
          <t>SIMULATED Commercial FA Study</t>
        </is>
      </c>
      <c r="B292" t="inlineStr">
        <is>
          <t>P37</t>
        </is>
      </c>
      <c r="C292" t="inlineStr">
        <is>
          <t>A_C1first</t>
        </is>
      </c>
      <c r="D292" t="inlineStr">
        <is>
          <t>Commercial_1A</t>
        </is>
      </c>
      <c r="E292" t="inlineStr">
        <is>
          <t>Ch5</t>
        </is>
      </c>
      <c r="F292" t="inlineStr">
        <is>
          <t>F3</t>
        </is>
      </c>
      <c r="G292" t="n">
        <v>60000</v>
      </c>
      <c r="H292" t="n">
        <v>30000</v>
      </c>
      <c r="I292" t="n">
        <v>30000</v>
      </c>
      <c r="J292" t="n">
        <v>408</v>
      </c>
      <c r="K292" t="n">
        <v>1.36</v>
      </c>
      <c r="L292" s="5">
        <f>100*J292/I292</f>
        <v/>
      </c>
      <c r="M292">
        <f>H292-I292</f>
        <v/>
      </c>
    </row>
    <row r="293">
      <c r="A293" t="inlineStr">
        <is>
          <t>SIMULATED Commercial FA Study</t>
        </is>
      </c>
      <c r="B293" t="inlineStr">
        <is>
          <t>P37</t>
        </is>
      </c>
      <c r="C293" t="inlineStr">
        <is>
          <t>A_C1first</t>
        </is>
      </c>
      <c r="D293" t="inlineStr">
        <is>
          <t>Commercial_1A</t>
        </is>
      </c>
      <c r="E293" t="inlineStr">
        <is>
          <t>Ch6</t>
        </is>
      </c>
      <c r="F293" t="inlineStr">
        <is>
          <t>F4</t>
        </is>
      </c>
      <c r="G293" t="n">
        <v>60000</v>
      </c>
      <c r="H293" t="n">
        <v>30000</v>
      </c>
      <c r="I293" t="n">
        <v>30000</v>
      </c>
      <c r="J293" t="n">
        <v>318</v>
      </c>
      <c r="K293" t="n">
        <v>1.06</v>
      </c>
      <c r="L293" s="5">
        <f>100*J293/I293</f>
        <v/>
      </c>
      <c r="M293">
        <f>H293-I293</f>
        <v/>
      </c>
    </row>
    <row r="294">
      <c r="A294" t="inlineStr">
        <is>
          <t>SIMULATED Commercial FA Study</t>
        </is>
      </c>
      <c r="B294" t="inlineStr">
        <is>
          <t>P37</t>
        </is>
      </c>
      <c r="C294" t="inlineStr">
        <is>
          <t>A_C1first</t>
        </is>
      </c>
      <c r="D294" t="inlineStr">
        <is>
          <t>Baseline_2</t>
        </is>
      </c>
      <c r="E294" t="inlineStr">
        <is>
          <t>Ch5</t>
        </is>
      </c>
      <c r="F294" t="inlineStr">
        <is>
          <t>F3</t>
        </is>
      </c>
      <c r="G294" t="n">
        <v>60000</v>
      </c>
      <c r="H294" t="n">
        <v>30000</v>
      </c>
      <c r="I294" t="n">
        <v>30000</v>
      </c>
      <c r="J294" t="n">
        <v>1116</v>
      </c>
      <c r="K294" t="n">
        <v>3.72</v>
      </c>
      <c r="L294" s="5">
        <f>100*J294/I294</f>
        <v/>
      </c>
      <c r="M294">
        <f>H294-I294</f>
        <v/>
      </c>
    </row>
    <row r="295">
      <c r="A295" t="inlineStr">
        <is>
          <t>SIMULATED Commercial FA Study</t>
        </is>
      </c>
      <c r="B295" t="inlineStr">
        <is>
          <t>P37</t>
        </is>
      </c>
      <c r="C295" t="inlineStr">
        <is>
          <t>A_C1first</t>
        </is>
      </c>
      <c r="D295" t="inlineStr">
        <is>
          <t>Baseline_2</t>
        </is>
      </c>
      <c r="E295" t="inlineStr">
        <is>
          <t>Ch6</t>
        </is>
      </c>
      <c r="F295" t="inlineStr">
        <is>
          <t>F4</t>
        </is>
      </c>
      <c r="G295" t="n">
        <v>60000</v>
      </c>
      <c r="H295" t="n">
        <v>30000</v>
      </c>
      <c r="I295" t="n">
        <v>30000</v>
      </c>
      <c r="J295" t="n">
        <v>1062</v>
      </c>
      <c r="K295" t="n">
        <v>3.54</v>
      </c>
      <c r="L295" s="5">
        <f>100*J295/I295</f>
        <v/>
      </c>
      <c r="M295">
        <f>H295-I295</f>
        <v/>
      </c>
    </row>
    <row r="296">
      <c r="A296" t="inlineStr">
        <is>
          <t>SIMULATED Commercial FA Study</t>
        </is>
      </c>
      <c r="B296" t="inlineStr">
        <is>
          <t>P37</t>
        </is>
      </c>
      <c r="C296" t="inlineStr">
        <is>
          <t>A_C1first</t>
        </is>
      </c>
      <c r="D296" t="inlineStr">
        <is>
          <t>Commercial_2</t>
        </is>
      </c>
      <c r="E296" t="inlineStr">
        <is>
          <t>Ch5</t>
        </is>
      </c>
      <c r="F296" t="inlineStr">
        <is>
          <t>F3</t>
        </is>
      </c>
      <c r="G296" t="n">
        <v>60000</v>
      </c>
      <c r="H296" t="n">
        <v>30000</v>
      </c>
      <c r="I296" t="n">
        <v>30000</v>
      </c>
      <c r="J296" t="n">
        <v>204</v>
      </c>
      <c r="K296" t="n">
        <v>0.68</v>
      </c>
      <c r="L296" s="5">
        <f>100*J296/I296</f>
        <v/>
      </c>
      <c r="M296">
        <f>H296-I296</f>
        <v/>
      </c>
    </row>
    <row r="297">
      <c r="A297" t="inlineStr">
        <is>
          <t>SIMULATED Commercial FA Study</t>
        </is>
      </c>
      <c r="B297" t="inlineStr">
        <is>
          <t>P37</t>
        </is>
      </c>
      <c r="C297" t="inlineStr">
        <is>
          <t>A_C1first</t>
        </is>
      </c>
      <c r="D297" t="inlineStr">
        <is>
          <t>Commercial_2</t>
        </is>
      </c>
      <c r="E297" t="inlineStr">
        <is>
          <t>Ch6</t>
        </is>
      </c>
      <c r="F297" t="inlineStr">
        <is>
          <t>F4</t>
        </is>
      </c>
      <c r="G297" t="n">
        <v>60000</v>
      </c>
      <c r="H297" t="n">
        <v>30000</v>
      </c>
      <c r="I297" t="n">
        <v>30000</v>
      </c>
      <c r="J297" t="n">
        <v>288</v>
      </c>
      <c r="K297" t="n">
        <v>0.96</v>
      </c>
      <c r="L297" s="5">
        <f>100*J297/I297</f>
        <v/>
      </c>
      <c r="M297">
        <f>H297-I297</f>
        <v/>
      </c>
    </row>
    <row r="298">
      <c r="A298" t="inlineStr">
        <is>
          <t>SIMULATED Commercial FA Study</t>
        </is>
      </c>
      <c r="B298" t="inlineStr">
        <is>
          <t>P38</t>
        </is>
      </c>
      <c r="C298" t="inlineStr">
        <is>
          <t>A_C2first</t>
        </is>
      </c>
      <c r="D298" t="inlineStr">
        <is>
          <t>Baseline_1</t>
        </is>
      </c>
      <c r="E298" t="inlineStr">
        <is>
          <t>Ch5</t>
        </is>
      </c>
      <c r="F298" t="inlineStr">
        <is>
          <t>F3</t>
        </is>
      </c>
      <c r="G298" t="n">
        <v>60000</v>
      </c>
      <c r="H298" t="n">
        <v>30000</v>
      </c>
      <c r="I298" t="n">
        <v>30000</v>
      </c>
      <c r="J298" t="n">
        <v>669</v>
      </c>
      <c r="K298" t="n">
        <v>2.23</v>
      </c>
      <c r="L298" s="5">
        <f>100*J298/I298</f>
        <v/>
      </c>
      <c r="M298">
        <f>H298-I298</f>
        <v/>
      </c>
    </row>
    <row r="299">
      <c r="A299" t="inlineStr">
        <is>
          <t>SIMULATED Commercial FA Study</t>
        </is>
      </c>
      <c r="B299" t="inlineStr">
        <is>
          <t>P38</t>
        </is>
      </c>
      <c r="C299" t="inlineStr">
        <is>
          <t>A_C2first</t>
        </is>
      </c>
      <c r="D299" t="inlineStr">
        <is>
          <t>Baseline_1</t>
        </is>
      </c>
      <c r="E299" t="inlineStr">
        <is>
          <t>Ch6</t>
        </is>
      </c>
      <c r="F299" t="inlineStr">
        <is>
          <t>F4</t>
        </is>
      </c>
      <c r="G299" t="n">
        <v>60000</v>
      </c>
      <c r="H299" t="n">
        <v>30000</v>
      </c>
      <c r="I299" t="n">
        <v>30000</v>
      </c>
      <c r="J299" t="n">
        <v>708</v>
      </c>
      <c r="K299" t="n">
        <v>2.36</v>
      </c>
      <c r="L299" s="5">
        <f>100*J299/I299</f>
        <v/>
      </c>
      <c r="M299">
        <f>H299-I299</f>
        <v/>
      </c>
    </row>
    <row r="300">
      <c r="A300" t="inlineStr">
        <is>
          <t>SIMULATED Commercial FA Study</t>
        </is>
      </c>
      <c r="B300" t="inlineStr">
        <is>
          <t>P38</t>
        </is>
      </c>
      <c r="C300" t="inlineStr">
        <is>
          <t>A_C2first</t>
        </is>
      </c>
      <c r="D300" t="inlineStr">
        <is>
          <t>Commercial_2</t>
        </is>
      </c>
      <c r="E300" t="inlineStr">
        <is>
          <t>Ch5</t>
        </is>
      </c>
      <c r="F300" t="inlineStr">
        <is>
          <t>F3</t>
        </is>
      </c>
      <c r="G300" t="n">
        <v>60000</v>
      </c>
      <c r="H300" t="n">
        <v>30000</v>
      </c>
      <c r="I300" t="n">
        <v>30000</v>
      </c>
      <c r="J300" t="n">
        <v>0</v>
      </c>
      <c r="K300" t="n">
        <v>0</v>
      </c>
      <c r="L300" s="5">
        <f>100*J300/I300</f>
        <v/>
      </c>
      <c r="M300">
        <f>H300-I300</f>
        <v/>
      </c>
    </row>
    <row r="301">
      <c r="A301" t="inlineStr">
        <is>
          <t>SIMULATED Commercial FA Study</t>
        </is>
      </c>
      <c r="B301" t="inlineStr">
        <is>
          <t>P38</t>
        </is>
      </c>
      <c r="C301" t="inlineStr">
        <is>
          <t>A_C2first</t>
        </is>
      </c>
      <c r="D301" t="inlineStr">
        <is>
          <t>Commercial_2</t>
        </is>
      </c>
      <c r="E301" t="inlineStr">
        <is>
          <t>Ch6</t>
        </is>
      </c>
      <c r="F301" t="inlineStr">
        <is>
          <t>F4</t>
        </is>
      </c>
      <c r="G301" t="n">
        <v>60000</v>
      </c>
      <c r="H301" t="n">
        <v>30000</v>
      </c>
      <c r="I301" t="n">
        <v>30000</v>
      </c>
      <c r="J301" t="n">
        <v>66</v>
      </c>
      <c r="K301" t="n">
        <v>0.22</v>
      </c>
      <c r="L301" s="5">
        <f>100*J301/I301</f>
        <v/>
      </c>
      <c r="M301">
        <f>H301-I301</f>
        <v/>
      </c>
    </row>
    <row r="302">
      <c r="A302" t="inlineStr">
        <is>
          <t>SIMULATED Commercial FA Study</t>
        </is>
      </c>
      <c r="B302" t="inlineStr">
        <is>
          <t>P38</t>
        </is>
      </c>
      <c r="C302" t="inlineStr">
        <is>
          <t>A_C2first</t>
        </is>
      </c>
      <c r="D302" t="inlineStr">
        <is>
          <t>Baseline_2</t>
        </is>
      </c>
      <c r="E302" t="inlineStr">
        <is>
          <t>Ch5</t>
        </is>
      </c>
      <c r="F302" t="inlineStr">
        <is>
          <t>F3</t>
        </is>
      </c>
      <c r="G302" t="n">
        <v>60000</v>
      </c>
      <c r="H302" t="n">
        <v>30000</v>
      </c>
      <c r="I302" t="n">
        <v>30000</v>
      </c>
      <c r="J302" t="n">
        <v>180</v>
      </c>
      <c r="K302" t="n">
        <v>0.6</v>
      </c>
      <c r="L302" s="5">
        <f>100*J302/I302</f>
        <v/>
      </c>
      <c r="M302">
        <f>H302-I302</f>
        <v/>
      </c>
    </row>
    <row r="303">
      <c r="A303" t="inlineStr">
        <is>
          <t>SIMULATED Commercial FA Study</t>
        </is>
      </c>
      <c r="B303" t="inlineStr">
        <is>
          <t>P38</t>
        </is>
      </c>
      <c r="C303" t="inlineStr">
        <is>
          <t>A_C2first</t>
        </is>
      </c>
      <c r="D303" t="inlineStr">
        <is>
          <t>Baseline_2</t>
        </is>
      </c>
      <c r="E303" t="inlineStr">
        <is>
          <t>Ch6</t>
        </is>
      </c>
      <c r="F303" t="inlineStr">
        <is>
          <t>F4</t>
        </is>
      </c>
      <c r="G303" t="n">
        <v>60000</v>
      </c>
      <c r="H303" t="n">
        <v>30000</v>
      </c>
      <c r="I303" t="n">
        <v>30000</v>
      </c>
      <c r="J303" t="n">
        <v>201</v>
      </c>
      <c r="K303" t="n">
        <v>0.67</v>
      </c>
      <c r="L303" s="5">
        <f>100*J303/I303</f>
        <v/>
      </c>
      <c r="M303">
        <f>H303-I303</f>
        <v/>
      </c>
    </row>
    <row r="304">
      <c r="A304" t="inlineStr">
        <is>
          <t>SIMULATED Commercial FA Study</t>
        </is>
      </c>
      <c r="B304" t="inlineStr">
        <is>
          <t>P38</t>
        </is>
      </c>
      <c r="C304" t="inlineStr">
        <is>
          <t>A_C2first</t>
        </is>
      </c>
      <c r="D304" t="inlineStr">
        <is>
          <t>Commercial_1A</t>
        </is>
      </c>
      <c r="E304" t="inlineStr">
        <is>
          <t>Ch5</t>
        </is>
      </c>
      <c r="F304" t="inlineStr">
        <is>
          <t>F3</t>
        </is>
      </c>
      <c r="G304" t="n">
        <v>60000</v>
      </c>
      <c r="H304" t="n">
        <v>30000</v>
      </c>
      <c r="I304" t="n">
        <v>30000</v>
      </c>
      <c r="J304" t="n">
        <v>279</v>
      </c>
      <c r="K304" t="n">
        <v>0.93</v>
      </c>
      <c r="L304" s="5">
        <f>100*J304/I304</f>
        <v/>
      </c>
      <c r="M304">
        <f>H304-I304</f>
        <v/>
      </c>
    </row>
    <row r="305">
      <c r="A305" t="inlineStr">
        <is>
          <t>SIMULATED Commercial FA Study</t>
        </is>
      </c>
      <c r="B305" t="inlineStr">
        <is>
          <t>P38</t>
        </is>
      </c>
      <c r="C305" t="inlineStr">
        <is>
          <t>A_C2first</t>
        </is>
      </c>
      <c r="D305" t="inlineStr">
        <is>
          <t>Commercial_1A</t>
        </is>
      </c>
      <c r="E305" t="inlineStr">
        <is>
          <t>Ch6</t>
        </is>
      </c>
      <c r="F305" t="inlineStr">
        <is>
          <t>F4</t>
        </is>
      </c>
      <c r="G305" t="n">
        <v>60000</v>
      </c>
      <c r="H305" t="n">
        <v>30000</v>
      </c>
      <c r="I305" t="n">
        <v>30000</v>
      </c>
      <c r="J305" t="n">
        <v>201</v>
      </c>
      <c r="K305" t="n">
        <v>0.67</v>
      </c>
      <c r="L305" s="5">
        <f>100*J305/I305</f>
        <v/>
      </c>
      <c r="M305">
        <f>H305-I305</f>
        <v/>
      </c>
    </row>
    <row r="306">
      <c r="A306" t="inlineStr">
        <is>
          <t>SIMULATED Commercial FA Study</t>
        </is>
      </c>
      <c r="B306" t="inlineStr">
        <is>
          <t>P39</t>
        </is>
      </c>
      <c r="C306" t="inlineStr">
        <is>
          <t>B_C2first</t>
        </is>
      </c>
      <c r="D306" t="inlineStr">
        <is>
          <t>Baseline_1</t>
        </is>
      </c>
      <c r="E306" t="inlineStr">
        <is>
          <t>Ch5</t>
        </is>
      </c>
      <c r="F306" t="inlineStr">
        <is>
          <t>F3</t>
        </is>
      </c>
      <c r="G306" t="n">
        <v>60000</v>
      </c>
      <c r="H306" t="n">
        <v>30000</v>
      </c>
      <c r="I306" t="n">
        <v>30000</v>
      </c>
      <c r="J306" t="n">
        <v>144</v>
      </c>
      <c r="K306" t="n">
        <v>0.48</v>
      </c>
      <c r="L306" s="5">
        <f>100*J306/I306</f>
        <v/>
      </c>
      <c r="M306">
        <f>H306-I306</f>
        <v/>
      </c>
    </row>
    <row r="307">
      <c r="A307" t="inlineStr">
        <is>
          <t>SIMULATED Commercial FA Study</t>
        </is>
      </c>
      <c r="B307" t="inlineStr">
        <is>
          <t>P39</t>
        </is>
      </c>
      <c r="C307" t="inlineStr">
        <is>
          <t>B_C2first</t>
        </is>
      </c>
      <c r="D307" t="inlineStr">
        <is>
          <t>Baseline_1</t>
        </is>
      </c>
      <c r="E307" t="inlineStr">
        <is>
          <t>Ch6</t>
        </is>
      </c>
      <c r="F307" t="inlineStr">
        <is>
          <t>F4</t>
        </is>
      </c>
      <c r="G307" t="n">
        <v>60000</v>
      </c>
      <c r="H307" t="n">
        <v>30000</v>
      </c>
      <c r="I307" t="n">
        <v>30000</v>
      </c>
      <c r="J307" t="n">
        <v>81</v>
      </c>
      <c r="K307" t="n">
        <v>0.27</v>
      </c>
      <c r="L307" s="5">
        <f>100*J307/I307</f>
        <v/>
      </c>
      <c r="M307">
        <f>H307-I307</f>
        <v/>
      </c>
    </row>
    <row r="308">
      <c r="A308" t="inlineStr">
        <is>
          <t>SIMULATED Commercial FA Study</t>
        </is>
      </c>
      <c r="B308" t="inlineStr">
        <is>
          <t>P39</t>
        </is>
      </c>
      <c r="C308" t="inlineStr">
        <is>
          <t>B_C2first</t>
        </is>
      </c>
      <c r="D308" t="inlineStr">
        <is>
          <t>Commercial_2</t>
        </is>
      </c>
      <c r="E308" t="inlineStr">
        <is>
          <t>Ch5</t>
        </is>
      </c>
      <c r="F308" t="inlineStr">
        <is>
          <t>F3</t>
        </is>
      </c>
      <c r="G308" t="n">
        <v>60000</v>
      </c>
      <c r="H308" t="n">
        <v>30000</v>
      </c>
      <c r="I308" t="n">
        <v>30000</v>
      </c>
      <c r="J308" t="n">
        <v>96</v>
      </c>
      <c r="K308" t="n">
        <v>0.32</v>
      </c>
      <c r="L308" s="5">
        <f>100*J308/I308</f>
        <v/>
      </c>
      <c r="M308">
        <f>H308-I308</f>
        <v/>
      </c>
    </row>
    <row r="309">
      <c r="A309" t="inlineStr">
        <is>
          <t>SIMULATED Commercial FA Study</t>
        </is>
      </c>
      <c r="B309" t="inlineStr">
        <is>
          <t>P39</t>
        </is>
      </c>
      <c r="C309" t="inlineStr">
        <is>
          <t>B_C2first</t>
        </is>
      </c>
      <c r="D309" t="inlineStr">
        <is>
          <t>Commercial_2</t>
        </is>
      </c>
      <c r="E309" t="inlineStr">
        <is>
          <t>Ch6</t>
        </is>
      </c>
      <c r="F309" t="inlineStr">
        <is>
          <t>F4</t>
        </is>
      </c>
      <c r="G309" t="n">
        <v>60000</v>
      </c>
      <c r="H309" t="n">
        <v>30000</v>
      </c>
      <c r="I309" t="n">
        <v>30000</v>
      </c>
      <c r="J309" t="n">
        <v>84</v>
      </c>
      <c r="K309" t="n">
        <v>0.28</v>
      </c>
      <c r="L309" s="5">
        <f>100*J309/I309</f>
        <v/>
      </c>
      <c r="M309">
        <f>H309-I309</f>
        <v/>
      </c>
    </row>
    <row r="310">
      <c r="A310" t="inlineStr">
        <is>
          <t>SIMULATED Commercial FA Study</t>
        </is>
      </c>
      <c r="B310" t="inlineStr">
        <is>
          <t>P39</t>
        </is>
      </c>
      <c r="C310" t="inlineStr">
        <is>
          <t>B_C2first</t>
        </is>
      </c>
      <c r="D310" t="inlineStr">
        <is>
          <t>Baseline_2</t>
        </is>
      </c>
      <c r="E310" t="inlineStr">
        <is>
          <t>Ch5</t>
        </is>
      </c>
      <c r="F310" t="inlineStr">
        <is>
          <t>F3</t>
        </is>
      </c>
      <c r="G310" t="n">
        <v>60000</v>
      </c>
      <c r="H310" t="n">
        <v>30000</v>
      </c>
      <c r="I310" t="n">
        <v>30000</v>
      </c>
      <c r="J310" t="n">
        <v>75</v>
      </c>
      <c r="K310" t="n">
        <v>0.25</v>
      </c>
      <c r="L310" s="5">
        <f>100*J310/I310</f>
        <v/>
      </c>
      <c r="M310">
        <f>H310-I310</f>
        <v/>
      </c>
    </row>
    <row r="311">
      <c r="A311" t="inlineStr">
        <is>
          <t>SIMULATED Commercial FA Study</t>
        </is>
      </c>
      <c r="B311" t="inlineStr">
        <is>
          <t>P39</t>
        </is>
      </c>
      <c r="C311" t="inlineStr">
        <is>
          <t>B_C2first</t>
        </is>
      </c>
      <c r="D311" t="inlineStr">
        <is>
          <t>Baseline_2</t>
        </is>
      </c>
      <c r="E311" t="inlineStr">
        <is>
          <t>Ch6</t>
        </is>
      </c>
      <c r="F311" t="inlineStr">
        <is>
          <t>F4</t>
        </is>
      </c>
      <c r="G311" t="n">
        <v>60000</v>
      </c>
      <c r="H311" t="n">
        <v>30000</v>
      </c>
      <c r="I311" t="n">
        <v>30000</v>
      </c>
      <c r="J311" t="n">
        <v>0</v>
      </c>
      <c r="K311" t="n">
        <v>0</v>
      </c>
      <c r="L311" s="5">
        <f>100*J311/I311</f>
        <v/>
      </c>
      <c r="M311">
        <f>H311-I311</f>
        <v/>
      </c>
    </row>
    <row r="312">
      <c r="A312" t="inlineStr">
        <is>
          <t>SIMULATED Commercial FA Study</t>
        </is>
      </c>
      <c r="B312" t="inlineStr">
        <is>
          <t>P39</t>
        </is>
      </c>
      <c r="C312" t="inlineStr">
        <is>
          <t>B_C2first</t>
        </is>
      </c>
      <c r="D312" t="inlineStr">
        <is>
          <t>Commercial_1B</t>
        </is>
      </c>
      <c r="E312" t="inlineStr">
        <is>
          <t>Ch5</t>
        </is>
      </c>
      <c r="F312" t="inlineStr">
        <is>
          <t>F3</t>
        </is>
      </c>
      <c r="G312" t="n">
        <v>54000</v>
      </c>
      <c r="H312" t="n">
        <v>27000</v>
      </c>
      <c r="I312" t="n">
        <v>27000</v>
      </c>
      <c r="J312" t="n">
        <v>124</v>
      </c>
      <c r="K312" t="n">
        <v>0.46</v>
      </c>
      <c r="L312" s="5">
        <f>100*J312/I312</f>
        <v/>
      </c>
      <c r="M312">
        <f>H312-I312</f>
        <v/>
      </c>
    </row>
    <row r="313">
      <c r="A313" t="inlineStr">
        <is>
          <t>SIMULATED Commercial FA Study</t>
        </is>
      </c>
      <c r="B313" t="inlineStr">
        <is>
          <t>P39</t>
        </is>
      </c>
      <c r="C313" t="inlineStr">
        <is>
          <t>B_C2first</t>
        </is>
      </c>
      <c r="D313" t="inlineStr">
        <is>
          <t>Commercial_1B</t>
        </is>
      </c>
      <c r="E313" t="inlineStr">
        <is>
          <t>Ch6</t>
        </is>
      </c>
      <c r="F313" t="inlineStr">
        <is>
          <t>F4</t>
        </is>
      </c>
      <c r="G313" t="n">
        <v>54000</v>
      </c>
      <c r="H313" t="n">
        <v>27000</v>
      </c>
      <c r="I313" t="n">
        <v>27000</v>
      </c>
      <c r="J313" t="n">
        <v>122</v>
      </c>
      <c r="K313" t="n">
        <v>0.45</v>
      </c>
      <c r="L313" s="5">
        <f>100*J313/I313</f>
        <v/>
      </c>
      <c r="M313">
        <f>H313-I313</f>
        <v/>
      </c>
    </row>
    <row r="314">
      <c r="A314" t="inlineStr">
        <is>
          <t>SIMULATED Commercial FA Study</t>
        </is>
      </c>
      <c r="B314" t="inlineStr">
        <is>
          <t>P40</t>
        </is>
      </c>
      <c r="C314" t="inlineStr">
        <is>
          <t>B_C1first</t>
        </is>
      </c>
      <c r="D314" t="inlineStr">
        <is>
          <t>Baseline_1</t>
        </is>
      </c>
      <c r="E314" t="inlineStr">
        <is>
          <t>Ch5</t>
        </is>
      </c>
      <c r="F314" t="inlineStr">
        <is>
          <t>F3</t>
        </is>
      </c>
      <c r="G314" t="n">
        <v>60000</v>
      </c>
      <c r="H314" t="n">
        <v>30000</v>
      </c>
      <c r="I314" t="n">
        <v>30000</v>
      </c>
      <c r="J314" t="n">
        <v>2496</v>
      </c>
      <c r="K314" t="n">
        <v>8.32</v>
      </c>
      <c r="L314" s="5">
        <f>100*J314/I314</f>
        <v/>
      </c>
      <c r="M314">
        <f>H314-I314</f>
        <v/>
      </c>
    </row>
    <row r="315">
      <c r="A315" t="inlineStr">
        <is>
          <t>SIMULATED Commercial FA Study</t>
        </is>
      </c>
      <c r="B315" t="inlineStr">
        <is>
          <t>P40</t>
        </is>
      </c>
      <c r="C315" t="inlineStr">
        <is>
          <t>B_C1first</t>
        </is>
      </c>
      <c r="D315" t="inlineStr">
        <is>
          <t>Baseline_1</t>
        </is>
      </c>
      <c r="E315" t="inlineStr">
        <is>
          <t>Ch6</t>
        </is>
      </c>
      <c r="F315" t="inlineStr">
        <is>
          <t>F4</t>
        </is>
      </c>
      <c r="G315" t="n">
        <v>60000</v>
      </c>
      <c r="H315" t="n">
        <v>30000</v>
      </c>
      <c r="I315" t="n">
        <v>30000</v>
      </c>
      <c r="J315" t="n">
        <v>2394</v>
      </c>
      <c r="K315" t="n">
        <v>7.98</v>
      </c>
      <c r="L315" s="5">
        <f>100*J315/I315</f>
        <v/>
      </c>
      <c r="M315">
        <f>H315-I315</f>
        <v/>
      </c>
    </row>
    <row r="316">
      <c r="A316" t="inlineStr">
        <is>
          <t>SIMULATED Commercial FA Study</t>
        </is>
      </c>
      <c r="B316" t="inlineStr">
        <is>
          <t>P40</t>
        </is>
      </c>
      <c r="C316" t="inlineStr">
        <is>
          <t>B_C1first</t>
        </is>
      </c>
      <c r="D316" t="inlineStr">
        <is>
          <t>Commercial_1B</t>
        </is>
      </c>
      <c r="E316" t="inlineStr">
        <is>
          <t>Ch5</t>
        </is>
      </c>
      <c r="F316" t="inlineStr">
        <is>
          <t>F3</t>
        </is>
      </c>
      <c r="G316" t="n">
        <v>54000</v>
      </c>
      <c r="H316" t="n">
        <v>27000</v>
      </c>
      <c r="I316" t="n">
        <v>27000</v>
      </c>
      <c r="J316" t="n">
        <v>1212</v>
      </c>
      <c r="K316" t="n">
        <v>4.49</v>
      </c>
      <c r="L316" s="5">
        <f>100*J316/I316</f>
        <v/>
      </c>
      <c r="M316">
        <f>H316-I316</f>
        <v/>
      </c>
    </row>
    <row r="317">
      <c r="A317" t="inlineStr">
        <is>
          <t>SIMULATED Commercial FA Study</t>
        </is>
      </c>
      <c r="B317" t="inlineStr">
        <is>
          <t>P40</t>
        </is>
      </c>
      <c r="C317" t="inlineStr">
        <is>
          <t>B_C1first</t>
        </is>
      </c>
      <c r="D317" t="inlineStr">
        <is>
          <t>Commercial_1B</t>
        </is>
      </c>
      <c r="E317" t="inlineStr">
        <is>
          <t>Ch6</t>
        </is>
      </c>
      <c r="F317" t="inlineStr">
        <is>
          <t>F4</t>
        </is>
      </c>
      <c r="G317" t="n">
        <v>54000</v>
      </c>
      <c r="H317" t="n">
        <v>27000</v>
      </c>
      <c r="I317" t="n">
        <v>27000</v>
      </c>
      <c r="J317" t="n">
        <v>1231</v>
      </c>
      <c r="K317" t="n">
        <v>4.56</v>
      </c>
      <c r="L317" s="5">
        <f>100*J317/I317</f>
        <v/>
      </c>
      <c r="M317">
        <f>H317-I317</f>
        <v/>
      </c>
    </row>
    <row r="318">
      <c r="A318" t="inlineStr">
        <is>
          <t>SIMULATED Commercial FA Study</t>
        </is>
      </c>
      <c r="B318" t="inlineStr">
        <is>
          <t>P40</t>
        </is>
      </c>
      <c r="C318" t="inlineStr">
        <is>
          <t>B_C1first</t>
        </is>
      </c>
      <c r="D318" t="inlineStr">
        <is>
          <t>Baseline_2</t>
        </is>
      </c>
      <c r="E318" t="inlineStr">
        <is>
          <t>Ch5</t>
        </is>
      </c>
      <c r="F318" t="inlineStr">
        <is>
          <t>F3</t>
        </is>
      </c>
      <c r="G318" t="n">
        <v>60000</v>
      </c>
      <c r="H318" t="n">
        <v>30000</v>
      </c>
      <c r="I318" t="n">
        <v>30000</v>
      </c>
      <c r="J318" t="n">
        <v>1821</v>
      </c>
      <c r="K318" t="n">
        <v>6.07</v>
      </c>
      <c r="L318" s="5">
        <f>100*J318/I318</f>
        <v/>
      </c>
      <c r="M318">
        <f>H318-I318</f>
        <v/>
      </c>
    </row>
    <row r="319">
      <c r="A319" t="inlineStr">
        <is>
          <t>SIMULATED Commercial FA Study</t>
        </is>
      </c>
      <c r="B319" t="inlineStr">
        <is>
          <t>P40</t>
        </is>
      </c>
      <c r="C319" t="inlineStr">
        <is>
          <t>B_C1first</t>
        </is>
      </c>
      <c r="D319" t="inlineStr">
        <is>
          <t>Baseline_2</t>
        </is>
      </c>
      <c r="E319" t="inlineStr">
        <is>
          <t>Ch6</t>
        </is>
      </c>
      <c r="F319" t="inlineStr">
        <is>
          <t>F4</t>
        </is>
      </c>
      <c r="G319" t="n">
        <v>60000</v>
      </c>
      <c r="H319" t="n">
        <v>30000</v>
      </c>
      <c r="I319" t="n">
        <v>30000</v>
      </c>
      <c r="J319" t="n">
        <v>1773</v>
      </c>
      <c r="K319" t="n">
        <v>5.91</v>
      </c>
      <c r="L319" s="5">
        <f>100*J319/I319</f>
        <v/>
      </c>
      <c r="M319">
        <f>H319-I319</f>
        <v/>
      </c>
    </row>
    <row r="320">
      <c r="A320" t="inlineStr">
        <is>
          <t>SIMULATED Commercial FA Study</t>
        </is>
      </c>
      <c r="B320" t="inlineStr">
        <is>
          <t>P40</t>
        </is>
      </c>
      <c r="C320" t="inlineStr">
        <is>
          <t>B_C1first</t>
        </is>
      </c>
      <c r="D320" t="inlineStr">
        <is>
          <t>Commercial_2</t>
        </is>
      </c>
      <c r="E320" t="inlineStr">
        <is>
          <t>Ch5</t>
        </is>
      </c>
      <c r="F320" t="inlineStr">
        <is>
          <t>F3</t>
        </is>
      </c>
      <c r="G320" t="n">
        <v>60000</v>
      </c>
      <c r="H320" t="n">
        <v>30000</v>
      </c>
      <c r="I320" t="n">
        <v>30000</v>
      </c>
      <c r="J320" t="n">
        <v>786</v>
      </c>
      <c r="K320" t="n">
        <v>2.62</v>
      </c>
      <c r="L320" s="5">
        <f>100*J320/I320</f>
        <v/>
      </c>
      <c r="M320">
        <f>H320-I320</f>
        <v/>
      </c>
    </row>
    <row r="321">
      <c r="A321" t="inlineStr">
        <is>
          <t>SIMULATED Commercial FA Study</t>
        </is>
      </c>
      <c r="B321" t="inlineStr">
        <is>
          <t>P40</t>
        </is>
      </c>
      <c r="C321" t="inlineStr">
        <is>
          <t>B_C1first</t>
        </is>
      </c>
      <c r="D321" t="inlineStr">
        <is>
          <t>Commercial_2</t>
        </is>
      </c>
      <c r="E321" t="inlineStr">
        <is>
          <t>Ch6</t>
        </is>
      </c>
      <c r="F321" t="inlineStr">
        <is>
          <t>F4</t>
        </is>
      </c>
      <c r="G321" t="n">
        <v>60000</v>
      </c>
      <c r="H321" t="n">
        <v>30000</v>
      </c>
      <c r="I321" t="n">
        <v>30000</v>
      </c>
      <c r="J321" t="n">
        <v>795</v>
      </c>
      <c r="K321" t="n">
        <v>2.65</v>
      </c>
      <c r="L321" s="5">
        <f>100*J321/I321</f>
        <v/>
      </c>
      <c r="M321">
        <f>H321-I321</f>
        <v/>
      </c>
    </row>
    <row r="322">
      <c r="A322" t="inlineStr">
        <is>
          <t>SIMULATED Commercial FA Study</t>
        </is>
      </c>
      <c r="B322" t="inlineStr">
        <is>
          <t>P41</t>
        </is>
      </c>
      <c r="C322" t="inlineStr">
        <is>
          <t>A_C1first</t>
        </is>
      </c>
      <c r="D322" t="inlineStr">
        <is>
          <t>Baseline_1</t>
        </is>
      </c>
      <c r="E322" t="inlineStr">
        <is>
          <t>Ch5</t>
        </is>
      </c>
      <c r="F322" t="inlineStr">
        <is>
          <t>F3</t>
        </is>
      </c>
      <c r="G322" t="n">
        <v>60000</v>
      </c>
      <c r="H322" t="n">
        <v>30000</v>
      </c>
      <c r="I322" t="n">
        <v>30000</v>
      </c>
      <c r="J322" t="n">
        <v>645</v>
      </c>
      <c r="K322" t="n">
        <v>2.15</v>
      </c>
      <c r="L322" s="5">
        <f>100*J322/I322</f>
        <v/>
      </c>
      <c r="M322">
        <f>H322-I322</f>
        <v/>
      </c>
    </row>
    <row r="323">
      <c r="A323" t="inlineStr">
        <is>
          <t>SIMULATED Commercial FA Study</t>
        </is>
      </c>
      <c r="B323" t="inlineStr">
        <is>
          <t>P41</t>
        </is>
      </c>
      <c r="C323" t="inlineStr">
        <is>
          <t>A_C1first</t>
        </is>
      </c>
      <c r="D323" t="inlineStr">
        <is>
          <t>Baseline_1</t>
        </is>
      </c>
      <c r="E323" t="inlineStr">
        <is>
          <t>Ch6</t>
        </is>
      </c>
      <c r="F323" t="inlineStr">
        <is>
          <t>F4</t>
        </is>
      </c>
      <c r="G323" t="n">
        <v>60000</v>
      </c>
      <c r="H323" t="n">
        <v>30000</v>
      </c>
      <c r="I323" t="n">
        <v>30000</v>
      </c>
      <c r="J323" t="n">
        <v>735</v>
      </c>
      <c r="K323" t="n">
        <v>2.45</v>
      </c>
      <c r="L323" s="5">
        <f>100*J323/I323</f>
        <v/>
      </c>
      <c r="M323">
        <f>H323-I323</f>
        <v/>
      </c>
    </row>
    <row r="324">
      <c r="A324" t="inlineStr">
        <is>
          <t>SIMULATED Commercial FA Study</t>
        </is>
      </c>
      <c r="B324" t="inlineStr">
        <is>
          <t>P41</t>
        </is>
      </c>
      <c r="C324" t="inlineStr">
        <is>
          <t>A_C1first</t>
        </is>
      </c>
      <c r="D324" t="inlineStr">
        <is>
          <t>Commercial_1A</t>
        </is>
      </c>
      <c r="E324" t="inlineStr">
        <is>
          <t>Ch5</t>
        </is>
      </c>
      <c r="F324" t="inlineStr">
        <is>
          <t>F3</t>
        </is>
      </c>
      <c r="G324" t="n">
        <v>60000</v>
      </c>
      <c r="H324" t="n">
        <v>30000</v>
      </c>
      <c r="I324" t="n">
        <v>30000</v>
      </c>
      <c r="J324" t="n">
        <v>183</v>
      </c>
      <c r="K324" t="n">
        <v>0.61</v>
      </c>
      <c r="L324" s="5">
        <f>100*J324/I324</f>
        <v/>
      </c>
      <c r="M324">
        <f>H324-I324</f>
        <v/>
      </c>
    </row>
    <row r="325">
      <c r="A325" t="inlineStr">
        <is>
          <t>SIMULATED Commercial FA Study</t>
        </is>
      </c>
      <c r="B325" t="inlineStr">
        <is>
          <t>P41</t>
        </is>
      </c>
      <c r="C325" t="inlineStr">
        <is>
          <t>A_C1first</t>
        </is>
      </c>
      <c r="D325" t="inlineStr">
        <is>
          <t>Commercial_1A</t>
        </is>
      </c>
      <c r="E325" t="inlineStr">
        <is>
          <t>Ch6</t>
        </is>
      </c>
      <c r="F325" t="inlineStr">
        <is>
          <t>F4</t>
        </is>
      </c>
      <c r="G325" t="n">
        <v>60000</v>
      </c>
      <c r="H325" t="n">
        <v>30000</v>
      </c>
      <c r="I325" t="n">
        <v>30000</v>
      </c>
      <c r="J325" t="n">
        <v>108</v>
      </c>
      <c r="K325" t="n">
        <v>0.36</v>
      </c>
      <c r="L325" s="5">
        <f>100*J325/I325</f>
        <v/>
      </c>
      <c r="M325">
        <f>H325-I325</f>
        <v/>
      </c>
    </row>
    <row r="326">
      <c r="A326" t="inlineStr">
        <is>
          <t>SIMULATED Commercial FA Study</t>
        </is>
      </c>
      <c r="B326" t="inlineStr">
        <is>
          <t>P41</t>
        </is>
      </c>
      <c r="C326" t="inlineStr">
        <is>
          <t>A_C1first</t>
        </is>
      </c>
      <c r="D326" t="inlineStr">
        <is>
          <t>Baseline_2</t>
        </is>
      </c>
      <c r="E326" t="inlineStr">
        <is>
          <t>Ch5</t>
        </is>
      </c>
      <c r="F326" t="inlineStr">
        <is>
          <t>F3</t>
        </is>
      </c>
      <c r="G326" t="n">
        <v>60000</v>
      </c>
      <c r="H326" t="n">
        <v>30000</v>
      </c>
      <c r="I326" t="n">
        <v>30000</v>
      </c>
      <c r="J326" t="n">
        <v>189</v>
      </c>
      <c r="K326" t="n">
        <v>0.63</v>
      </c>
      <c r="L326" s="5">
        <f>100*J326/I326</f>
        <v/>
      </c>
      <c r="M326">
        <f>H326-I326</f>
        <v/>
      </c>
    </row>
    <row r="327">
      <c r="A327" t="inlineStr">
        <is>
          <t>SIMULATED Commercial FA Study</t>
        </is>
      </c>
      <c r="B327" t="inlineStr">
        <is>
          <t>P41</t>
        </is>
      </c>
      <c r="C327" t="inlineStr">
        <is>
          <t>A_C1first</t>
        </is>
      </c>
      <c r="D327" t="inlineStr">
        <is>
          <t>Baseline_2</t>
        </is>
      </c>
      <c r="E327" t="inlineStr">
        <is>
          <t>Ch6</t>
        </is>
      </c>
      <c r="F327" t="inlineStr">
        <is>
          <t>F4</t>
        </is>
      </c>
      <c r="G327" t="n">
        <v>60000</v>
      </c>
      <c r="H327" t="n">
        <v>30000</v>
      </c>
      <c r="I327" t="n">
        <v>30000</v>
      </c>
      <c r="J327" t="n">
        <v>174</v>
      </c>
      <c r="K327" t="n">
        <v>0.58</v>
      </c>
      <c r="L327" s="5">
        <f>100*J327/I327</f>
        <v/>
      </c>
      <c r="M327">
        <f>H327-I327</f>
        <v/>
      </c>
    </row>
    <row r="328">
      <c r="A328" t="inlineStr">
        <is>
          <t>SIMULATED Commercial FA Study</t>
        </is>
      </c>
      <c r="B328" t="inlineStr">
        <is>
          <t>P41</t>
        </is>
      </c>
      <c r="C328" t="inlineStr">
        <is>
          <t>A_C1first</t>
        </is>
      </c>
      <c r="D328" t="inlineStr">
        <is>
          <t>Commercial_2</t>
        </is>
      </c>
      <c r="E328" t="inlineStr">
        <is>
          <t>Ch5</t>
        </is>
      </c>
      <c r="F328" t="inlineStr">
        <is>
          <t>F3</t>
        </is>
      </c>
      <c r="G328" t="n">
        <v>60000</v>
      </c>
      <c r="H328" t="n">
        <v>30000</v>
      </c>
      <c r="I328" t="n">
        <v>25700</v>
      </c>
      <c r="J328" t="n">
        <v>7427</v>
      </c>
      <c r="K328" t="n">
        <v>28.9</v>
      </c>
      <c r="L328" s="5">
        <f>100*J328/I328</f>
        <v/>
      </c>
      <c r="M328">
        <f>H328-I328</f>
        <v/>
      </c>
    </row>
    <row r="329">
      <c r="A329" t="inlineStr">
        <is>
          <t>SIMULATED Commercial FA Study</t>
        </is>
      </c>
      <c r="B329" t="inlineStr">
        <is>
          <t>P41</t>
        </is>
      </c>
      <c r="C329" t="inlineStr">
        <is>
          <t>A_C1first</t>
        </is>
      </c>
      <c r="D329" t="inlineStr">
        <is>
          <t>Commercial_2</t>
        </is>
      </c>
      <c r="E329" t="inlineStr">
        <is>
          <t>Ch6</t>
        </is>
      </c>
      <c r="F329" t="inlineStr">
        <is>
          <t>F4</t>
        </is>
      </c>
      <c r="G329" t="n">
        <v>60000</v>
      </c>
      <c r="H329" t="n">
        <v>30000</v>
      </c>
      <c r="I329" t="n">
        <v>25700</v>
      </c>
      <c r="J329" t="n">
        <v>7818</v>
      </c>
      <c r="K329" t="n">
        <v>30.42</v>
      </c>
      <c r="L329" s="5">
        <f>100*J329/I329</f>
        <v/>
      </c>
      <c r="M329">
        <f>H329-I329</f>
        <v/>
      </c>
    </row>
    <row r="330">
      <c r="A330" t="inlineStr">
        <is>
          <t>SIMULATED Commercial FA Study</t>
        </is>
      </c>
      <c r="B330" t="inlineStr">
        <is>
          <t>P42</t>
        </is>
      </c>
      <c r="C330" t="inlineStr">
        <is>
          <t>B_C1first</t>
        </is>
      </c>
      <c r="D330" t="inlineStr">
        <is>
          <t>Baseline_1</t>
        </is>
      </c>
      <c r="E330" t="inlineStr">
        <is>
          <t>Ch5</t>
        </is>
      </c>
      <c r="F330" t="inlineStr">
        <is>
          <t>F3</t>
        </is>
      </c>
      <c r="G330" t="n">
        <v>60000</v>
      </c>
      <c r="H330" t="n">
        <v>30000</v>
      </c>
      <c r="I330" t="n">
        <v>30000</v>
      </c>
      <c r="J330" t="n">
        <v>324</v>
      </c>
      <c r="K330" t="n">
        <v>1.08</v>
      </c>
      <c r="L330" s="5">
        <f>100*J330/I330</f>
        <v/>
      </c>
      <c r="M330">
        <f>H330-I330</f>
        <v/>
      </c>
    </row>
    <row r="331">
      <c r="A331" t="inlineStr">
        <is>
          <t>SIMULATED Commercial FA Study</t>
        </is>
      </c>
      <c r="B331" t="inlineStr">
        <is>
          <t>P42</t>
        </is>
      </c>
      <c r="C331" t="inlineStr">
        <is>
          <t>B_C1first</t>
        </is>
      </c>
      <c r="D331" t="inlineStr">
        <is>
          <t>Baseline_1</t>
        </is>
      </c>
      <c r="E331" t="inlineStr">
        <is>
          <t>Ch6</t>
        </is>
      </c>
      <c r="F331" t="inlineStr">
        <is>
          <t>F4</t>
        </is>
      </c>
      <c r="G331" t="n">
        <v>60000</v>
      </c>
      <c r="H331" t="n">
        <v>30000</v>
      </c>
      <c r="I331" t="n">
        <v>30000</v>
      </c>
      <c r="J331" t="n">
        <v>213</v>
      </c>
      <c r="K331" t="n">
        <v>0.71</v>
      </c>
      <c r="L331" s="5">
        <f>100*J331/I331</f>
        <v/>
      </c>
      <c r="M331">
        <f>H331-I331</f>
        <v/>
      </c>
    </row>
    <row r="332">
      <c r="A332" t="inlineStr">
        <is>
          <t>SIMULATED Commercial FA Study</t>
        </is>
      </c>
      <c r="B332" t="inlineStr">
        <is>
          <t>P42</t>
        </is>
      </c>
      <c r="C332" t="inlineStr">
        <is>
          <t>B_C1first</t>
        </is>
      </c>
      <c r="D332" t="inlineStr">
        <is>
          <t>Commercial_1B</t>
        </is>
      </c>
      <c r="E332" t="inlineStr">
        <is>
          <t>Ch5</t>
        </is>
      </c>
      <c r="F332" t="inlineStr">
        <is>
          <t>F3</t>
        </is>
      </c>
      <c r="G332" t="n">
        <v>54000</v>
      </c>
      <c r="H332" t="n">
        <v>27000</v>
      </c>
      <c r="I332" t="n">
        <v>27000</v>
      </c>
      <c r="J332" t="n">
        <v>89</v>
      </c>
      <c r="K332" t="n">
        <v>0.33</v>
      </c>
      <c r="L332" s="5">
        <f>100*J332/I332</f>
        <v/>
      </c>
      <c r="M332">
        <f>H332-I332</f>
        <v/>
      </c>
    </row>
    <row r="333">
      <c r="A333" t="inlineStr">
        <is>
          <t>SIMULATED Commercial FA Study</t>
        </is>
      </c>
      <c r="B333" t="inlineStr">
        <is>
          <t>P42</t>
        </is>
      </c>
      <c r="C333" t="inlineStr">
        <is>
          <t>B_C1first</t>
        </is>
      </c>
      <c r="D333" t="inlineStr">
        <is>
          <t>Commercial_1B</t>
        </is>
      </c>
      <c r="E333" t="inlineStr">
        <is>
          <t>Ch6</t>
        </is>
      </c>
      <c r="F333" t="inlineStr">
        <is>
          <t>F4</t>
        </is>
      </c>
      <c r="G333" t="n">
        <v>54000</v>
      </c>
      <c r="H333" t="n">
        <v>27000</v>
      </c>
      <c r="I333" t="n">
        <v>27000</v>
      </c>
      <c r="J333" t="n">
        <v>86</v>
      </c>
      <c r="K333" t="n">
        <v>0.32</v>
      </c>
      <c r="L333" s="5">
        <f>100*J333/I333</f>
        <v/>
      </c>
      <c r="M333">
        <f>H333-I333</f>
        <v/>
      </c>
    </row>
    <row r="334">
      <c r="A334" t="inlineStr">
        <is>
          <t>SIMULATED Commercial FA Study</t>
        </is>
      </c>
      <c r="B334" t="inlineStr">
        <is>
          <t>P42</t>
        </is>
      </c>
      <c r="C334" t="inlineStr">
        <is>
          <t>B_C1first</t>
        </is>
      </c>
      <c r="D334" t="inlineStr">
        <is>
          <t>Baseline_2</t>
        </is>
      </c>
      <c r="E334" t="inlineStr">
        <is>
          <t>Ch5</t>
        </is>
      </c>
      <c r="F334" t="inlineStr">
        <is>
          <t>F3</t>
        </is>
      </c>
      <c r="G334" t="n">
        <v>60000</v>
      </c>
      <c r="H334" t="n">
        <v>30000</v>
      </c>
      <c r="I334" t="n">
        <v>30000</v>
      </c>
      <c r="J334" t="n">
        <v>42</v>
      </c>
      <c r="K334" t="n">
        <v>0.14</v>
      </c>
      <c r="L334" s="5">
        <f>100*J334/I334</f>
        <v/>
      </c>
      <c r="M334">
        <f>H334-I334</f>
        <v/>
      </c>
    </row>
    <row r="335">
      <c r="A335" t="inlineStr">
        <is>
          <t>SIMULATED Commercial FA Study</t>
        </is>
      </c>
      <c r="B335" t="inlineStr">
        <is>
          <t>P42</t>
        </is>
      </c>
      <c r="C335" t="inlineStr">
        <is>
          <t>B_C1first</t>
        </is>
      </c>
      <c r="D335" t="inlineStr">
        <is>
          <t>Baseline_2</t>
        </is>
      </c>
      <c r="E335" t="inlineStr">
        <is>
          <t>Ch6</t>
        </is>
      </c>
      <c r="F335" t="inlineStr">
        <is>
          <t>F4</t>
        </is>
      </c>
      <c r="G335" t="n">
        <v>60000</v>
      </c>
      <c r="H335" t="n">
        <v>30000</v>
      </c>
      <c r="I335" t="n">
        <v>30000</v>
      </c>
      <c r="J335" t="n">
        <v>39</v>
      </c>
      <c r="K335" t="n">
        <v>0.13</v>
      </c>
      <c r="L335" s="5">
        <f>100*J335/I335</f>
        <v/>
      </c>
      <c r="M335">
        <f>H335-I335</f>
        <v/>
      </c>
    </row>
    <row r="336">
      <c r="A336" t="inlineStr">
        <is>
          <t>SIMULATED Commercial FA Study</t>
        </is>
      </c>
      <c r="B336" t="inlineStr">
        <is>
          <t>P42</t>
        </is>
      </c>
      <c r="C336" t="inlineStr">
        <is>
          <t>B_C1first</t>
        </is>
      </c>
      <c r="D336" t="inlineStr">
        <is>
          <t>Commercial_2</t>
        </is>
      </c>
      <c r="E336" t="inlineStr">
        <is>
          <t>Ch5</t>
        </is>
      </c>
      <c r="F336" t="inlineStr">
        <is>
          <t>F3</t>
        </is>
      </c>
      <c r="G336" t="n">
        <v>60000</v>
      </c>
      <c r="H336" t="n">
        <v>30000</v>
      </c>
      <c r="I336" t="n">
        <v>30000</v>
      </c>
      <c r="J336" t="n">
        <v>291</v>
      </c>
      <c r="K336" t="n">
        <v>0.97</v>
      </c>
      <c r="L336" s="5">
        <f>100*J336/I336</f>
        <v/>
      </c>
      <c r="M336">
        <f>H336-I336</f>
        <v/>
      </c>
    </row>
    <row r="337">
      <c r="A337" t="inlineStr">
        <is>
          <t>SIMULATED Commercial FA Study</t>
        </is>
      </c>
      <c r="B337" t="inlineStr">
        <is>
          <t>P42</t>
        </is>
      </c>
      <c r="C337" t="inlineStr">
        <is>
          <t>B_C1first</t>
        </is>
      </c>
      <c r="D337" t="inlineStr">
        <is>
          <t>Commercial_2</t>
        </is>
      </c>
      <c r="E337" t="inlineStr">
        <is>
          <t>Ch6</t>
        </is>
      </c>
      <c r="F337" t="inlineStr">
        <is>
          <t>F4</t>
        </is>
      </c>
      <c r="G337" t="n">
        <v>60000</v>
      </c>
      <c r="H337" t="n">
        <v>30000</v>
      </c>
      <c r="I337" t="n">
        <v>30000</v>
      </c>
      <c r="J337" t="n">
        <v>393</v>
      </c>
      <c r="K337" t="n">
        <v>1.31</v>
      </c>
      <c r="L337" s="5">
        <f>100*J337/I337</f>
        <v/>
      </c>
      <c r="M337">
        <f>H337-I337</f>
        <v/>
      </c>
    </row>
    <row r="338">
      <c r="A338" t="inlineStr">
        <is>
          <t>SIMULATED Commercial FA Study</t>
        </is>
      </c>
      <c r="B338" t="inlineStr">
        <is>
          <t>P43</t>
        </is>
      </c>
      <c r="C338" t="inlineStr">
        <is>
          <t>B_C2first</t>
        </is>
      </c>
      <c r="D338" t="inlineStr">
        <is>
          <t>Baseline_1</t>
        </is>
      </c>
      <c r="E338" t="inlineStr">
        <is>
          <t>Ch5</t>
        </is>
      </c>
      <c r="F338" t="inlineStr">
        <is>
          <t>F3</t>
        </is>
      </c>
      <c r="G338" t="n">
        <v>60000</v>
      </c>
      <c r="H338" t="n">
        <v>30000</v>
      </c>
      <c r="I338" t="n">
        <v>30000</v>
      </c>
      <c r="J338" t="n">
        <v>348</v>
      </c>
      <c r="K338" t="n">
        <v>1.16</v>
      </c>
      <c r="L338" s="5">
        <f>100*J338/I338</f>
        <v/>
      </c>
      <c r="M338">
        <f>H338-I338</f>
        <v/>
      </c>
    </row>
    <row r="339">
      <c r="A339" t="inlineStr">
        <is>
          <t>SIMULATED Commercial FA Study</t>
        </is>
      </c>
      <c r="B339" t="inlineStr">
        <is>
          <t>P43</t>
        </is>
      </c>
      <c r="C339" t="inlineStr">
        <is>
          <t>B_C2first</t>
        </is>
      </c>
      <c r="D339" t="inlineStr">
        <is>
          <t>Baseline_1</t>
        </is>
      </c>
      <c r="E339" t="inlineStr">
        <is>
          <t>Ch6</t>
        </is>
      </c>
      <c r="F339" t="inlineStr">
        <is>
          <t>F4</t>
        </is>
      </c>
      <c r="G339" t="n">
        <v>60000</v>
      </c>
      <c r="H339" t="n">
        <v>30000</v>
      </c>
      <c r="I339" t="n">
        <v>30000</v>
      </c>
      <c r="J339" t="n">
        <v>282</v>
      </c>
      <c r="K339" t="n">
        <v>0.9399999999999999</v>
      </c>
      <c r="L339" s="5">
        <f>100*J339/I339</f>
        <v/>
      </c>
      <c r="M339">
        <f>H339-I339</f>
        <v/>
      </c>
    </row>
    <row r="340">
      <c r="A340" t="inlineStr">
        <is>
          <t>SIMULATED Commercial FA Study</t>
        </is>
      </c>
      <c r="B340" t="inlineStr">
        <is>
          <t>P43</t>
        </is>
      </c>
      <c r="C340" t="inlineStr">
        <is>
          <t>B_C2first</t>
        </is>
      </c>
      <c r="D340" t="inlineStr">
        <is>
          <t>Commercial_2</t>
        </is>
      </c>
      <c r="E340" t="inlineStr">
        <is>
          <t>Ch5</t>
        </is>
      </c>
      <c r="F340" t="inlineStr">
        <is>
          <t>F3</t>
        </is>
      </c>
      <c r="G340" t="n">
        <v>60000</v>
      </c>
      <c r="H340" t="n">
        <v>30000</v>
      </c>
      <c r="I340" t="n">
        <v>30000</v>
      </c>
      <c r="J340" t="n">
        <v>0</v>
      </c>
      <c r="K340" t="n">
        <v>0</v>
      </c>
      <c r="L340" s="5">
        <f>100*J340/I340</f>
        <v/>
      </c>
      <c r="M340">
        <f>H340-I340</f>
        <v/>
      </c>
    </row>
    <row r="341">
      <c r="A341" t="inlineStr">
        <is>
          <t>SIMULATED Commercial FA Study</t>
        </is>
      </c>
      <c r="B341" t="inlineStr">
        <is>
          <t>P43</t>
        </is>
      </c>
      <c r="C341" t="inlineStr">
        <is>
          <t>B_C2first</t>
        </is>
      </c>
      <c r="D341" t="inlineStr">
        <is>
          <t>Commercial_2</t>
        </is>
      </c>
      <c r="E341" t="inlineStr">
        <is>
          <t>Ch6</t>
        </is>
      </c>
      <c r="F341" t="inlineStr">
        <is>
          <t>F4</t>
        </is>
      </c>
      <c r="G341" t="n">
        <v>60000</v>
      </c>
      <c r="H341" t="n">
        <v>30000</v>
      </c>
      <c r="I341" t="n">
        <v>30000</v>
      </c>
      <c r="J341" t="n">
        <v>0</v>
      </c>
      <c r="K341" t="n">
        <v>0</v>
      </c>
      <c r="L341" s="5">
        <f>100*J341/I341</f>
        <v/>
      </c>
      <c r="M341">
        <f>H341-I341</f>
        <v/>
      </c>
    </row>
    <row r="342">
      <c r="A342" t="inlineStr">
        <is>
          <t>SIMULATED Commercial FA Study</t>
        </is>
      </c>
      <c r="B342" t="inlineStr">
        <is>
          <t>P43</t>
        </is>
      </c>
      <c r="C342" t="inlineStr">
        <is>
          <t>B_C2first</t>
        </is>
      </c>
      <c r="D342" t="inlineStr">
        <is>
          <t>Baseline_2</t>
        </is>
      </c>
      <c r="E342" t="inlineStr">
        <is>
          <t>Ch5</t>
        </is>
      </c>
      <c r="F342" t="inlineStr">
        <is>
          <t>F3</t>
        </is>
      </c>
      <c r="G342" t="n">
        <v>60000</v>
      </c>
      <c r="H342" t="n">
        <v>30000</v>
      </c>
      <c r="I342" t="n">
        <v>30000</v>
      </c>
      <c r="J342" t="n">
        <v>240</v>
      </c>
      <c r="K342" t="n">
        <v>0.8</v>
      </c>
      <c r="L342" s="5">
        <f>100*J342/I342</f>
        <v/>
      </c>
      <c r="M342">
        <f>H342-I342</f>
        <v/>
      </c>
    </row>
    <row r="343">
      <c r="A343" t="inlineStr">
        <is>
          <t>SIMULATED Commercial FA Study</t>
        </is>
      </c>
      <c r="B343" t="inlineStr">
        <is>
          <t>P43</t>
        </is>
      </c>
      <c r="C343" t="inlineStr">
        <is>
          <t>B_C2first</t>
        </is>
      </c>
      <c r="D343" t="inlineStr">
        <is>
          <t>Baseline_2</t>
        </is>
      </c>
      <c r="E343" t="inlineStr">
        <is>
          <t>Ch6</t>
        </is>
      </c>
      <c r="F343" t="inlineStr">
        <is>
          <t>F4</t>
        </is>
      </c>
      <c r="G343" t="n">
        <v>60000</v>
      </c>
      <c r="H343" t="n">
        <v>30000</v>
      </c>
      <c r="I343" t="n">
        <v>30000</v>
      </c>
      <c r="J343" t="n">
        <v>246</v>
      </c>
      <c r="K343" t="n">
        <v>0.82</v>
      </c>
      <c r="L343" s="5">
        <f>100*J343/I343</f>
        <v/>
      </c>
      <c r="M343">
        <f>H343-I343</f>
        <v/>
      </c>
    </row>
    <row r="344">
      <c r="A344" t="inlineStr">
        <is>
          <t>SIMULATED Commercial FA Study</t>
        </is>
      </c>
      <c r="B344" t="inlineStr">
        <is>
          <t>P43</t>
        </is>
      </c>
      <c r="C344" t="inlineStr">
        <is>
          <t>B_C2first</t>
        </is>
      </c>
      <c r="D344" t="inlineStr">
        <is>
          <t>Commercial_1B</t>
        </is>
      </c>
      <c r="E344" t="inlineStr">
        <is>
          <t>Ch5</t>
        </is>
      </c>
      <c r="F344" t="inlineStr">
        <is>
          <t>F3</t>
        </is>
      </c>
      <c r="G344" t="n">
        <v>54000</v>
      </c>
      <c r="H344" t="n">
        <v>27000</v>
      </c>
      <c r="I344" t="n">
        <v>27000</v>
      </c>
      <c r="J344" t="n">
        <v>157</v>
      </c>
      <c r="K344" t="n">
        <v>0.58</v>
      </c>
      <c r="L344" s="5">
        <f>100*J344/I344</f>
        <v/>
      </c>
      <c r="M344">
        <f>H344-I344</f>
        <v/>
      </c>
    </row>
    <row r="345">
      <c r="A345" t="inlineStr">
        <is>
          <t>SIMULATED Commercial FA Study</t>
        </is>
      </c>
      <c r="B345" t="inlineStr">
        <is>
          <t>P43</t>
        </is>
      </c>
      <c r="C345" t="inlineStr">
        <is>
          <t>B_C2first</t>
        </is>
      </c>
      <c r="D345" t="inlineStr">
        <is>
          <t>Commercial_1B</t>
        </is>
      </c>
      <c r="E345" t="inlineStr">
        <is>
          <t>Ch6</t>
        </is>
      </c>
      <c r="F345" t="inlineStr">
        <is>
          <t>F4</t>
        </is>
      </c>
      <c r="G345" t="n">
        <v>54000</v>
      </c>
      <c r="H345" t="n">
        <v>27000</v>
      </c>
      <c r="I345" t="n">
        <v>27000</v>
      </c>
      <c r="J345" t="n">
        <v>138</v>
      </c>
      <c r="K345" t="n">
        <v>0.51</v>
      </c>
      <c r="L345" s="5">
        <f>100*J345/I345</f>
        <v/>
      </c>
      <c r="M345">
        <f>H345-I345</f>
        <v/>
      </c>
    </row>
    <row r="346">
      <c r="A346" t="inlineStr">
        <is>
          <t>SIMULATED Commercial FA Study</t>
        </is>
      </c>
      <c r="B346" t="inlineStr">
        <is>
          <t>P44</t>
        </is>
      </c>
      <c r="C346" t="inlineStr">
        <is>
          <t>A_C2first</t>
        </is>
      </c>
      <c r="D346" t="inlineStr">
        <is>
          <t>Baseline_1</t>
        </is>
      </c>
      <c r="E346" t="inlineStr">
        <is>
          <t>Ch5</t>
        </is>
      </c>
      <c r="F346" t="inlineStr">
        <is>
          <t>F3</t>
        </is>
      </c>
      <c r="G346" t="n">
        <v>60000</v>
      </c>
      <c r="H346" t="n">
        <v>30000</v>
      </c>
      <c r="I346" t="n">
        <v>30000</v>
      </c>
      <c r="J346" t="n">
        <v>858</v>
      </c>
      <c r="K346" t="n">
        <v>2.86</v>
      </c>
      <c r="L346" s="5">
        <f>100*J346/I346</f>
        <v/>
      </c>
      <c r="M346">
        <f>H346-I346</f>
        <v/>
      </c>
    </row>
    <row r="347">
      <c r="A347" t="inlineStr">
        <is>
          <t>SIMULATED Commercial FA Study</t>
        </is>
      </c>
      <c r="B347" t="inlineStr">
        <is>
          <t>P44</t>
        </is>
      </c>
      <c r="C347" t="inlineStr">
        <is>
          <t>A_C2first</t>
        </is>
      </c>
      <c r="D347" t="inlineStr">
        <is>
          <t>Baseline_1</t>
        </is>
      </c>
      <c r="E347" t="inlineStr">
        <is>
          <t>Ch6</t>
        </is>
      </c>
      <c r="F347" t="inlineStr">
        <is>
          <t>F4</t>
        </is>
      </c>
      <c r="G347" t="n">
        <v>60000</v>
      </c>
      <c r="H347" t="n">
        <v>30000</v>
      </c>
      <c r="I347" t="n">
        <v>30000</v>
      </c>
      <c r="J347" t="n">
        <v>783</v>
      </c>
      <c r="K347" t="n">
        <v>2.61</v>
      </c>
      <c r="L347" s="5">
        <f>100*J347/I347</f>
        <v/>
      </c>
      <c r="M347">
        <f>H347-I347</f>
        <v/>
      </c>
    </row>
    <row r="348">
      <c r="A348" t="inlineStr">
        <is>
          <t>SIMULATED Commercial FA Study</t>
        </is>
      </c>
      <c r="B348" t="inlineStr">
        <is>
          <t>P44</t>
        </is>
      </c>
      <c r="C348" t="inlineStr">
        <is>
          <t>A_C2first</t>
        </is>
      </c>
      <c r="D348" t="inlineStr">
        <is>
          <t>Commercial_2</t>
        </is>
      </c>
      <c r="E348" t="inlineStr">
        <is>
          <t>Ch5</t>
        </is>
      </c>
      <c r="F348" t="inlineStr">
        <is>
          <t>F3</t>
        </is>
      </c>
      <c r="G348" t="n">
        <v>60000</v>
      </c>
      <c r="H348" t="n">
        <v>30000</v>
      </c>
      <c r="I348" t="n">
        <v>30000</v>
      </c>
      <c r="J348" t="n">
        <v>666</v>
      </c>
      <c r="K348" t="n">
        <v>2.22</v>
      </c>
      <c r="L348" s="5">
        <f>100*J348/I348</f>
        <v/>
      </c>
      <c r="M348">
        <f>H348-I348</f>
        <v/>
      </c>
    </row>
    <row r="349">
      <c r="A349" t="inlineStr">
        <is>
          <t>SIMULATED Commercial FA Study</t>
        </is>
      </c>
      <c r="B349" t="inlineStr">
        <is>
          <t>P44</t>
        </is>
      </c>
      <c r="C349" t="inlineStr">
        <is>
          <t>A_C2first</t>
        </is>
      </c>
      <c r="D349" t="inlineStr">
        <is>
          <t>Commercial_2</t>
        </is>
      </c>
      <c r="E349" t="inlineStr">
        <is>
          <t>Ch6</t>
        </is>
      </c>
      <c r="F349" t="inlineStr">
        <is>
          <t>F4</t>
        </is>
      </c>
      <c r="G349" t="n">
        <v>60000</v>
      </c>
      <c r="H349" t="n">
        <v>30000</v>
      </c>
      <c r="I349" t="n">
        <v>30000</v>
      </c>
      <c r="J349" t="n">
        <v>528</v>
      </c>
      <c r="K349" t="n">
        <v>1.76</v>
      </c>
      <c r="L349" s="5">
        <f>100*J349/I349</f>
        <v/>
      </c>
      <c r="M349">
        <f>H349-I349</f>
        <v/>
      </c>
    </row>
    <row r="350">
      <c r="A350" t="inlineStr">
        <is>
          <t>SIMULATED Commercial FA Study</t>
        </is>
      </c>
      <c r="B350" t="inlineStr">
        <is>
          <t>P44</t>
        </is>
      </c>
      <c r="C350" t="inlineStr">
        <is>
          <t>A_C2first</t>
        </is>
      </c>
      <c r="D350" t="inlineStr">
        <is>
          <t>Baseline_2</t>
        </is>
      </c>
      <c r="E350" t="inlineStr">
        <is>
          <t>Ch5</t>
        </is>
      </c>
      <c r="F350" t="inlineStr">
        <is>
          <t>F3</t>
        </is>
      </c>
      <c r="G350" t="n">
        <v>60000</v>
      </c>
      <c r="H350" t="n">
        <v>30000</v>
      </c>
      <c r="I350" t="n">
        <v>30000</v>
      </c>
      <c r="J350" t="n">
        <v>2922</v>
      </c>
      <c r="K350" t="n">
        <v>9.74</v>
      </c>
      <c r="L350" s="5">
        <f>100*J350/I350</f>
        <v/>
      </c>
      <c r="M350">
        <f>H350-I350</f>
        <v/>
      </c>
    </row>
    <row r="351">
      <c r="A351" t="inlineStr">
        <is>
          <t>SIMULATED Commercial FA Study</t>
        </is>
      </c>
      <c r="B351" t="inlineStr">
        <is>
          <t>P44</t>
        </is>
      </c>
      <c r="C351" t="inlineStr">
        <is>
          <t>A_C2first</t>
        </is>
      </c>
      <c r="D351" t="inlineStr">
        <is>
          <t>Baseline_2</t>
        </is>
      </c>
      <c r="E351" t="inlineStr">
        <is>
          <t>Ch6</t>
        </is>
      </c>
      <c r="F351" t="inlineStr">
        <is>
          <t>F4</t>
        </is>
      </c>
      <c r="G351" t="n">
        <v>60000</v>
      </c>
      <c r="H351" t="n">
        <v>30000</v>
      </c>
      <c r="I351" t="n">
        <v>30000</v>
      </c>
      <c r="J351" t="n">
        <v>2535</v>
      </c>
      <c r="K351" t="n">
        <v>8.449999999999999</v>
      </c>
      <c r="L351" s="5">
        <f>100*J351/I351</f>
        <v/>
      </c>
      <c r="M351">
        <f>H351-I351</f>
        <v/>
      </c>
    </row>
    <row r="352">
      <c r="A352" t="inlineStr">
        <is>
          <t>SIMULATED Commercial FA Study</t>
        </is>
      </c>
      <c r="B352" t="inlineStr">
        <is>
          <t>P44</t>
        </is>
      </c>
      <c r="C352" t="inlineStr">
        <is>
          <t>A_C2first</t>
        </is>
      </c>
      <c r="D352" t="inlineStr">
        <is>
          <t>Commercial_1A</t>
        </is>
      </c>
      <c r="E352" t="inlineStr">
        <is>
          <t>Ch5</t>
        </is>
      </c>
      <c r="F352" t="inlineStr">
        <is>
          <t>F3</t>
        </is>
      </c>
      <c r="G352" t="n">
        <v>60000</v>
      </c>
      <c r="H352" t="n">
        <v>30000</v>
      </c>
      <c r="I352" t="n">
        <v>30000</v>
      </c>
      <c r="J352" t="n">
        <v>78</v>
      </c>
      <c r="K352" t="n">
        <v>0.26</v>
      </c>
      <c r="L352" s="5">
        <f>100*J352/I352</f>
        <v/>
      </c>
      <c r="M352">
        <f>H352-I352</f>
        <v/>
      </c>
    </row>
    <row r="353">
      <c r="A353" t="inlineStr">
        <is>
          <t>SIMULATED Commercial FA Study</t>
        </is>
      </c>
      <c r="B353" t="inlineStr">
        <is>
          <t>P44</t>
        </is>
      </c>
      <c r="C353" t="inlineStr">
        <is>
          <t>A_C2first</t>
        </is>
      </c>
      <c r="D353" t="inlineStr">
        <is>
          <t>Commercial_1A</t>
        </is>
      </c>
      <c r="E353" t="inlineStr">
        <is>
          <t>Ch6</t>
        </is>
      </c>
      <c r="F353" t="inlineStr">
        <is>
          <t>F4</t>
        </is>
      </c>
      <c r="G353" t="n">
        <v>60000</v>
      </c>
      <c r="H353" t="n">
        <v>30000</v>
      </c>
      <c r="I353" t="n">
        <v>30000</v>
      </c>
      <c r="J353" t="n">
        <v>153</v>
      </c>
      <c r="K353" t="n">
        <v>0.51</v>
      </c>
      <c r="L353" s="5">
        <f>100*J353/I353</f>
        <v/>
      </c>
      <c r="M353">
        <f>H353-I353</f>
        <v/>
      </c>
    </row>
    <row r="354">
      <c r="A354" t="inlineStr">
        <is>
          <t>SIMULATED Commercial FA Study</t>
        </is>
      </c>
      <c r="B354" t="inlineStr">
        <is>
          <t>P45</t>
        </is>
      </c>
      <c r="C354" t="inlineStr">
        <is>
          <t>B_C2first</t>
        </is>
      </c>
      <c r="D354" t="inlineStr">
        <is>
          <t>Baseline_1</t>
        </is>
      </c>
      <c r="E354" t="inlineStr">
        <is>
          <t>Ch5</t>
        </is>
      </c>
      <c r="F354" t="inlineStr">
        <is>
          <t>F3</t>
        </is>
      </c>
      <c r="G354" t="n">
        <v>60000</v>
      </c>
      <c r="H354" t="n">
        <v>30000</v>
      </c>
      <c r="I354" t="n">
        <v>30000</v>
      </c>
      <c r="J354" t="n">
        <v>2127</v>
      </c>
      <c r="K354" t="n">
        <v>7.09</v>
      </c>
      <c r="L354" s="5">
        <f>100*J354/I354</f>
        <v/>
      </c>
      <c r="M354">
        <f>H354-I354</f>
        <v/>
      </c>
    </row>
    <row r="355">
      <c r="A355" t="inlineStr">
        <is>
          <t>SIMULATED Commercial FA Study</t>
        </is>
      </c>
      <c r="B355" t="inlineStr">
        <is>
          <t>P45</t>
        </is>
      </c>
      <c r="C355" t="inlineStr">
        <is>
          <t>B_C2first</t>
        </is>
      </c>
      <c r="D355" t="inlineStr">
        <is>
          <t>Baseline_1</t>
        </is>
      </c>
      <c r="E355" t="inlineStr">
        <is>
          <t>Ch6</t>
        </is>
      </c>
      <c r="F355" t="inlineStr">
        <is>
          <t>F4</t>
        </is>
      </c>
      <c r="G355" t="n">
        <v>60000</v>
      </c>
      <c r="H355" t="n">
        <v>30000</v>
      </c>
      <c r="I355" t="n">
        <v>30000</v>
      </c>
      <c r="J355" t="n">
        <v>1905</v>
      </c>
      <c r="K355" t="n">
        <v>6.35</v>
      </c>
      <c r="L355" s="5">
        <f>100*J355/I355</f>
        <v/>
      </c>
      <c r="M355">
        <f>H355-I355</f>
        <v/>
      </c>
    </row>
    <row r="356">
      <c r="A356" t="inlineStr">
        <is>
          <t>SIMULATED Commercial FA Study</t>
        </is>
      </c>
      <c r="B356" t="inlineStr">
        <is>
          <t>P45</t>
        </is>
      </c>
      <c r="C356" t="inlineStr">
        <is>
          <t>B_C2first</t>
        </is>
      </c>
      <c r="D356" t="inlineStr">
        <is>
          <t>Commercial_2</t>
        </is>
      </c>
      <c r="E356" t="inlineStr">
        <is>
          <t>Ch5</t>
        </is>
      </c>
      <c r="F356" t="inlineStr">
        <is>
          <t>F3</t>
        </is>
      </c>
      <c r="G356" t="n">
        <v>60000</v>
      </c>
      <c r="H356" t="n">
        <v>30000</v>
      </c>
      <c r="I356" t="n">
        <v>30000</v>
      </c>
      <c r="J356" t="n">
        <v>5250</v>
      </c>
      <c r="K356" t="n">
        <v>17.5</v>
      </c>
      <c r="L356" s="5">
        <f>100*J356/I356</f>
        <v/>
      </c>
      <c r="M356">
        <f>H356-I356</f>
        <v/>
      </c>
    </row>
    <row r="357">
      <c r="A357" t="inlineStr">
        <is>
          <t>SIMULATED Commercial FA Study</t>
        </is>
      </c>
      <c r="B357" t="inlineStr">
        <is>
          <t>P45</t>
        </is>
      </c>
      <c r="C357" t="inlineStr">
        <is>
          <t>B_C2first</t>
        </is>
      </c>
      <c r="D357" t="inlineStr">
        <is>
          <t>Commercial_2</t>
        </is>
      </c>
      <c r="E357" t="inlineStr">
        <is>
          <t>Ch6</t>
        </is>
      </c>
      <c r="F357" t="inlineStr">
        <is>
          <t>F4</t>
        </is>
      </c>
      <c r="G357" t="n">
        <v>60000</v>
      </c>
      <c r="H357" t="n">
        <v>30000</v>
      </c>
      <c r="I357" t="n">
        <v>30000</v>
      </c>
      <c r="J357" t="n">
        <v>6342</v>
      </c>
      <c r="K357" t="n">
        <v>21.14</v>
      </c>
      <c r="L357" s="5">
        <f>100*J357/I357</f>
        <v/>
      </c>
      <c r="M357">
        <f>H357-I357</f>
        <v/>
      </c>
    </row>
    <row r="358">
      <c r="A358" t="inlineStr">
        <is>
          <t>SIMULATED Commercial FA Study</t>
        </is>
      </c>
      <c r="B358" t="inlineStr">
        <is>
          <t>P45</t>
        </is>
      </c>
      <c r="C358" t="inlineStr">
        <is>
          <t>B_C2first</t>
        </is>
      </c>
      <c r="D358" t="inlineStr">
        <is>
          <t>Baseline_2</t>
        </is>
      </c>
      <c r="E358" t="inlineStr">
        <is>
          <t>Ch5</t>
        </is>
      </c>
      <c r="F358" t="inlineStr">
        <is>
          <t>F3</t>
        </is>
      </c>
      <c r="G358" t="n">
        <v>60000</v>
      </c>
      <c r="H358" t="n">
        <v>30000</v>
      </c>
      <c r="I358" t="n">
        <v>30000</v>
      </c>
      <c r="J358" t="n">
        <v>3855</v>
      </c>
      <c r="K358" t="n">
        <v>12.85</v>
      </c>
      <c r="L358" s="5">
        <f>100*J358/I358</f>
        <v/>
      </c>
      <c r="M358">
        <f>H358-I358</f>
        <v/>
      </c>
    </row>
    <row r="359">
      <c r="A359" t="inlineStr">
        <is>
          <t>SIMULATED Commercial FA Study</t>
        </is>
      </c>
      <c r="B359" t="inlineStr">
        <is>
          <t>P45</t>
        </is>
      </c>
      <c r="C359" t="inlineStr">
        <is>
          <t>B_C2first</t>
        </is>
      </c>
      <c r="D359" t="inlineStr">
        <is>
          <t>Baseline_2</t>
        </is>
      </c>
      <c r="E359" t="inlineStr">
        <is>
          <t>Ch6</t>
        </is>
      </c>
      <c r="F359" t="inlineStr">
        <is>
          <t>F4</t>
        </is>
      </c>
      <c r="G359" t="n">
        <v>60000</v>
      </c>
      <c r="H359" t="n">
        <v>30000</v>
      </c>
      <c r="I359" t="n">
        <v>30000</v>
      </c>
      <c r="J359" t="n">
        <v>3687</v>
      </c>
      <c r="K359" t="n">
        <v>12.29</v>
      </c>
      <c r="L359" s="5">
        <f>100*J359/I359</f>
        <v/>
      </c>
      <c r="M359">
        <f>H359-I359</f>
        <v/>
      </c>
    </row>
    <row r="360">
      <c r="A360" t="inlineStr">
        <is>
          <t>SIMULATED Commercial FA Study</t>
        </is>
      </c>
      <c r="B360" t="inlineStr">
        <is>
          <t>P45</t>
        </is>
      </c>
      <c r="C360" t="inlineStr">
        <is>
          <t>B_C2first</t>
        </is>
      </c>
      <c r="D360" t="inlineStr">
        <is>
          <t>Commercial_1B</t>
        </is>
      </c>
      <c r="E360" t="inlineStr">
        <is>
          <t>Ch5</t>
        </is>
      </c>
      <c r="F360" t="inlineStr">
        <is>
          <t>F3</t>
        </is>
      </c>
      <c r="G360" t="n">
        <v>54000</v>
      </c>
      <c r="H360" t="n">
        <v>27000</v>
      </c>
      <c r="I360" t="n">
        <v>27000</v>
      </c>
      <c r="J360" t="n">
        <v>8273</v>
      </c>
      <c r="K360" t="n">
        <v>30.64</v>
      </c>
      <c r="L360" s="5">
        <f>100*J360/I360</f>
        <v/>
      </c>
      <c r="M360">
        <f>H360-I360</f>
        <v/>
      </c>
    </row>
    <row r="361">
      <c r="A361" t="inlineStr">
        <is>
          <t>SIMULATED Commercial FA Study</t>
        </is>
      </c>
      <c r="B361" t="inlineStr">
        <is>
          <t>P45</t>
        </is>
      </c>
      <c r="C361" t="inlineStr">
        <is>
          <t>B_C2first</t>
        </is>
      </c>
      <c r="D361" t="inlineStr">
        <is>
          <t>Commercial_1B</t>
        </is>
      </c>
      <c r="E361" t="inlineStr">
        <is>
          <t>Ch6</t>
        </is>
      </c>
      <c r="F361" t="inlineStr">
        <is>
          <t>F4</t>
        </is>
      </c>
      <c r="G361" t="n">
        <v>54000</v>
      </c>
      <c r="H361" t="n">
        <v>27000</v>
      </c>
      <c r="I361" t="n">
        <v>27000</v>
      </c>
      <c r="J361" t="n">
        <v>8227</v>
      </c>
      <c r="K361" t="n">
        <v>30.47</v>
      </c>
      <c r="L361" s="5">
        <f>100*J361/I361</f>
        <v/>
      </c>
      <c r="M361">
        <f>H361-I361</f>
        <v/>
      </c>
    </row>
    <row r="362">
      <c r="A362" t="inlineStr">
        <is>
          <t>SIMULATED Commercial FA Study</t>
        </is>
      </c>
      <c r="B362" t="inlineStr">
        <is>
          <t>P46</t>
        </is>
      </c>
      <c r="C362" t="inlineStr">
        <is>
          <t>A_C2first</t>
        </is>
      </c>
      <c r="D362" t="inlineStr">
        <is>
          <t>Baseline_1</t>
        </is>
      </c>
      <c r="E362" t="inlineStr">
        <is>
          <t>Ch5</t>
        </is>
      </c>
      <c r="F362" t="inlineStr">
        <is>
          <t>F3</t>
        </is>
      </c>
      <c r="G362" t="n">
        <v>60000</v>
      </c>
      <c r="H362" t="n">
        <v>30000</v>
      </c>
      <c r="I362" t="n">
        <v>30000</v>
      </c>
      <c r="J362" t="n">
        <v>234</v>
      </c>
      <c r="K362" t="n">
        <v>0.78</v>
      </c>
      <c r="L362" s="5">
        <f>100*J362/I362</f>
        <v/>
      </c>
      <c r="M362">
        <f>H362-I362</f>
        <v/>
      </c>
    </row>
    <row r="363">
      <c r="A363" t="inlineStr">
        <is>
          <t>SIMULATED Commercial FA Study</t>
        </is>
      </c>
      <c r="B363" t="inlineStr">
        <is>
          <t>P46</t>
        </is>
      </c>
      <c r="C363" t="inlineStr">
        <is>
          <t>A_C2first</t>
        </is>
      </c>
      <c r="D363" t="inlineStr">
        <is>
          <t>Baseline_1</t>
        </is>
      </c>
      <c r="E363" t="inlineStr">
        <is>
          <t>Ch6</t>
        </is>
      </c>
      <c r="F363" t="inlineStr">
        <is>
          <t>F4</t>
        </is>
      </c>
      <c r="G363" t="n">
        <v>60000</v>
      </c>
      <c r="H363" t="n">
        <v>30000</v>
      </c>
      <c r="I363" t="n">
        <v>30000</v>
      </c>
      <c r="J363" t="n">
        <v>336</v>
      </c>
      <c r="K363" t="n">
        <v>1.12</v>
      </c>
      <c r="L363" s="5">
        <f>100*J363/I363</f>
        <v/>
      </c>
      <c r="M363">
        <f>H363-I363</f>
        <v/>
      </c>
    </row>
    <row r="364">
      <c r="A364" t="inlineStr">
        <is>
          <t>SIMULATED Commercial FA Study</t>
        </is>
      </c>
      <c r="B364" t="inlineStr">
        <is>
          <t>P46</t>
        </is>
      </c>
      <c r="C364" t="inlineStr">
        <is>
          <t>A_C2first</t>
        </is>
      </c>
      <c r="D364" t="inlineStr">
        <is>
          <t>Commercial_2</t>
        </is>
      </c>
      <c r="E364" t="inlineStr">
        <is>
          <t>Ch5</t>
        </is>
      </c>
      <c r="F364" t="inlineStr">
        <is>
          <t>F3</t>
        </is>
      </c>
      <c r="G364" t="n">
        <v>60000</v>
      </c>
      <c r="H364" t="n">
        <v>30000</v>
      </c>
      <c r="I364" t="n">
        <v>30000</v>
      </c>
      <c r="J364" t="n">
        <v>726</v>
      </c>
      <c r="K364" t="n">
        <v>2.42</v>
      </c>
      <c r="L364" s="5">
        <f>100*J364/I364</f>
        <v/>
      </c>
      <c r="M364">
        <f>H364-I364</f>
        <v/>
      </c>
    </row>
    <row r="365">
      <c r="A365" t="inlineStr">
        <is>
          <t>SIMULATED Commercial FA Study</t>
        </is>
      </c>
      <c r="B365" t="inlineStr">
        <is>
          <t>P46</t>
        </is>
      </c>
      <c r="C365" t="inlineStr">
        <is>
          <t>A_C2first</t>
        </is>
      </c>
      <c r="D365" t="inlineStr">
        <is>
          <t>Commercial_2</t>
        </is>
      </c>
      <c r="E365" t="inlineStr">
        <is>
          <t>Ch6</t>
        </is>
      </c>
      <c r="F365" t="inlineStr">
        <is>
          <t>F4</t>
        </is>
      </c>
      <c r="G365" t="n">
        <v>60000</v>
      </c>
      <c r="H365" t="n">
        <v>30000</v>
      </c>
      <c r="I365" t="n">
        <v>30000</v>
      </c>
      <c r="J365" t="n">
        <v>702</v>
      </c>
      <c r="K365" t="n">
        <v>2.34</v>
      </c>
      <c r="L365" s="5">
        <f>100*J365/I365</f>
        <v/>
      </c>
      <c r="M365">
        <f>H365-I365</f>
        <v/>
      </c>
    </row>
    <row r="366">
      <c r="A366" t="inlineStr">
        <is>
          <t>SIMULATED Commercial FA Study</t>
        </is>
      </c>
      <c r="B366" t="inlineStr">
        <is>
          <t>P46</t>
        </is>
      </c>
      <c r="C366" t="inlineStr">
        <is>
          <t>A_C2first</t>
        </is>
      </c>
      <c r="D366" t="inlineStr">
        <is>
          <t>Baseline_2</t>
        </is>
      </c>
      <c r="E366" t="inlineStr">
        <is>
          <t>Ch5</t>
        </is>
      </c>
      <c r="F366" t="inlineStr">
        <is>
          <t>F3</t>
        </is>
      </c>
      <c r="G366" t="n">
        <v>60000</v>
      </c>
      <c r="H366" t="n">
        <v>30000</v>
      </c>
      <c r="I366" t="n">
        <v>30000</v>
      </c>
      <c r="J366" t="n">
        <v>177</v>
      </c>
      <c r="K366" t="n">
        <v>0.59</v>
      </c>
      <c r="L366" s="5">
        <f>100*J366/I366</f>
        <v/>
      </c>
      <c r="M366">
        <f>H366-I366</f>
        <v/>
      </c>
    </row>
    <row r="367">
      <c r="A367" t="inlineStr">
        <is>
          <t>SIMULATED Commercial FA Study</t>
        </is>
      </c>
      <c r="B367" t="inlineStr">
        <is>
          <t>P46</t>
        </is>
      </c>
      <c r="C367" t="inlineStr">
        <is>
          <t>A_C2first</t>
        </is>
      </c>
      <c r="D367" t="inlineStr">
        <is>
          <t>Baseline_2</t>
        </is>
      </c>
      <c r="E367" t="inlineStr">
        <is>
          <t>Ch6</t>
        </is>
      </c>
      <c r="F367" t="inlineStr">
        <is>
          <t>F4</t>
        </is>
      </c>
      <c r="G367" t="n">
        <v>60000</v>
      </c>
      <c r="H367" t="n">
        <v>30000</v>
      </c>
      <c r="I367" t="n">
        <v>30000</v>
      </c>
      <c r="J367" t="n">
        <v>192</v>
      </c>
      <c r="K367" t="n">
        <v>0.64</v>
      </c>
      <c r="L367" s="5">
        <f>100*J367/I367</f>
        <v/>
      </c>
      <c r="M367">
        <f>H367-I367</f>
        <v/>
      </c>
    </row>
    <row r="368">
      <c r="A368" t="inlineStr">
        <is>
          <t>SIMULATED Commercial FA Study</t>
        </is>
      </c>
      <c r="B368" t="inlineStr">
        <is>
          <t>P46</t>
        </is>
      </c>
      <c r="C368" t="inlineStr">
        <is>
          <t>A_C2first</t>
        </is>
      </c>
      <c r="D368" t="inlineStr">
        <is>
          <t>Commercial_1A</t>
        </is>
      </c>
      <c r="E368" t="inlineStr">
        <is>
          <t>Ch5</t>
        </is>
      </c>
      <c r="F368" t="inlineStr">
        <is>
          <t>F3</t>
        </is>
      </c>
      <c r="G368" t="n">
        <v>60000</v>
      </c>
      <c r="H368" t="n">
        <v>30000</v>
      </c>
      <c r="I368" t="n">
        <v>30000</v>
      </c>
      <c r="J368" t="n">
        <v>774</v>
      </c>
      <c r="K368" t="n">
        <v>2.58</v>
      </c>
      <c r="L368" s="5">
        <f>100*J368/I368</f>
        <v/>
      </c>
      <c r="M368">
        <f>H368-I368</f>
        <v/>
      </c>
    </row>
    <row r="369">
      <c r="A369" t="inlineStr">
        <is>
          <t>SIMULATED Commercial FA Study</t>
        </is>
      </c>
      <c r="B369" t="inlineStr">
        <is>
          <t>P46</t>
        </is>
      </c>
      <c r="C369" t="inlineStr">
        <is>
          <t>A_C2first</t>
        </is>
      </c>
      <c r="D369" t="inlineStr">
        <is>
          <t>Commercial_1A</t>
        </is>
      </c>
      <c r="E369" t="inlineStr">
        <is>
          <t>Ch6</t>
        </is>
      </c>
      <c r="F369" t="inlineStr">
        <is>
          <t>F4</t>
        </is>
      </c>
      <c r="G369" t="n">
        <v>60000</v>
      </c>
      <c r="H369" t="n">
        <v>30000</v>
      </c>
      <c r="I369" t="n">
        <v>30000</v>
      </c>
      <c r="J369" t="n">
        <v>1164</v>
      </c>
      <c r="K369" t="n">
        <v>3.88</v>
      </c>
      <c r="L369" s="5">
        <f>100*J369/I369</f>
        <v/>
      </c>
      <c r="M369">
        <f>H369-I369</f>
        <v/>
      </c>
    </row>
    <row r="370">
      <c r="A370" t="inlineStr">
        <is>
          <t>SIMULATED Commercial FA Study</t>
        </is>
      </c>
      <c r="B370" t="inlineStr">
        <is>
          <t>P47</t>
        </is>
      </c>
      <c r="C370" t="inlineStr">
        <is>
          <t>A_C1first</t>
        </is>
      </c>
      <c r="D370" t="inlineStr">
        <is>
          <t>Baseline_1</t>
        </is>
      </c>
      <c r="E370" t="inlineStr">
        <is>
          <t>Ch5</t>
        </is>
      </c>
      <c r="F370" t="inlineStr">
        <is>
          <t>F3</t>
        </is>
      </c>
      <c r="G370" t="n">
        <v>60000</v>
      </c>
      <c r="H370" t="n">
        <v>30000</v>
      </c>
      <c r="I370" t="n">
        <v>30000</v>
      </c>
      <c r="J370" t="n">
        <v>147</v>
      </c>
      <c r="K370" t="n">
        <v>0.49</v>
      </c>
      <c r="L370" s="5">
        <f>100*J370/I370</f>
        <v/>
      </c>
      <c r="M370">
        <f>H370-I370</f>
        <v/>
      </c>
    </row>
    <row r="371">
      <c r="A371" t="inlineStr">
        <is>
          <t>SIMULATED Commercial FA Study</t>
        </is>
      </c>
      <c r="B371" t="inlineStr">
        <is>
          <t>P47</t>
        </is>
      </c>
      <c r="C371" t="inlineStr">
        <is>
          <t>A_C1first</t>
        </is>
      </c>
      <c r="D371" t="inlineStr">
        <is>
          <t>Baseline_1</t>
        </is>
      </c>
      <c r="E371" t="inlineStr">
        <is>
          <t>Ch6</t>
        </is>
      </c>
      <c r="F371" t="inlineStr">
        <is>
          <t>F4</t>
        </is>
      </c>
      <c r="G371" t="n">
        <v>60000</v>
      </c>
      <c r="H371" t="n">
        <v>30000</v>
      </c>
      <c r="I371" t="n">
        <v>30000</v>
      </c>
      <c r="J371" t="n">
        <v>171</v>
      </c>
      <c r="K371" t="n">
        <v>0.57</v>
      </c>
      <c r="L371" s="5">
        <f>100*J371/I371</f>
        <v/>
      </c>
      <c r="M371">
        <f>H371-I371</f>
        <v/>
      </c>
    </row>
    <row r="372">
      <c r="A372" t="inlineStr">
        <is>
          <t>SIMULATED Commercial FA Study</t>
        </is>
      </c>
      <c r="B372" t="inlineStr">
        <is>
          <t>P47</t>
        </is>
      </c>
      <c r="C372" t="inlineStr">
        <is>
          <t>A_C1first</t>
        </is>
      </c>
      <c r="D372" t="inlineStr">
        <is>
          <t>Commercial_1A</t>
        </is>
      </c>
      <c r="E372" t="inlineStr">
        <is>
          <t>Ch5</t>
        </is>
      </c>
      <c r="F372" t="inlineStr">
        <is>
          <t>F3</t>
        </is>
      </c>
      <c r="G372" t="n">
        <v>60000</v>
      </c>
      <c r="H372" t="n">
        <v>30000</v>
      </c>
      <c r="I372" t="n">
        <v>30000</v>
      </c>
      <c r="J372" t="n">
        <v>45</v>
      </c>
      <c r="K372" t="n">
        <v>0.15</v>
      </c>
      <c r="L372" s="5">
        <f>100*J372/I372</f>
        <v/>
      </c>
      <c r="M372">
        <f>H372-I372</f>
        <v/>
      </c>
    </row>
    <row r="373">
      <c r="A373" t="inlineStr">
        <is>
          <t>SIMULATED Commercial FA Study</t>
        </is>
      </c>
      <c r="B373" t="inlineStr">
        <is>
          <t>P47</t>
        </is>
      </c>
      <c r="C373" t="inlineStr">
        <is>
          <t>A_C1first</t>
        </is>
      </c>
      <c r="D373" t="inlineStr">
        <is>
          <t>Commercial_1A</t>
        </is>
      </c>
      <c r="E373" t="inlineStr">
        <is>
          <t>Ch6</t>
        </is>
      </c>
      <c r="F373" t="inlineStr">
        <is>
          <t>F4</t>
        </is>
      </c>
      <c r="G373" t="n">
        <v>60000</v>
      </c>
      <c r="H373" t="n">
        <v>30000</v>
      </c>
      <c r="I373" t="n">
        <v>30000</v>
      </c>
      <c r="J373" t="n">
        <v>45</v>
      </c>
      <c r="K373" t="n">
        <v>0.15</v>
      </c>
      <c r="L373" s="5">
        <f>100*J373/I373</f>
        <v/>
      </c>
      <c r="M373">
        <f>H373-I373</f>
        <v/>
      </c>
    </row>
    <row r="374">
      <c r="A374" t="inlineStr">
        <is>
          <t>SIMULATED Commercial FA Study</t>
        </is>
      </c>
      <c r="B374" t="inlineStr">
        <is>
          <t>P47</t>
        </is>
      </c>
      <c r="C374" t="inlineStr">
        <is>
          <t>A_C1first</t>
        </is>
      </c>
      <c r="D374" t="inlineStr">
        <is>
          <t>Baseline_2</t>
        </is>
      </c>
      <c r="E374" t="inlineStr">
        <is>
          <t>Ch5</t>
        </is>
      </c>
      <c r="F374" t="inlineStr">
        <is>
          <t>F3</t>
        </is>
      </c>
      <c r="G374" t="n">
        <v>60000</v>
      </c>
      <c r="H374" t="n">
        <v>30000</v>
      </c>
      <c r="I374" t="n">
        <v>30000</v>
      </c>
      <c r="J374" t="n">
        <v>306</v>
      </c>
      <c r="K374" t="n">
        <v>1.02</v>
      </c>
      <c r="L374" s="5">
        <f>100*J374/I374</f>
        <v/>
      </c>
      <c r="M374">
        <f>H374-I374</f>
        <v/>
      </c>
    </row>
    <row r="375">
      <c r="A375" t="inlineStr">
        <is>
          <t>SIMULATED Commercial FA Study</t>
        </is>
      </c>
      <c r="B375" t="inlineStr">
        <is>
          <t>P47</t>
        </is>
      </c>
      <c r="C375" t="inlineStr">
        <is>
          <t>A_C1first</t>
        </is>
      </c>
      <c r="D375" t="inlineStr">
        <is>
          <t>Baseline_2</t>
        </is>
      </c>
      <c r="E375" t="inlineStr">
        <is>
          <t>Ch6</t>
        </is>
      </c>
      <c r="F375" t="inlineStr">
        <is>
          <t>F4</t>
        </is>
      </c>
      <c r="G375" t="n">
        <v>60000</v>
      </c>
      <c r="H375" t="n">
        <v>30000</v>
      </c>
      <c r="I375" t="n">
        <v>30000</v>
      </c>
      <c r="J375" t="n">
        <v>291</v>
      </c>
      <c r="K375" t="n">
        <v>0.97</v>
      </c>
      <c r="L375" s="5">
        <f>100*J375/I375</f>
        <v/>
      </c>
      <c r="M375">
        <f>H375-I375</f>
        <v/>
      </c>
    </row>
    <row r="376">
      <c r="A376" t="inlineStr">
        <is>
          <t>SIMULATED Commercial FA Study</t>
        </is>
      </c>
      <c r="B376" t="inlineStr">
        <is>
          <t>P47</t>
        </is>
      </c>
      <c r="C376" t="inlineStr">
        <is>
          <t>A_C1first</t>
        </is>
      </c>
      <c r="D376" t="inlineStr">
        <is>
          <t>Commercial_2</t>
        </is>
      </c>
      <c r="E376" t="inlineStr">
        <is>
          <t>Ch5</t>
        </is>
      </c>
      <c r="F376" t="inlineStr">
        <is>
          <t>F3</t>
        </is>
      </c>
      <c r="G376" t="n">
        <v>60000</v>
      </c>
      <c r="H376" t="n">
        <v>30000</v>
      </c>
      <c r="I376" t="n">
        <v>30000</v>
      </c>
      <c r="J376" t="n">
        <v>195</v>
      </c>
      <c r="K376" t="n">
        <v>0.65</v>
      </c>
      <c r="L376" s="5">
        <f>100*J376/I376</f>
        <v/>
      </c>
      <c r="M376">
        <f>H376-I376</f>
        <v/>
      </c>
    </row>
    <row r="377">
      <c r="A377" t="inlineStr">
        <is>
          <t>SIMULATED Commercial FA Study</t>
        </is>
      </c>
      <c r="B377" t="inlineStr">
        <is>
          <t>P47</t>
        </is>
      </c>
      <c r="C377" t="inlineStr">
        <is>
          <t>A_C1first</t>
        </is>
      </c>
      <c r="D377" t="inlineStr">
        <is>
          <t>Commercial_2</t>
        </is>
      </c>
      <c r="E377" t="inlineStr">
        <is>
          <t>Ch6</t>
        </is>
      </c>
      <c r="F377" t="inlineStr">
        <is>
          <t>F4</t>
        </is>
      </c>
      <c r="G377" t="n">
        <v>60000</v>
      </c>
      <c r="H377" t="n">
        <v>30000</v>
      </c>
      <c r="I377" t="n">
        <v>30000</v>
      </c>
      <c r="J377" t="n">
        <v>171</v>
      </c>
      <c r="K377" t="n">
        <v>0.57</v>
      </c>
      <c r="L377" s="5">
        <f>100*J377/I377</f>
        <v/>
      </c>
      <c r="M377">
        <f>H377-I377</f>
        <v/>
      </c>
    </row>
    <row r="378">
      <c r="A378" t="inlineStr">
        <is>
          <t>SIMULATED Commercial FA Study</t>
        </is>
      </c>
      <c r="B378" t="inlineStr">
        <is>
          <t>P48</t>
        </is>
      </c>
      <c r="C378" t="inlineStr">
        <is>
          <t>B_C1first</t>
        </is>
      </c>
      <c r="D378" t="inlineStr">
        <is>
          <t>Baseline_1</t>
        </is>
      </c>
      <c r="E378" t="inlineStr">
        <is>
          <t>Ch5</t>
        </is>
      </c>
      <c r="F378" t="inlineStr">
        <is>
          <t>F3</t>
        </is>
      </c>
      <c r="G378" t="n">
        <v>60000</v>
      </c>
      <c r="H378" t="n">
        <v>30000</v>
      </c>
      <c r="I378" t="n">
        <v>30000</v>
      </c>
      <c r="J378" t="n">
        <v>132</v>
      </c>
      <c r="K378" t="n">
        <v>0.44</v>
      </c>
      <c r="L378" s="5">
        <f>100*J378/I378</f>
        <v/>
      </c>
      <c r="M378">
        <f>H378-I378</f>
        <v/>
      </c>
    </row>
    <row r="379">
      <c r="A379" t="inlineStr">
        <is>
          <t>SIMULATED Commercial FA Study</t>
        </is>
      </c>
      <c r="B379" t="inlineStr">
        <is>
          <t>P48</t>
        </is>
      </c>
      <c r="C379" t="inlineStr">
        <is>
          <t>B_C1first</t>
        </is>
      </c>
      <c r="D379" t="inlineStr">
        <is>
          <t>Baseline_1</t>
        </is>
      </c>
      <c r="E379" t="inlineStr">
        <is>
          <t>Ch6</t>
        </is>
      </c>
      <c r="F379" t="inlineStr">
        <is>
          <t>F4</t>
        </is>
      </c>
      <c r="G379" t="n">
        <v>60000</v>
      </c>
      <c r="H379" t="n">
        <v>30000</v>
      </c>
      <c r="I379" t="n">
        <v>30000</v>
      </c>
      <c r="J379" t="n">
        <v>129</v>
      </c>
      <c r="K379" t="n">
        <v>0.43</v>
      </c>
      <c r="L379" s="5">
        <f>100*J379/I379</f>
        <v/>
      </c>
      <c r="M379">
        <f>H379-I379</f>
        <v/>
      </c>
    </row>
    <row r="380">
      <c r="A380" t="inlineStr">
        <is>
          <t>SIMULATED Commercial FA Study</t>
        </is>
      </c>
      <c r="B380" t="inlineStr">
        <is>
          <t>P48</t>
        </is>
      </c>
      <c r="C380" t="inlineStr">
        <is>
          <t>B_C1first</t>
        </is>
      </c>
      <c r="D380" t="inlineStr">
        <is>
          <t>Commercial_1B</t>
        </is>
      </c>
      <c r="E380" t="inlineStr">
        <is>
          <t>Ch5</t>
        </is>
      </c>
      <c r="F380" t="inlineStr">
        <is>
          <t>F3</t>
        </is>
      </c>
      <c r="G380" t="n">
        <v>54000</v>
      </c>
      <c r="H380" t="n">
        <v>27000</v>
      </c>
      <c r="I380" t="n">
        <v>27000</v>
      </c>
      <c r="J380" t="n">
        <v>553</v>
      </c>
      <c r="K380" t="n">
        <v>2.05</v>
      </c>
      <c r="L380" s="5">
        <f>100*J380/I380</f>
        <v/>
      </c>
      <c r="M380">
        <f>H380-I380</f>
        <v/>
      </c>
    </row>
    <row r="381">
      <c r="A381" t="inlineStr">
        <is>
          <t>SIMULATED Commercial FA Study</t>
        </is>
      </c>
      <c r="B381" t="inlineStr">
        <is>
          <t>P48</t>
        </is>
      </c>
      <c r="C381" t="inlineStr">
        <is>
          <t>B_C1first</t>
        </is>
      </c>
      <c r="D381" t="inlineStr">
        <is>
          <t>Commercial_1B</t>
        </is>
      </c>
      <c r="E381" t="inlineStr">
        <is>
          <t>Ch6</t>
        </is>
      </c>
      <c r="F381" t="inlineStr">
        <is>
          <t>F4</t>
        </is>
      </c>
      <c r="G381" t="n">
        <v>54000</v>
      </c>
      <c r="H381" t="n">
        <v>27000</v>
      </c>
      <c r="I381" t="n">
        <v>27000</v>
      </c>
      <c r="J381" t="n">
        <v>567</v>
      </c>
      <c r="K381" t="n">
        <v>2.1</v>
      </c>
      <c r="L381" s="5">
        <f>100*J381/I381</f>
        <v/>
      </c>
      <c r="M381">
        <f>H381-I381</f>
        <v/>
      </c>
    </row>
    <row r="382">
      <c r="A382" t="inlineStr">
        <is>
          <t>SIMULATED Commercial FA Study</t>
        </is>
      </c>
      <c r="B382" t="inlineStr">
        <is>
          <t>P48</t>
        </is>
      </c>
      <c r="C382" t="inlineStr">
        <is>
          <t>B_C1first</t>
        </is>
      </c>
      <c r="D382" t="inlineStr">
        <is>
          <t>Baseline_2</t>
        </is>
      </c>
      <c r="E382" t="inlineStr">
        <is>
          <t>Ch5</t>
        </is>
      </c>
      <c r="F382" t="inlineStr">
        <is>
          <t>F3</t>
        </is>
      </c>
      <c r="G382" t="n">
        <v>60000</v>
      </c>
      <c r="H382" t="n">
        <v>30000</v>
      </c>
      <c r="I382" t="n">
        <v>30000</v>
      </c>
      <c r="J382" t="n">
        <v>531</v>
      </c>
      <c r="K382" t="n">
        <v>1.77</v>
      </c>
      <c r="L382" s="5">
        <f>100*J382/I382</f>
        <v/>
      </c>
      <c r="M382">
        <f>H382-I382</f>
        <v/>
      </c>
    </row>
    <row r="383">
      <c r="A383" t="inlineStr">
        <is>
          <t>SIMULATED Commercial FA Study</t>
        </is>
      </c>
      <c r="B383" t="inlineStr">
        <is>
          <t>P48</t>
        </is>
      </c>
      <c r="C383" t="inlineStr">
        <is>
          <t>B_C1first</t>
        </is>
      </c>
      <c r="D383" t="inlineStr">
        <is>
          <t>Baseline_2</t>
        </is>
      </c>
      <c r="E383" t="inlineStr">
        <is>
          <t>Ch6</t>
        </is>
      </c>
      <c r="F383" t="inlineStr">
        <is>
          <t>F4</t>
        </is>
      </c>
      <c r="G383" t="n">
        <v>60000</v>
      </c>
      <c r="H383" t="n">
        <v>30000</v>
      </c>
      <c r="I383" t="n">
        <v>30000</v>
      </c>
      <c r="J383" t="n">
        <v>600</v>
      </c>
      <c r="K383" t="n">
        <v>2</v>
      </c>
      <c r="L383" s="5">
        <f>100*J383/I383</f>
        <v/>
      </c>
      <c r="M383">
        <f>H383-I383</f>
        <v/>
      </c>
    </row>
    <row r="384">
      <c r="A384" t="inlineStr">
        <is>
          <t>SIMULATED Commercial FA Study</t>
        </is>
      </c>
      <c r="B384" t="inlineStr">
        <is>
          <t>P48</t>
        </is>
      </c>
      <c r="C384" t="inlineStr">
        <is>
          <t>B_C1first</t>
        </is>
      </c>
      <c r="D384" t="inlineStr">
        <is>
          <t>Commercial_2</t>
        </is>
      </c>
      <c r="E384" t="inlineStr">
        <is>
          <t>Ch5</t>
        </is>
      </c>
      <c r="F384" t="inlineStr">
        <is>
          <t>F3</t>
        </is>
      </c>
      <c r="G384" t="n">
        <v>60000</v>
      </c>
      <c r="H384" t="n">
        <v>30000</v>
      </c>
      <c r="I384" t="n">
        <v>30000</v>
      </c>
      <c r="J384" t="n">
        <v>402</v>
      </c>
      <c r="K384" t="n">
        <v>1.34</v>
      </c>
      <c r="L384" s="5">
        <f>100*J384/I384</f>
        <v/>
      </c>
      <c r="M384">
        <f>H384-I384</f>
        <v/>
      </c>
    </row>
    <row r="385">
      <c r="A385" t="inlineStr">
        <is>
          <t>SIMULATED Commercial FA Study</t>
        </is>
      </c>
      <c r="B385" t="inlineStr">
        <is>
          <t>P48</t>
        </is>
      </c>
      <c r="C385" t="inlineStr">
        <is>
          <t>B_C1first</t>
        </is>
      </c>
      <c r="D385" t="inlineStr">
        <is>
          <t>Commercial_2</t>
        </is>
      </c>
      <c r="E385" t="inlineStr">
        <is>
          <t>Ch6</t>
        </is>
      </c>
      <c r="F385" t="inlineStr">
        <is>
          <t>F4</t>
        </is>
      </c>
      <c r="G385" t="n">
        <v>60000</v>
      </c>
      <c r="H385" t="n">
        <v>30000</v>
      </c>
      <c r="I385" t="n">
        <v>30000</v>
      </c>
      <c r="J385" t="n">
        <v>420</v>
      </c>
      <c r="K385" t="n">
        <v>1.4</v>
      </c>
      <c r="L385" s="5">
        <f>100*J385/I385</f>
        <v/>
      </c>
      <c r="M385">
        <f>H385-I385</f>
        <v/>
      </c>
    </row>
  </sheetData>
  <autoFilter ref="A1:M38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2" customWidth="1" min="3" max="3"/>
    <col width="9" customWidth="1" min="4" max="4"/>
    <col width="9" customWidth="1" min="5" max="5"/>
    <col width="10" customWidth="1" min="6" max="6"/>
    <col width="12" customWidth="1" min="7" max="7"/>
    <col width="34" customWidth="1" min="8" max="8"/>
    <col width="34" customWidth="1" min="9" max="9"/>
    <col width="10" customWidth="1" min="10" max="10"/>
    <col width="15" customWidth="1" min="11" max="11"/>
    <col width="40" customWidth="1" min="12" max="12"/>
    <col width="15" customWidth="1" min="13" max="13"/>
    <col width="40" customWidth="1" min="14" max="14"/>
  </cols>
  <sheetData>
    <row r="1">
      <c r="A1" s="2" t="inlineStr">
        <is>
          <t>Respondent Name</t>
        </is>
      </c>
      <c r="B1" s="2" t="inlineStr">
        <is>
          <t>Session Date</t>
        </is>
      </c>
      <c r="C1" s="2" t="inlineStr">
        <is>
          <t>Operator</t>
        </is>
      </c>
      <c r="D1" s="2" t="inlineStr">
        <is>
          <t>Version</t>
        </is>
      </c>
      <c r="E1" s="2" t="inlineStr">
        <is>
          <t>Order</t>
        </is>
      </c>
      <c r="F1" s="2" t="inlineStr">
        <is>
          <t>Cap size</t>
        </is>
      </c>
      <c r="G1" s="2" t="inlineStr">
        <is>
          <t>Connection</t>
        </is>
      </c>
      <c r="H1" s="2" t="inlineStr">
        <is>
          <t>NIC2 quality F3 before recording</t>
        </is>
      </c>
      <c r="I1" s="2" t="inlineStr">
        <is>
          <t>NIC2 quality F4 before recording</t>
        </is>
      </c>
      <c r="J1" s="2" t="inlineStr">
        <is>
          <t>Gel used</t>
        </is>
      </c>
      <c r="K1" s="2" t="inlineStr">
        <is>
          <t>Setup minutes</t>
        </is>
      </c>
      <c r="L1" s="2" t="inlineStr">
        <is>
          <t>Incidents</t>
        </is>
      </c>
      <c r="M1" s="2" t="inlineStr">
        <is>
          <t>Data complete</t>
        </is>
      </c>
      <c r="N1" s="2" t="inlineStr">
        <is>
          <t>Decision note</t>
        </is>
      </c>
    </row>
    <row r="2">
      <c r="A2" t="inlineStr">
        <is>
          <t>P01</t>
        </is>
      </c>
      <c r="B2" t="inlineStr">
        <is>
          <t>2027-02-01</t>
        </is>
      </c>
      <c r="C2" t="inlineStr">
        <is>
          <t>Operator_1</t>
        </is>
      </c>
      <c r="D2" t="inlineStr">
        <is>
          <t>B</t>
        </is>
      </c>
      <c r="E2" t="inlineStr">
        <is>
          <t>C2first</t>
        </is>
      </c>
      <c r="F2" t="inlineStr">
        <is>
          <t>S</t>
        </is>
      </c>
      <c r="G2" t="inlineStr">
        <is>
          <t>USB</t>
        </is>
      </c>
      <c r="H2" t="inlineStr">
        <is>
          <t>Yellow</t>
        </is>
      </c>
      <c r="I2" t="inlineStr">
        <is>
          <t>Green</t>
        </is>
      </c>
      <c r="J2" t="inlineStr">
        <is>
          <t>Yes</t>
        </is>
      </c>
      <c r="K2" t="n">
        <v>21</v>
      </c>
      <c r="L2" t="inlineStr">
        <is>
          <t>F4 Red at the first check; hair parted, gel added, electrode pressed for 10 s; F4 Green before recording</t>
        </is>
      </c>
      <c r="M2" t="inlineStr">
        <is>
          <t>Yes</t>
        </is>
      </c>
      <c r="N2" t="inlineStr">
        <is>
          <t>Keep: Yellow at the last impedance check is within the lab target (below 10 kOhm)</t>
        </is>
      </c>
    </row>
    <row r="3">
      <c r="A3" t="inlineStr">
        <is>
          <t>P02</t>
        </is>
      </c>
      <c r="B3" t="inlineStr">
        <is>
          <t>2027-02-01</t>
        </is>
      </c>
      <c r="C3" t="inlineStr">
        <is>
          <t>Operator_1</t>
        </is>
      </c>
      <c r="D3" t="inlineStr">
        <is>
          <t>A</t>
        </is>
      </c>
      <c r="E3" t="inlineStr">
        <is>
          <t>C2first</t>
        </is>
      </c>
      <c r="F3" t="inlineStr">
        <is>
          <t>L</t>
        </is>
      </c>
      <c r="G3" t="inlineStr">
        <is>
          <t>USB</t>
        </is>
      </c>
      <c r="H3" t="inlineStr">
        <is>
          <t>Green</t>
        </is>
      </c>
      <c r="I3" t="inlineStr">
        <is>
          <t>Green</t>
        </is>
      </c>
      <c r="J3" t="inlineStr">
        <is>
          <t>Yes</t>
        </is>
      </c>
      <c r="K3" t="n">
        <v>17</v>
      </c>
      <c r="L3" t="inlineStr">
        <is>
          <t>None</t>
        </is>
      </c>
      <c r="M3" t="inlineStr">
        <is>
          <t>Yes</t>
        </is>
      </c>
      <c r="N3" t="inlineStr"/>
    </row>
    <row r="4">
      <c r="A4" t="inlineStr">
        <is>
          <t>P03</t>
        </is>
      </c>
      <c r="B4" t="inlineStr">
        <is>
          <t>2027-02-01</t>
        </is>
      </c>
      <c r="C4" t="inlineStr">
        <is>
          <t>Operator_1</t>
        </is>
      </c>
      <c r="D4" t="inlineStr">
        <is>
          <t>B</t>
        </is>
      </c>
      <c r="E4" t="inlineStr">
        <is>
          <t>C1first</t>
        </is>
      </c>
      <c r="F4" t="inlineStr">
        <is>
          <t>M</t>
        </is>
      </c>
      <c r="G4" t="inlineStr">
        <is>
          <t>USB</t>
        </is>
      </c>
      <c r="H4" t="inlineStr">
        <is>
          <t>Green</t>
        </is>
      </c>
      <c r="I4" t="inlineStr">
        <is>
          <t>Green</t>
        </is>
      </c>
      <c r="J4" t="inlineStr">
        <is>
          <t>Yes</t>
        </is>
      </c>
      <c r="K4" t="n">
        <v>22</v>
      </c>
      <c r="L4" t="inlineStr">
        <is>
          <t>F4 Red at the first check; hair parted, gel added, electrode pressed for 10 s; F4 Green before recording</t>
        </is>
      </c>
      <c r="M4" t="inlineStr">
        <is>
          <t>Yes</t>
        </is>
      </c>
      <c r="N4" t="inlineStr"/>
    </row>
    <row r="5">
      <c r="A5" t="inlineStr">
        <is>
          <t>P04</t>
        </is>
      </c>
      <c r="B5" t="inlineStr">
        <is>
          <t>2027-02-02</t>
        </is>
      </c>
      <c r="C5" t="inlineStr">
        <is>
          <t>Operator_2</t>
        </is>
      </c>
      <c r="D5" t="inlineStr">
        <is>
          <t>A</t>
        </is>
      </c>
      <c r="E5" t="inlineStr">
        <is>
          <t>C1first</t>
        </is>
      </c>
      <c r="F5" t="inlineStr">
        <is>
          <t>M</t>
        </is>
      </c>
      <c r="G5" t="inlineStr">
        <is>
          <t>USB</t>
        </is>
      </c>
      <c r="H5" t="inlineStr">
        <is>
          <t>Green</t>
        </is>
      </c>
      <c r="I5" t="inlineStr">
        <is>
          <t>Green</t>
        </is>
      </c>
      <c r="J5" t="inlineStr">
        <is>
          <t>Yes</t>
        </is>
      </c>
      <c r="K5" t="n">
        <v>14</v>
      </c>
      <c r="L5" t="inlineStr">
        <is>
          <t>Fidgeting and frequent blinking; reminded once to sit still</t>
        </is>
      </c>
      <c r="M5" t="inlineStr">
        <is>
          <t>Yes</t>
        </is>
      </c>
      <c r="N5" t="inlineStr">
        <is>
          <t>Keep: largest percent removed 22.83 (F4, Baseline_1) is below the 25 percent rule; dropped in the 15 percent sensitivity analysis</t>
        </is>
      </c>
    </row>
    <row r="6">
      <c r="A6" t="inlineStr">
        <is>
          <t>P05</t>
        </is>
      </c>
      <c r="B6" t="inlineStr">
        <is>
          <t>2027-02-02</t>
        </is>
      </c>
      <c r="C6" t="inlineStr">
        <is>
          <t>Operator_2</t>
        </is>
      </c>
      <c r="D6" t="inlineStr">
        <is>
          <t>A</t>
        </is>
      </c>
      <c r="E6" t="inlineStr">
        <is>
          <t>C1first</t>
        </is>
      </c>
      <c r="F6" t="inlineStr">
        <is>
          <t>M</t>
        </is>
      </c>
      <c r="G6" t="inlineStr">
        <is>
          <t>USB</t>
        </is>
      </c>
      <c r="H6" t="inlineStr">
        <is>
          <t>Green</t>
        </is>
      </c>
      <c r="I6" t="inlineStr">
        <is>
          <t>Green</t>
        </is>
      </c>
      <c r="J6" t="inlineStr">
        <is>
          <t>Yes</t>
        </is>
      </c>
      <c r="K6" t="n">
        <v>10</v>
      </c>
      <c r="L6" t="inlineStr">
        <is>
          <t>Participant asked a question during the first rating slide</t>
        </is>
      </c>
      <c r="M6" t="inlineStr">
        <is>
          <t>Yes</t>
        </is>
      </c>
      <c r="N6" t="inlineStr"/>
    </row>
    <row r="7">
      <c r="A7" t="inlineStr">
        <is>
          <t>P06</t>
        </is>
      </c>
      <c r="B7" t="inlineStr">
        <is>
          <t>2027-02-02</t>
        </is>
      </c>
      <c r="C7" t="inlineStr">
        <is>
          <t>Operator_2</t>
        </is>
      </c>
      <c r="D7" t="inlineStr">
        <is>
          <t>B</t>
        </is>
      </c>
      <c r="E7" t="inlineStr">
        <is>
          <t>C2first</t>
        </is>
      </c>
      <c r="F7" t="inlineStr">
        <is>
          <t>M</t>
        </is>
      </c>
      <c r="G7" t="inlineStr">
        <is>
          <t>USB</t>
        </is>
      </c>
      <c r="H7" t="inlineStr">
        <is>
          <t>Green</t>
        </is>
      </c>
      <c r="I7" t="inlineStr">
        <is>
          <t>Green</t>
        </is>
      </c>
      <c r="J7" t="inlineStr">
        <is>
          <t>Yes</t>
        </is>
      </c>
      <c r="K7" t="n">
        <v>17</v>
      </c>
      <c r="L7" t="inlineStr">
        <is>
          <t>None</t>
        </is>
      </c>
      <c r="M7" t="inlineStr">
        <is>
          <t>Yes</t>
        </is>
      </c>
      <c r="N7" t="inlineStr"/>
    </row>
    <row r="8">
      <c r="A8" t="inlineStr">
        <is>
          <t>P07</t>
        </is>
      </c>
      <c r="B8" t="inlineStr">
        <is>
          <t>2027-02-03</t>
        </is>
      </c>
      <c r="C8" t="inlineStr">
        <is>
          <t>Operator_1</t>
        </is>
      </c>
      <c r="D8" t="inlineStr">
        <is>
          <t>B</t>
        </is>
      </c>
      <c r="E8" t="inlineStr">
        <is>
          <t>C1first</t>
        </is>
      </c>
      <c r="F8" t="inlineStr">
        <is>
          <t>M</t>
        </is>
      </c>
      <c r="G8" t="inlineStr">
        <is>
          <t>USB</t>
        </is>
      </c>
      <c r="H8" t="inlineStr">
        <is>
          <t>Green</t>
        </is>
      </c>
      <c r="I8" t="inlineStr">
        <is>
          <t>Green</t>
        </is>
      </c>
      <c r="J8" t="inlineStr">
        <is>
          <t>Yes</t>
        </is>
      </c>
      <c r="K8" t="n">
        <v>21</v>
      </c>
      <c r="L8" t="inlineStr">
        <is>
          <t>F4 Red at the first check; hair parted, gel added, electrode pressed for 10 s; F4 Green before recording</t>
        </is>
      </c>
      <c r="M8" t="inlineStr">
        <is>
          <t>Yes</t>
        </is>
      </c>
      <c r="N8" t="inlineStr"/>
    </row>
    <row r="9">
      <c r="A9" t="inlineStr">
        <is>
          <t>P08</t>
        </is>
      </c>
      <c r="B9" t="inlineStr">
        <is>
          <t>2027-02-03</t>
        </is>
      </c>
      <c r="C9" t="inlineStr">
        <is>
          <t>Operator_1</t>
        </is>
      </c>
      <c r="D9" t="inlineStr">
        <is>
          <t>A</t>
        </is>
      </c>
      <c r="E9" t="inlineStr">
        <is>
          <t>C2first</t>
        </is>
      </c>
      <c r="F9" t="inlineStr">
        <is>
          <t>L</t>
        </is>
      </c>
      <c r="G9" t="inlineStr">
        <is>
          <t>USB</t>
        </is>
      </c>
      <c r="H9" t="inlineStr">
        <is>
          <t>Green</t>
        </is>
      </c>
      <c r="I9" t="inlineStr">
        <is>
          <t>Green</t>
        </is>
      </c>
      <c r="J9" t="inlineStr">
        <is>
          <t>Yes</t>
        </is>
      </c>
      <c r="K9" t="n">
        <v>14</v>
      </c>
      <c r="L9" t="inlineStr">
        <is>
          <t>Participant asked a question during the first rating slide</t>
        </is>
      </c>
      <c r="M9" t="inlineStr">
        <is>
          <t>Yes</t>
        </is>
      </c>
      <c r="N9" t="inlineStr"/>
    </row>
    <row r="10">
      <c r="A10" t="inlineStr">
        <is>
          <t>P09</t>
        </is>
      </c>
      <c r="B10" t="inlineStr">
        <is>
          <t>2027-02-03</t>
        </is>
      </c>
      <c r="C10" t="inlineStr">
        <is>
          <t>Operator_1</t>
        </is>
      </c>
      <c r="D10" t="inlineStr">
        <is>
          <t>A</t>
        </is>
      </c>
      <c r="E10" t="inlineStr">
        <is>
          <t>C1first</t>
        </is>
      </c>
      <c r="F10" t="inlineStr">
        <is>
          <t>M</t>
        </is>
      </c>
      <c r="G10" t="inlineStr">
        <is>
          <t>USB</t>
        </is>
      </c>
      <c r="H10" t="inlineStr">
        <is>
          <t>Green</t>
        </is>
      </c>
      <c r="I10" t="inlineStr">
        <is>
          <t>Green</t>
        </is>
      </c>
      <c r="J10" t="inlineStr">
        <is>
          <t>Yes</t>
        </is>
      </c>
      <c r="K10" t="n">
        <v>19</v>
      </c>
      <c r="L10" t="inlineStr">
        <is>
          <t>Participant asked a question during the first rating slide</t>
        </is>
      </c>
      <c r="M10" t="inlineStr">
        <is>
          <t>Yes</t>
        </is>
      </c>
      <c r="N10" t="inlineStr"/>
    </row>
    <row r="11">
      <c r="A11" t="inlineStr">
        <is>
          <t>P10</t>
        </is>
      </c>
      <c r="B11" t="inlineStr">
        <is>
          <t>2027-02-04</t>
        </is>
      </c>
      <c r="C11" t="inlineStr">
        <is>
          <t>Operator_2</t>
        </is>
      </c>
      <c r="D11" t="inlineStr">
        <is>
          <t>B</t>
        </is>
      </c>
      <c r="E11" t="inlineStr">
        <is>
          <t>C1first</t>
        </is>
      </c>
      <c r="F11" t="inlineStr">
        <is>
          <t>L</t>
        </is>
      </c>
      <c r="G11" t="inlineStr">
        <is>
          <t>USB</t>
        </is>
      </c>
      <c r="H11" t="inlineStr">
        <is>
          <t>Yellow</t>
        </is>
      </c>
      <c r="I11" t="inlineStr">
        <is>
          <t>Green</t>
        </is>
      </c>
      <c r="J11" t="inlineStr">
        <is>
          <t>Yes</t>
        </is>
      </c>
      <c r="K11" t="n">
        <v>21</v>
      </c>
      <c r="L11" t="inlineStr">
        <is>
          <t>Participant sneezed during Baseline_2; live marker set</t>
        </is>
      </c>
      <c r="M11" t="inlineStr">
        <is>
          <t>Yes</t>
        </is>
      </c>
      <c r="N11" t="inlineStr">
        <is>
          <t>Keep: Yellow at the last impedance check is within the lab target (below 10 kOhm)</t>
        </is>
      </c>
    </row>
    <row r="12">
      <c r="A12" t="inlineStr">
        <is>
          <t>P11</t>
        </is>
      </c>
      <c r="B12" t="inlineStr">
        <is>
          <t>2027-02-04</t>
        </is>
      </c>
      <c r="C12" t="inlineStr">
        <is>
          <t>Operator_2</t>
        </is>
      </c>
      <c r="D12" t="inlineStr">
        <is>
          <t>A</t>
        </is>
      </c>
      <c r="E12" t="inlineStr">
        <is>
          <t>C2first</t>
        </is>
      </c>
      <c r="F12" t="inlineStr">
        <is>
          <t>M</t>
        </is>
      </c>
      <c r="G12" t="inlineStr">
        <is>
          <t>USB</t>
        </is>
      </c>
      <c r="H12" t="inlineStr">
        <is>
          <t>Yellow</t>
        </is>
      </c>
      <c r="I12" t="inlineStr">
        <is>
          <t>Green</t>
        </is>
      </c>
      <c r="J12" t="inlineStr">
        <is>
          <t>Yes</t>
        </is>
      </c>
      <c r="K12" t="n">
        <v>15</v>
      </c>
      <c r="L12" t="inlineStr">
        <is>
          <t>Participant asked a question during the first rating slide</t>
        </is>
      </c>
      <c r="M12" t="inlineStr">
        <is>
          <t>Yes</t>
        </is>
      </c>
      <c r="N12" t="inlineStr">
        <is>
          <t>Keep: Yellow at the last impedance check is within the lab target (below 10 kOhm)</t>
        </is>
      </c>
    </row>
    <row r="13">
      <c r="A13" t="inlineStr">
        <is>
          <t>P12</t>
        </is>
      </c>
      <c r="B13" t="inlineStr">
        <is>
          <t>2027-02-04</t>
        </is>
      </c>
      <c r="C13" t="inlineStr">
        <is>
          <t>Operator_2</t>
        </is>
      </c>
      <c r="D13" t="inlineStr">
        <is>
          <t>B</t>
        </is>
      </c>
      <c r="E13" t="inlineStr">
        <is>
          <t>C2first</t>
        </is>
      </c>
      <c r="F13" t="inlineStr">
        <is>
          <t>M</t>
        </is>
      </c>
      <c r="G13" t="inlineStr">
        <is>
          <t>USB</t>
        </is>
      </c>
      <c r="H13" t="inlineStr">
        <is>
          <t>Green</t>
        </is>
      </c>
      <c r="I13" t="inlineStr">
        <is>
          <t>Green</t>
        </is>
      </c>
      <c r="J13" t="inlineStr">
        <is>
          <t>Yes</t>
        </is>
      </c>
      <c r="K13" t="n">
        <v>16</v>
      </c>
      <c r="L13" t="inlineStr">
        <is>
          <t>Participant asked a question during the first rating slide</t>
        </is>
      </c>
      <c r="M13" t="inlineStr">
        <is>
          <t>Yes</t>
        </is>
      </c>
      <c r="N13" t="inlineStr"/>
    </row>
    <row r="14">
      <c r="A14" t="inlineStr">
        <is>
          <t>P13</t>
        </is>
      </c>
      <c r="B14" t="inlineStr">
        <is>
          <t>2027-02-05</t>
        </is>
      </c>
      <c r="C14" t="inlineStr">
        <is>
          <t>Operator_1</t>
        </is>
      </c>
      <c r="D14" t="inlineStr">
        <is>
          <t>A</t>
        </is>
      </c>
      <c r="E14" t="inlineStr">
        <is>
          <t>C1first</t>
        </is>
      </c>
      <c r="F14" t="inlineStr">
        <is>
          <t>M</t>
        </is>
      </c>
      <c r="G14" t="inlineStr">
        <is>
          <t>USB</t>
        </is>
      </c>
      <c r="H14" t="inlineStr">
        <is>
          <t>Yellow</t>
        </is>
      </c>
      <c r="I14" t="inlineStr">
        <is>
          <t>Green</t>
        </is>
      </c>
      <c r="J14" t="inlineStr">
        <is>
          <t>Yes</t>
        </is>
      </c>
      <c r="K14" t="n">
        <v>13</v>
      </c>
      <c r="L14" t="inlineStr">
        <is>
          <t>None</t>
        </is>
      </c>
      <c r="M14" t="inlineStr">
        <is>
          <t>Yes</t>
        </is>
      </c>
      <c r="N14" t="inlineStr">
        <is>
          <t>Keep: Yellow at the last impedance check is within the lab target (below 10 kOhm)</t>
        </is>
      </c>
    </row>
    <row r="15">
      <c r="A15" t="inlineStr">
        <is>
          <t>P14</t>
        </is>
      </c>
      <c r="B15" t="inlineStr">
        <is>
          <t>2027-02-05</t>
        </is>
      </c>
      <c r="C15" t="inlineStr">
        <is>
          <t>Operator_1</t>
        </is>
      </c>
      <c r="D15" t="inlineStr">
        <is>
          <t>A</t>
        </is>
      </c>
      <c r="E15" t="inlineStr">
        <is>
          <t>C2first</t>
        </is>
      </c>
      <c r="F15" t="inlineStr">
        <is>
          <t>L</t>
        </is>
      </c>
      <c r="G15" t="inlineStr">
        <is>
          <t>USB</t>
        </is>
      </c>
      <c r="H15" t="inlineStr">
        <is>
          <t>Yellow</t>
        </is>
      </c>
      <c r="I15" t="inlineStr">
        <is>
          <t>Yellow</t>
        </is>
      </c>
      <c r="J15" t="inlineStr">
        <is>
          <t>Yes</t>
        </is>
      </c>
      <c r="K15" t="n">
        <v>16</v>
      </c>
      <c r="L15" t="inlineStr">
        <is>
          <t>None</t>
        </is>
      </c>
      <c r="M15" t="inlineStr">
        <is>
          <t>Yes</t>
        </is>
      </c>
      <c r="N15" t="inlineStr">
        <is>
          <t>Keep: Yellow at the last impedance check is within the lab target (below 10 kOhm)</t>
        </is>
      </c>
    </row>
    <row r="16">
      <c r="A16" t="inlineStr">
        <is>
          <t>P15</t>
        </is>
      </c>
      <c r="B16" t="inlineStr">
        <is>
          <t>2027-02-05</t>
        </is>
      </c>
      <c r="C16" t="inlineStr">
        <is>
          <t>Operator_1</t>
        </is>
      </c>
      <c r="D16" t="inlineStr">
        <is>
          <t>B</t>
        </is>
      </c>
      <c r="E16" t="inlineStr">
        <is>
          <t>C1first</t>
        </is>
      </c>
      <c r="F16" t="inlineStr">
        <is>
          <t>M</t>
        </is>
      </c>
      <c r="G16" t="inlineStr">
        <is>
          <t>USB</t>
        </is>
      </c>
      <c r="H16" t="inlineStr">
        <is>
          <t>Green</t>
        </is>
      </c>
      <c r="I16" t="inlineStr">
        <is>
          <t>Green</t>
        </is>
      </c>
      <c r="J16" t="inlineStr">
        <is>
          <t>Yes</t>
        </is>
      </c>
      <c r="K16" t="n">
        <v>23</v>
      </c>
      <c r="L16" t="inlineStr">
        <is>
          <t>F3 Red at the first check; hair parted, gel added, electrode pressed for 10 s; F3 Green before recording</t>
        </is>
      </c>
      <c r="M16" t="inlineStr">
        <is>
          <t>Yes</t>
        </is>
      </c>
      <c r="N16" t="inlineStr"/>
    </row>
    <row r="17">
      <c r="A17" t="inlineStr">
        <is>
          <t>P16</t>
        </is>
      </c>
      <c r="B17" t="inlineStr">
        <is>
          <t>2027-02-08</t>
        </is>
      </c>
      <c r="C17" t="inlineStr">
        <is>
          <t>Operator_2</t>
        </is>
      </c>
      <c r="D17" t="inlineStr">
        <is>
          <t>B</t>
        </is>
      </c>
      <c r="E17" t="inlineStr">
        <is>
          <t>C2first</t>
        </is>
      </c>
      <c r="F17" t="inlineStr">
        <is>
          <t>M</t>
        </is>
      </c>
      <c r="G17" t="inlineStr">
        <is>
          <t>USB</t>
        </is>
      </c>
      <c r="H17" t="inlineStr">
        <is>
          <t>Green</t>
        </is>
      </c>
      <c r="I17" t="inlineStr">
        <is>
          <t>Green</t>
        </is>
      </c>
      <c r="J17" t="inlineStr">
        <is>
          <t>Yes</t>
        </is>
      </c>
      <c r="K17" t="n">
        <v>15</v>
      </c>
      <c r="L17" t="inlineStr">
        <is>
          <t>Phone vibrated in a bag at the start of Baseline_1; bag moved out of the room</t>
        </is>
      </c>
      <c r="M17" t="inlineStr">
        <is>
          <t>Yes</t>
        </is>
      </c>
      <c r="N17" t="inlineStr"/>
    </row>
    <row r="18">
      <c r="A18" t="inlineStr">
        <is>
          <t>P17</t>
        </is>
      </c>
      <c r="B18" t="inlineStr">
        <is>
          <t>2027-02-08</t>
        </is>
      </c>
      <c r="C18" t="inlineStr">
        <is>
          <t>Operator_2</t>
        </is>
      </c>
      <c r="D18" t="inlineStr">
        <is>
          <t>B</t>
        </is>
      </c>
      <c r="E18" t="inlineStr">
        <is>
          <t>C2first</t>
        </is>
      </c>
      <c r="F18" t="inlineStr">
        <is>
          <t>M</t>
        </is>
      </c>
      <c r="G18" t="inlineStr">
        <is>
          <t>USB</t>
        </is>
      </c>
      <c r="H18" t="inlineStr">
        <is>
          <t>Green</t>
        </is>
      </c>
      <c r="I18" t="inlineStr">
        <is>
          <t>Yellow</t>
        </is>
      </c>
      <c r="J18" t="inlineStr">
        <is>
          <t>Yes</t>
        </is>
      </c>
      <c r="K18" t="n">
        <v>19</v>
      </c>
      <c r="L18" t="inlineStr">
        <is>
          <t>Participant asked a question during the first rating slide</t>
        </is>
      </c>
      <c r="M18" t="inlineStr">
        <is>
          <t>Yes</t>
        </is>
      </c>
      <c r="N18" t="inlineStr">
        <is>
          <t>Keep: Yellow at the last impedance check is within the lab target (below 10 kOhm)</t>
        </is>
      </c>
    </row>
    <row r="19">
      <c r="A19" t="inlineStr">
        <is>
          <t>P18</t>
        </is>
      </c>
      <c r="B19" t="inlineStr">
        <is>
          <t>2027-02-08</t>
        </is>
      </c>
      <c r="C19" t="inlineStr">
        <is>
          <t>Operator_2</t>
        </is>
      </c>
      <c r="D19" t="inlineStr">
        <is>
          <t>A</t>
        </is>
      </c>
      <c r="E19" t="inlineStr">
        <is>
          <t>C2first</t>
        </is>
      </c>
      <c r="F19" t="inlineStr">
        <is>
          <t>S</t>
        </is>
      </c>
      <c r="G19" t="inlineStr">
        <is>
          <t>USB</t>
        </is>
      </c>
      <c r="H19" t="inlineStr">
        <is>
          <t>Green</t>
        </is>
      </c>
      <c r="I19" t="inlineStr">
        <is>
          <t>Green</t>
        </is>
      </c>
      <c r="J19" t="inlineStr">
        <is>
          <t>Yes</t>
        </is>
      </c>
      <c r="K19" t="n">
        <v>16</v>
      </c>
      <c r="L19" t="inlineStr">
        <is>
          <t>Fidgeting and frequent blinking; reminded once to sit still</t>
        </is>
      </c>
      <c r="M19" t="inlineStr">
        <is>
          <t>Yes</t>
        </is>
      </c>
      <c r="N19" t="inlineStr">
        <is>
          <t>Keep: largest percent removed 17.28 (F4, Commercial_1A) is below the 25 percent rule; dropped in the 15 percent sensitivity analysis</t>
        </is>
      </c>
    </row>
    <row r="20">
      <c r="A20" t="inlineStr">
        <is>
          <t>P19</t>
        </is>
      </c>
      <c r="B20" t="inlineStr">
        <is>
          <t>2027-02-09</t>
        </is>
      </c>
      <c r="C20" t="inlineStr">
        <is>
          <t>Operator_1</t>
        </is>
      </c>
      <c r="D20" t="inlineStr">
        <is>
          <t>B</t>
        </is>
      </c>
      <c r="E20" t="inlineStr">
        <is>
          <t>C1first</t>
        </is>
      </c>
      <c r="F20" t="inlineStr">
        <is>
          <t>M</t>
        </is>
      </c>
      <c r="G20" t="inlineStr">
        <is>
          <t>USB</t>
        </is>
      </c>
      <c r="H20" t="inlineStr">
        <is>
          <t>Green</t>
        </is>
      </c>
      <c r="I20" t="inlineStr">
        <is>
          <t>Yellow</t>
        </is>
      </c>
      <c r="J20" t="inlineStr">
        <is>
          <t>Yes</t>
        </is>
      </c>
      <c r="K20" t="n">
        <v>25</v>
      </c>
      <c r="L20" t="inlineStr">
        <is>
          <t>None</t>
        </is>
      </c>
      <c r="M20" t="inlineStr">
        <is>
          <t>Yes</t>
        </is>
      </c>
      <c r="N20" t="inlineStr">
        <is>
          <t>Keep: Yellow at the last impedance check is within the lab target (below 10 kOhm)</t>
        </is>
      </c>
    </row>
    <row r="21">
      <c r="A21" t="inlineStr">
        <is>
          <t>P20</t>
        </is>
      </c>
      <c r="B21" t="inlineStr">
        <is>
          <t>2027-02-09</t>
        </is>
      </c>
      <c r="C21" t="inlineStr">
        <is>
          <t>Operator_1</t>
        </is>
      </c>
      <c r="D21" t="inlineStr">
        <is>
          <t>A</t>
        </is>
      </c>
      <c r="E21" t="inlineStr">
        <is>
          <t>C1first</t>
        </is>
      </c>
      <c r="F21" t="inlineStr">
        <is>
          <t>M</t>
        </is>
      </c>
      <c r="G21" t="inlineStr">
        <is>
          <t>USB</t>
        </is>
      </c>
      <c r="H21" t="inlineStr">
        <is>
          <t>Green</t>
        </is>
      </c>
      <c r="I21" t="inlineStr">
        <is>
          <t>Yellow</t>
        </is>
      </c>
      <c r="J21" t="inlineStr">
        <is>
          <t>Yes</t>
        </is>
      </c>
      <c r="K21" t="n">
        <v>13</v>
      </c>
      <c r="L21" t="inlineStr">
        <is>
          <t>None</t>
        </is>
      </c>
      <c r="M21" t="inlineStr">
        <is>
          <t>Yes</t>
        </is>
      </c>
      <c r="N21" t="inlineStr">
        <is>
          <t>Keep: Yellow at the last impedance check is within the lab target (below 10 kOhm)</t>
        </is>
      </c>
    </row>
    <row r="22">
      <c r="A22" t="inlineStr">
        <is>
          <t>P21</t>
        </is>
      </c>
      <c r="B22" t="inlineStr">
        <is>
          <t>2027-02-09</t>
        </is>
      </c>
      <c r="C22" t="inlineStr">
        <is>
          <t>Operator_1</t>
        </is>
      </c>
      <c r="D22" t="inlineStr">
        <is>
          <t>B</t>
        </is>
      </c>
      <c r="E22" t="inlineStr">
        <is>
          <t>C2first</t>
        </is>
      </c>
      <c r="F22" t="inlineStr">
        <is>
          <t>L</t>
        </is>
      </c>
      <c r="G22" t="inlineStr">
        <is>
          <t>USB</t>
        </is>
      </c>
      <c r="H22" t="inlineStr">
        <is>
          <t>Green</t>
        </is>
      </c>
      <c r="I22" t="inlineStr">
        <is>
          <t>Green</t>
        </is>
      </c>
      <c r="J22" t="inlineStr">
        <is>
          <t>Yes</t>
        </is>
      </c>
      <c r="K22" t="n">
        <v>16</v>
      </c>
      <c r="L22" t="inlineStr">
        <is>
          <t>Door noise in the hallway during the second commercial</t>
        </is>
      </c>
      <c r="M22" t="inlineStr">
        <is>
          <t>Yes</t>
        </is>
      </c>
      <c r="N22" t="inlineStr"/>
    </row>
    <row r="23">
      <c r="A23" t="inlineStr">
        <is>
          <t>P22</t>
        </is>
      </c>
      <c r="B23" t="inlineStr">
        <is>
          <t>2027-02-10</t>
        </is>
      </c>
      <c r="C23" t="inlineStr">
        <is>
          <t>Operator_2</t>
        </is>
      </c>
      <c r="D23" t="inlineStr">
        <is>
          <t>B</t>
        </is>
      </c>
      <c r="E23" t="inlineStr">
        <is>
          <t>C1first</t>
        </is>
      </c>
      <c r="F23" t="inlineStr">
        <is>
          <t>S</t>
        </is>
      </c>
      <c r="G23" t="inlineStr">
        <is>
          <t>USB</t>
        </is>
      </c>
      <c r="H23" t="inlineStr">
        <is>
          <t>Green</t>
        </is>
      </c>
      <c r="I23" t="inlineStr">
        <is>
          <t>Green</t>
        </is>
      </c>
      <c r="J23" t="inlineStr">
        <is>
          <t>Yes</t>
        </is>
      </c>
      <c r="K23" t="n">
        <v>18</v>
      </c>
      <c r="L23" t="inlineStr">
        <is>
          <t>Fidgeting and frequent blinking; reminded once to sit still</t>
        </is>
      </c>
      <c r="M23" t="inlineStr">
        <is>
          <t>Yes</t>
        </is>
      </c>
      <c r="N23" t="inlineStr">
        <is>
          <t>Keep: largest percent removed 19.79 (F4, Baseline_1) is below the 25 percent rule; dropped in the 15 percent sensitivity analysis</t>
        </is>
      </c>
    </row>
    <row r="24">
      <c r="A24" t="inlineStr">
        <is>
          <t>P23</t>
        </is>
      </c>
      <c r="B24" t="inlineStr">
        <is>
          <t>2027-02-10</t>
        </is>
      </c>
      <c r="C24" t="inlineStr">
        <is>
          <t>Operator_2</t>
        </is>
      </c>
      <c r="D24" t="inlineStr">
        <is>
          <t>A</t>
        </is>
      </c>
      <c r="E24" t="inlineStr">
        <is>
          <t>C2first</t>
        </is>
      </c>
      <c r="F24" t="inlineStr">
        <is>
          <t>L</t>
        </is>
      </c>
      <c r="G24" t="inlineStr">
        <is>
          <t>USB</t>
        </is>
      </c>
      <c r="H24" t="inlineStr">
        <is>
          <t>Yellow</t>
        </is>
      </c>
      <c r="I24" t="inlineStr">
        <is>
          <t>Yellow</t>
        </is>
      </c>
      <c r="J24" t="inlineStr">
        <is>
          <t>Yes</t>
        </is>
      </c>
      <c r="K24" t="n">
        <v>10</v>
      </c>
      <c r="L24" t="inlineStr">
        <is>
          <t>None</t>
        </is>
      </c>
      <c r="M24" t="inlineStr">
        <is>
          <t>Yes</t>
        </is>
      </c>
      <c r="N24" t="inlineStr">
        <is>
          <t>Keep: Yellow at the last impedance check is within the lab target (below 10 kOhm)</t>
        </is>
      </c>
    </row>
    <row r="25">
      <c r="A25" t="inlineStr">
        <is>
          <t>P24</t>
        </is>
      </c>
      <c r="B25" t="inlineStr">
        <is>
          <t>2027-02-10</t>
        </is>
      </c>
      <c r="C25" t="inlineStr">
        <is>
          <t>Operator_2</t>
        </is>
      </c>
      <c r="D25" t="inlineStr">
        <is>
          <t>A</t>
        </is>
      </c>
      <c r="E25" t="inlineStr">
        <is>
          <t>C1first</t>
        </is>
      </c>
      <c r="F25" t="inlineStr">
        <is>
          <t>M</t>
        </is>
      </c>
      <c r="G25" t="inlineStr">
        <is>
          <t>USB</t>
        </is>
      </c>
      <c r="H25" t="inlineStr">
        <is>
          <t>Yellow</t>
        </is>
      </c>
      <c r="I25" t="inlineStr">
        <is>
          <t>Green</t>
        </is>
      </c>
      <c r="J25" t="inlineStr">
        <is>
          <t>Yes</t>
        </is>
      </c>
      <c r="K25" t="n">
        <v>14</v>
      </c>
      <c r="L25" t="inlineStr">
        <is>
          <t>Participant adjusted the chin strap between the two commercials</t>
        </is>
      </c>
      <c r="M25" t="inlineStr">
        <is>
          <t>Yes</t>
        </is>
      </c>
      <c r="N25" t="inlineStr">
        <is>
          <t>Keep: Yellow at the last impedance check is within the lab target (below 10 kOhm)</t>
        </is>
      </c>
    </row>
    <row r="26">
      <c r="A26" t="inlineStr">
        <is>
          <t>P25</t>
        </is>
      </c>
      <c r="B26" t="inlineStr">
        <is>
          <t>2027-02-11</t>
        </is>
      </c>
      <c r="C26" t="inlineStr">
        <is>
          <t>Operator_1</t>
        </is>
      </c>
      <c r="D26" t="inlineStr">
        <is>
          <t>B</t>
        </is>
      </c>
      <c r="E26" t="inlineStr">
        <is>
          <t>C1first</t>
        </is>
      </c>
      <c r="F26" t="inlineStr">
        <is>
          <t>M</t>
        </is>
      </c>
      <c r="G26" t="inlineStr">
        <is>
          <t>USB</t>
        </is>
      </c>
      <c r="H26" t="inlineStr">
        <is>
          <t>Green</t>
        </is>
      </c>
      <c r="I26" t="inlineStr">
        <is>
          <t>Yellow</t>
        </is>
      </c>
      <c r="J26" t="inlineStr">
        <is>
          <t>Yes</t>
        </is>
      </c>
      <c r="K26" t="n">
        <v>17</v>
      </c>
      <c r="L26" t="inlineStr">
        <is>
          <t>Participant sneezed during Baseline_2; live marker set</t>
        </is>
      </c>
      <c r="M26" t="inlineStr">
        <is>
          <t>Yes</t>
        </is>
      </c>
      <c r="N26" t="inlineStr">
        <is>
          <t>Keep: Yellow at the last impedance check is within the lab target (below 10 kOhm)</t>
        </is>
      </c>
    </row>
    <row r="27">
      <c r="A27" t="inlineStr">
        <is>
          <t>P26</t>
        </is>
      </c>
      <c r="B27" t="inlineStr">
        <is>
          <t>2027-02-11</t>
        </is>
      </c>
      <c r="C27" t="inlineStr">
        <is>
          <t>Operator_1</t>
        </is>
      </c>
      <c r="D27" t="inlineStr">
        <is>
          <t>B</t>
        </is>
      </c>
      <c r="E27" t="inlineStr">
        <is>
          <t>C2first</t>
        </is>
      </c>
      <c r="F27" t="inlineStr">
        <is>
          <t>M</t>
        </is>
      </c>
      <c r="G27" t="inlineStr">
        <is>
          <t>USB</t>
        </is>
      </c>
      <c r="H27" t="inlineStr">
        <is>
          <t>Green</t>
        </is>
      </c>
      <c r="I27" t="inlineStr">
        <is>
          <t>Yellow</t>
        </is>
      </c>
      <c r="J27" t="inlineStr">
        <is>
          <t>Yes</t>
        </is>
      </c>
      <c r="K27" t="n">
        <v>19</v>
      </c>
      <c r="L27" t="inlineStr">
        <is>
          <t>None</t>
        </is>
      </c>
      <c r="M27" t="inlineStr">
        <is>
          <t>Yes</t>
        </is>
      </c>
      <c r="N27" t="inlineStr">
        <is>
          <t>Keep: Yellow at the last impedance check is within the lab target (below 10 kOhm)</t>
        </is>
      </c>
    </row>
    <row r="28">
      <c r="A28" t="inlineStr">
        <is>
          <t>P27</t>
        </is>
      </c>
      <c r="B28" t="inlineStr">
        <is>
          <t>2027-02-11</t>
        </is>
      </c>
      <c r="C28" t="inlineStr">
        <is>
          <t>Operator_1</t>
        </is>
      </c>
      <c r="D28" t="inlineStr">
        <is>
          <t>A</t>
        </is>
      </c>
      <c r="E28" t="inlineStr">
        <is>
          <t>C2first</t>
        </is>
      </c>
      <c r="F28" t="inlineStr">
        <is>
          <t>M</t>
        </is>
      </c>
      <c r="G28" t="inlineStr">
        <is>
          <t>USB</t>
        </is>
      </c>
      <c r="H28" t="inlineStr">
        <is>
          <t>Green</t>
        </is>
      </c>
      <c r="I28" t="inlineStr">
        <is>
          <t>Red</t>
        </is>
      </c>
      <c r="J28" t="inlineStr">
        <is>
          <t>Yes</t>
        </is>
      </c>
      <c r="K28" t="n">
        <v>34</v>
      </c>
      <c r="L28" t="inlineStr">
        <is>
          <t>F4 Red in NIC2 Liveview at every check: electrode re-seated, hair parted, gel added twice, F4 and F3 leads swapped (the fault stayed at the F4 site); recorded because the participant was present; F4 Red before recording</t>
        </is>
      </c>
      <c r="M28" t="inlineStr">
        <is>
          <t>Yes</t>
        </is>
      </c>
      <c r="N28" t="inlineStr">
        <is>
          <t>EXCLUDE: Red NIC2 quality at F4 that could not be fixed (rule written before collection); the artifact report also shows 41.78 percent of F4 samples removed in Commercial_1A</t>
        </is>
      </c>
    </row>
    <row r="29">
      <c r="A29" t="inlineStr">
        <is>
          <t>P28</t>
        </is>
      </c>
      <c r="B29" t="inlineStr">
        <is>
          <t>2027-02-12</t>
        </is>
      </c>
      <c r="C29" t="inlineStr">
        <is>
          <t>Operator_2</t>
        </is>
      </c>
      <c r="D29" t="inlineStr">
        <is>
          <t>A</t>
        </is>
      </c>
      <c r="E29" t="inlineStr">
        <is>
          <t>C1first</t>
        </is>
      </c>
      <c r="F29" t="inlineStr">
        <is>
          <t>L</t>
        </is>
      </c>
      <c r="G29" t="inlineStr">
        <is>
          <t>USB</t>
        </is>
      </c>
      <c r="H29" t="inlineStr">
        <is>
          <t>Yellow</t>
        </is>
      </c>
      <c r="I29" t="inlineStr">
        <is>
          <t>Green</t>
        </is>
      </c>
      <c r="J29" t="inlineStr">
        <is>
          <t>Yes</t>
        </is>
      </c>
      <c r="K29" t="n">
        <v>13</v>
      </c>
      <c r="L29" t="inlineStr">
        <is>
          <t>Participant adjusted the chin strap between the two commercials</t>
        </is>
      </c>
      <c r="M29" t="inlineStr">
        <is>
          <t>Yes</t>
        </is>
      </c>
      <c r="N29" t="inlineStr">
        <is>
          <t>Keep: Yellow at the last impedance check is within the lab target (below 10 kOhm)</t>
        </is>
      </c>
    </row>
    <row r="30">
      <c r="A30" t="inlineStr">
        <is>
          <t>P29</t>
        </is>
      </c>
      <c r="B30" t="inlineStr">
        <is>
          <t>2027-02-12</t>
        </is>
      </c>
      <c r="C30" t="inlineStr">
        <is>
          <t>Operator_2</t>
        </is>
      </c>
      <c r="D30" t="inlineStr">
        <is>
          <t>B</t>
        </is>
      </c>
      <c r="E30" t="inlineStr">
        <is>
          <t>C1first</t>
        </is>
      </c>
      <c r="F30" t="inlineStr">
        <is>
          <t>S</t>
        </is>
      </c>
      <c r="G30" t="inlineStr">
        <is>
          <t>USB</t>
        </is>
      </c>
      <c r="H30" t="inlineStr">
        <is>
          <t>Green</t>
        </is>
      </c>
      <c r="I30" t="inlineStr">
        <is>
          <t>Green</t>
        </is>
      </c>
      <c r="J30" t="inlineStr">
        <is>
          <t>Yes</t>
        </is>
      </c>
      <c r="K30" t="n">
        <v>17</v>
      </c>
      <c r="L30" t="inlineStr">
        <is>
          <t>None</t>
        </is>
      </c>
      <c r="M30" t="inlineStr">
        <is>
          <t>Yes</t>
        </is>
      </c>
      <c r="N30" t="inlineStr"/>
    </row>
    <row r="31">
      <c r="A31" t="inlineStr">
        <is>
          <t>P30</t>
        </is>
      </c>
      <c r="B31" t="inlineStr">
        <is>
          <t>2027-02-12</t>
        </is>
      </c>
      <c r="C31" t="inlineStr">
        <is>
          <t>Operator_2</t>
        </is>
      </c>
      <c r="D31" t="inlineStr">
        <is>
          <t>A</t>
        </is>
      </c>
      <c r="E31" t="inlineStr">
        <is>
          <t>C2first</t>
        </is>
      </c>
      <c r="F31" t="inlineStr">
        <is>
          <t>M</t>
        </is>
      </c>
      <c r="G31" t="inlineStr">
        <is>
          <t>USB</t>
        </is>
      </c>
      <c r="H31" t="inlineStr">
        <is>
          <t>Yellow</t>
        </is>
      </c>
      <c r="I31" t="inlineStr">
        <is>
          <t>Green</t>
        </is>
      </c>
      <c r="J31" t="inlineStr">
        <is>
          <t>Yes</t>
        </is>
      </c>
      <c r="K31" t="n">
        <v>18</v>
      </c>
      <c r="L31" t="inlineStr">
        <is>
          <t>Door noise in the hallway during the second commercial</t>
        </is>
      </c>
      <c r="M31" t="inlineStr">
        <is>
          <t>Yes</t>
        </is>
      </c>
      <c r="N31" t="inlineStr">
        <is>
          <t>Keep: Yellow at the last impedance check is within the lab target (below 10 kOhm)</t>
        </is>
      </c>
    </row>
    <row r="32">
      <c r="A32" t="inlineStr">
        <is>
          <t>P31</t>
        </is>
      </c>
      <c r="B32" t="inlineStr">
        <is>
          <t>2027-02-15</t>
        </is>
      </c>
      <c r="C32" t="inlineStr">
        <is>
          <t>Operator_1</t>
        </is>
      </c>
      <c r="D32" t="inlineStr">
        <is>
          <t>A</t>
        </is>
      </c>
      <c r="E32" t="inlineStr">
        <is>
          <t>C1first</t>
        </is>
      </c>
      <c r="F32" t="inlineStr">
        <is>
          <t>S</t>
        </is>
      </c>
      <c r="G32" t="inlineStr">
        <is>
          <t>USB</t>
        </is>
      </c>
      <c r="H32" t="inlineStr">
        <is>
          <t>Green</t>
        </is>
      </c>
      <c r="I32" t="inlineStr">
        <is>
          <t>Green</t>
        </is>
      </c>
      <c r="J32" t="inlineStr">
        <is>
          <t>Yes</t>
        </is>
      </c>
      <c r="K32" t="n">
        <v>15</v>
      </c>
      <c r="L32" t="inlineStr">
        <is>
          <t>F3 Red at the first check; hair parted, gel added, electrode pressed for 10 s; F3 Green before recording</t>
        </is>
      </c>
      <c r="M32" t="inlineStr">
        <is>
          <t>Yes</t>
        </is>
      </c>
      <c r="N32" t="inlineStr"/>
    </row>
    <row r="33">
      <c r="A33" t="inlineStr">
        <is>
          <t>P32</t>
        </is>
      </c>
      <c r="B33" t="inlineStr">
        <is>
          <t>2027-02-15</t>
        </is>
      </c>
      <c r="C33" t="inlineStr">
        <is>
          <t>Operator_1</t>
        </is>
      </c>
      <c r="D33" t="inlineStr">
        <is>
          <t>B</t>
        </is>
      </c>
      <c r="E33" t="inlineStr">
        <is>
          <t>C2first</t>
        </is>
      </c>
      <c r="F33" t="inlineStr">
        <is>
          <t>S</t>
        </is>
      </c>
      <c r="G33" t="inlineStr">
        <is>
          <t>USB</t>
        </is>
      </c>
      <c r="H33" t="inlineStr">
        <is>
          <t>Green</t>
        </is>
      </c>
      <c r="I33" t="inlineStr">
        <is>
          <t>Green</t>
        </is>
      </c>
      <c r="J33" t="inlineStr">
        <is>
          <t>Yes</t>
        </is>
      </c>
      <c r="K33" t="n">
        <v>14</v>
      </c>
      <c r="L33" t="inlineStr">
        <is>
          <t>Fidgeting and frequent blinking; reminded once to sit still</t>
        </is>
      </c>
      <c r="M33" t="inlineStr">
        <is>
          <t>Yes</t>
        </is>
      </c>
      <c r="N33" t="inlineStr">
        <is>
          <t>Keep: largest percent removed 21.01 (F3, Commercial_1B) is below the 25 percent rule; dropped in the 15 percent sensitivity analysis</t>
        </is>
      </c>
    </row>
    <row r="34">
      <c r="A34" t="inlineStr">
        <is>
          <t>P33</t>
        </is>
      </c>
      <c r="B34" t="inlineStr">
        <is>
          <t>2027-02-15</t>
        </is>
      </c>
      <c r="C34" t="inlineStr">
        <is>
          <t>Operator_1</t>
        </is>
      </c>
      <c r="D34" t="inlineStr">
        <is>
          <t>B</t>
        </is>
      </c>
      <c r="E34" t="inlineStr">
        <is>
          <t>C1first</t>
        </is>
      </c>
      <c r="F34" t="inlineStr">
        <is>
          <t>M</t>
        </is>
      </c>
      <c r="G34" t="inlineStr">
        <is>
          <t>USB</t>
        </is>
      </c>
      <c r="H34" t="inlineStr">
        <is>
          <t>Green</t>
        </is>
      </c>
      <c r="I34" t="inlineStr">
        <is>
          <t>Green</t>
        </is>
      </c>
      <c r="J34" t="inlineStr">
        <is>
          <t>Yes</t>
        </is>
      </c>
      <c r="K34" t="n">
        <v>12</v>
      </c>
      <c r="L34" t="inlineStr">
        <is>
          <t>None</t>
        </is>
      </c>
      <c r="M34" t="inlineStr">
        <is>
          <t>Yes</t>
        </is>
      </c>
      <c r="N34" t="inlineStr"/>
    </row>
    <row r="35">
      <c r="A35" t="inlineStr">
        <is>
          <t>P34</t>
        </is>
      </c>
      <c r="B35" t="inlineStr">
        <is>
          <t>2027-02-16</t>
        </is>
      </c>
      <c r="C35" t="inlineStr">
        <is>
          <t>Operator_2</t>
        </is>
      </c>
      <c r="D35" t="inlineStr">
        <is>
          <t>A</t>
        </is>
      </c>
      <c r="E35" t="inlineStr">
        <is>
          <t>C1first</t>
        </is>
      </c>
      <c r="F35" t="inlineStr">
        <is>
          <t>S</t>
        </is>
      </c>
      <c r="G35" t="inlineStr">
        <is>
          <t>USB</t>
        </is>
      </c>
      <c r="H35" t="inlineStr">
        <is>
          <t>Green</t>
        </is>
      </c>
      <c r="I35" t="inlineStr">
        <is>
          <t>Green</t>
        </is>
      </c>
      <c r="J35" t="inlineStr">
        <is>
          <t>Yes</t>
        </is>
      </c>
      <c r="K35" t="n">
        <v>16</v>
      </c>
      <c r="L35" t="inlineStr">
        <is>
          <t>Participant sneezed during Baseline_2; live marker set</t>
        </is>
      </c>
      <c r="M35" t="inlineStr">
        <is>
          <t>Yes</t>
        </is>
      </c>
      <c r="N35" t="inlineStr"/>
    </row>
    <row r="36">
      <c r="A36" t="inlineStr">
        <is>
          <t>P35</t>
        </is>
      </c>
      <c r="B36" t="inlineStr">
        <is>
          <t>2027-02-16</t>
        </is>
      </c>
      <c r="C36" t="inlineStr">
        <is>
          <t>Operator_2</t>
        </is>
      </c>
      <c r="D36" t="inlineStr">
        <is>
          <t>A</t>
        </is>
      </c>
      <c r="E36" t="inlineStr">
        <is>
          <t>C2first</t>
        </is>
      </c>
      <c r="F36" t="inlineStr">
        <is>
          <t>M</t>
        </is>
      </c>
      <c r="G36" t="inlineStr">
        <is>
          <t>USB</t>
        </is>
      </c>
      <c r="H36" t="inlineStr">
        <is>
          <t>Yellow</t>
        </is>
      </c>
      <c r="I36" t="inlineStr">
        <is>
          <t>Green</t>
        </is>
      </c>
      <c r="J36" t="inlineStr">
        <is>
          <t>Yes</t>
        </is>
      </c>
      <c r="K36" t="n">
        <v>18</v>
      </c>
      <c r="L36" t="inlineStr">
        <is>
          <t>Door noise in the hallway during the second commercial</t>
        </is>
      </c>
      <c r="M36" t="inlineStr">
        <is>
          <t>Yes</t>
        </is>
      </c>
      <c r="N36" t="inlineStr">
        <is>
          <t>Keep: Yellow at the last impedance check is within the lab target (below 10 kOhm)</t>
        </is>
      </c>
    </row>
    <row r="37">
      <c r="A37" t="inlineStr">
        <is>
          <t>P36</t>
        </is>
      </c>
      <c r="B37" t="inlineStr">
        <is>
          <t>2027-02-16</t>
        </is>
      </c>
      <c r="C37" t="inlineStr">
        <is>
          <t>Operator_2</t>
        </is>
      </c>
      <c r="D37" t="inlineStr">
        <is>
          <t>B</t>
        </is>
      </c>
      <c r="E37" t="inlineStr">
        <is>
          <t>C2first</t>
        </is>
      </c>
      <c r="F37" t="inlineStr">
        <is>
          <t>L</t>
        </is>
      </c>
      <c r="G37" t="inlineStr">
        <is>
          <t>USB</t>
        </is>
      </c>
      <c r="H37" t="inlineStr">
        <is>
          <t>Green</t>
        </is>
      </c>
      <c r="I37" t="inlineStr">
        <is>
          <t>Green</t>
        </is>
      </c>
      <c r="J37" t="inlineStr">
        <is>
          <t>Yes</t>
        </is>
      </c>
      <c r="K37" t="n">
        <v>15</v>
      </c>
      <c r="L37" t="inlineStr">
        <is>
          <t>None</t>
        </is>
      </c>
      <c r="M37" t="inlineStr">
        <is>
          <t>Yes</t>
        </is>
      </c>
      <c r="N37" t="inlineStr"/>
    </row>
    <row r="38">
      <c r="A38" t="inlineStr">
        <is>
          <t>P37</t>
        </is>
      </c>
      <c r="B38" t="inlineStr">
        <is>
          <t>2027-02-17</t>
        </is>
      </c>
      <c r="C38" t="inlineStr">
        <is>
          <t>Operator_1</t>
        </is>
      </c>
      <c r="D38" t="inlineStr">
        <is>
          <t>A</t>
        </is>
      </c>
      <c r="E38" t="inlineStr">
        <is>
          <t>C1first</t>
        </is>
      </c>
      <c r="F38" t="inlineStr">
        <is>
          <t>L</t>
        </is>
      </c>
      <c r="G38" t="inlineStr">
        <is>
          <t>USB</t>
        </is>
      </c>
      <c r="H38" t="inlineStr">
        <is>
          <t>Green</t>
        </is>
      </c>
      <c r="I38" t="inlineStr">
        <is>
          <t>Green</t>
        </is>
      </c>
      <c r="J38" t="inlineStr">
        <is>
          <t>Yes</t>
        </is>
      </c>
      <c r="K38" t="n">
        <v>19</v>
      </c>
      <c r="L38" t="inlineStr">
        <is>
          <t>Door noise in the hallway during the second commercial</t>
        </is>
      </c>
      <c r="M38" t="inlineStr">
        <is>
          <t>Yes</t>
        </is>
      </c>
      <c r="N38" t="inlineStr"/>
    </row>
    <row r="39">
      <c r="A39" t="inlineStr">
        <is>
          <t>P38</t>
        </is>
      </c>
      <c r="B39" t="inlineStr">
        <is>
          <t>2027-02-17</t>
        </is>
      </c>
      <c r="C39" t="inlineStr">
        <is>
          <t>Operator_1</t>
        </is>
      </c>
      <c r="D39" t="inlineStr">
        <is>
          <t>A</t>
        </is>
      </c>
      <c r="E39" t="inlineStr">
        <is>
          <t>C2first</t>
        </is>
      </c>
      <c r="F39" t="inlineStr">
        <is>
          <t>S</t>
        </is>
      </c>
      <c r="G39" t="inlineStr">
        <is>
          <t>USB</t>
        </is>
      </c>
      <c r="H39" t="inlineStr">
        <is>
          <t>Green</t>
        </is>
      </c>
      <c r="I39" t="inlineStr">
        <is>
          <t>Green</t>
        </is>
      </c>
      <c r="J39" t="inlineStr">
        <is>
          <t>Yes</t>
        </is>
      </c>
      <c r="K39" t="n">
        <v>22</v>
      </c>
      <c r="L39" t="inlineStr">
        <is>
          <t>F4 Red at the first check; hair parted, gel added, electrode pressed for 10 s; F4 Green before recording</t>
        </is>
      </c>
      <c r="M39" t="inlineStr">
        <is>
          <t>Yes</t>
        </is>
      </c>
      <c r="N39" t="inlineStr"/>
    </row>
    <row r="40">
      <c r="A40" t="inlineStr">
        <is>
          <t>P39</t>
        </is>
      </c>
      <c r="B40" t="inlineStr">
        <is>
          <t>2027-02-17</t>
        </is>
      </c>
      <c r="C40" t="inlineStr">
        <is>
          <t>Operator_1</t>
        </is>
      </c>
      <c r="D40" t="inlineStr">
        <is>
          <t>B</t>
        </is>
      </c>
      <c r="E40" t="inlineStr">
        <is>
          <t>C2first</t>
        </is>
      </c>
      <c r="F40" t="inlineStr">
        <is>
          <t>M</t>
        </is>
      </c>
      <c r="G40" t="inlineStr">
        <is>
          <t>USB</t>
        </is>
      </c>
      <c r="H40" t="inlineStr">
        <is>
          <t>Yellow</t>
        </is>
      </c>
      <c r="I40" t="inlineStr">
        <is>
          <t>Green</t>
        </is>
      </c>
      <c r="J40" t="inlineStr">
        <is>
          <t>Yes</t>
        </is>
      </c>
      <c r="K40" t="n">
        <v>20</v>
      </c>
      <c r="L40" t="inlineStr">
        <is>
          <t>F4 Red at the first check; hair parted, gel added, electrode pressed for 10 s; F4 Green before recording</t>
        </is>
      </c>
      <c r="M40" t="inlineStr">
        <is>
          <t>Yes</t>
        </is>
      </c>
      <c r="N40" t="inlineStr">
        <is>
          <t>Keep: Yellow at the last impedance check is within the lab target (below 10 kOhm)</t>
        </is>
      </c>
    </row>
    <row r="41">
      <c r="A41" t="inlineStr">
        <is>
          <t>P40</t>
        </is>
      </c>
      <c r="B41" t="inlineStr">
        <is>
          <t>2027-02-18</t>
        </is>
      </c>
      <c r="C41" t="inlineStr">
        <is>
          <t>Operator_2</t>
        </is>
      </c>
      <c r="D41" t="inlineStr">
        <is>
          <t>B</t>
        </is>
      </c>
      <c r="E41" t="inlineStr">
        <is>
          <t>C1first</t>
        </is>
      </c>
      <c r="F41" t="inlineStr">
        <is>
          <t>M</t>
        </is>
      </c>
      <c r="G41" t="inlineStr">
        <is>
          <t>USB</t>
        </is>
      </c>
      <c r="H41" t="inlineStr">
        <is>
          <t>Yellow</t>
        </is>
      </c>
      <c r="I41" t="inlineStr">
        <is>
          <t>Green</t>
        </is>
      </c>
      <c r="J41" t="inlineStr">
        <is>
          <t>Yes</t>
        </is>
      </c>
      <c r="K41" t="n">
        <v>20</v>
      </c>
      <c r="L41" t="inlineStr">
        <is>
          <t>F4 Red at the first check; hair parted, gel added, electrode pressed for 10 s; F4 Green before recording</t>
        </is>
      </c>
      <c r="M41" t="inlineStr">
        <is>
          <t>Yes</t>
        </is>
      </c>
      <c r="N41" t="inlineStr">
        <is>
          <t>Keep: Yellow at the last impedance check is within the lab target (below 10 kOhm)</t>
        </is>
      </c>
    </row>
    <row r="42">
      <c r="A42" t="inlineStr">
        <is>
          <t>P41</t>
        </is>
      </c>
      <c r="B42" t="inlineStr">
        <is>
          <t>2027-02-18</t>
        </is>
      </c>
      <c r="C42" t="inlineStr">
        <is>
          <t>Operator_2</t>
        </is>
      </c>
      <c r="D42" t="inlineStr">
        <is>
          <t>A</t>
        </is>
      </c>
      <c r="E42" t="inlineStr">
        <is>
          <t>C1first</t>
        </is>
      </c>
      <c r="F42" t="inlineStr">
        <is>
          <t>M</t>
        </is>
      </c>
      <c r="G42" t="inlineStr">
        <is>
          <t>USB</t>
        </is>
      </c>
      <c r="H42" t="inlineStr">
        <is>
          <t>Green</t>
        </is>
      </c>
      <c r="I42" t="inlineStr">
        <is>
          <t>Green</t>
        </is>
      </c>
      <c r="J42" t="inlineStr">
        <is>
          <t>Yes</t>
        </is>
      </c>
      <c r="K42" t="n">
        <v>19</v>
      </c>
      <c r="L42" t="inlineStr">
        <is>
          <t>LSL stream gap of about 8.6 s during Commercial_2 (no samples in the iMotions sensor widget); the stream reconnected without operator action; slow drift on all channels for about 15 s after it</t>
        </is>
      </c>
      <c r="M42" t="inlineStr">
        <is>
          <t>No</t>
        </is>
      </c>
      <c r="N42" t="inlineStr">
        <is>
          <t>EXCLUDE: 30.42 percent of F4 samples removed in Commercial_2, above the 25 percent rule written before collection; Samples recorded is short of Samples expected for that stimulus</t>
        </is>
      </c>
    </row>
    <row r="43">
      <c r="A43" t="inlineStr">
        <is>
          <t>P42</t>
        </is>
      </c>
      <c r="B43" t="inlineStr">
        <is>
          <t>2027-02-18</t>
        </is>
      </c>
      <c r="C43" t="inlineStr">
        <is>
          <t>Operator_2</t>
        </is>
      </c>
      <c r="D43" t="inlineStr">
        <is>
          <t>B</t>
        </is>
      </c>
      <c r="E43" t="inlineStr">
        <is>
          <t>C1first</t>
        </is>
      </c>
      <c r="F43" t="inlineStr">
        <is>
          <t>M</t>
        </is>
      </c>
      <c r="G43" t="inlineStr">
        <is>
          <t>USB</t>
        </is>
      </c>
      <c r="H43" t="inlineStr">
        <is>
          <t>Green</t>
        </is>
      </c>
      <c r="I43" t="inlineStr">
        <is>
          <t>Green</t>
        </is>
      </c>
      <c r="J43" t="inlineStr">
        <is>
          <t>Yes</t>
        </is>
      </c>
      <c r="K43" t="n">
        <v>14</v>
      </c>
      <c r="L43" t="inlineStr">
        <is>
          <t>F4 Red at the first check; hair parted, gel added, electrode pressed for 10 s; F4 Green before recording</t>
        </is>
      </c>
      <c r="M43" t="inlineStr">
        <is>
          <t>Yes</t>
        </is>
      </c>
      <c r="N43" t="inlineStr"/>
    </row>
    <row r="44">
      <c r="A44" t="inlineStr">
        <is>
          <t>P43</t>
        </is>
      </c>
      <c r="B44" t="inlineStr">
        <is>
          <t>2027-02-19</t>
        </is>
      </c>
      <c r="C44" t="inlineStr">
        <is>
          <t>Operator_1</t>
        </is>
      </c>
      <c r="D44" t="inlineStr">
        <is>
          <t>B</t>
        </is>
      </c>
      <c r="E44" t="inlineStr">
        <is>
          <t>C2first</t>
        </is>
      </c>
      <c r="F44" t="inlineStr">
        <is>
          <t>L</t>
        </is>
      </c>
      <c r="G44" t="inlineStr">
        <is>
          <t>USB</t>
        </is>
      </c>
      <c r="H44" t="inlineStr">
        <is>
          <t>Yellow</t>
        </is>
      </c>
      <c r="I44" t="inlineStr">
        <is>
          <t>Green</t>
        </is>
      </c>
      <c r="J44" t="inlineStr">
        <is>
          <t>Yes</t>
        </is>
      </c>
      <c r="K44" t="n">
        <v>20</v>
      </c>
      <c r="L44" t="inlineStr">
        <is>
          <t>None</t>
        </is>
      </c>
      <c r="M44" t="inlineStr">
        <is>
          <t>Yes</t>
        </is>
      </c>
      <c r="N44" t="inlineStr">
        <is>
          <t>Keep: Yellow at the last impedance check is within the lab target (below 10 kOhm)</t>
        </is>
      </c>
    </row>
    <row r="45">
      <c r="A45" t="inlineStr">
        <is>
          <t>P44</t>
        </is>
      </c>
      <c r="B45" t="inlineStr">
        <is>
          <t>2027-02-19</t>
        </is>
      </c>
      <c r="C45" t="inlineStr">
        <is>
          <t>Operator_1</t>
        </is>
      </c>
      <c r="D45" t="inlineStr">
        <is>
          <t>A</t>
        </is>
      </c>
      <c r="E45" t="inlineStr">
        <is>
          <t>C2first</t>
        </is>
      </c>
      <c r="F45" t="inlineStr">
        <is>
          <t>L</t>
        </is>
      </c>
      <c r="G45" t="inlineStr">
        <is>
          <t>USB</t>
        </is>
      </c>
      <c r="H45" t="inlineStr">
        <is>
          <t>Green</t>
        </is>
      </c>
      <c r="I45" t="inlineStr">
        <is>
          <t>Green</t>
        </is>
      </c>
      <c r="J45" t="inlineStr">
        <is>
          <t>Yes</t>
        </is>
      </c>
      <c r="K45" t="n">
        <v>17</v>
      </c>
      <c r="L45" t="inlineStr">
        <is>
          <t>None</t>
        </is>
      </c>
      <c r="M45" t="inlineStr">
        <is>
          <t>Yes</t>
        </is>
      </c>
      <c r="N45" t="inlineStr"/>
    </row>
    <row r="46">
      <c r="A46" t="inlineStr">
        <is>
          <t>P45</t>
        </is>
      </c>
      <c r="B46" t="inlineStr">
        <is>
          <t>2027-02-19</t>
        </is>
      </c>
      <c r="C46" t="inlineStr">
        <is>
          <t>Operator_1</t>
        </is>
      </c>
      <c r="D46" t="inlineStr">
        <is>
          <t>B</t>
        </is>
      </c>
      <c r="E46" t="inlineStr">
        <is>
          <t>C2first</t>
        </is>
      </c>
      <c r="F46" t="inlineStr">
        <is>
          <t>M</t>
        </is>
      </c>
      <c r="G46" t="inlineStr">
        <is>
          <t>USB</t>
        </is>
      </c>
      <c r="H46" t="inlineStr">
        <is>
          <t>Yellow</t>
        </is>
      </c>
      <c r="I46" t="inlineStr">
        <is>
          <t>Green</t>
        </is>
      </c>
      <c r="J46" t="inlineStr">
        <is>
          <t>Yes</t>
        </is>
      </c>
      <c r="K46" t="n">
        <v>14</v>
      </c>
      <c r="L46" t="inlineStr">
        <is>
          <t>Frequent large blinks and head movement from the first commercial on (participant reported dry contact lenses); reminded twice to sit still</t>
        </is>
      </c>
      <c r="M46" t="inlineStr">
        <is>
          <t>Yes</t>
        </is>
      </c>
      <c r="N46" t="inlineStr">
        <is>
          <t>EXCLUDE: 30.64 percent of F3 samples removed in Commercial_1B, above the 25 percent rule written before collection</t>
        </is>
      </c>
    </row>
    <row r="47">
      <c r="A47" t="inlineStr">
        <is>
          <t>P46</t>
        </is>
      </c>
      <c r="B47" t="inlineStr">
        <is>
          <t>2027-02-22</t>
        </is>
      </c>
      <c r="C47" t="inlineStr">
        <is>
          <t>Operator_2</t>
        </is>
      </c>
      <c r="D47" t="inlineStr">
        <is>
          <t>A</t>
        </is>
      </c>
      <c r="E47" t="inlineStr">
        <is>
          <t>C2first</t>
        </is>
      </c>
      <c r="F47" t="inlineStr">
        <is>
          <t>M</t>
        </is>
      </c>
      <c r="G47" t="inlineStr">
        <is>
          <t>USB</t>
        </is>
      </c>
      <c r="H47" t="inlineStr">
        <is>
          <t>Green</t>
        </is>
      </c>
      <c r="I47" t="inlineStr">
        <is>
          <t>Green</t>
        </is>
      </c>
      <c r="J47" t="inlineStr">
        <is>
          <t>Yes</t>
        </is>
      </c>
      <c r="K47" t="n">
        <v>16</v>
      </c>
      <c r="L47" t="inlineStr">
        <is>
          <t>None</t>
        </is>
      </c>
      <c r="M47" t="inlineStr">
        <is>
          <t>Yes</t>
        </is>
      </c>
      <c r="N47" t="inlineStr"/>
    </row>
    <row r="48">
      <c r="A48" t="inlineStr">
        <is>
          <t>P47</t>
        </is>
      </c>
      <c r="B48" t="inlineStr">
        <is>
          <t>2027-02-22</t>
        </is>
      </c>
      <c r="C48" t="inlineStr">
        <is>
          <t>Operator_2</t>
        </is>
      </c>
      <c r="D48" t="inlineStr">
        <is>
          <t>A</t>
        </is>
      </c>
      <c r="E48" t="inlineStr">
        <is>
          <t>C1first</t>
        </is>
      </c>
      <c r="F48" t="inlineStr">
        <is>
          <t>L</t>
        </is>
      </c>
      <c r="G48" t="inlineStr">
        <is>
          <t>USB</t>
        </is>
      </c>
      <c r="H48" t="inlineStr">
        <is>
          <t>Green</t>
        </is>
      </c>
      <c r="I48" t="inlineStr">
        <is>
          <t>Green</t>
        </is>
      </c>
      <c r="J48" t="inlineStr">
        <is>
          <t>Yes</t>
        </is>
      </c>
      <c r="K48" t="n">
        <v>14</v>
      </c>
      <c r="L48" t="inlineStr">
        <is>
          <t>None</t>
        </is>
      </c>
      <c r="M48" t="inlineStr">
        <is>
          <t>Yes</t>
        </is>
      </c>
      <c r="N48" t="inlineStr"/>
    </row>
    <row r="49">
      <c r="A49" t="inlineStr">
        <is>
          <t>P48</t>
        </is>
      </c>
      <c r="B49" t="inlineStr">
        <is>
          <t>2027-02-22</t>
        </is>
      </c>
      <c r="C49" t="inlineStr">
        <is>
          <t>Operator_2</t>
        </is>
      </c>
      <c r="D49" t="inlineStr">
        <is>
          <t>B</t>
        </is>
      </c>
      <c r="E49" t="inlineStr">
        <is>
          <t>C1first</t>
        </is>
      </c>
      <c r="F49" t="inlineStr">
        <is>
          <t>M</t>
        </is>
      </c>
      <c r="G49" t="inlineStr">
        <is>
          <t>USB</t>
        </is>
      </c>
      <c r="H49" t="inlineStr">
        <is>
          <t>Green</t>
        </is>
      </c>
      <c r="I49" t="inlineStr">
        <is>
          <t>Green</t>
        </is>
      </c>
      <c r="J49" t="inlineStr">
        <is>
          <t>Yes</t>
        </is>
      </c>
      <c r="K49" t="n">
        <v>16</v>
      </c>
      <c r="L49" t="inlineStr">
        <is>
          <t>Participant adjusted the chin strap between the two commercials</t>
        </is>
      </c>
      <c r="M49" t="inlineStr">
        <is>
          <t>Yes</t>
        </is>
      </c>
      <c r="N4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1" customWidth="1" min="3" max="3"/>
    <col width="8" customWidth="1" min="4" max="4"/>
    <col width="8" customWidth="1" min="5" max="5"/>
    <col width="26" customWidth="1" min="6" max="6"/>
    <col width="26" customWidth="1" min="7" max="7"/>
    <col width="17" customWidth="1" min="8" max="8"/>
    <col width="23" customWidth="1" min="9" max="9"/>
  </cols>
  <sheetData>
    <row r="1">
      <c r="A1" s="2" t="inlineStr">
        <is>
          <t>Study Name</t>
        </is>
      </c>
      <c r="B1" s="2" t="inlineStr">
        <is>
          <t>Respondent Name</t>
        </is>
      </c>
      <c r="C1" s="2" t="inlineStr">
        <is>
          <t>Group</t>
        </is>
      </c>
      <c r="D1" s="2" t="inlineStr">
        <is>
          <t>Gender</t>
        </is>
      </c>
      <c r="E1" s="2" t="inlineStr">
        <is>
          <t>Age</t>
        </is>
      </c>
      <c r="F1" s="2" t="inlineStr">
        <is>
          <t>Liking_Commercial_1_1to7</t>
        </is>
      </c>
      <c r="G1" s="2" t="inlineStr">
        <is>
          <t>Liking_Commercial_2_1to7</t>
        </is>
      </c>
      <c r="H1" s="2" t="inlineStr">
        <is>
          <t>KeyScene_Recall</t>
        </is>
      </c>
      <c r="I1" s="2" t="inlineStr">
        <is>
          <t>Brand_Named_Correctly</t>
        </is>
      </c>
    </row>
    <row r="2">
      <c r="A2" t="inlineStr">
        <is>
          <t>SIMULATED Commercial FA Study</t>
        </is>
      </c>
      <c r="B2" t="inlineStr">
        <is>
          <t>P01</t>
        </is>
      </c>
      <c r="C2" t="inlineStr">
        <is>
          <t>B_C2first</t>
        </is>
      </c>
      <c r="D2" t="inlineStr">
        <is>
          <t>F</t>
        </is>
      </c>
      <c r="E2" t="n">
        <v>22</v>
      </c>
      <c r="F2" t="n">
        <v>7</v>
      </c>
      <c r="G2" t="n">
        <v>5</v>
      </c>
      <c r="H2" t="inlineStr">
        <is>
          <t>NA</t>
        </is>
      </c>
      <c r="I2" t="inlineStr">
        <is>
          <t>No</t>
        </is>
      </c>
    </row>
    <row r="3">
      <c r="A3" t="inlineStr">
        <is>
          <t>SIMULATED Commercial FA Study</t>
        </is>
      </c>
      <c r="B3" t="inlineStr">
        <is>
          <t>P02</t>
        </is>
      </c>
      <c r="C3" t="inlineStr">
        <is>
          <t>A_C2first</t>
        </is>
      </c>
      <c r="D3" t="inlineStr">
        <is>
          <t>F</t>
        </is>
      </c>
      <c r="E3" t="n">
        <v>22</v>
      </c>
      <c r="F3" t="n">
        <v>4</v>
      </c>
      <c r="G3" t="n">
        <v>7</v>
      </c>
      <c r="H3" t="inlineStr">
        <is>
          <t>No</t>
        </is>
      </c>
      <c r="I3" t="inlineStr">
        <is>
          <t>Yes</t>
        </is>
      </c>
    </row>
    <row r="4">
      <c r="A4" t="inlineStr">
        <is>
          <t>SIMULATED Commercial FA Study</t>
        </is>
      </c>
      <c r="B4" t="inlineStr">
        <is>
          <t>P03</t>
        </is>
      </c>
      <c r="C4" t="inlineStr">
        <is>
          <t>B_C1first</t>
        </is>
      </c>
      <c r="D4" t="inlineStr">
        <is>
          <t>M</t>
        </is>
      </c>
      <c r="E4" t="n">
        <v>26</v>
      </c>
      <c r="F4" t="n">
        <v>7</v>
      </c>
      <c r="G4" t="n">
        <v>7</v>
      </c>
      <c r="H4" t="inlineStr">
        <is>
          <t>NA</t>
        </is>
      </c>
      <c r="I4" t="inlineStr">
        <is>
          <t>Yes</t>
        </is>
      </c>
    </row>
    <row r="5">
      <c r="A5" t="inlineStr">
        <is>
          <t>SIMULATED Commercial FA Study</t>
        </is>
      </c>
      <c r="B5" t="inlineStr">
        <is>
          <t>P04</t>
        </is>
      </c>
      <c r="C5" t="inlineStr">
        <is>
          <t>A_C1first</t>
        </is>
      </c>
      <c r="D5" t="inlineStr">
        <is>
          <t>M</t>
        </is>
      </c>
      <c r="E5" t="n">
        <v>22</v>
      </c>
      <c r="F5" t="n">
        <v>6</v>
      </c>
      <c r="G5" t="n">
        <v>4</v>
      </c>
      <c r="H5" t="inlineStr">
        <is>
          <t>Yes</t>
        </is>
      </c>
      <c r="I5" t="inlineStr">
        <is>
          <t>Yes</t>
        </is>
      </c>
    </row>
    <row r="6">
      <c r="A6" t="inlineStr">
        <is>
          <t>SIMULATED Commercial FA Study</t>
        </is>
      </c>
      <c r="B6" t="inlineStr">
        <is>
          <t>P05</t>
        </is>
      </c>
      <c r="C6" t="inlineStr">
        <is>
          <t>A_C1first</t>
        </is>
      </c>
      <c r="D6" t="inlineStr">
        <is>
          <t>M</t>
        </is>
      </c>
      <c r="E6" t="n">
        <v>19</v>
      </c>
      <c r="F6" t="n">
        <v>5</v>
      </c>
      <c r="G6" t="n">
        <v>6</v>
      </c>
      <c r="H6" t="inlineStr">
        <is>
          <t>Yes</t>
        </is>
      </c>
      <c r="I6" t="inlineStr">
        <is>
          <t>Yes</t>
        </is>
      </c>
    </row>
    <row r="7">
      <c r="A7" t="inlineStr">
        <is>
          <t>SIMULATED Commercial FA Study</t>
        </is>
      </c>
      <c r="B7" t="inlineStr">
        <is>
          <t>P06</t>
        </is>
      </c>
      <c r="C7" t="inlineStr">
        <is>
          <t>B_C2first</t>
        </is>
      </c>
      <c r="D7" t="inlineStr">
        <is>
          <t>M</t>
        </is>
      </c>
      <c r="E7" t="n">
        <v>25</v>
      </c>
      <c r="F7" t="n">
        <v>4</v>
      </c>
      <c r="G7" t="n">
        <v>4</v>
      </c>
      <c r="H7" t="inlineStr">
        <is>
          <t>NA</t>
        </is>
      </c>
      <c r="I7" t="inlineStr">
        <is>
          <t>Yes</t>
        </is>
      </c>
    </row>
    <row r="8">
      <c r="A8" t="inlineStr">
        <is>
          <t>SIMULATED Commercial FA Study</t>
        </is>
      </c>
      <c r="B8" t="inlineStr">
        <is>
          <t>P07</t>
        </is>
      </c>
      <c r="C8" t="inlineStr">
        <is>
          <t>B_C1first</t>
        </is>
      </c>
      <c r="D8" t="inlineStr">
        <is>
          <t>M</t>
        </is>
      </c>
      <c r="E8" t="n">
        <v>24</v>
      </c>
      <c r="F8" t="n">
        <v>7</v>
      </c>
      <c r="G8" t="n">
        <v>7</v>
      </c>
      <c r="H8" t="inlineStr">
        <is>
          <t>NA</t>
        </is>
      </c>
      <c r="I8" t="inlineStr">
        <is>
          <t>Yes</t>
        </is>
      </c>
    </row>
    <row r="9">
      <c r="A9" t="inlineStr">
        <is>
          <t>SIMULATED Commercial FA Study</t>
        </is>
      </c>
      <c r="B9" t="inlineStr">
        <is>
          <t>P08</t>
        </is>
      </c>
      <c r="C9" t="inlineStr">
        <is>
          <t>A_C2first</t>
        </is>
      </c>
      <c r="D9" t="inlineStr">
        <is>
          <t>F</t>
        </is>
      </c>
      <c r="E9" t="n">
        <v>20</v>
      </c>
      <c r="F9" t="n">
        <v>6</v>
      </c>
      <c r="G9" t="n">
        <v>6</v>
      </c>
      <c r="H9" t="inlineStr">
        <is>
          <t>Yes</t>
        </is>
      </c>
      <c r="I9" t="inlineStr">
        <is>
          <t>Yes</t>
        </is>
      </c>
    </row>
    <row r="10">
      <c r="A10" t="inlineStr">
        <is>
          <t>SIMULATED Commercial FA Study</t>
        </is>
      </c>
      <c r="B10" t="inlineStr">
        <is>
          <t>P09</t>
        </is>
      </c>
      <c r="C10" t="inlineStr">
        <is>
          <t>A_C1first</t>
        </is>
      </c>
      <c r="D10" t="inlineStr">
        <is>
          <t>F</t>
        </is>
      </c>
      <c r="E10" t="n">
        <v>24</v>
      </c>
      <c r="F10" t="n">
        <v>6</v>
      </c>
      <c r="G10" t="n">
        <v>5</v>
      </c>
      <c r="H10" t="inlineStr">
        <is>
          <t>Yes</t>
        </is>
      </c>
      <c r="I10" t="inlineStr">
        <is>
          <t>Yes</t>
        </is>
      </c>
    </row>
    <row r="11">
      <c r="A11" t="inlineStr">
        <is>
          <t>SIMULATED Commercial FA Study</t>
        </is>
      </c>
      <c r="B11" t="inlineStr">
        <is>
          <t>P10</t>
        </is>
      </c>
      <c r="C11" t="inlineStr">
        <is>
          <t>B_C1first</t>
        </is>
      </c>
      <c r="D11" t="inlineStr">
        <is>
          <t>F</t>
        </is>
      </c>
      <c r="E11" t="n">
        <v>20</v>
      </c>
      <c r="F11" t="n">
        <v>4</v>
      </c>
      <c r="G11" t="n">
        <v>4</v>
      </c>
      <c r="H11" t="inlineStr">
        <is>
          <t>NA</t>
        </is>
      </c>
      <c r="I11" t="inlineStr">
        <is>
          <t>Yes</t>
        </is>
      </c>
    </row>
    <row r="12">
      <c r="A12" t="inlineStr">
        <is>
          <t>SIMULATED Commercial FA Study</t>
        </is>
      </c>
      <c r="B12" t="inlineStr">
        <is>
          <t>P11</t>
        </is>
      </c>
      <c r="C12" t="inlineStr">
        <is>
          <t>A_C2first</t>
        </is>
      </c>
      <c r="D12" t="inlineStr">
        <is>
          <t>F</t>
        </is>
      </c>
      <c r="E12" t="n">
        <v>21</v>
      </c>
      <c r="F12" t="n">
        <v>7</v>
      </c>
      <c r="G12" t="n">
        <v>7</v>
      </c>
      <c r="H12" t="inlineStr">
        <is>
          <t>Yes</t>
        </is>
      </c>
      <c r="I12" t="inlineStr">
        <is>
          <t>Yes</t>
        </is>
      </c>
    </row>
    <row r="13">
      <c r="A13" t="inlineStr">
        <is>
          <t>SIMULATED Commercial FA Study</t>
        </is>
      </c>
      <c r="B13" t="inlineStr">
        <is>
          <t>P12</t>
        </is>
      </c>
      <c r="C13" t="inlineStr">
        <is>
          <t>B_C2first</t>
        </is>
      </c>
      <c r="D13" t="inlineStr">
        <is>
          <t>M</t>
        </is>
      </c>
      <c r="E13" t="n">
        <v>24</v>
      </c>
      <c r="F13" t="n">
        <v>6</v>
      </c>
      <c r="G13" t="n">
        <v>4</v>
      </c>
      <c r="H13" t="inlineStr">
        <is>
          <t>NA</t>
        </is>
      </c>
      <c r="I13" t="inlineStr">
        <is>
          <t>Yes</t>
        </is>
      </c>
    </row>
    <row r="14">
      <c r="A14" t="inlineStr">
        <is>
          <t>SIMULATED Commercial FA Study</t>
        </is>
      </c>
      <c r="B14" t="inlineStr">
        <is>
          <t>P13</t>
        </is>
      </c>
      <c r="C14" t="inlineStr">
        <is>
          <t>A_C1first</t>
        </is>
      </c>
      <c r="D14" t="inlineStr">
        <is>
          <t>M</t>
        </is>
      </c>
      <c r="E14" t="n">
        <v>22</v>
      </c>
      <c r="F14" t="n">
        <v>6</v>
      </c>
      <c r="G14" t="n">
        <v>6</v>
      </c>
      <c r="H14" t="inlineStr">
        <is>
          <t>Yes</t>
        </is>
      </c>
      <c r="I14" t="inlineStr">
        <is>
          <t>No</t>
        </is>
      </c>
    </row>
    <row r="15">
      <c r="A15" t="inlineStr">
        <is>
          <t>SIMULATED Commercial FA Study</t>
        </is>
      </c>
      <c r="B15" t="inlineStr">
        <is>
          <t>P14</t>
        </is>
      </c>
      <c r="C15" t="inlineStr">
        <is>
          <t>A_C2first</t>
        </is>
      </c>
      <c r="D15" t="inlineStr">
        <is>
          <t>F</t>
        </is>
      </c>
      <c r="E15" t="n">
        <v>20</v>
      </c>
      <c r="F15" t="n">
        <v>5</v>
      </c>
      <c r="G15" t="n">
        <v>6</v>
      </c>
      <c r="H15" t="inlineStr">
        <is>
          <t>Yes</t>
        </is>
      </c>
      <c r="I15" t="inlineStr">
        <is>
          <t>Yes</t>
        </is>
      </c>
    </row>
    <row r="16">
      <c r="A16" t="inlineStr">
        <is>
          <t>SIMULATED Commercial FA Study</t>
        </is>
      </c>
      <c r="B16" t="inlineStr">
        <is>
          <t>P15</t>
        </is>
      </c>
      <c r="C16" t="inlineStr">
        <is>
          <t>B_C1first</t>
        </is>
      </c>
      <c r="D16" t="inlineStr">
        <is>
          <t>F</t>
        </is>
      </c>
      <c r="E16" t="n">
        <v>23</v>
      </c>
      <c r="F16" t="n">
        <v>4</v>
      </c>
      <c r="G16" t="n">
        <v>5</v>
      </c>
      <c r="H16" t="inlineStr">
        <is>
          <t>NA</t>
        </is>
      </c>
      <c r="I16" t="inlineStr">
        <is>
          <t>Yes</t>
        </is>
      </c>
    </row>
    <row r="17">
      <c r="A17" t="inlineStr">
        <is>
          <t>SIMULATED Commercial FA Study</t>
        </is>
      </c>
      <c r="B17" t="inlineStr">
        <is>
          <t>P16</t>
        </is>
      </c>
      <c r="C17" t="inlineStr">
        <is>
          <t>B_C2first</t>
        </is>
      </c>
      <c r="D17" t="inlineStr">
        <is>
          <t>M</t>
        </is>
      </c>
      <c r="E17" t="n">
        <v>18</v>
      </c>
      <c r="F17" t="n">
        <v>2</v>
      </c>
      <c r="G17" t="n">
        <v>3</v>
      </c>
      <c r="H17" t="inlineStr">
        <is>
          <t>NA</t>
        </is>
      </c>
      <c r="I17" t="inlineStr">
        <is>
          <t>Yes</t>
        </is>
      </c>
    </row>
    <row r="18">
      <c r="A18" t="inlineStr">
        <is>
          <t>SIMULATED Commercial FA Study</t>
        </is>
      </c>
      <c r="B18" t="inlineStr">
        <is>
          <t>P17</t>
        </is>
      </c>
      <c r="C18" t="inlineStr">
        <is>
          <t>B_C2first</t>
        </is>
      </c>
      <c r="D18" t="inlineStr">
        <is>
          <t>F</t>
        </is>
      </c>
      <c r="E18" t="n">
        <v>21</v>
      </c>
      <c r="F18" t="n">
        <v>4</v>
      </c>
      <c r="G18" t="n">
        <v>6</v>
      </c>
      <c r="H18" t="inlineStr">
        <is>
          <t>NA</t>
        </is>
      </c>
      <c r="I18" t="inlineStr">
        <is>
          <t>Yes</t>
        </is>
      </c>
    </row>
    <row r="19">
      <c r="A19" t="inlineStr">
        <is>
          <t>SIMULATED Commercial FA Study</t>
        </is>
      </c>
      <c r="B19" t="inlineStr">
        <is>
          <t>P18</t>
        </is>
      </c>
      <c r="C19" t="inlineStr">
        <is>
          <t>A_C2first</t>
        </is>
      </c>
      <c r="D19" t="inlineStr">
        <is>
          <t>F</t>
        </is>
      </c>
      <c r="E19" t="n">
        <v>25</v>
      </c>
      <c r="F19" t="n">
        <v>6</v>
      </c>
      <c r="G19" t="n">
        <v>3</v>
      </c>
      <c r="H19" t="inlineStr">
        <is>
          <t>Yes</t>
        </is>
      </c>
      <c r="I19" t="inlineStr">
        <is>
          <t>No</t>
        </is>
      </c>
    </row>
    <row r="20">
      <c r="A20" t="inlineStr">
        <is>
          <t>SIMULATED Commercial FA Study</t>
        </is>
      </c>
      <c r="B20" t="inlineStr">
        <is>
          <t>P19</t>
        </is>
      </c>
      <c r="C20" t="inlineStr">
        <is>
          <t>B_C1first</t>
        </is>
      </c>
      <c r="D20" t="inlineStr">
        <is>
          <t>M</t>
        </is>
      </c>
      <c r="E20" t="n">
        <v>18</v>
      </c>
      <c r="F20" t="n">
        <v>6</v>
      </c>
      <c r="G20" t="n">
        <v>7</v>
      </c>
      <c r="H20" t="inlineStr">
        <is>
          <t>NA</t>
        </is>
      </c>
      <c r="I20" t="inlineStr">
        <is>
          <t>No</t>
        </is>
      </c>
    </row>
    <row r="21">
      <c r="A21" t="inlineStr">
        <is>
          <t>SIMULATED Commercial FA Study</t>
        </is>
      </c>
      <c r="B21" t="inlineStr">
        <is>
          <t>P20</t>
        </is>
      </c>
      <c r="C21" t="inlineStr">
        <is>
          <t>A_C1first</t>
        </is>
      </c>
      <c r="D21" t="inlineStr">
        <is>
          <t>F</t>
        </is>
      </c>
      <c r="E21" t="n">
        <v>25</v>
      </c>
      <c r="F21" t="n">
        <v>5</v>
      </c>
      <c r="G21" t="n">
        <v>5</v>
      </c>
      <c r="H21" t="inlineStr">
        <is>
          <t>Yes</t>
        </is>
      </c>
      <c r="I21" t="inlineStr">
        <is>
          <t>Yes</t>
        </is>
      </c>
    </row>
    <row r="22">
      <c r="A22" t="inlineStr">
        <is>
          <t>SIMULATED Commercial FA Study</t>
        </is>
      </c>
      <c r="B22" t="inlineStr">
        <is>
          <t>P21</t>
        </is>
      </c>
      <c r="C22" t="inlineStr">
        <is>
          <t>B_C2first</t>
        </is>
      </c>
      <c r="D22" t="inlineStr">
        <is>
          <t>F</t>
        </is>
      </c>
      <c r="E22" t="n">
        <v>25</v>
      </c>
      <c r="F22" t="n">
        <v>4</v>
      </c>
      <c r="G22" t="n">
        <v>5</v>
      </c>
      <c r="H22" t="inlineStr">
        <is>
          <t>NA</t>
        </is>
      </c>
      <c r="I22" t="inlineStr">
        <is>
          <t>Yes</t>
        </is>
      </c>
    </row>
    <row r="23">
      <c r="A23" t="inlineStr">
        <is>
          <t>SIMULATED Commercial FA Study</t>
        </is>
      </c>
      <c r="B23" t="inlineStr">
        <is>
          <t>P22</t>
        </is>
      </c>
      <c r="C23" t="inlineStr">
        <is>
          <t>B_C1first</t>
        </is>
      </c>
      <c r="D23" t="inlineStr">
        <is>
          <t>F</t>
        </is>
      </c>
      <c r="E23" t="n">
        <v>24</v>
      </c>
      <c r="F23" t="n">
        <v>3</v>
      </c>
      <c r="G23" t="n">
        <v>7</v>
      </c>
      <c r="H23" t="inlineStr">
        <is>
          <t>NA</t>
        </is>
      </c>
      <c r="I23" t="inlineStr">
        <is>
          <t>No</t>
        </is>
      </c>
    </row>
    <row r="24">
      <c r="A24" t="inlineStr">
        <is>
          <t>SIMULATED Commercial FA Study</t>
        </is>
      </c>
      <c r="B24" t="inlineStr">
        <is>
          <t>P23</t>
        </is>
      </c>
      <c r="C24" t="inlineStr">
        <is>
          <t>A_C2first</t>
        </is>
      </c>
      <c r="D24" t="inlineStr">
        <is>
          <t>F</t>
        </is>
      </c>
      <c r="E24" t="n">
        <v>22</v>
      </c>
      <c r="F24" t="n">
        <v>7</v>
      </c>
      <c r="G24" t="n">
        <v>6</v>
      </c>
      <c r="H24" t="inlineStr">
        <is>
          <t>No</t>
        </is>
      </c>
      <c r="I24" t="inlineStr">
        <is>
          <t>Yes</t>
        </is>
      </c>
    </row>
    <row r="25">
      <c r="A25" t="inlineStr">
        <is>
          <t>SIMULATED Commercial FA Study</t>
        </is>
      </c>
      <c r="B25" t="inlineStr">
        <is>
          <t>P24</t>
        </is>
      </c>
      <c r="C25" t="inlineStr">
        <is>
          <t>A_C1first</t>
        </is>
      </c>
      <c r="D25" t="inlineStr">
        <is>
          <t>M</t>
        </is>
      </c>
      <c r="E25" t="n">
        <v>19</v>
      </c>
      <c r="F25" t="n">
        <v>5</v>
      </c>
      <c r="G25" t="n">
        <v>4</v>
      </c>
      <c r="H25" t="inlineStr">
        <is>
          <t>No</t>
        </is>
      </c>
      <c r="I25" t="inlineStr">
        <is>
          <t>Yes</t>
        </is>
      </c>
    </row>
    <row r="26">
      <c r="A26" t="inlineStr">
        <is>
          <t>SIMULATED Commercial FA Study</t>
        </is>
      </c>
      <c r="B26" t="inlineStr">
        <is>
          <t>P25</t>
        </is>
      </c>
      <c r="C26" t="inlineStr">
        <is>
          <t>B_C1first</t>
        </is>
      </c>
      <c r="D26" t="inlineStr">
        <is>
          <t>F</t>
        </is>
      </c>
      <c r="E26" t="n">
        <v>23</v>
      </c>
      <c r="F26" t="n">
        <v>5</v>
      </c>
      <c r="G26" t="n">
        <v>5</v>
      </c>
      <c r="H26" t="inlineStr">
        <is>
          <t>NA</t>
        </is>
      </c>
      <c r="I26" t="inlineStr">
        <is>
          <t>Yes</t>
        </is>
      </c>
    </row>
    <row r="27">
      <c r="A27" t="inlineStr">
        <is>
          <t>SIMULATED Commercial FA Study</t>
        </is>
      </c>
      <c r="B27" t="inlineStr">
        <is>
          <t>P26</t>
        </is>
      </c>
      <c r="C27" t="inlineStr">
        <is>
          <t>B_C2first</t>
        </is>
      </c>
      <c r="D27" t="inlineStr">
        <is>
          <t>F</t>
        </is>
      </c>
      <c r="E27" t="n">
        <v>18</v>
      </c>
      <c r="F27" t="n">
        <v>5</v>
      </c>
      <c r="G27" t="n">
        <v>7</v>
      </c>
      <c r="H27" t="inlineStr">
        <is>
          <t>NA</t>
        </is>
      </c>
      <c r="I27" t="inlineStr">
        <is>
          <t>Yes</t>
        </is>
      </c>
    </row>
    <row r="28">
      <c r="A28" t="inlineStr">
        <is>
          <t>SIMULATED Commercial FA Study</t>
        </is>
      </c>
      <c r="B28" t="inlineStr">
        <is>
          <t>P27</t>
        </is>
      </c>
      <c r="C28" t="inlineStr">
        <is>
          <t>A_C2first</t>
        </is>
      </c>
      <c r="D28" t="inlineStr">
        <is>
          <t>F</t>
        </is>
      </c>
      <c r="E28" t="n">
        <v>21</v>
      </c>
      <c r="F28" t="n">
        <v>5</v>
      </c>
      <c r="G28" t="n">
        <v>5</v>
      </c>
      <c r="H28" t="inlineStr">
        <is>
          <t>No</t>
        </is>
      </c>
      <c r="I28" t="inlineStr">
        <is>
          <t>Yes</t>
        </is>
      </c>
    </row>
    <row r="29">
      <c r="A29" t="inlineStr">
        <is>
          <t>SIMULATED Commercial FA Study</t>
        </is>
      </c>
      <c r="B29" t="inlineStr">
        <is>
          <t>P28</t>
        </is>
      </c>
      <c r="C29" t="inlineStr">
        <is>
          <t>A_C1first</t>
        </is>
      </c>
      <c r="D29" t="inlineStr">
        <is>
          <t>F</t>
        </is>
      </c>
      <c r="E29" t="n">
        <v>21</v>
      </c>
      <c r="F29" t="n">
        <v>4</v>
      </c>
      <c r="G29" t="n">
        <v>4</v>
      </c>
      <c r="H29" t="inlineStr">
        <is>
          <t>Yes</t>
        </is>
      </c>
      <c r="I29" t="inlineStr">
        <is>
          <t>Yes</t>
        </is>
      </c>
    </row>
    <row r="30">
      <c r="A30" t="inlineStr">
        <is>
          <t>SIMULATED Commercial FA Study</t>
        </is>
      </c>
      <c r="B30" t="inlineStr">
        <is>
          <t>P29</t>
        </is>
      </c>
      <c r="C30" t="inlineStr">
        <is>
          <t>B_C1first</t>
        </is>
      </c>
      <c r="D30" t="inlineStr">
        <is>
          <t>M</t>
        </is>
      </c>
      <c r="E30" t="n">
        <v>18</v>
      </c>
      <c r="F30" t="n">
        <v>2</v>
      </c>
      <c r="G30" t="n">
        <v>7</v>
      </c>
      <c r="H30" t="inlineStr">
        <is>
          <t>NA</t>
        </is>
      </c>
      <c r="I30" t="inlineStr">
        <is>
          <t>Yes</t>
        </is>
      </c>
    </row>
    <row r="31">
      <c r="A31" t="inlineStr">
        <is>
          <t>SIMULATED Commercial FA Study</t>
        </is>
      </c>
      <c r="B31" t="inlineStr">
        <is>
          <t>P30</t>
        </is>
      </c>
      <c r="C31" t="inlineStr">
        <is>
          <t>A_C2first</t>
        </is>
      </c>
      <c r="D31" t="inlineStr">
        <is>
          <t>M</t>
        </is>
      </c>
      <c r="E31" t="n">
        <v>20</v>
      </c>
      <c r="F31" t="n">
        <v>7</v>
      </c>
      <c r="G31" t="n">
        <v>7</v>
      </c>
      <c r="H31" t="inlineStr">
        <is>
          <t>Yes</t>
        </is>
      </c>
      <c r="I31" t="inlineStr">
        <is>
          <t>No</t>
        </is>
      </c>
    </row>
    <row r="32">
      <c r="A32" t="inlineStr">
        <is>
          <t>SIMULATED Commercial FA Study</t>
        </is>
      </c>
      <c r="B32" t="inlineStr">
        <is>
          <t>P31</t>
        </is>
      </c>
      <c r="C32" t="inlineStr">
        <is>
          <t>A_C1first</t>
        </is>
      </c>
      <c r="D32" t="inlineStr">
        <is>
          <t>F</t>
        </is>
      </c>
      <c r="E32" t="n">
        <v>24</v>
      </c>
      <c r="F32" t="n">
        <v>5</v>
      </c>
      <c r="G32" t="n">
        <v>5</v>
      </c>
      <c r="H32" t="inlineStr">
        <is>
          <t>Yes</t>
        </is>
      </c>
      <c r="I32" t="inlineStr">
        <is>
          <t>No</t>
        </is>
      </c>
    </row>
    <row r="33">
      <c r="A33" t="inlineStr">
        <is>
          <t>SIMULATED Commercial FA Study</t>
        </is>
      </c>
      <c r="B33" t="inlineStr">
        <is>
          <t>P32</t>
        </is>
      </c>
      <c r="C33" t="inlineStr">
        <is>
          <t>B_C2first</t>
        </is>
      </c>
      <c r="D33" t="inlineStr">
        <is>
          <t>M</t>
        </is>
      </c>
      <c r="E33" t="n">
        <v>20</v>
      </c>
      <c r="F33" t="n">
        <v>7</v>
      </c>
      <c r="G33" t="n">
        <v>7</v>
      </c>
      <c r="H33" t="inlineStr">
        <is>
          <t>NA</t>
        </is>
      </c>
      <c r="I33" t="inlineStr">
        <is>
          <t>Yes</t>
        </is>
      </c>
    </row>
    <row r="34">
      <c r="A34" t="inlineStr">
        <is>
          <t>SIMULATED Commercial FA Study</t>
        </is>
      </c>
      <c r="B34" t="inlineStr">
        <is>
          <t>P33</t>
        </is>
      </c>
      <c r="C34" t="inlineStr">
        <is>
          <t>B_C1first</t>
        </is>
      </c>
      <c r="D34" t="inlineStr">
        <is>
          <t>M</t>
        </is>
      </c>
      <c r="E34" t="n">
        <v>21</v>
      </c>
      <c r="F34" t="n">
        <v>7</v>
      </c>
      <c r="G34" t="n">
        <v>6</v>
      </c>
      <c r="H34" t="inlineStr">
        <is>
          <t>NA</t>
        </is>
      </c>
      <c r="I34" t="inlineStr">
        <is>
          <t>Yes</t>
        </is>
      </c>
    </row>
    <row r="35">
      <c r="A35" t="inlineStr">
        <is>
          <t>SIMULATED Commercial FA Study</t>
        </is>
      </c>
      <c r="B35" t="inlineStr">
        <is>
          <t>P34</t>
        </is>
      </c>
      <c r="C35" t="inlineStr">
        <is>
          <t>A_C1first</t>
        </is>
      </c>
      <c r="D35" t="inlineStr">
        <is>
          <t>M</t>
        </is>
      </c>
      <c r="E35" t="n">
        <v>25</v>
      </c>
      <c r="F35" t="n">
        <v>3</v>
      </c>
      <c r="G35" t="n">
        <v>4</v>
      </c>
      <c r="H35" t="inlineStr">
        <is>
          <t>Yes</t>
        </is>
      </c>
      <c r="I35" t="inlineStr">
        <is>
          <t>Yes</t>
        </is>
      </c>
    </row>
    <row r="36">
      <c r="A36" t="inlineStr">
        <is>
          <t>SIMULATED Commercial FA Study</t>
        </is>
      </c>
      <c r="B36" t="inlineStr">
        <is>
          <t>P35</t>
        </is>
      </c>
      <c r="C36" t="inlineStr">
        <is>
          <t>A_C2first</t>
        </is>
      </c>
      <c r="D36" t="inlineStr">
        <is>
          <t>M</t>
        </is>
      </c>
      <c r="E36" t="n">
        <v>22</v>
      </c>
      <c r="F36" t="n">
        <v>7</v>
      </c>
      <c r="G36" t="n">
        <v>4</v>
      </c>
      <c r="H36" t="inlineStr">
        <is>
          <t>Yes</t>
        </is>
      </c>
      <c r="I36" t="inlineStr">
        <is>
          <t>Yes</t>
        </is>
      </c>
    </row>
    <row r="37">
      <c r="A37" t="inlineStr">
        <is>
          <t>SIMULATED Commercial FA Study</t>
        </is>
      </c>
      <c r="B37" t="inlineStr">
        <is>
          <t>P36</t>
        </is>
      </c>
      <c r="C37" t="inlineStr">
        <is>
          <t>B_C2first</t>
        </is>
      </c>
      <c r="D37" t="inlineStr">
        <is>
          <t>F</t>
        </is>
      </c>
      <c r="E37" t="n">
        <v>23</v>
      </c>
      <c r="F37" t="n">
        <v>5</v>
      </c>
      <c r="G37" t="n">
        <v>5</v>
      </c>
      <c r="H37" t="inlineStr">
        <is>
          <t>NA</t>
        </is>
      </c>
      <c r="I37" t="inlineStr">
        <is>
          <t>No</t>
        </is>
      </c>
    </row>
    <row r="38">
      <c r="A38" t="inlineStr">
        <is>
          <t>SIMULATED Commercial FA Study</t>
        </is>
      </c>
      <c r="B38" t="inlineStr">
        <is>
          <t>P37</t>
        </is>
      </c>
      <c r="C38" t="inlineStr">
        <is>
          <t>A_C1first</t>
        </is>
      </c>
      <c r="D38" t="inlineStr">
        <is>
          <t>F</t>
        </is>
      </c>
      <c r="E38" t="n">
        <v>20</v>
      </c>
      <c r="F38" t="n">
        <v>7</v>
      </c>
      <c r="G38" t="n">
        <v>6</v>
      </c>
      <c r="H38" t="inlineStr">
        <is>
          <t>Yes</t>
        </is>
      </c>
      <c r="I38" t="inlineStr">
        <is>
          <t>No</t>
        </is>
      </c>
    </row>
    <row r="39">
      <c r="A39" t="inlineStr">
        <is>
          <t>SIMULATED Commercial FA Study</t>
        </is>
      </c>
      <c r="B39" t="inlineStr">
        <is>
          <t>P38</t>
        </is>
      </c>
      <c r="C39" t="inlineStr">
        <is>
          <t>A_C2first</t>
        </is>
      </c>
      <c r="D39" t="inlineStr">
        <is>
          <t>M</t>
        </is>
      </c>
      <c r="E39" t="n">
        <v>25</v>
      </c>
      <c r="F39" t="n">
        <v>3</v>
      </c>
      <c r="G39" t="n">
        <v>3</v>
      </c>
      <c r="H39" t="inlineStr">
        <is>
          <t>Yes</t>
        </is>
      </c>
      <c r="I39" t="inlineStr">
        <is>
          <t>Yes</t>
        </is>
      </c>
    </row>
    <row r="40">
      <c r="A40" t="inlineStr">
        <is>
          <t>SIMULATED Commercial FA Study</t>
        </is>
      </c>
      <c r="B40" t="inlineStr">
        <is>
          <t>P39</t>
        </is>
      </c>
      <c r="C40" t="inlineStr">
        <is>
          <t>B_C2first</t>
        </is>
      </c>
      <c r="D40" t="inlineStr">
        <is>
          <t>F</t>
        </is>
      </c>
      <c r="E40" t="n">
        <v>24</v>
      </c>
      <c r="F40" t="n">
        <v>5</v>
      </c>
      <c r="G40" t="n">
        <v>7</v>
      </c>
      <c r="H40" t="inlineStr">
        <is>
          <t>NA</t>
        </is>
      </c>
      <c r="I40" t="inlineStr">
        <is>
          <t>Yes</t>
        </is>
      </c>
    </row>
    <row r="41">
      <c r="A41" t="inlineStr">
        <is>
          <t>SIMULATED Commercial FA Study</t>
        </is>
      </c>
      <c r="B41" t="inlineStr">
        <is>
          <t>P40</t>
        </is>
      </c>
      <c r="C41" t="inlineStr">
        <is>
          <t>B_C1first</t>
        </is>
      </c>
      <c r="D41" t="inlineStr">
        <is>
          <t>F</t>
        </is>
      </c>
      <c r="E41" t="n">
        <v>18</v>
      </c>
      <c r="F41" t="n">
        <v>5</v>
      </c>
      <c r="G41" t="n">
        <v>3</v>
      </c>
      <c r="H41" t="inlineStr">
        <is>
          <t>NA</t>
        </is>
      </c>
      <c r="I41" t="inlineStr">
        <is>
          <t>No</t>
        </is>
      </c>
    </row>
    <row r="42">
      <c r="A42" t="inlineStr">
        <is>
          <t>SIMULATED Commercial FA Study</t>
        </is>
      </c>
      <c r="B42" t="inlineStr">
        <is>
          <t>P41</t>
        </is>
      </c>
      <c r="C42" t="inlineStr">
        <is>
          <t>A_C1first</t>
        </is>
      </c>
      <c r="D42" t="inlineStr">
        <is>
          <t>F</t>
        </is>
      </c>
      <c r="E42" t="n">
        <v>19</v>
      </c>
      <c r="F42" t="n">
        <v>4</v>
      </c>
      <c r="G42" t="n">
        <v>4</v>
      </c>
      <c r="H42" t="inlineStr">
        <is>
          <t>Yes</t>
        </is>
      </c>
      <c r="I42" t="inlineStr">
        <is>
          <t>No</t>
        </is>
      </c>
    </row>
    <row r="43">
      <c r="A43" t="inlineStr">
        <is>
          <t>SIMULATED Commercial FA Study</t>
        </is>
      </c>
      <c r="B43" t="inlineStr">
        <is>
          <t>P42</t>
        </is>
      </c>
      <c r="C43" t="inlineStr">
        <is>
          <t>B_C1first</t>
        </is>
      </c>
      <c r="D43" t="inlineStr">
        <is>
          <t>M</t>
        </is>
      </c>
      <c r="E43" t="n">
        <v>18</v>
      </c>
      <c r="F43" t="n">
        <v>4</v>
      </c>
      <c r="G43" t="n">
        <v>5</v>
      </c>
      <c r="H43" t="inlineStr">
        <is>
          <t>NA</t>
        </is>
      </c>
      <c r="I43" t="inlineStr">
        <is>
          <t>Yes</t>
        </is>
      </c>
    </row>
    <row r="44">
      <c r="A44" t="inlineStr">
        <is>
          <t>SIMULATED Commercial FA Study</t>
        </is>
      </c>
      <c r="B44" t="inlineStr">
        <is>
          <t>P43</t>
        </is>
      </c>
      <c r="C44" t="inlineStr">
        <is>
          <t>B_C2first</t>
        </is>
      </c>
      <c r="D44" t="inlineStr">
        <is>
          <t>M</t>
        </is>
      </c>
      <c r="E44" t="n">
        <v>22</v>
      </c>
      <c r="F44" t="n">
        <v>7</v>
      </c>
      <c r="G44" t="n">
        <v>6</v>
      </c>
      <c r="H44" t="inlineStr">
        <is>
          <t>NA</t>
        </is>
      </c>
      <c r="I44" t="inlineStr">
        <is>
          <t>Yes</t>
        </is>
      </c>
    </row>
    <row r="45">
      <c r="A45" t="inlineStr">
        <is>
          <t>SIMULATED Commercial FA Study</t>
        </is>
      </c>
      <c r="B45" t="inlineStr">
        <is>
          <t>P44</t>
        </is>
      </c>
      <c r="C45" t="inlineStr">
        <is>
          <t>A_C2first</t>
        </is>
      </c>
      <c r="D45" t="inlineStr">
        <is>
          <t>F</t>
        </is>
      </c>
      <c r="E45" t="n">
        <v>20</v>
      </c>
      <c r="F45" t="n">
        <v>6</v>
      </c>
      <c r="G45" t="n">
        <v>6</v>
      </c>
      <c r="H45" t="inlineStr">
        <is>
          <t>Yes</t>
        </is>
      </c>
      <c r="I45" t="inlineStr">
        <is>
          <t>No</t>
        </is>
      </c>
    </row>
    <row r="46">
      <c r="A46" t="inlineStr">
        <is>
          <t>SIMULATED Commercial FA Study</t>
        </is>
      </c>
      <c r="B46" t="inlineStr">
        <is>
          <t>P45</t>
        </is>
      </c>
      <c r="C46" t="inlineStr">
        <is>
          <t>B_C2first</t>
        </is>
      </c>
      <c r="D46" t="inlineStr">
        <is>
          <t>F</t>
        </is>
      </c>
      <c r="E46" t="n">
        <v>21</v>
      </c>
      <c r="F46" t="n">
        <v>4</v>
      </c>
      <c r="G46" t="n">
        <v>3</v>
      </c>
      <c r="H46" t="inlineStr">
        <is>
          <t>NA</t>
        </is>
      </c>
      <c r="I46" t="inlineStr">
        <is>
          <t>Yes</t>
        </is>
      </c>
    </row>
    <row r="47">
      <c r="A47" t="inlineStr">
        <is>
          <t>SIMULATED Commercial FA Study</t>
        </is>
      </c>
      <c r="B47" t="inlineStr">
        <is>
          <t>P46</t>
        </is>
      </c>
      <c r="C47" t="inlineStr">
        <is>
          <t>A_C2first</t>
        </is>
      </c>
      <c r="D47" t="inlineStr">
        <is>
          <t>M</t>
        </is>
      </c>
      <c r="E47" t="n">
        <v>19</v>
      </c>
      <c r="F47" t="n">
        <v>5</v>
      </c>
      <c r="G47" t="n">
        <v>4</v>
      </c>
      <c r="H47" t="inlineStr">
        <is>
          <t>Yes</t>
        </is>
      </c>
      <c r="I47" t="inlineStr">
        <is>
          <t>Yes</t>
        </is>
      </c>
    </row>
    <row r="48">
      <c r="A48" t="inlineStr">
        <is>
          <t>SIMULATED Commercial FA Study</t>
        </is>
      </c>
      <c r="B48" t="inlineStr">
        <is>
          <t>P47</t>
        </is>
      </c>
      <c r="C48" t="inlineStr">
        <is>
          <t>A_C1first</t>
        </is>
      </c>
      <c r="D48" t="inlineStr">
        <is>
          <t>M</t>
        </is>
      </c>
      <c r="E48" t="n">
        <v>22</v>
      </c>
      <c r="F48" t="n">
        <v>7</v>
      </c>
      <c r="G48" t="n">
        <v>6</v>
      </c>
      <c r="H48" t="inlineStr">
        <is>
          <t>Yes</t>
        </is>
      </c>
      <c r="I48" t="inlineStr">
        <is>
          <t>Yes</t>
        </is>
      </c>
    </row>
    <row r="49">
      <c r="A49" t="inlineStr">
        <is>
          <t>SIMULATED Commercial FA Study</t>
        </is>
      </c>
      <c r="B49" t="inlineStr">
        <is>
          <t>P48</t>
        </is>
      </c>
      <c r="C49" t="inlineStr">
        <is>
          <t>B_C1first</t>
        </is>
      </c>
      <c r="D49" t="inlineStr">
        <is>
          <t>F</t>
        </is>
      </c>
      <c r="E49" t="n">
        <v>21</v>
      </c>
      <c r="F49" t="n">
        <v>4</v>
      </c>
      <c r="G49" t="n">
        <v>3</v>
      </c>
      <c r="H49" t="inlineStr">
        <is>
          <t>NA</t>
        </is>
      </c>
      <c r="I49"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cols>
    <col width="52" customWidth="1" min="1" max="1"/>
    <col width="10" customWidth="1" min="2" max="2"/>
    <col width="16" customWidth="1" min="3" max="3"/>
    <col width="16" customWidth="1" min="4" max="4"/>
    <col width="14" customWidth="1" min="5" max="5"/>
    <col width="18" customWidth="1" min="6" max="6"/>
    <col width="18" customWidth="1" min="7" max="7"/>
    <col width="18" customWidth="1" min="8" max="8"/>
  </cols>
  <sheetData>
    <row r="1">
      <c r="A1" s="6" t="inlineStr">
        <is>
          <t>Exclusion screening, one row per respondent. SIMULATED data.</t>
        </is>
      </c>
    </row>
    <row r="2">
      <c r="A2" s="7" t="inlineStr">
        <is>
          <t>Largest percent of samples removed at F3 and at F4 over the two baselines and two commercials (array formulas MAX(IF(...))), the Red count from the session log, and the decision under the 25 percent rule and the 15 percent sensitivity rule.</t>
        </is>
      </c>
    </row>
    <row r="4" ht="46" customHeight="1">
      <c r="A4" s="2" t="inlineStr">
        <is>
          <t>Respondent Name</t>
        </is>
      </c>
      <c r="B4" s="2" t="inlineStr">
        <is>
          <t>Version</t>
        </is>
      </c>
      <c r="C4" s="2" t="inlineStr">
        <is>
          <t>Largest percent removed, F3</t>
        </is>
      </c>
      <c r="D4" s="2" t="inlineStr">
        <is>
          <t>Largest percent removed, F4</t>
        </is>
      </c>
      <c r="E4" s="2" t="inlineStr">
        <is>
          <t>Largest of the two</t>
        </is>
      </c>
      <c r="F4" s="2" t="inlineStr">
        <is>
          <t>Red at F3 or F4 before recording (count)</t>
        </is>
      </c>
      <c r="G4" s="2" t="inlineStr">
        <is>
          <t>Decision (25 percent rule)</t>
        </is>
      </c>
      <c r="H4" s="2" t="inlineStr">
        <is>
          <t>Decision (15 percent rule)</t>
        </is>
      </c>
    </row>
    <row r="5">
      <c r="A5" s="8" t="inlineStr">
        <is>
          <t>P01</t>
        </is>
      </c>
      <c r="B5" s="8">
        <f>INDEX(Data!$M$2:$M$313,MATCH($A5,Data!$B$2:$B$313,0))</f>
        <v/>
      </c>
      <c r="C5" s="9">
        <f t="array" ref="C5">MAX(IF((Artifact!$B$2:$B$385=$A5)*(Artifact!$F$2:$F$385="F3"),Artifact!$K$2:$K$385))</f>
        <v/>
      </c>
      <c r="D5" s="9">
        <f t="array" ref="D5">MAX(IF((Artifact!$B$2:$B$385=$A5)*(Artifact!$F$2:$F$385="F4"),Artifact!$K$2:$K$385))</f>
        <v/>
      </c>
      <c r="E5" s="9">
        <f>MAX(C5:D5)</f>
        <v/>
      </c>
      <c r="F5" s="8">
        <f>COUNTIFS(Log!$A$2:$A$49,$A5,Log!$H$2:$H$49,"Red")+COUNTIFS(Log!$A$2:$A$49,$A5,Log!$I$2:$I$49,"Red")</f>
        <v/>
      </c>
      <c r="G5" s="8">
        <f>IF(OR(E5&gt;25,F5&gt;0),"Exclude","Keep")</f>
        <v/>
      </c>
      <c r="H5" s="8">
        <f>IF(OR(E5&gt;15,F5&gt;0),"Exclude","Keep")</f>
        <v/>
      </c>
    </row>
    <row r="6">
      <c r="A6" s="8" t="inlineStr">
        <is>
          <t>P02</t>
        </is>
      </c>
      <c r="B6" s="8">
        <f>INDEX(Data!$M$2:$M$313,MATCH($A6,Data!$B$2:$B$313,0))</f>
        <v/>
      </c>
      <c r="C6" s="9">
        <f t="array" ref="C6">MAX(IF((Artifact!$B$2:$B$385=$A6)*(Artifact!$F$2:$F$385="F3"),Artifact!$K$2:$K$385))</f>
        <v/>
      </c>
      <c r="D6" s="9">
        <f t="array" ref="D6">MAX(IF((Artifact!$B$2:$B$385=$A6)*(Artifact!$F$2:$F$385="F4"),Artifact!$K$2:$K$385))</f>
        <v/>
      </c>
      <c r="E6" s="9">
        <f>MAX(C6:D6)</f>
        <v/>
      </c>
      <c r="F6" s="8">
        <f>COUNTIFS(Log!$A$2:$A$49,$A6,Log!$H$2:$H$49,"Red")+COUNTIFS(Log!$A$2:$A$49,$A6,Log!$I$2:$I$49,"Red")</f>
        <v/>
      </c>
      <c r="G6" s="8">
        <f>IF(OR(E6&gt;25,F6&gt;0),"Exclude","Keep")</f>
        <v/>
      </c>
      <c r="H6" s="8">
        <f>IF(OR(E6&gt;15,F6&gt;0),"Exclude","Keep")</f>
        <v/>
      </c>
    </row>
    <row r="7">
      <c r="A7" s="8" t="inlineStr">
        <is>
          <t>P03</t>
        </is>
      </c>
      <c r="B7" s="8">
        <f>INDEX(Data!$M$2:$M$313,MATCH($A7,Data!$B$2:$B$313,0))</f>
        <v/>
      </c>
      <c r="C7" s="9">
        <f t="array" ref="C7">MAX(IF((Artifact!$B$2:$B$385=$A7)*(Artifact!$F$2:$F$385="F3"),Artifact!$K$2:$K$385))</f>
        <v/>
      </c>
      <c r="D7" s="9">
        <f t="array" ref="D7">MAX(IF((Artifact!$B$2:$B$385=$A7)*(Artifact!$F$2:$F$385="F4"),Artifact!$K$2:$K$385))</f>
        <v/>
      </c>
      <c r="E7" s="9">
        <f>MAX(C7:D7)</f>
        <v/>
      </c>
      <c r="F7" s="8">
        <f>COUNTIFS(Log!$A$2:$A$49,$A7,Log!$H$2:$H$49,"Red")+COUNTIFS(Log!$A$2:$A$49,$A7,Log!$I$2:$I$49,"Red")</f>
        <v/>
      </c>
      <c r="G7" s="8">
        <f>IF(OR(E7&gt;25,F7&gt;0),"Exclude","Keep")</f>
        <v/>
      </c>
      <c r="H7" s="8">
        <f>IF(OR(E7&gt;15,F7&gt;0),"Exclude","Keep")</f>
        <v/>
      </c>
    </row>
    <row r="8">
      <c r="A8" s="8" t="inlineStr">
        <is>
          <t>P04</t>
        </is>
      </c>
      <c r="B8" s="8">
        <f>INDEX(Data!$M$2:$M$313,MATCH($A8,Data!$B$2:$B$313,0))</f>
        <v/>
      </c>
      <c r="C8" s="9">
        <f t="array" ref="C8">MAX(IF((Artifact!$B$2:$B$385=$A8)*(Artifact!$F$2:$F$385="F3"),Artifact!$K$2:$K$385))</f>
        <v/>
      </c>
      <c r="D8" s="9">
        <f t="array" ref="D8">MAX(IF((Artifact!$B$2:$B$385=$A8)*(Artifact!$F$2:$F$385="F4"),Artifact!$K$2:$K$385))</f>
        <v/>
      </c>
      <c r="E8" s="9">
        <f>MAX(C8:D8)</f>
        <v/>
      </c>
      <c r="F8" s="8">
        <f>COUNTIFS(Log!$A$2:$A$49,$A8,Log!$H$2:$H$49,"Red")+COUNTIFS(Log!$A$2:$A$49,$A8,Log!$I$2:$I$49,"Red")</f>
        <v/>
      </c>
      <c r="G8" s="8">
        <f>IF(OR(E8&gt;25,F8&gt;0),"Exclude","Keep")</f>
        <v/>
      </c>
      <c r="H8" s="8">
        <f>IF(OR(E8&gt;15,F8&gt;0),"Exclude","Keep")</f>
        <v/>
      </c>
    </row>
    <row r="9">
      <c r="A9" s="8" t="inlineStr">
        <is>
          <t>P05</t>
        </is>
      </c>
      <c r="B9" s="8">
        <f>INDEX(Data!$M$2:$M$313,MATCH($A9,Data!$B$2:$B$313,0))</f>
        <v/>
      </c>
      <c r="C9" s="9">
        <f t="array" ref="C9">MAX(IF((Artifact!$B$2:$B$385=$A9)*(Artifact!$F$2:$F$385="F3"),Artifact!$K$2:$K$385))</f>
        <v/>
      </c>
      <c r="D9" s="9">
        <f t="array" ref="D9">MAX(IF((Artifact!$B$2:$B$385=$A9)*(Artifact!$F$2:$F$385="F4"),Artifact!$K$2:$K$385))</f>
        <v/>
      </c>
      <c r="E9" s="9">
        <f>MAX(C9:D9)</f>
        <v/>
      </c>
      <c r="F9" s="8">
        <f>COUNTIFS(Log!$A$2:$A$49,$A9,Log!$H$2:$H$49,"Red")+COUNTIFS(Log!$A$2:$A$49,$A9,Log!$I$2:$I$49,"Red")</f>
        <v/>
      </c>
      <c r="G9" s="8">
        <f>IF(OR(E9&gt;25,F9&gt;0),"Exclude","Keep")</f>
        <v/>
      </c>
      <c r="H9" s="8">
        <f>IF(OR(E9&gt;15,F9&gt;0),"Exclude","Keep")</f>
        <v/>
      </c>
    </row>
    <row r="10">
      <c r="A10" s="8" t="inlineStr">
        <is>
          <t>P06</t>
        </is>
      </c>
      <c r="B10" s="8">
        <f>INDEX(Data!$M$2:$M$313,MATCH($A10,Data!$B$2:$B$313,0))</f>
        <v/>
      </c>
      <c r="C10" s="9">
        <f t="array" ref="C10">MAX(IF((Artifact!$B$2:$B$385=$A10)*(Artifact!$F$2:$F$385="F3"),Artifact!$K$2:$K$385))</f>
        <v/>
      </c>
      <c r="D10" s="9">
        <f t="array" ref="D10">MAX(IF((Artifact!$B$2:$B$385=$A10)*(Artifact!$F$2:$F$385="F4"),Artifact!$K$2:$K$385))</f>
        <v/>
      </c>
      <c r="E10" s="9">
        <f>MAX(C10:D10)</f>
        <v/>
      </c>
      <c r="F10" s="8">
        <f>COUNTIFS(Log!$A$2:$A$49,$A10,Log!$H$2:$H$49,"Red")+COUNTIFS(Log!$A$2:$A$49,$A10,Log!$I$2:$I$49,"Red")</f>
        <v/>
      </c>
      <c r="G10" s="8">
        <f>IF(OR(E10&gt;25,F10&gt;0),"Exclude","Keep")</f>
        <v/>
      </c>
      <c r="H10" s="8">
        <f>IF(OR(E10&gt;15,F10&gt;0),"Exclude","Keep")</f>
        <v/>
      </c>
    </row>
    <row r="11">
      <c r="A11" s="8" t="inlineStr">
        <is>
          <t>P07</t>
        </is>
      </c>
      <c r="B11" s="8">
        <f>INDEX(Data!$M$2:$M$313,MATCH($A11,Data!$B$2:$B$313,0))</f>
        <v/>
      </c>
      <c r="C11" s="9">
        <f t="array" ref="C11">MAX(IF((Artifact!$B$2:$B$385=$A11)*(Artifact!$F$2:$F$385="F3"),Artifact!$K$2:$K$385))</f>
        <v/>
      </c>
      <c r="D11" s="9">
        <f t="array" ref="D11">MAX(IF((Artifact!$B$2:$B$385=$A11)*(Artifact!$F$2:$F$385="F4"),Artifact!$K$2:$K$385))</f>
        <v/>
      </c>
      <c r="E11" s="9">
        <f>MAX(C11:D11)</f>
        <v/>
      </c>
      <c r="F11" s="8">
        <f>COUNTIFS(Log!$A$2:$A$49,$A11,Log!$H$2:$H$49,"Red")+COUNTIFS(Log!$A$2:$A$49,$A11,Log!$I$2:$I$49,"Red")</f>
        <v/>
      </c>
      <c r="G11" s="8">
        <f>IF(OR(E11&gt;25,F11&gt;0),"Exclude","Keep")</f>
        <v/>
      </c>
      <c r="H11" s="8">
        <f>IF(OR(E11&gt;15,F11&gt;0),"Exclude","Keep")</f>
        <v/>
      </c>
    </row>
    <row r="12">
      <c r="A12" s="8" t="inlineStr">
        <is>
          <t>P08</t>
        </is>
      </c>
      <c r="B12" s="8">
        <f>INDEX(Data!$M$2:$M$313,MATCH($A12,Data!$B$2:$B$313,0))</f>
        <v/>
      </c>
      <c r="C12" s="9">
        <f t="array" ref="C12">MAX(IF((Artifact!$B$2:$B$385=$A12)*(Artifact!$F$2:$F$385="F3"),Artifact!$K$2:$K$385))</f>
        <v/>
      </c>
      <c r="D12" s="9">
        <f t="array" ref="D12">MAX(IF((Artifact!$B$2:$B$385=$A12)*(Artifact!$F$2:$F$385="F4"),Artifact!$K$2:$K$385))</f>
        <v/>
      </c>
      <c r="E12" s="9">
        <f>MAX(C12:D12)</f>
        <v/>
      </c>
      <c r="F12" s="8">
        <f>COUNTIFS(Log!$A$2:$A$49,$A12,Log!$H$2:$H$49,"Red")+COUNTIFS(Log!$A$2:$A$49,$A12,Log!$I$2:$I$49,"Red")</f>
        <v/>
      </c>
      <c r="G12" s="8">
        <f>IF(OR(E12&gt;25,F12&gt;0),"Exclude","Keep")</f>
        <v/>
      </c>
      <c r="H12" s="8">
        <f>IF(OR(E12&gt;15,F12&gt;0),"Exclude","Keep")</f>
        <v/>
      </c>
    </row>
    <row r="13">
      <c r="A13" s="8" t="inlineStr">
        <is>
          <t>P09</t>
        </is>
      </c>
      <c r="B13" s="8">
        <f>INDEX(Data!$M$2:$M$313,MATCH($A13,Data!$B$2:$B$313,0))</f>
        <v/>
      </c>
      <c r="C13" s="9">
        <f t="array" ref="C13">MAX(IF((Artifact!$B$2:$B$385=$A13)*(Artifact!$F$2:$F$385="F3"),Artifact!$K$2:$K$385))</f>
        <v/>
      </c>
      <c r="D13" s="9">
        <f t="array" ref="D13">MAX(IF((Artifact!$B$2:$B$385=$A13)*(Artifact!$F$2:$F$385="F4"),Artifact!$K$2:$K$385))</f>
        <v/>
      </c>
      <c r="E13" s="9">
        <f>MAX(C13:D13)</f>
        <v/>
      </c>
      <c r="F13" s="8">
        <f>COUNTIFS(Log!$A$2:$A$49,$A13,Log!$H$2:$H$49,"Red")+COUNTIFS(Log!$A$2:$A$49,$A13,Log!$I$2:$I$49,"Red")</f>
        <v/>
      </c>
      <c r="G13" s="8">
        <f>IF(OR(E13&gt;25,F13&gt;0),"Exclude","Keep")</f>
        <v/>
      </c>
      <c r="H13" s="8">
        <f>IF(OR(E13&gt;15,F13&gt;0),"Exclude","Keep")</f>
        <v/>
      </c>
    </row>
    <row r="14">
      <c r="A14" s="8" t="inlineStr">
        <is>
          <t>P10</t>
        </is>
      </c>
      <c r="B14" s="8">
        <f>INDEX(Data!$M$2:$M$313,MATCH($A14,Data!$B$2:$B$313,0))</f>
        <v/>
      </c>
      <c r="C14" s="9">
        <f t="array" ref="C14">MAX(IF((Artifact!$B$2:$B$385=$A14)*(Artifact!$F$2:$F$385="F3"),Artifact!$K$2:$K$385))</f>
        <v/>
      </c>
      <c r="D14" s="9">
        <f t="array" ref="D14">MAX(IF((Artifact!$B$2:$B$385=$A14)*(Artifact!$F$2:$F$385="F4"),Artifact!$K$2:$K$385))</f>
        <v/>
      </c>
      <c r="E14" s="9">
        <f>MAX(C14:D14)</f>
        <v/>
      </c>
      <c r="F14" s="8">
        <f>COUNTIFS(Log!$A$2:$A$49,$A14,Log!$H$2:$H$49,"Red")+COUNTIFS(Log!$A$2:$A$49,$A14,Log!$I$2:$I$49,"Red")</f>
        <v/>
      </c>
      <c r="G14" s="8">
        <f>IF(OR(E14&gt;25,F14&gt;0),"Exclude","Keep")</f>
        <v/>
      </c>
      <c r="H14" s="8">
        <f>IF(OR(E14&gt;15,F14&gt;0),"Exclude","Keep")</f>
        <v/>
      </c>
    </row>
    <row r="15">
      <c r="A15" s="8" t="inlineStr">
        <is>
          <t>P11</t>
        </is>
      </c>
      <c r="B15" s="8">
        <f>INDEX(Data!$M$2:$M$313,MATCH($A15,Data!$B$2:$B$313,0))</f>
        <v/>
      </c>
      <c r="C15" s="9">
        <f t="array" ref="C15">MAX(IF((Artifact!$B$2:$B$385=$A15)*(Artifact!$F$2:$F$385="F3"),Artifact!$K$2:$K$385))</f>
        <v/>
      </c>
      <c r="D15" s="9">
        <f t="array" ref="D15">MAX(IF((Artifact!$B$2:$B$385=$A15)*(Artifact!$F$2:$F$385="F4"),Artifact!$K$2:$K$385))</f>
        <v/>
      </c>
      <c r="E15" s="9">
        <f>MAX(C15:D15)</f>
        <v/>
      </c>
      <c r="F15" s="8">
        <f>COUNTIFS(Log!$A$2:$A$49,$A15,Log!$H$2:$H$49,"Red")+COUNTIFS(Log!$A$2:$A$49,$A15,Log!$I$2:$I$49,"Red")</f>
        <v/>
      </c>
      <c r="G15" s="8">
        <f>IF(OR(E15&gt;25,F15&gt;0),"Exclude","Keep")</f>
        <v/>
      </c>
      <c r="H15" s="8">
        <f>IF(OR(E15&gt;15,F15&gt;0),"Exclude","Keep")</f>
        <v/>
      </c>
    </row>
    <row r="16">
      <c r="A16" s="8" t="inlineStr">
        <is>
          <t>P12</t>
        </is>
      </c>
      <c r="B16" s="8">
        <f>INDEX(Data!$M$2:$M$313,MATCH($A16,Data!$B$2:$B$313,0))</f>
        <v/>
      </c>
      <c r="C16" s="9">
        <f t="array" ref="C16">MAX(IF((Artifact!$B$2:$B$385=$A16)*(Artifact!$F$2:$F$385="F3"),Artifact!$K$2:$K$385))</f>
        <v/>
      </c>
      <c r="D16" s="9">
        <f t="array" ref="D16">MAX(IF((Artifact!$B$2:$B$385=$A16)*(Artifact!$F$2:$F$385="F4"),Artifact!$K$2:$K$385))</f>
        <v/>
      </c>
      <c r="E16" s="9">
        <f>MAX(C16:D16)</f>
        <v/>
      </c>
      <c r="F16" s="8">
        <f>COUNTIFS(Log!$A$2:$A$49,$A16,Log!$H$2:$H$49,"Red")+COUNTIFS(Log!$A$2:$A$49,$A16,Log!$I$2:$I$49,"Red")</f>
        <v/>
      </c>
      <c r="G16" s="8">
        <f>IF(OR(E16&gt;25,F16&gt;0),"Exclude","Keep")</f>
        <v/>
      </c>
      <c r="H16" s="8">
        <f>IF(OR(E16&gt;15,F16&gt;0),"Exclude","Keep")</f>
        <v/>
      </c>
    </row>
    <row r="17">
      <c r="A17" s="8" t="inlineStr">
        <is>
          <t>P13</t>
        </is>
      </c>
      <c r="B17" s="8">
        <f>INDEX(Data!$M$2:$M$313,MATCH($A17,Data!$B$2:$B$313,0))</f>
        <v/>
      </c>
      <c r="C17" s="9">
        <f t="array" ref="C17">MAX(IF((Artifact!$B$2:$B$385=$A17)*(Artifact!$F$2:$F$385="F3"),Artifact!$K$2:$K$385))</f>
        <v/>
      </c>
      <c r="D17" s="9">
        <f t="array" ref="D17">MAX(IF((Artifact!$B$2:$B$385=$A17)*(Artifact!$F$2:$F$385="F4"),Artifact!$K$2:$K$385))</f>
        <v/>
      </c>
      <c r="E17" s="9">
        <f>MAX(C17:D17)</f>
        <v/>
      </c>
      <c r="F17" s="8">
        <f>COUNTIFS(Log!$A$2:$A$49,$A17,Log!$H$2:$H$49,"Red")+COUNTIFS(Log!$A$2:$A$49,$A17,Log!$I$2:$I$49,"Red")</f>
        <v/>
      </c>
      <c r="G17" s="8">
        <f>IF(OR(E17&gt;25,F17&gt;0),"Exclude","Keep")</f>
        <v/>
      </c>
      <c r="H17" s="8">
        <f>IF(OR(E17&gt;15,F17&gt;0),"Exclude","Keep")</f>
        <v/>
      </c>
    </row>
    <row r="18">
      <c r="A18" s="8" t="inlineStr">
        <is>
          <t>P14</t>
        </is>
      </c>
      <c r="B18" s="8">
        <f>INDEX(Data!$M$2:$M$313,MATCH($A18,Data!$B$2:$B$313,0))</f>
        <v/>
      </c>
      <c r="C18" s="9">
        <f t="array" ref="C18">MAX(IF((Artifact!$B$2:$B$385=$A18)*(Artifact!$F$2:$F$385="F3"),Artifact!$K$2:$K$385))</f>
        <v/>
      </c>
      <c r="D18" s="9">
        <f t="array" ref="D18">MAX(IF((Artifact!$B$2:$B$385=$A18)*(Artifact!$F$2:$F$385="F4"),Artifact!$K$2:$K$385))</f>
        <v/>
      </c>
      <c r="E18" s="9">
        <f>MAX(C18:D18)</f>
        <v/>
      </c>
      <c r="F18" s="8">
        <f>COUNTIFS(Log!$A$2:$A$49,$A18,Log!$H$2:$H$49,"Red")+COUNTIFS(Log!$A$2:$A$49,$A18,Log!$I$2:$I$49,"Red")</f>
        <v/>
      </c>
      <c r="G18" s="8">
        <f>IF(OR(E18&gt;25,F18&gt;0),"Exclude","Keep")</f>
        <v/>
      </c>
      <c r="H18" s="8">
        <f>IF(OR(E18&gt;15,F18&gt;0),"Exclude","Keep")</f>
        <v/>
      </c>
    </row>
    <row r="19">
      <c r="A19" s="8" t="inlineStr">
        <is>
          <t>P15</t>
        </is>
      </c>
      <c r="B19" s="8">
        <f>INDEX(Data!$M$2:$M$313,MATCH($A19,Data!$B$2:$B$313,0))</f>
        <v/>
      </c>
      <c r="C19" s="9">
        <f t="array" ref="C19">MAX(IF((Artifact!$B$2:$B$385=$A19)*(Artifact!$F$2:$F$385="F3"),Artifact!$K$2:$K$385))</f>
        <v/>
      </c>
      <c r="D19" s="9">
        <f t="array" ref="D19">MAX(IF((Artifact!$B$2:$B$385=$A19)*(Artifact!$F$2:$F$385="F4"),Artifact!$K$2:$K$385))</f>
        <v/>
      </c>
      <c r="E19" s="9">
        <f>MAX(C19:D19)</f>
        <v/>
      </c>
      <c r="F19" s="8">
        <f>COUNTIFS(Log!$A$2:$A$49,$A19,Log!$H$2:$H$49,"Red")+COUNTIFS(Log!$A$2:$A$49,$A19,Log!$I$2:$I$49,"Red")</f>
        <v/>
      </c>
      <c r="G19" s="8">
        <f>IF(OR(E19&gt;25,F19&gt;0),"Exclude","Keep")</f>
        <v/>
      </c>
      <c r="H19" s="8">
        <f>IF(OR(E19&gt;15,F19&gt;0),"Exclude","Keep")</f>
        <v/>
      </c>
    </row>
    <row r="20">
      <c r="A20" s="8" t="inlineStr">
        <is>
          <t>P16</t>
        </is>
      </c>
      <c r="B20" s="8">
        <f>INDEX(Data!$M$2:$M$313,MATCH($A20,Data!$B$2:$B$313,0))</f>
        <v/>
      </c>
      <c r="C20" s="9">
        <f t="array" ref="C20">MAX(IF((Artifact!$B$2:$B$385=$A20)*(Artifact!$F$2:$F$385="F3"),Artifact!$K$2:$K$385))</f>
        <v/>
      </c>
      <c r="D20" s="9">
        <f t="array" ref="D20">MAX(IF((Artifact!$B$2:$B$385=$A20)*(Artifact!$F$2:$F$385="F4"),Artifact!$K$2:$K$385))</f>
        <v/>
      </c>
      <c r="E20" s="9">
        <f>MAX(C20:D20)</f>
        <v/>
      </c>
      <c r="F20" s="8">
        <f>COUNTIFS(Log!$A$2:$A$49,$A20,Log!$H$2:$H$49,"Red")+COUNTIFS(Log!$A$2:$A$49,$A20,Log!$I$2:$I$49,"Red")</f>
        <v/>
      </c>
      <c r="G20" s="8">
        <f>IF(OR(E20&gt;25,F20&gt;0),"Exclude","Keep")</f>
        <v/>
      </c>
      <c r="H20" s="8">
        <f>IF(OR(E20&gt;15,F20&gt;0),"Exclude","Keep")</f>
        <v/>
      </c>
    </row>
    <row r="21">
      <c r="A21" s="8" t="inlineStr">
        <is>
          <t>P17</t>
        </is>
      </c>
      <c r="B21" s="8">
        <f>INDEX(Data!$M$2:$M$313,MATCH($A21,Data!$B$2:$B$313,0))</f>
        <v/>
      </c>
      <c r="C21" s="9">
        <f t="array" ref="C21">MAX(IF((Artifact!$B$2:$B$385=$A21)*(Artifact!$F$2:$F$385="F3"),Artifact!$K$2:$K$385))</f>
        <v/>
      </c>
      <c r="D21" s="9">
        <f t="array" ref="D21">MAX(IF((Artifact!$B$2:$B$385=$A21)*(Artifact!$F$2:$F$385="F4"),Artifact!$K$2:$K$385))</f>
        <v/>
      </c>
      <c r="E21" s="9">
        <f>MAX(C21:D21)</f>
        <v/>
      </c>
      <c r="F21" s="8">
        <f>COUNTIFS(Log!$A$2:$A$49,$A21,Log!$H$2:$H$49,"Red")+COUNTIFS(Log!$A$2:$A$49,$A21,Log!$I$2:$I$49,"Red")</f>
        <v/>
      </c>
      <c r="G21" s="8">
        <f>IF(OR(E21&gt;25,F21&gt;0),"Exclude","Keep")</f>
        <v/>
      </c>
      <c r="H21" s="8">
        <f>IF(OR(E21&gt;15,F21&gt;0),"Exclude","Keep")</f>
        <v/>
      </c>
    </row>
    <row r="22">
      <c r="A22" s="8" t="inlineStr">
        <is>
          <t>P18</t>
        </is>
      </c>
      <c r="B22" s="8">
        <f>INDEX(Data!$M$2:$M$313,MATCH($A22,Data!$B$2:$B$313,0))</f>
        <v/>
      </c>
      <c r="C22" s="9">
        <f t="array" ref="C22">MAX(IF((Artifact!$B$2:$B$385=$A22)*(Artifact!$F$2:$F$385="F3"),Artifact!$K$2:$K$385))</f>
        <v/>
      </c>
      <c r="D22" s="9">
        <f t="array" ref="D22">MAX(IF((Artifact!$B$2:$B$385=$A22)*(Artifact!$F$2:$F$385="F4"),Artifact!$K$2:$K$385))</f>
        <v/>
      </c>
      <c r="E22" s="9">
        <f>MAX(C22:D22)</f>
        <v/>
      </c>
      <c r="F22" s="8">
        <f>COUNTIFS(Log!$A$2:$A$49,$A22,Log!$H$2:$H$49,"Red")+COUNTIFS(Log!$A$2:$A$49,$A22,Log!$I$2:$I$49,"Red")</f>
        <v/>
      </c>
      <c r="G22" s="8">
        <f>IF(OR(E22&gt;25,F22&gt;0),"Exclude","Keep")</f>
        <v/>
      </c>
      <c r="H22" s="8">
        <f>IF(OR(E22&gt;15,F22&gt;0),"Exclude","Keep")</f>
        <v/>
      </c>
    </row>
    <row r="23">
      <c r="A23" s="8" t="inlineStr">
        <is>
          <t>P19</t>
        </is>
      </c>
      <c r="B23" s="8">
        <f>INDEX(Data!$M$2:$M$313,MATCH($A23,Data!$B$2:$B$313,0))</f>
        <v/>
      </c>
      <c r="C23" s="9">
        <f t="array" ref="C23">MAX(IF((Artifact!$B$2:$B$385=$A23)*(Artifact!$F$2:$F$385="F3"),Artifact!$K$2:$K$385))</f>
        <v/>
      </c>
      <c r="D23" s="9">
        <f t="array" ref="D23">MAX(IF((Artifact!$B$2:$B$385=$A23)*(Artifact!$F$2:$F$385="F4"),Artifact!$K$2:$K$385))</f>
        <v/>
      </c>
      <c r="E23" s="9">
        <f>MAX(C23:D23)</f>
        <v/>
      </c>
      <c r="F23" s="8">
        <f>COUNTIFS(Log!$A$2:$A$49,$A23,Log!$H$2:$H$49,"Red")+COUNTIFS(Log!$A$2:$A$49,$A23,Log!$I$2:$I$49,"Red")</f>
        <v/>
      </c>
      <c r="G23" s="8">
        <f>IF(OR(E23&gt;25,F23&gt;0),"Exclude","Keep")</f>
        <v/>
      </c>
      <c r="H23" s="8">
        <f>IF(OR(E23&gt;15,F23&gt;0),"Exclude","Keep")</f>
        <v/>
      </c>
    </row>
    <row r="24">
      <c r="A24" s="8" t="inlineStr">
        <is>
          <t>P20</t>
        </is>
      </c>
      <c r="B24" s="8">
        <f>INDEX(Data!$M$2:$M$313,MATCH($A24,Data!$B$2:$B$313,0))</f>
        <v/>
      </c>
      <c r="C24" s="9">
        <f t="array" ref="C24">MAX(IF((Artifact!$B$2:$B$385=$A24)*(Artifact!$F$2:$F$385="F3"),Artifact!$K$2:$K$385))</f>
        <v/>
      </c>
      <c r="D24" s="9">
        <f t="array" ref="D24">MAX(IF((Artifact!$B$2:$B$385=$A24)*(Artifact!$F$2:$F$385="F4"),Artifact!$K$2:$K$385))</f>
        <v/>
      </c>
      <c r="E24" s="9">
        <f>MAX(C24:D24)</f>
        <v/>
      </c>
      <c r="F24" s="8">
        <f>COUNTIFS(Log!$A$2:$A$49,$A24,Log!$H$2:$H$49,"Red")+COUNTIFS(Log!$A$2:$A$49,$A24,Log!$I$2:$I$49,"Red")</f>
        <v/>
      </c>
      <c r="G24" s="8">
        <f>IF(OR(E24&gt;25,F24&gt;0),"Exclude","Keep")</f>
        <v/>
      </c>
      <c r="H24" s="8">
        <f>IF(OR(E24&gt;15,F24&gt;0),"Exclude","Keep")</f>
        <v/>
      </c>
    </row>
    <row r="25">
      <c r="A25" s="8" t="inlineStr">
        <is>
          <t>P21</t>
        </is>
      </c>
      <c r="B25" s="8">
        <f>INDEX(Data!$M$2:$M$313,MATCH($A25,Data!$B$2:$B$313,0))</f>
        <v/>
      </c>
      <c r="C25" s="9">
        <f t="array" ref="C25">MAX(IF((Artifact!$B$2:$B$385=$A25)*(Artifact!$F$2:$F$385="F3"),Artifact!$K$2:$K$385))</f>
        <v/>
      </c>
      <c r="D25" s="9">
        <f t="array" ref="D25">MAX(IF((Artifact!$B$2:$B$385=$A25)*(Artifact!$F$2:$F$385="F4"),Artifact!$K$2:$K$385))</f>
        <v/>
      </c>
      <c r="E25" s="9">
        <f>MAX(C25:D25)</f>
        <v/>
      </c>
      <c r="F25" s="8">
        <f>COUNTIFS(Log!$A$2:$A$49,$A25,Log!$H$2:$H$49,"Red")+COUNTIFS(Log!$A$2:$A$49,$A25,Log!$I$2:$I$49,"Red")</f>
        <v/>
      </c>
      <c r="G25" s="8">
        <f>IF(OR(E25&gt;25,F25&gt;0),"Exclude","Keep")</f>
        <v/>
      </c>
      <c r="H25" s="8">
        <f>IF(OR(E25&gt;15,F25&gt;0),"Exclude","Keep")</f>
        <v/>
      </c>
    </row>
    <row r="26">
      <c r="A26" s="8" t="inlineStr">
        <is>
          <t>P22</t>
        </is>
      </c>
      <c r="B26" s="8">
        <f>INDEX(Data!$M$2:$M$313,MATCH($A26,Data!$B$2:$B$313,0))</f>
        <v/>
      </c>
      <c r="C26" s="9">
        <f t="array" ref="C26">MAX(IF((Artifact!$B$2:$B$385=$A26)*(Artifact!$F$2:$F$385="F3"),Artifact!$K$2:$K$385))</f>
        <v/>
      </c>
      <c r="D26" s="9">
        <f t="array" ref="D26">MAX(IF((Artifact!$B$2:$B$385=$A26)*(Artifact!$F$2:$F$385="F4"),Artifact!$K$2:$K$385))</f>
        <v/>
      </c>
      <c r="E26" s="9">
        <f>MAX(C26:D26)</f>
        <v/>
      </c>
      <c r="F26" s="8">
        <f>COUNTIFS(Log!$A$2:$A$49,$A26,Log!$H$2:$H$49,"Red")+COUNTIFS(Log!$A$2:$A$49,$A26,Log!$I$2:$I$49,"Red")</f>
        <v/>
      </c>
      <c r="G26" s="8">
        <f>IF(OR(E26&gt;25,F26&gt;0),"Exclude","Keep")</f>
        <v/>
      </c>
      <c r="H26" s="8">
        <f>IF(OR(E26&gt;15,F26&gt;0),"Exclude","Keep")</f>
        <v/>
      </c>
    </row>
    <row r="27">
      <c r="A27" s="8" t="inlineStr">
        <is>
          <t>P23</t>
        </is>
      </c>
      <c r="B27" s="8">
        <f>INDEX(Data!$M$2:$M$313,MATCH($A27,Data!$B$2:$B$313,0))</f>
        <v/>
      </c>
      <c r="C27" s="9">
        <f t="array" ref="C27">MAX(IF((Artifact!$B$2:$B$385=$A27)*(Artifact!$F$2:$F$385="F3"),Artifact!$K$2:$K$385))</f>
        <v/>
      </c>
      <c r="D27" s="9">
        <f t="array" ref="D27">MAX(IF((Artifact!$B$2:$B$385=$A27)*(Artifact!$F$2:$F$385="F4"),Artifact!$K$2:$K$385))</f>
        <v/>
      </c>
      <c r="E27" s="9">
        <f>MAX(C27:D27)</f>
        <v/>
      </c>
      <c r="F27" s="8">
        <f>COUNTIFS(Log!$A$2:$A$49,$A27,Log!$H$2:$H$49,"Red")+COUNTIFS(Log!$A$2:$A$49,$A27,Log!$I$2:$I$49,"Red")</f>
        <v/>
      </c>
      <c r="G27" s="8">
        <f>IF(OR(E27&gt;25,F27&gt;0),"Exclude","Keep")</f>
        <v/>
      </c>
      <c r="H27" s="8">
        <f>IF(OR(E27&gt;15,F27&gt;0),"Exclude","Keep")</f>
        <v/>
      </c>
    </row>
    <row r="28">
      <c r="A28" s="8" t="inlineStr">
        <is>
          <t>P24</t>
        </is>
      </c>
      <c r="B28" s="8">
        <f>INDEX(Data!$M$2:$M$313,MATCH($A28,Data!$B$2:$B$313,0))</f>
        <v/>
      </c>
      <c r="C28" s="9">
        <f t="array" ref="C28">MAX(IF((Artifact!$B$2:$B$385=$A28)*(Artifact!$F$2:$F$385="F3"),Artifact!$K$2:$K$385))</f>
        <v/>
      </c>
      <c r="D28" s="9">
        <f t="array" ref="D28">MAX(IF((Artifact!$B$2:$B$385=$A28)*(Artifact!$F$2:$F$385="F4"),Artifact!$K$2:$K$385))</f>
        <v/>
      </c>
      <c r="E28" s="9">
        <f>MAX(C28:D28)</f>
        <v/>
      </c>
      <c r="F28" s="8">
        <f>COUNTIFS(Log!$A$2:$A$49,$A28,Log!$H$2:$H$49,"Red")+COUNTIFS(Log!$A$2:$A$49,$A28,Log!$I$2:$I$49,"Red")</f>
        <v/>
      </c>
      <c r="G28" s="8">
        <f>IF(OR(E28&gt;25,F28&gt;0),"Exclude","Keep")</f>
        <v/>
      </c>
      <c r="H28" s="8">
        <f>IF(OR(E28&gt;15,F28&gt;0),"Exclude","Keep")</f>
        <v/>
      </c>
    </row>
    <row r="29">
      <c r="A29" s="8" t="inlineStr">
        <is>
          <t>P25</t>
        </is>
      </c>
      <c r="B29" s="8">
        <f>INDEX(Data!$M$2:$M$313,MATCH($A29,Data!$B$2:$B$313,0))</f>
        <v/>
      </c>
      <c r="C29" s="9">
        <f t="array" ref="C29">MAX(IF((Artifact!$B$2:$B$385=$A29)*(Artifact!$F$2:$F$385="F3"),Artifact!$K$2:$K$385))</f>
        <v/>
      </c>
      <c r="D29" s="9">
        <f t="array" ref="D29">MAX(IF((Artifact!$B$2:$B$385=$A29)*(Artifact!$F$2:$F$385="F4"),Artifact!$K$2:$K$385))</f>
        <v/>
      </c>
      <c r="E29" s="9">
        <f>MAX(C29:D29)</f>
        <v/>
      </c>
      <c r="F29" s="8">
        <f>COUNTIFS(Log!$A$2:$A$49,$A29,Log!$H$2:$H$49,"Red")+COUNTIFS(Log!$A$2:$A$49,$A29,Log!$I$2:$I$49,"Red")</f>
        <v/>
      </c>
      <c r="G29" s="8">
        <f>IF(OR(E29&gt;25,F29&gt;0),"Exclude","Keep")</f>
        <v/>
      </c>
      <c r="H29" s="8">
        <f>IF(OR(E29&gt;15,F29&gt;0),"Exclude","Keep")</f>
        <v/>
      </c>
    </row>
    <row r="30">
      <c r="A30" s="8" t="inlineStr">
        <is>
          <t>P26</t>
        </is>
      </c>
      <c r="B30" s="8">
        <f>INDEX(Data!$M$2:$M$313,MATCH($A30,Data!$B$2:$B$313,0))</f>
        <v/>
      </c>
      <c r="C30" s="9">
        <f t="array" ref="C30">MAX(IF((Artifact!$B$2:$B$385=$A30)*(Artifact!$F$2:$F$385="F3"),Artifact!$K$2:$K$385))</f>
        <v/>
      </c>
      <c r="D30" s="9">
        <f t="array" ref="D30">MAX(IF((Artifact!$B$2:$B$385=$A30)*(Artifact!$F$2:$F$385="F4"),Artifact!$K$2:$K$385))</f>
        <v/>
      </c>
      <c r="E30" s="9">
        <f>MAX(C30:D30)</f>
        <v/>
      </c>
      <c r="F30" s="8">
        <f>COUNTIFS(Log!$A$2:$A$49,$A30,Log!$H$2:$H$49,"Red")+COUNTIFS(Log!$A$2:$A$49,$A30,Log!$I$2:$I$49,"Red")</f>
        <v/>
      </c>
      <c r="G30" s="8">
        <f>IF(OR(E30&gt;25,F30&gt;0),"Exclude","Keep")</f>
        <v/>
      </c>
      <c r="H30" s="8">
        <f>IF(OR(E30&gt;15,F30&gt;0),"Exclude","Keep")</f>
        <v/>
      </c>
    </row>
    <row r="31">
      <c r="A31" s="8" t="inlineStr">
        <is>
          <t>P27</t>
        </is>
      </c>
      <c r="B31" s="8">
        <f>INDEX(Data!$M$2:$M$313,MATCH($A31,Data!$B$2:$B$313,0))</f>
        <v/>
      </c>
      <c r="C31" s="9">
        <f t="array" ref="C31">MAX(IF((Artifact!$B$2:$B$385=$A31)*(Artifact!$F$2:$F$385="F3"),Artifact!$K$2:$K$385))</f>
        <v/>
      </c>
      <c r="D31" s="9">
        <f t="array" ref="D31">MAX(IF((Artifact!$B$2:$B$385=$A31)*(Artifact!$F$2:$F$385="F4"),Artifact!$K$2:$K$385))</f>
        <v/>
      </c>
      <c r="E31" s="9">
        <f>MAX(C31:D31)</f>
        <v/>
      </c>
      <c r="F31" s="8">
        <f>COUNTIFS(Log!$A$2:$A$49,$A31,Log!$H$2:$H$49,"Red")+COUNTIFS(Log!$A$2:$A$49,$A31,Log!$I$2:$I$49,"Red")</f>
        <v/>
      </c>
      <c r="G31" s="8">
        <f>IF(OR(E31&gt;25,F31&gt;0),"Exclude","Keep")</f>
        <v/>
      </c>
      <c r="H31" s="8">
        <f>IF(OR(E31&gt;15,F31&gt;0),"Exclude","Keep")</f>
        <v/>
      </c>
    </row>
    <row r="32">
      <c r="A32" s="8" t="inlineStr">
        <is>
          <t>P28</t>
        </is>
      </c>
      <c r="B32" s="8">
        <f>INDEX(Data!$M$2:$M$313,MATCH($A32,Data!$B$2:$B$313,0))</f>
        <v/>
      </c>
      <c r="C32" s="9">
        <f t="array" ref="C32">MAX(IF((Artifact!$B$2:$B$385=$A32)*(Artifact!$F$2:$F$385="F3"),Artifact!$K$2:$K$385))</f>
        <v/>
      </c>
      <c r="D32" s="9">
        <f t="array" ref="D32">MAX(IF((Artifact!$B$2:$B$385=$A32)*(Artifact!$F$2:$F$385="F4"),Artifact!$K$2:$K$385))</f>
        <v/>
      </c>
      <c r="E32" s="9">
        <f>MAX(C32:D32)</f>
        <v/>
      </c>
      <c r="F32" s="8">
        <f>COUNTIFS(Log!$A$2:$A$49,$A32,Log!$H$2:$H$49,"Red")+COUNTIFS(Log!$A$2:$A$49,$A32,Log!$I$2:$I$49,"Red")</f>
        <v/>
      </c>
      <c r="G32" s="8">
        <f>IF(OR(E32&gt;25,F32&gt;0),"Exclude","Keep")</f>
        <v/>
      </c>
      <c r="H32" s="8">
        <f>IF(OR(E32&gt;15,F32&gt;0),"Exclude","Keep")</f>
        <v/>
      </c>
    </row>
    <row r="33">
      <c r="A33" s="8" t="inlineStr">
        <is>
          <t>P29</t>
        </is>
      </c>
      <c r="B33" s="8">
        <f>INDEX(Data!$M$2:$M$313,MATCH($A33,Data!$B$2:$B$313,0))</f>
        <v/>
      </c>
      <c r="C33" s="9">
        <f t="array" ref="C33">MAX(IF((Artifact!$B$2:$B$385=$A33)*(Artifact!$F$2:$F$385="F3"),Artifact!$K$2:$K$385))</f>
        <v/>
      </c>
      <c r="D33" s="9">
        <f t="array" ref="D33">MAX(IF((Artifact!$B$2:$B$385=$A33)*(Artifact!$F$2:$F$385="F4"),Artifact!$K$2:$K$385))</f>
        <v/>
      </c>
      <c r="E33" s="9">
        <f>MAX(C33:D33)</f>
        <v/>
      </c>
      <c r="F33" s="8">
        <f>COUNTIFS(Log!$A$2:$A$49,$A33,Log!$H$2:$H$49,"Red")+COUNTIFS(Log!$A$2:$A$49,$A33,Log!$I$2:$I$49,"Red")</f>
        <v/>
      </c>
      <c r="G33" s="8">
        <f>IF(OR(E33&gt;25,F33&gt;0),"Exclude","Keep")</f>
        <v/>
      </c>
      <c r="H33" s="8">
        <f>IF(OR(E33&gt;15,F33&gt;0),"Exclude","Keep")</f>
        <v/>
      </c>
    </row>
    <row r="34">
      <c r="A34" s="8" t="inlineStr">
        <is>
          <t>P30</t>
        </is>
      </c>
      <c r="B34" s="8">
        <f>INDEX(Data!$M$2:$M$313,MATCH($A34,Data!$B$2:$B$313,0))</f>
        <v/>
      </c>
      <c r="C34" s="9">
        <f t="array" ref="C34">MAX(IF((Artifact!$B$2:$B$385=$A34)*(Artifact!$F$2:$F$385="F3"),Artifact!$K$2:$K$385))</f>
        <v/>
      </c>
      <c r="D34" s="9">
        <f t="array" ref="D34">MAX(IF((Artifact!$B$2:$B$385=$A34)*(Artifact!$F$2:$F$385="F4"),Artifact!$K$2:$K$385))</f>
        <v/>
      </c>
      <c r="E34" s="9">
        <f>MAX(C34:D34)</f>
        <v/>
      </c>
      <c r="F34" s="8">
        <f>COUNTIFS(Log!$A$2:$A$49,$A34,Log!$H$2:$H$49,"Red")+COUNTIFS(Log!$A$2:$A$49,$A34,Log!$I$2:$I$49,"Red")</f>
        <v/>
      </c>
      <c r="G34" s="8">
        <f>IF(OR(E34&gt;25,F34&gt;0),"Exclude","Keep")</f>
        <v/>
      </c>
      <c r="H34" s="8">
        <f>IF(OR(E34&gt;15,F34&gt;0),"Exclude","Keep")</f>
        <v/>
      </c>
    </row>
    <row r="35">
      <c r="A35" s="8" t="inlineStr">
        <is>
          <t>P31</t>
        </is>
      </c>
      <c r="B35" s="8">
        <f>INDEX(Data!$M$2:$M$313,MATCH($A35,Data!$B$2:$B$313,0))</f>
        <v/>
      </c>
      <c r="C35" s="9">
        <f t="array" ref="C35">MAX(IF((Artifact!$B$2:$B$385=$A35)*(Artifact!$F$2:$F$385="F3"),Artifact!$K$2:$K$385))</f>
        <v/>
      </c>
      <c r="D35" s="9">
        <f t="array" ref="D35">MAX(IF((Artifact!$B$2:$B$385=$A35)*(Artifact!$F$2:$F$385="F4"),Artifact!$K$2:$K$385))</f>
        <v/>
      </c>
      <c r="E35" s="9">
        <f>MAX(C35:D35)</f>
        <v/>
      </c>
      <c r="F35" s="8">
        <f>COUNTIFS(Log!$A$2:$A$49,$A35,Log!$H$2:$H$49,"Red")+COUNTIFS(Log!$A$2:$A$49,$A35,Log!$I$2:$I$49,"Red")</f>
        <v/>
      </c>
      <c r="G35" s="8">
        <f>IF(OR(E35&gt;25,F35&gt;0),"Exclude","Keep")</f>
        <v/>
      </c>
      <c r="H35" s="8">
        <f>IF(OR(E35&gt;15,F35&gt;0),"Exclude","Keep")</f>
        <v/>
      </c>
    </row>
    <row r="36">
      <c r="A36" s="8" t="inlineStr">
        <is>
          <t>P32</t>
        </is>
      </c>
      <c r="B36" s="8">
        <f>INDEX(Data!$M$2:$M$313,MATCH($A36,Data!$B$2:$B$313,0))</f>
        <v/>
      </c>
      <c r="C36" s="9">
        <f t="array" ref="C36">MAX(IF((Artifact!$B$2:$B$385=$A36)*(Artifact!$F$2:$F$385="F3"),Artifact!$K$2:$K$385))</f>
        <v/>
      </c>
      <c r="D36" s="9">
        <f t="array" ref="D36">MAX(IF((Artifact!$B$2:$B$385=$A36)*(Artifact!$F$2:$F$385="F4"),Artifact!$K$2:$K$385))</f>
        <v/>
      </c>
      <c r="E36" s="9">
        <f>MAX(C36:D36)</f>
        <v/>
      </c>
      <c r="F36" s="8">
        <f>COUNTIFS(Log!$A$2:$A$49,$A36,Log!$H$2:$H$49,"Red")+COUNTIFS(Log!$A$2:$A$49,$A36,Log!$I$2:$I$49,"Red")</f>
        <v/>
      </c>
      <c r="G36" s="8">
        <f>IF(OR(E36&gt;25,F36&gt;0),"Exclude","Keep")</f>
        <v/>
      </c>
      <c r="H36" s="8">
        <f>IF(OR(E36&gt;15,F36&gt;0),"Exclude","Keep")</f>
        <v/>
      </c>
    </row>
    <row r="37">
      <c r="A37" s="8" t="inlineStr">
        <is>
          <t>P33</t>
        </is>
      </c>
      <c r="B37" s="8">
        <f>INDEX(Data!$M$2:$M$313,MATCH($A37,Data!$B$2:$B$313,0))</f>
        <v/>
      </c>
      <c r="C37" s="9">
        <f t="array" ref="C37">MAX(IF((Artifact!$B$2:$B$385=$A37)*(Artifact!$F$2:$F$385="F3"),Artifact!$K$2:$K$385))</f>
        <v/>
      </c>
      <c r="D37" s="9">
        <f t="array" ref="D37">MAX(IF((Artifact!$B$2:$B$385=$A37)*(Artifact!$F$2:$F$385="F4"),Artifact!$K$2:$K$385))</f>
        <v/>
      </c>
      <c r="E37" s="9">
        <f>MAX(C37:D37)</f>
        <v/>
      </c>
      <c r="F37" s="8">
        <f>COUNTIFS(Log!$A$2:$A$49,$A37,Log!$H$2:$H$49,"Red")+COUNTIFS(Log!$A$2:$A$49,$A37,Log!$I$2:$I$49,"Red")</f>
        <v/>
      </c>
      <c r="G37" s="8">
        <f>IF(OR(E37&gt;25,F37&gt;0),"Exclude","Keep")</f>
        <v/>
      </c>
      <c r="H37" s="8">
        <f>IF(OR(E37&gt;15,F37&gt;0),"Exclude","Keep")</f>
        <v/>
      </c>
    </row>
    <row r="38">
      <c r="A38" s="8" t="inlineStr">
        <is>
          <t>P34</t>
        </is>
      </c>
      <c r="B38" s="8">
        <f>INDEX(Data!$M$2:$M$313,MATCH($A38,Data!$B$2:$B$313,0))</f>
        <v/>
      </c>
      <c r="C38" s="9">
        <f t="array" ref="C38">MAX(IF((Artifact!$B$2:$B$385=$A38)*(Artifact!$F$2:$F$385="F3"),Artifact!$K$2:$K$385))</f>
        <v/>
      </c>
      <c r="D38" s="9">
        <f t="array" ref="D38">MAX(IF((Artifact!$B$2:$B$385=$A38)*(Artifact!$F$2:$F$385="F4"),Artifact!$K$2:$K$385))</f>
        <v/>
      </c>
      <c r="E38" s="9">
        <f>MAX(C38:D38)</f>
        <v/>
      </c>
      <c r="F38" s="8">
        <f>COUNTIFS(Log!$A$2:$A$49,$A38,Log!$H$2:$H$49,"Red")+COUNTIFS(Log!$A$2:$A$49,$A38,Log!$I$2:$I$49,"Red")</f>
        <v/>
      </c>
      <c r="G38" s="8">
        <f>IF(OR(E38&gt;25,F38&gt;0),"Exclude","Keep")</f>
        <v/>
      </c>
      <c r="H38" s="8">
        <f>IF(OR(E38&gt;15,F38&gt;0),"Exclude","Keep")</f>
        <v/>
      </c>
    </row>
    <row r="39">
      <c r="A39" s="8" t="inlineStr">
        <is>
          <t>P35</t>
        </is>
      </c>
      <c r="B39" s="8">
        <f>INDEX(Data!$M$2:$M$313,MATCH($A39,Data!$B$2:$B$313,0))</f>
        <v/>
      </c>
      <c r="C39" s="9">
        <f t="array" ref="C39">MAX(IF((Artifact!$B$2:$B$385=$A39)*(Artifact!$F$2:$F$385="F3"),Artifact!$K$2:$K$385))</f>
        <v/>
      </c>
      <c r="D39" s="9">
        <f t="array" ref="D39">MAX(IF((Artifact!$B$2:$B$385=$A39)*(Artifact!$F$2:$F$385="F4"),Artifact!$K$2:$K$385))</f>
        <v/>
      </c>
      <c r="E39" s="9">
        <f>MAX(C39:D39)</f>
        <v/>
      </c>
      <c r="F39" s="8">
        <f>COUNTIFS(Log!$A$2:$A$49,$A39,Log!$H$2:$H$49,"Red")+COUNTIFS(Log!$A$2:$A$49,$A39,Log!$I$2:$I$49,"Red")</f>
        <v/>
      </c>
      <c r="G39" s="8">
        <f>IF(OR(E39&gt;25,F39&gt;0),"Exclude","Keep")</f>
        <v/>
      </c>
      <c r="H39" s="8">
        <f>IF(OR(E39&gt;15,F39&gt;0),"Exclude","Keep")</f>
        <v/>
      </c>
    </row>
    <row r="40">
      <c r="A40" s="8" t="inlineStr">
        <is>
          <t>P36</t>
        </is>
      </c>
      <c r="B40" s="8">
        <f>INDEX(Data!$M$2:$M$313,MATCH($A40,Data!$B$2:$B$313,0))</f>
        <v/>
      </c>
      <c r="C40" s="9">
        <f t="array" ref="C40">MAX(IF((Artifact!$B$2:$B$385=$A40)*(Artifact!$F$2:$F$385="F3"),Artifact!$K$2:$K$385))</f>
        <v/>
      </c>
      <c r="D40" s="9">
        <f t="array" ref="D40">MAX(IF((Artifact!$B$2:$B$385=$A40)*(Artifact!$F$2:$F$385="F4"),Artifact!$K$2:$K$385))</f>
        <v/>
      </c>
      <c r="E40" s="9">
        <f>MAX(C40:D40)</f>
        <v/>
      </c>
      <c r="F40" s="8">
        <f>COUNTIFS(Log!$A$2:$A$49,$A40,Log!$H$2:$H$49,"Red")+COUNTIFS(Log!$A$2:$A$49,$A40,Log!$I$2:$I$49,"Red")</f>
        <v/>
      </c>
      <c r="G40" s="8">
        <f>IF(OR(E40&gt;25,F40&gt;0),"Exclude","Keep")</f>
        <v/>
      </c>
      <c r="H40" s="8">
        <f>IF(OR(E40&gt;15,F40&gt;0),"Exclude","Keep")</f>
        <v/>
      </c>
    </row>
    <row r="41">
      <c r="A41" s="8" t="inlineStr">
        <is>
          <t>P37</t>
        </is>
      </c>
      <c r="B41" s="8">
        <f>INDEX(Data!$M$2:$M$313,MATCH($A41,Data!$B$2:$B$313,0))</f>
        <v/>
      </c>
      <c r="C41" s="9">
        <f t="array" ref="C41">MAX(IF((Artifact!$B$2:$B$385=$A41)*(Artifact!$F$2:$F$385="F3"),Artifact!$K$2:$K$385))</f>
        <v/>
      </c>
      <c r="D41" s="9">
        <f t="array" ref="D41">MAX(IF((Artifact!$B$2:$B$385=$A41)*(Artifact!$F$2:$F$385="F4"),Artifact!$K$2:$K$385))</f>
        <v/>
      </c>
      <c r="E41" s="9">
        <f>MAX(C41:D41)</f>
        <v/>
      </c>
      <c r="F41" s="8">
        <f>COUNTIFS(Log!$A$2:$A$49,$A41,Log!$H$2:$H$49,"Red")+COUNTIFS(Log!$A$2:$A$49,$A41,Log!$I$2:$I$49,"Red")</f>
        <v/>
      </c>
      <c r="G41" s="8">
        <f>IF(OR(E41&gt;25,F41&gt;0),"Exclude","Keep")</f>
        <v/>
      </c>
      <c r="H41" s="8">
        <f>IF(OR(E41&gt;15,F41&gt;0),"Exclude","Keep")</f>
        <v/>
      </c>
    </row>
    <row r="42">
      <c r="A42" s="8" t="inlineStr">
        <is>
          <t>P38</t>
        </is>
      </c>
      <c r="B42" s="8">
        <f>INDEX(Data!$M$2:$M$313,MATCH($A42,Data!$B$2:$B$313,0))</f>
        <v/>
      </c>
      <c r="C42" s="9">
        <f t="array" ref="C42">MAX(IF((Artifact!$B$2:$B$385=$A42)*(Artifact!$F$2:$F$385="F3"),Artifact!$K$2:$K$385))</f>
        <v/>
      </c>
      <c r="D42" s="9">
        <f t="array" ref="D42">MAX(IF((Artifact!$B$2:$B$385=$A42)*(Artifact!$F$2:$F$385="F4"),Artifact!$K$2:$K$385))</f>
        <v/>
      </c>
      <c r="E42" s="9">
        <f>MAX(C42:D42)</f>
        <v/>
      </c>
      <c r="F42" s="8">
        <f>COUNTIFS(Log!$A$2:$A$49,$A42,Log!$H$2:$H$49,"Red")+COUNTIFS(Log!$A$2:$A$49,$A42,Log!$I$2:$I$49,"Red")</f>
        <v/>
      </c>
      <c r="G42" s="8">
        <f>IF(OR(E42&gt;25,F42&gt;0),"Exclude","Keep")</f>
        <v/>
      </c>
      <c r="H42" s="8">
        <f>IF(OR(E42&gt;15,F42&gt;0),"Exclude","Keep")</f>
        <v/>
      </c>
    </row>
    <row r="43">
      <c r="A43" s="8" t="inlineStr">
        <is>
          <t>P39</t>
        </is>
      </c>
      <c r="B43" s="8">
        <f>INDEX(Data!$M$2:$M$313,MATCH($A43,Data!$B$2:$B$313,0))</f>
        <v/>
      </c>
      <c r="C43" s="9">
        <f t="array" ref="C43">MAX(IF((Artifact!$B$2:$B$385=$A43)*(Artifact!$F$2:$F$385="F3"),Artifact!$K$2:$K$385))</f>
        <v/>
      </c>
      <c r="D43" s="9">
        <f t="array" ref="D43">MAX(IF((Artifact!$B$2:$B$385=$A43)*(Artifact!$F$2:$F$385="F4"),Artifact!$K$2:$K$385))</f>
        <v/>
      </c>
      <c r="E43" s="9">
        <f>MAX(C43:D43)</f>
        <v/>
      </c>
      <c r="F43" s="8">
        <f>COUNTIFS(Log!$A$2:$A$49,$A43,Log!$H$2:$H$49,"Red")+COUNTIFS(Log!$A$2:$A$49,$A43,Log!$I$2:$I$49,"Red")</f>
        <v/>
      </c>
      <c r="G43" s="8">
        <f>IF(OR(E43&gt;25,F43&gt;0),"Exclude","Keep")</f>
        <v/>
      </c>
      <c r="H43" s="8">
        <f>IF(OR(E43&gt;15,F43&gt;0),"Exclude","Keep")</f>
        <v/>
      </c>
    </row>
    <row r="44">
      <c r="A44" s="8" t="inlineStr">
        <is>
          <t>P40</t>
        </is>
      </c>
      <c r="B44" s="8">
        <f>INDEX(Data!$M$2:$M$313,MATCH($A44,Data!$B$2:$B$313,0))</f>
        <v/>
      </c>
      <c r="C44" s="9">
        <f t="array" ref="C44">MAX(IF((Artifact!$B$2:$B$385=$A44)*(Artifact!$F$2:$F$385="F3"),Artifact!$K$2:$K$385))</f>
        <v/>
      </c>
      <c r="D44" s="9">
        <f t="array" ref="D44">MAX(IF((Artifact!$B$2:$B$385=$A44)*(Artifact!$F$2:$F$385="F4"),Artifact!$K$2:$K$385))</f>
        <v/>
      </c>
      <c r="E44" s="9">
        <f>MAX(C44:D44)</f>
        <v/>
      </c>
      <c r="F44" s="8">
        <f>COUNTIFS(Log!$A$2:$A$49,$A44,Log!$H$2:$H$49,"Red")+COUNTIFS(Log!$A$2:$A$49,$A44,Log!$I$2:$I$49,"Red")</f>
        <v/>
      </c>
      <c r="G44" s="8">
        <f>IF(OR(E44&gt;25,F44&gt;0),"Exclude","Keep")</f>
        <v/>
      </c>
      <c r="H44" s="8">
        <f>IF(OR(E44&gt;15,F44&gt;0),"Exclude","Keep")</f>
        <v/>
      </c>
    </row>
    <row r="45">
      <c r="A45" s="8" t="inlineStr">
        <is>
          <t>P41</t>
        </is>
      </c>
      <c r="B45" s="8">
        <f>INDEX(Data!$M$2:$M$313,MATCH($A45,Data!$B$2:$B$313,0))</f>
        <v/>
      </c>
      <c r="C45" s="9">
        <f t="array" ref="C45">MAX(IF((Artifact!$B$2:$B$385=$A45)*(Artifact!$F$2:$F$385="F3"),Artifact!$K$2:$K$385))</f>
        <v/>
      </c>
      <c r="D45" s="9">
        <f t="array" ref="D45">MAX(IF((Artifact!$B$2:$B$385=$A45)*(Artifact!$F$2:$F$385="F4"),Artifact!$K$2:$K$385))</f>
        <v/>
      </c>
      <c r="E45" s="9">
        <f>MAX(C45:D45)</f>
        <v/>
      </c>
      <c r="F45" s="8">
        <f>COUNTIFS(Log!$A$2:$A$49,$A45,Log!$H$2:$H$49,"Red")+COUNTIFS(Log!$A$2:$A$49,$A45,Log!$I$2:$I$49,"Red")</f>
        <v/>
      </c>
      <c r="G45" s="8">
        <f>IF(OR(E45&gt;25,F45&gt;0),"Exclude","Keep")</f>
        <v/>
      </c>
      <c r="H45" s="8">
        <f>IF(OR(E45&gt;15,F45&gt;0),"Exclude","Keep")</f>
        <v/>
      </c>
    </row>
    <row r="46">
      <c r="A46" s="8" t="inlineStr">
        <is>
          <t>P42</t>
        </is>
      </c>
      <c r="B46" s="8">
        <f>INDEX(Data!$M$2:$M$313,MATCH($A46,Data!$B$2:$B$313,0))</f>
        <v/>
      </c>
      <c r="C46" s="9">
        <f t="array" ref="C46">MAX(IF((Artifact!$B$2:$B$385=$A46)*(Artifact!$F$2:$F$385="F3"),Artifact!$K$2:$K$385))</f>
        <v/>
      </c>
      <c r="D46" s="9">
        <f t="array" ref="D46">MAX(IF((Artifact!$B$2:$B$385=$A46)*(Artifact!$F$2:$F$385="F4"),Artifact!$K$2:$K$385))</f>
        <v/>
      </c>
      <c r="E46" s="9">
        <f>MAX(C46:D46)</f>
        <v/>
      </c>
      <c r="F46" s="8">
        <f>COUNTIFS(Log!$A$2:$A$49,$A46,Log!$H$2:$H$49,"Red")+COUNTIFS(Log!$A$2:$A$49,$A46,Log!$I$2:$I$49,"Red")</f>
        <v/>
      </c>
      <c r="G46" s="8">
        <f>IF(OR(E46&gt;25,F46&gt;0),"Exclude","Keep")</f>
        <v/>
      </c>
      <c r="H46" s="8">
        <f>IF(OR(E46&gt;15,F46&gt;0),"Exclude","Keep")</f>
        <v/>
      </c>
    </row>
    <row r="47">
      <c r="A47" s="8" t="inlineStr">
        <is>
          <t>P43</t>
        </is>
      </c>
      <c r="B47" s="8">
        <f>INDEX(Data!$M$2:$M$313,MATCH($A47,Data!$B$2:$B$313,0))</f>
        <v/>
      </c>
      <c r="C47" s="9">
        <f t="array" ref="C47">MAX(IF((Artifact!$B$2:$B$385=$A47)*(Artifact!$F$2:$F$385="F3"),Artifact!$K$2:$K$385))</f>
        <v/>
      </c>
      <c r="D47" s="9">
        <f t="array" ref="D47">MAX(IF((Artifact!$B$2:$B$385=$A47)*(Artifact!$F$2:$F$385="F4"),Artifact!$K$2:$K$385))</f>
        <v/>
      </c>
      <c r="E47" s="9">
        <f>MAX(C47:D47)</f>
        <v/>
      </c>
      <c r="F47" s="8">
        <f>COUNTIFS(Log!$A$2:$A$49,$A47,Log!$H$2:$H$49,"Red")+COUNTIFS(Log!$A$2:$A$49,$A47,Log!$I$2:$I$49,"Red")</f>
        <v/>
      </c>
      <c r="G47" s="8">
        <f>IF(OR(E47&gt;25,F47&gt;0),"Exclude","Keep")</f>
        <v/>
      </c>
      <c r="H47" s="8">
        <f>IF(OR(E47&gt;15,F47&gt;0),"Exclude","Keep")</f>
        <v/>
      </c>
    </row>
    <row r="48">
      <c r="A48" s="8" t="inlineStr">
        <is>
          <t>P44</t>
        </is>
      </c>
      <c r="B48" s="8">
        <f>INDEX(Data!$M$2:$M$313,MATCH($A48,Data!$B$2:$B$313,0))</f>
        <v/>
      </c>
      <c r="C48" s="9">
        <f t="array" ref="C48">MAX(IF((Artifact!$B$2:$B$385=$A48)*(Artifact!$F$2:$F$385="F3"),Artifact!$K$2:$K$385))</f>
        <v/>
      </c>
      <c r="D48" s="9">
        <f t="array" ref="D48">MAX(IF((Artifact!$B$2:$B$385=$A48)*(Artifact!$F$2:$F$385="F4"),Artifact!$K$2:$K$385))</f>
        <v/>
      </c>
      <c r="E48" s="9">
        <f>MAX(C48:D48)</f>
        <v/>
      </c>
      <c r="F48" s="8">
        <f>COUNTIFS(Log!$A$2:$A$49,$A48,Log!$H$2:$H$49,"Red")+COUNTIFS(Log!$A$2:$A$49,$A48,Log!$I$2:$I$49,"Red")</f>
        <v/>
      </c>
      <c r="G48" s="8">
        <f>IF(OR(E48&gt;25,F48&gt;0),"Exclude","Keep")</f>
        <v/>
      </c>
      <c r="H48" s="8">
        <f>IF(OR(E48&gt;15,F48&gt;0),"Exclude","Keep")</f>
        <v/>
      </c>
    </row>
    <row r="49">
      <c r="A49" s="8" t="inlineStr">
        <is>
          <t>P45</t>
        </is>
      </c>
      <c r="B49" s="8">
        <f>INDEX(Data!$M$2:$M$313,MATCH($A49,Data!$B$2:$B$313,0))</f>
        <v/>
      </c>
      <c r="C49" s="9">
        <f t="array" ref="C49">MAX(IF((Artifact!$B$2:$B$385=$A49)*(Artifact!$F$2:$F$385="F3"),Artifact!$K$2:$K$385))</f>
        <v/>
      </c>
      <c r="D49" s="9">
        <f t="array" ref="D49">MAX(IF((Artifact!$B$2:$B$385=$A49)*(Artifact!$F$2:$F$385="F4"),Artifact!$K$2:$K$385))</f>
        <v/>
      </c>
      <c r="E49" s="9">
        <f>MAX(C49:D49)</f>
        <v/>
      </c>
      <c r="F49" s="8">
        <f>COUNTIFS(Log!$A$2:$A$49,$A49,Log!$H$2:$H$49,"Red")+COUNTIFS(Log!$A$2:$A$49,$A49,Log!$I$2:$I$49,"Red")</f>
        <v/>
      </c>
      <c r="G49" s="8">
        <f>IF(OR(E49&gt;25,F49&gt;0),"Exclude","Keep")</f>
        <v/>
      </c>
      <c r="H49" s="8">
        <f>IF(OR(E49&gt;15,F49&gt;0),"Exclude","Keep")</f>
        <v/>
      </c>
    </row>
    <row r="50">
      <c r="A50" s="8" t="inlineStr">
        <is>
          <t>P46</t>
        </is>
      </c>
      <c r="B50" s="8">
        <f>INDEX(Data!$M$2:$M$313,MATCH($A50,Data!$B$2:$B$313,0))</f>
        <v/>
      </c>
      <c r="C50" s="9">
        <f t="array" ref="C50">MAX(IF((Artifact!$B$2:$B$385=$A50)*(Artifact!$F$2:$F$385="F3"),Artifact!$K$2:$K$385))</f>
        <v/>
      </c>
      <c r="D50" s="9">
        <f t="array" ref="D50">MAX(IF((Artifact!$B$2:$B$385=$A50)*(Artifact!$F$2:$F$385="F4"),Artifact!$K$2:$K$385))</f>
        <v/>
      </c>
      <c r="E50" s="9">
        <f>MAX(C50:D50)</f>
        <v/>
      </c>
      <c r="F50" s="8">
        <f>COUNTIFS(Log!$A$2:$A$49,$A50,Log!$H$2:$H$49,"Red")+COUNTIFS(Log!$A$2:$A$49,$A50,Log!$I$2:$I$49,"Red")</f>
        <v/>
      </c>
      <c r="G50" s="8">
        <f>IF(OR(E50&gt;25,F50&gt;0),"Exclude","Keep")</f>
        <v/>
      </c>
      <c r="H50" s="8">
        <f>IF(OR(E50&gt;15,F50&gt;0),"Exclude","Keep")</f>
        <v/>
      </c>
    </row>
    <row r="51">
      <c r="A51" s="8" t="inlineStr">
        <is>
          <t>P47</t>
        </is>
      </c>
      <c r="B51" s="8">
        <f>INDEX(Data!$M$2:$M$313,MATCH($A51,Data!$B$2:$B$313,0))</f>
        <v/>
      </c>
      <c r="C51" s="9">
        <f t="array" ref="C51">MAX(IF((Artifact!$B$2:$B$385=$A51)*(Artifact!$F$2:$F$385="F3"),Artifact!$K$2:$K$385))</f>
        <v/>
      </c>
      <c r="D51" s="9">
        <f t="array" ref="D51">MAX(IF((Artifact!$B$2:$B$385=$A51)*(Artifact!$F$2:$F$385="F4"),Artifact!$K$2:$K$385))</f>
        <v/>
      </c>
      <c r="E51" s="9">
        <f>MAX(C51:D51)</f>
        <v/>
      </c>
      <c r="F51" s="8">
        <f>COUNTIFS(Log!$A$2:$A$49,$A51,Log!$H$2:$H$49,"Red")+COUNTIFS(Log!$A$2:$A$49,$A51,Log!$I$2:$I$49,"Red")</f>
        <v/>
      </c>
      <c r="G51" s="8">
        <f>IF(OR(E51&gt;25,F51&gt;0),"Exclude","Keep")</f>
        <v/>
      </c>
      <c r="H51" s="8">
        <f>IF(OR(E51&gt;15,F51&gt;0),"Exclude","Keep")</f>
        <v/>
      </c>
    </row>
    <row r="52">
      <c r="A52" s="8" t="inlineStr">
        <is>
          <t>P48</t>
        </is>
      </c>
      <c r="B52" s="8">
        <f>INDEX(Data!$M$2:$M$313,MATCH($A52,Data!$B$2:$B$313,0))</f>
        <v/>
      </c>
      <c r="C52" s="9">
        <f t="array" ref="C52">MAX(IF((Artifact!$B$2:$B$385=$A52)*(Artifact!$F$2:$F$385="F3"),Artifact!$K$2:$K$385))</f>
        <v/>
      </c>
      <c r="D52" s="9">
        <f t="array" ref="D52">MAX(IF((Artifact!$B$2:$B$385=$A52)*(Artifact!$F$2:$F$385="F4"),Artifact!$K$2:$K$385))</f>
        <v/>
      </c>
      <c r="E52" s="9">
        <f>MAX(C52:D52)</f>
        <v/>
      </c>
      <c r="F52" s="8">
        <f>COUNTIFS(Log!$A$2:$A$49,$A52,Log!$H$2:$H$49,"Red")+COUNTIFS(Log!$A$2:$A$49,$A52,Log!$I$2:$I$49,"Red")</f>
        <v/>
      </c>
      <c r="G52" s="8">
        <f>IF(OR(E52&gt;25,F52&gt;0),"Exclude","Keep")</f>
        <v/>
      </c>
      <c r="H52" s="8">
        <f>IF(OR(E52&gt;15,F52&gt;0),"Exclude","Keep")</f>
        <v/>
      </c>
    </row>
    <row r="54">
      <c r="A54" s="10" t="inlineStr">
        <is>
          <t>Respondents excluded (25 percent rule)</t>
        </is>
      </c>
      <c r="E54">
        <f>COUNTIF(G5:G52,"Exclude")</f>
        <v/>
      </c>
    </row>
    <row r="55">
      <c r="A55" s="10" t="inlineStr">
        <is>
          <t>Respondents excluded (15 percent rule)</t>
        </is>
      </c>
      <c r="E55">
        <f>COUNTIF(H5:H52,"Exclude")</f>
        <v/>
      </c>
    </row>
    <row r="56">
      <c r="A56" s="10" t="inlineStr">
        <is>
          <t>Kept, Version A (25 percent rule)</t>
        </is>
      </c>
      <c r="E56">
        <f>COUNTIFS(B5:B52,"A",G5:G52,"Keep")</f>
        <v/>
      </c>
    </row>
    <row r="57">
      <c r="A57" s="10" t="inlineStr">
        <is>
          <t>Kept, Version B (25 percent rule)</t>
        </is>
      </c>
      <c r="E57">
        <f>COUNTIFS(B5:B52,"B",G5:G52,"Keep")</f>
        <v/>
      </c>
    </row>
    <row r="58">
      <c r="A58" s="10" t="inlineStr">
        <is>
          <t>Kept, Version A (15 percent rule)</t>
        </is>
      </c>
      <c r="E58">
        <f>COUNTIFS(B5:B52,"A",H5:H52,"Keep")</f>
        <v/>
      </c>
    </row>
    <row r="59">
      <c r="A59" s="10" t="inlineStr">
        <is>
          <t>Kept, Version B (15 percent rule)</t>
        </is>
      </c>
      <c r="E59">
        <f>COUNTIFS(B5:B52,"B",H5:H52,"Keep")</f>
        <v/>
      </c>
    </row>
    <row r="60">
      <c r="A60" s="10" t="inlineStr">
        <is>
          <t>Artifact report rows with a stream gap (recorded &lt; expected)</t>
        </is>
      </c>
      <c r="E60">
        <f>COUNTIF(Artifact!$M$2:$M$385,"&gt;0")</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6" customWidth="1" min="1" max="1"/>
    <col width="10" customWidth="1" min="2" max="2"/>
    <col width="8" customWidth="1" min="3" max="3"/>
    <col width="12" customWidth="1" min="4" max="4"/>
    <col width="12" customWidth="1" min="5" max="5"/>
  </cols>
  <sheetData>
    <row r="1">
      <c r="A1" s="6" t="inlineStr">
        <is>
          <t>Raw FA by segment and version, kept respondents (Keep = Yes). SIMULATED data.</t>
        </is>
      </c>
    </row>
    <row r="2">
      <c r="A2" s="7" t="inlineStr">
        <is>
          <t>Role names the part of the design (C1 = Commercial_1A or Commercial_1B; EndScene_C1 = the EndScene annotation whose Parent Stimulus is Commercial_1A or Commercial_1B). Version * = both versions. Columns D and E use AVERAGEIFS and STDEV.S(IF(...)).</t>
        </is>
      </c>
    </row>
    <row r="4">
      <c r="A4" s="2" t="inlineStr">
        <is>
          <t>Role</t>
        </is>
      </c>
      <c r="B4" s="2" t="inlineStr">
        <is>
          <t>Version</t>
        </is>
      </c>
      <c r="C4" s="2" t="inlineStr">
        <is>
          <t>n</t>
        </is>
      </c>
      <c r="D4" s="2" t="inlineStr">
        <is>
          <t>Mean FA</t>
        </is>
      </c>
      <c r="E4" s="2" t="inlineStr">
        <is>
          <t>SD FA</t>
        </is>
      </c>
    </row>
    <row r="5">
      <c r="A5" s="8" t="inlineStr">
        <is>
          <t>Baseline_1</t>
        </is>
      </c>
      <c r="B5" s="8" t="inlineStr">
        <is>
          <t>A</t>
        </is>
      </c>
      <c r="C5" s="8">
        <f>COUNTIFS(Data!$O$2:$O$313,$A5,Data!$M$2:$M$313,$B5,Data!$P$2:$P$313,"Yes")</f>
        <v/>
      </c>
      <c r="D5" s="11">
        <f>AVERAGEIFS(Data!$K$2:$K$313,Data!$O$2:$O$313,$A5,Data!$M$2:$M$313,$B5,Data!$P$2:$P$313,"Yes")</f>
        <v/>
      </c>
      <c r="E5" s="11">
        <f t="array" ref="E5">_xlfn.STDEV.S(IF((Data!$O$2:$O$313=$A5)*(Data!$M$2:$M$313=$B5)*(Data!$P$2:$P$313="Yes"),Data!$K$2:$K$313))</f>
        <v/>
      </c>
    </row>
    <row r="6">
      <c r="A6" s="8" t="inlineStr">
        <is>
          <t>Baseline_1</t>
        </is>
      </c>
      <c r="B6" s="8" t="inlineStr">
        <is>
          <t>B</t>
        </is>
      </c>
      <c r="C6" s="8">
        <f>COUNTIFS(Data!$O$2:$O$313,$A6,Data!$M$2:$M$313,$B6,Data!$P$2:$P$313,"Yes")</f>
        <v/>
      </c>
      <c r="D6" s="11">
        <f>AVERAGEIFS(Data!$K$2:$K$313,Data!$O$2:$O$313,$A6,Data!$M$2:$M$313,$B6,Data!$P$2:$P$313,"Yes")</f>
        <v/>
      </c>
      <c r="E6" s="11">
        <f t="array" ref="E6">_xlfn.STDEV.S(IF((Data!$O$2:$O$313=$A6)*(Data!$M$2:$M$313=$B6)*(Data!$P$2:$P$313="Yes"),Data!$K$2:$K$313))</f>
        <v/>
      </c>
    </row>
    <row r="7">
      <c r="A7" s="8" t="inlineStr">
        <is>
          <t>Baseline_1</t>
        </is>
      </c>
      <c r="B7" s="8" t="inlineStr">
        <is>
          <t>*</t>
        </is>
      </c>
      <c r="C7" s="8">
        <f>COUNTIFS(Data!$O$2:$O$313,$A7,Data!$M$2:$M$313,$B7,Data!$P$2:$P$313,"Yes")</f>
        <v/>
      </c>
      <c r="D7" s="11">
        <f>AVERAGEIFS(Data!$K$2:$K$313,Data!$O$2:$O$313,$A7,Data!$M$2:$M$313,$B7,Data!$P$2:$P$313,"Yes")</f>
        <v/>
      </c>
      <c r="E7" s="11">
        <f t="array" ref="E7">_xlfn.STDEV.S(IF((Data!$O$2:$O$313=$A7)*(Data!$P$2:$P$313="Yes"),Data!$K$2:$K$313))</f>
        <v/>
      </c>
    </row>
    <row r="8">
      <c r="A8" s="8" t="inlineStr">
        <is>
          <t>Baseline_2</t>
        </is>
      </c>
      <c r="B8" s="8" t="inlineStr">
        <is>
          <t>A</t>
        </is>
      </c>
      <c r="C8" s="8">
        <f>COUNTIFS(Data!$O$2:$O$313,$A8,Data!$M$2:$M$313,$B8,Data!$P$2:$P$313,"Yes")</f>
        <v/>
      </c>
      <c r="D8" s="11">
        <f>AVERAGEIFS(Data!$K$2:$K$313,Data!$O$2:$O$313,$A8,Data!$M$2:$M$313,$B8,Data!$P$2:$P$313,"Yes")</f>
        <v/>
      </c>
      <c r="E8" s="11">
        <f t="array" ref="E8">_xlfn.STDEV.S(IF((Data!$O$2:$O$313=$A8)*(Data!$M$2:$M$313=$B8)*(Data!$P$2:$P$313="Yes"),Data!$K$2:$K$313))</f>
        <v/>
      </c>
    </row>
    <row r="9">
      <c r="A9" s="8" t="inlineStr">
        <is>
          <t>Baseline_2</t>
        </is>
      </c>
      <c r="B9" s="8" t="inlineStr">
        <is>
          <t>B</t>
        </is>
      </c>
      <c r="C9" s="8">
        <f>COUNTIFS(Data!$O$2:$O$313,$A9,Data!$M$2:$M$313,$B9,Data!$P$2:$P$313,"Yes")</f>
        <v/>
      </c>
      <c r="D9" s="11">
        <f>AVERAGEIFS(Data!$K$2:$K$313,Data!$O$2:$O$313,$A9,Data!$M$2:$M$313,$B9,Data!$P$2:$P$313,"Yes")</f>
        <v/>
      </c>
      <c r="E9" s="11">
        <f t="array" ref="E9">_xlfn.STDEV.S(IF((Data!$O$2:$O$313=$A9)*(Data!$M$2:$M$313=$B9)*(Data!$P$2:$P$313="Yes"),Data!$K$2:$K$313))</f>
        <v/>
      </c>
    </row>
    <row r="10">
      <c r="A10" s="8" t="inlineStr">
        <is>
          <t>Baseline_2</t>
        </is>
      </c>
      <c r="B10" s="8" t="inlineStr">
        <is>
          <t>*</t>
        </is>
      </c>
      <c r="C10" s="8">
        <f>COUNTIFS(Data!$O$2:$O$313,$A10,Data!$M$2:$M$313,$B10,Data!$P$2:$P$313,"Yes")</f>
        <v/>
      </c>
      <c r="D10" s="11">
        <f>AVERAGEIFS(Data!$K$2:$K$313,Data!$O$2:$O$313,$A10,Data!$M$2:$M$313,$B10,Data!$P$2:$P$313,"Yes")</f>
        <v/>
      </c>
      <c r="E10" s="11">
        <f t="array" ref="E10">_xlfn.STDEV.S(IF((Data!$O$2:$O$313=$A10)*(Data!$P$2:$P$313="Yes"),Data!$K$2:$K$313))</f>
        <v/>
      </c>
    </row>
    <row r="11">
      <c r="A11" s="8" t="inlineStr">
        <is>
          <t>C1</t>
        </is>
      </c>
      <c r="B11" s="8" t="inlineStr">
        <is>
          <t>A</t>
        </is>
      </c>
      <c r="C11" s="8">
        <f>COUNTIFS(Data!$O$2:$O$313,$A11,Data!$M$2:$M$313,$B11,Data!$P$2:$P$313,"Yes")</f>
        <v/>
      </c>
      <c r="D11" s="11">
        <f>AVERAGEIFS(Data!$K$2:$K$313,Data!$O$2:$O$313,$A11,Data!$M$2:$M$313,$B11,Data!$P$2:$P$313,"Yes")</f>
        <v/>
      </c>
      <c r="E11" s="11">
        <f t="array" ref="E11">_xlfn.STDEV.S(IF((Data!$O$2:$O$313=$A11)*(Data!$M$2:$M$313=$B11)*(Data!$P$2:$P$313="Yes"),Data!$K$2:$K$313))</f>
        <v/>
      </c>
    </row>
    <row r="12">
      <c r="A12" s="8" t="inlineStr">
        <is>
          <t>C1</t>
        </is>
      </c>
      <c r="B12" s="8" t="inlineStr">
        <is>
          <t>B</t>
        </is>
      </c>
      <c r="C12" s="8">
        <f>COUNTIFS(Data!$O$2:$O$313,$A12,Data!$M$2:$M$313,$B12,Data!$P$2:$P$313,"Yes")</f>
        <v/>
      </c>
      <c r="D12" s="11">
        <f>AVERAGEIFS(Data!$K$2:$K$313,Data!$O$2:$O$313,$A12,Data!$M$2:$M$313,$B12,Data!$P$2:$P$313,"Yes")</f>
        <v/>
      </c>
      <c r="E12" s="11">
        <f t="array" ref="E12">_xlfn.STDEV.S(IF((Data!$O$2:$O$313=$A12)*(Data!$M$2:$M$313=$B12)*(Data!$P$2:$P$313="Yes"),Data!$K$2:$K$313))</f>
        <v/>
      </c>
    </row>
    <row r="13">
      <c r="A13" s="8" t="inlineStr">
        <is>
          <t>C1</t>
        </is>
      </c>
      <c r="B13" s="8" t="inlineStr">
        <is>
          <t>*</t>
        </is>
      </c>
      <c r="C13" s="8">
        <f>COUNTIFS(Data!$O$2:$O$313,$A13,Data!$M$2:$M$313,$B13,Data!$P$2:$P$313,"Yes")</f>
        <v/>
      </c>
      <c r="D13" s="11">
        <f>AVERAGEIFS(Data!$K$2:$K$313,Data!$O$2:$O$313,$A13,Data!$M$2:$M$313,$B13,Data!$P$2:$P$313,"Yes")</f>
        <v/>
      </c>
      <c r="E13" s="11">
        <f t="array" ref="E13">_xlfn.STDEV.S(IF((Data!$O$2:$O$313=$A13)*(Data!$P$2:$P$313="Yes"),Data!$K$2:$K$313))</f>
        <v/>
      </c>
    </row>
    <row r="14">
      <c r="A14" s="8" t="inlineStr">
        <is>
          <t>C2</t>
        </is>
      </c>
      <c r="B14" s="8" t="inlineStr">
        <is>
          <t>A</t>
        </is>
      </c>
      <c r="C14" s="8">
        <f>COUNTIFS(Data!$O$2:$O$313,$A14,Data!$M$2:$M$313,$B14,Data!$P$2:$P$313,"Yes")</f>
        <v/>
      </c>
      <c r="D14" s="11">
        <f>AVERAGEIFS(Data!$K$2:$K$313,Data!$O$2:$O$313,$A14,Data!$M$2:$M$313,$B14,Data!$P$2:$P$313,"Yes")</f>
        <v/>
      </c>
      <c r="E14" s="11">
        <f t="array" ref="E14">_xlfn.STDEV.S(IF((Data!$O$2:$O$313=$A14)*(Data!$M$2:$M$313=$B14)*(Data!$P$2:$P$313="Yes"),Data!$K$2:$K$313))</f>
        <v/>
      </c>
    </row>
    <row r="15">
      <c r="A15" s="8" t="inlineStr">
        <is>
          <t>C2</t>
        </is>
      </c>
      <c r="B15" s="8" t="inlineStr">
        <is>
          <t>B</t>
        </is>
      </c>
      <c r="C15" s="8">
        <f>COUNTIFS(Data!$O$2:$O$313,$A15,Data!$M$2:$M$313,$B15,Data!$P$2:$P$313,"Yes")</f>
        <v/>
      </c>
      <c r="D15" s="11">
        <f>AVERAGEIFS(Data!$K$2:$K$313,Data!$O$2:$O$313,$A15,Data!$M$2:$M$313,$B15,Data!$P$2:$P$313,"Yes")</f>
        <v/>
      </c>
      <c r="E15" s="11">
        <f t="array" ref="E15">_xlfn.STDEV.S(IF((Data!$O$2:$O$313=$A15)*(Data!$M$2:$M$313=$B15)*(Data!$P$2:$P$313="Yes"),Data!$K$2:$K$313))</f>
        <v/>
      </c>
    </row>
    <row r="16">
      <c r="A16" s="8" t="inlineStr">
        <is>
          <t>C2</t>
        </is>
      </c>
      <c r="B16" s="8" t="inlineStr">
        <is>
          <t>*</t>
        </is>
      </c>
      <c r="C16" s="8">
        <f>COUNTIFS(Data!$O$2:$O$313,$A16,Data!$M$2:$M$313,$B16,Data!$P$2:$P$313,"Yes")</f>
        <v/>
      </c>
      <c r="D16" s="11">
        <f>AVERAGEIFS(Data!$K$2:$K$313,Data!$O$2:$O$313,$A16,Data!$M$2:$M$313,$B16,Data!$P$2:$P$313,"Yes")</f>
        <v/>
      </c>
      <c r="E16" s="11">
        <f t="array" ref="E16">_xlfn.STDEV.S(IF((Data!$O$2:$O$313=$A16)*(Data!$P$2:$P$313="Yes"),Data!$K$2:$K$313))</f>
        <v/>
      </c>
    </row>
    <row r="17">
      <c r="A17" s="8" t="inlineStr">
        <is>
          <t>KeyScene</t>
        </is>
      </c>
      <c r="B17" s="8" t="inlineStr">
        <is>
          <t>A</t>
        </is>
      </c>
      <c r="C17" s="8">
        <f>COUNTIFS(Data!$O$2:$O$313,$A17,Data!$M$2:$M$313,$B17,Data!$P$2:$P$313,"Yes")</f>
        <v/>
      </c>
      <c r="D17" s="11">
        <f>AVERAGEIFS(Data!$K$2:$K$313,Data!$O$2:$O$313,$A17,Data!$M$2:$M$313,$B17,Data!$P$2:$P$313,"Yes")</f>
        <v/>
      </c>
      <c r="E17" s="11">
        <f t="array" ref="E17">_xlfn.STDEV.S(IF((Data!$O$2:$O$313=$A17)*(Data!$M$2:$M$313=$B17)*(Data!$P$2:$P$313="Yes"),Data!$K$2:$K$313))</f>
        <v/>
      </c>
    </row>
    <row r="18">
      <c r="A18" s="8" t="inlineStr">
        <is>
          <t>EndScene_C1</t>
        </is>
      </c>
      <c r="B18" s="8" t="inlineStr">
        <is>
          <t>A</t>
        </is>
      </c>
      <c r="C18" s="8">
        <f>COUNTIFS(Data!$O$2:$O$313,$A18,Data!$M$2:$M$313,$B18,Data!$P$2:$P$313,"Yes")</f>
        <v/>
      </c>
      <c r="D18" s="11">
        <f>AVERAGEIFS(Data!$K$2:$K$313,Data!$O$2:$O$313,$A18,Data!$M$2:$M$313,$B18,Data!$P$2:$P$313,"Yes")</f>
        <v/>
      </c>
      <c r="E18" s="11">
        <f t="array" ref="E18">_xlfn.STDEV.S(IF((Data!$O$2:$O$313=$A18)*(Data!$M$2:$M$313=$B18)*(Data!$P$2:$P$313="Yes"),Data!$K$2:$K$313))</f>
        <v/>
      </c>
    </row>
    <row r="19">
      <c r="A19" s="8" t="inlineStr">
        <is>
          <t>EndScene_C1</t>
        </is>
      </c>
      <c r="B19" s="8" t="inlineStr">
        <is>
          <t>B</t>
        </is>
      </c>
      <c r="C19" s="8">
        <f>COUNTIFS(Data!$O$2:$O$313,$A19,Data!$M$2:$M$313,$B19,Data!$P$2:$P$313,"Yes")</f>
        <v/>
      </c>
      <c r="D19" s="11">
        <f>AVERAGEIFS(Data!$K$2:$K$313,Data!$O$2:$O$313,$A19,Data!$M$2:$M$313,$B19,Data!$P$2:$P$313,"Yes")</f>
        <v/>
      </c>
      <c r="E19" s="11">
        <f t="array" ref="E19">_xlfn.STDEV.S(IF((Data!$O$2:$O$313=$A19)*(Data!$M$2:$M$313=$B19)*(Data!$P$2:$P$313="Yes"),Data!$K$2:$K$313))</f>
        <v/>
      </c>
    </row>
    <row r="20">
      <c r="A20" s="8" t="inlineStr">
        <is>
          <t>EndScene_C1</t>
        </is>
      </c>
      <c r="B20" s="8" t="inlineStr">
        <is>
          <t>*</t>
        </is>
      </c>
      <c r="C20" s="8">
        <f>COUNTIFS(Data!$O$2:$O$313,$A20,Data!$M$2:$M$313,$B20,Data!$P$2:$P$313,"Yes")</f>
        <v/>
      </c>
      <c r="D20" s="11">
        <f>AVERAGEIFS(Data!$K$2:$K$313,Data!$O$2:$O$313,$A20,Data!$M$2:$M$313,$B20,Data!$P$2:$P$313,"Yes")</f>
        <v/>
      </c>
      <c r="E20" s="11">
        <f t="array" ref="E20">_xlfn.STDEV.S(IF((Data!$O$2:$O$313=$A20)*(Data!$P$2:$P$313="Yes"),Data!$K$2:$K$313))</f>
        <v/>
      </c>
    </row>
    <row r="21">
      <c r="A21" s="8" t="inlineStr">
        <is>
          <t>EndScene_C2</t>
        </is>
      </c>
      <c r="B21" s="8" t="inlineStr">
        <is>
          <t>A</t>
        </is>
      </c>
      <c r="C21" s="8">
        <f>COUNTIFS(Data!$O$2:$O$313,$A21,Data!$M$2:$M$313,$B21,Data!$P$2:$P$313,"Yes")</f>
        <v/>
      </c>
      <c r="D21" s="11">
        <f>AVERAGEIFS(Data!$K$2:$K$313,Data!$O$2:$O$313,$A21,Data!$M$2:$M$313,$B21,Data!$P$2:$P$313,"Yes")</f>
        <v/>
      </c>
      <c r="E21" s="11">
        <f t="array" ref="E21">_xlfn.STDEV.S(IF((Data!$O$2:$O$313=$A21)*(Data!$M$2:$M$313=$B21)*(Data!$P$2:$P$313="Yes"),Data!$K$2:$K$313))</f>
        <v/>
      </c>
    </row>
    <row r="22">
      <c r="A22" s="8" t="inlineStr">
        <is>
          <t>EndScene_C2</t>
        </is>
      </c>
      <c r="B22" s="8" t="inlineStr">
        <is>
          <t>B</t>
        </is>
      </c>
      <c r="C22" s="8">
        <f>COUNTIFS(Data!$O$2:$O$313,$A22,Data!$M$2:$M$313,$B22,Data!$P$2:$P$313,"Yes")</f>
        <v/>
      </c>
      <c r="D22" s="11">
        <f>AVERAGEIFS(Data!$K$2:$K$313,Data!$O$2:$O$313,$A22,Data!$M$2:$M$313,$B22,Data!$P$2:$P$313,"Yes")</f>
        <v/>
      </c>
      <c r="E22" s="11">
        <f t="array" ref="E22">_xlfn.STDEV.S(IF((Data!$O$2:$O$313=$A22)*(Data!$M$2:$M$313=$B22)*(Data!$P$2:$P$313="Yes"),Data!$K$2:$K$313))</f>
        <v/>
      </c>
    </row>
    <row r="23">
      <c r="A23" s="8" t="inlineStr">
        <is>
          <t>EndScene_C2</t>
        </is>
      </c>
      <c r="B23" s="8" t="inlineStr">
        <is>
          <t>*</t>
        </is>
      </c>
      <c r="C23" s="8">
        <f>COUNTIFS(Data!$O$2:$O$313,$A23,Data!$M$2:$M$313,$B23,Data!$P$2:$P$313,"Yes")</f>
        <v/>
      </c>
      <c r="D23" s="11">
        <f>AVERAGEIFS(Data!$K$2:$K$313,Data!$O$2:$O$313,$A23,Data!$M$2:$M$313,$B23,Data!$P$2:$P$313,"Yes")</f>
        <v/>
      </c>
      <c r="E23" s="11">
        <f t="array" ref="E23">_xlfn.STDEV.S(IF((Data!$O$2:$O$313=$A23)*(Data!$P$2:$P$313="Yes"),Data!$K$2:$K$313))</f>
        <v/>
      </c>
    </row>
    <row r="25">
      <c r="A25" s="7" t="inlineStr">
        <is>
          <t>Array formulas (column E): Excel 365 evaluates them with Enter; Excel 2019 or older needs Ctrl+Shift+Enter after editing. The text NA in the FA column (a segment with no clean window) is ignored by AVERAGEIFS and COUNTIFS counts the row; no kept respondent has an 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5"/>
  <sheetViews>
    <sheetView workbookViewId="0">
      <selection activeCell="A1" sqref="A1"/>
    </sheetView>
  </sheetViews>
  <sheetFormatPr baseColWidth="8" defaultRowHeight="15"/>
  <cols>
    <col width="17" customWidth="1" min="1" max="1"/>
    <col width="11" customWidth="1" min="2" max="2"/>
    <col width="9" customWidth="1" min="3" max="3"/>
    <col width="16" customWidth="1" min="4" max="4"/>
    <col width="12" customWidth="1" min="5" max="5"/>
    <col width="16" customWidth="1" min="6" max="6"/>
    <col width="14" customWidth="1" min="7" max="7"/>
    <col width="14" customWidth="1" min="8" max="8"/>
    <col width="14" customWidth="1" min="9" max="9"/>
    <col width="3" customWidth="1" min="10" max="10"/>
    <col width="58" customWidth="1" min="11" max="11"/>
    <col width="12" customWidth="1" min="12" max="12"/>
    <col width="70" customWidth="1" min="13" max="13"/>
    <col width="56" customWidth="1" min="14" max="14"/>
  </cols>
  <sheetData>
    <row r="1">
      <c r="A1" s="6" t="inlineStr">
        <is>
          <t>H1. FA during the KeyScene minus FA during the baseline before Commercial_1A, Version A, kept respondents. SIMULATED data.</t>
        </is>
      </c>
    </row>
    <row r="2">
      <c r="A2" s="7" t="inlineStr">
        <is>
          <t>One row per kept Version A respondent; rows 5 to 24 are also kept under the 15 percent rule, rows 25 to 26 are dropped by it. Column D picks Baseline_1 or Baseline_2, whichever came right before Commercial_1A. Columns G to I repeat the computation on the Default sheet (notebook default channels Ch1 and Ch7).</t>
        </is>
      </c>
    </row>
    <row r="4" ht="48" customHeight="1">
      <c r="A4" s="2" t="inlineStr">
        <is>
          <t>Respondent Name</t>
        </is>
      </c>
      <c r="B4" s="2" t="inlineStr">
        <is>
          <t>Order</t>
        </is>
      </c>
      <c r="C4" s="2" t="inlineStr">
        <is>
          <t>Keep15</t>
        </is>
      </c>
      <c r="D4" s="2" t="inlineStr">
        <is>
          <t>Baseline before Commercial_1A (FA)</t>
        </is>
      </c>
      <c r="E4" s="2" t="inlineStr">
        <is>
          <t>KeyScene (FA)</t>
        </is>
      </c>
      <c r="F4" s="2" t="inlineStr">
        <is>
          <t>Change (KeyScene minus baseline)</t>
        </is>
      </c>
      <c r="G4" s="2" t="inlineStr">
        <is>
          <t>DEFAULT channels: baseline</t>
        </is>
      </c>
      <c r="H4" s="2" t="inlineStr">
        <is>
          <t>DEFAULT channels: KeyScene</t>
        </is>
      </c>
      <c r="I4" s="2" t="inlineStr">
        <is>
          <t>DEFAULT channels: change</t>
        </is>
      </c>
      <c r="K4" s="12" t="inlineStr">
        <is>
          <t>Statistic</t>
        </is>
      </c>
      <c r="L4" s="12" t="inlineStr">
        <is>
          <t>Value</t>
        </is>
      </c>
      <c r="M4" s="12" t="inlineStr">
        <is>
          <t>Formula shown</t>
        </is>
      </c>
      <c r="N4" s="12" t="inlineStr">
        <is>
          <t>Note</t>
        </is>
      </c>
    </row>
    <row r="5">
      <c r="A5" s="8" t="inlineStr">
        <is>
          <t>P02</t>
        </is>
      </c>
      <c r="B5" s="8">
        <f>INDEX(Data!$N$2:$N$313,MATCH($A5,Data!$B$2:$B$313,0))</f>
        <v/>
      </c>
      <c r="C5" s="8">
        <f>INDEX(Data!$Q$2:$Q$313,MATCH($A5,Data!$B$2:$B$313,0))</f>
        <v/>
      </c>
      <c r="D5" s="11">
        <f>IF($B5="C1first",SUMIFS(Data!$K$2:$K$313,Data!$B$2:$B$313,$A5,Data!$O$2:$O$313,"Baseline_1"),SUMIFS(Data!$K$2:$K$313,Data!$B$2:$B$313,$A5,Data!$O$2:$O$313,"Baseline_2"))</f>
        <v/>
      </c>
      <c r="E5" s="11">
        <f>SUMIFS(Data!$K$2:$K$313,Data!$B$2:$B$313,$A5,Data!$O$2:$O$313,"KeyScene")</f>
        <v/>
      </c>
      <c r="F5" s="11">
        <f>E5-D5</f>
        <v/>
      </c>
      <c r="G5" s="11">
        <f>IF($B5="C1first",SUMIFS(Default!$K$2:$K$313,Default!$B$2:$B$313,$A5,Default!$O$2:$O$313,"Baseline_1"),SUMIFS(Default!$K$2:$K$313,Default!$B$2:$B$313,$A5,Default!$O$2:$O$313,"Baseline_2"))</f>
        <v/>
      </c>
      <c r="H5" s="11">
        <f>SUMIFS(Default!$K$2:$K$313,Default!$B$2:$B$313,$A5,Default!$O$2:$O$313,"KeyScene")</f>
        <v/>
      </c>
      <c r="I5" s="11">
        <f>H5-G5</f>
        <v/>
      </c>
      <c r="K5" s="13" t="inlineStr">
        <is>
          <t>H1: one sample t on the change (= paired t), Version A, n = 22</t>
        </is>
      </c>
    </row>
    <row r="6">
      <c r="A6" s="8" t="inlineStr">
        <is>
          <t>P05</t>
        </is>
      </c>
      <c r="B6" s="8">
        <f>INDEX(Data!$N$2:$N$313,MATCH($A6,Data!$B$2:$B$313,0))</f>
        <v/>
      </c>
      <c r="C6" s="8">
        <f>INDEX(Data!$Q$2:$Q$313,MATCH($A6,Data!$B$2:$B$313,0))</f>
        <v/>
      </c>
      <c r="D6" s="11">
        <f>IF($B6="C1first",SUMIFS(Data!$K$2:$K$313,Data!$B$2:$B$313,$A6,Data!$O$2:$O$313,"Baseline_1"),SUMIFS(Data!$K$2:$K$313,Data!$B$2:$B$313,$A6,Data!$O$2:$O$313,"Baseline_2"))</f>
        <v/>
      </c>
      <c r="E6" s="11">
        <f>SUMIFS(Data!$K$2:$K$313,Data!$B$2:$B$313,$A6,Data!$O$2:$O$313,"KeyScene")</f>
        <v/>
      </c>
      <c r="F6" s="11">
        <f>E6-D6</f>
        <v/>
      </c>
      <c r="G6" s="11">
        <f>IF($B6="C1first",SUMIFS(Default!$K$2:$K$313,Default!$B$2:$B$313,$A6,Default!$O$2:$O$313,"Baseline_1"),SUMIFS(Default!$K$2:$K$313,Default!$B$2:$B$313,$A6,Default!$O$2:$O$313,"Baseline_2"))</f>
        <v/>
      </c>
      <c r="H6" s="11">
        <f>SUMIFS(Default!$K$2:$K$313,Default!$B$2:$B$313,$A6,Default!$O$2:$O$313,"KeyScene")</f>
        <v/>
      </c>
      <c r="I6" s="11">
        <f>H6-G6</f>
        <v/>
      </c>
      <c r="K6" t="inlineStr">
        <is>
          <t>Baseline mean (FA)</t>
        </is>
      </c>
      <c r="L6" s="4">
        <f>AVERAGE(D5:D26)</f>
        <v/>
      </c>
      <c r="M6" s="14" t="inlineStr">
        <is>
          <t>=AVERAGE(D5:D26)</t>
        </is>
      </c>
      <c r="N6" s="7" t="inlineStr">
        <is>
          <t>AVERAGE of the reference column</t>
        </is>
      </c>
    </row>
    <row r="7">
      <c r="A7" s="8" t="inlineStr">
        <is>
          <t>P08</t>
        </is>
      </c>
      <c r="B7" s="8">
        <f>INDEX(Data!$N$2:$N$313,MATCH($A7,Data!$B$2:$B$313,0))</f>
        <v/>
      </c>
      <c r="C7" s="8">
        <f>INDEX(Data!$Q$2:$Q$313,MATCH($A7,Data!$B$2:$B$313,0))</f>
        <v/>
      </c>
      <c r="D7" s="11">
        <f>IF($B7="C1first",SUMIFS(Data!$K$2:$K$313,Data!$B$2:$B$313,$A7,Data!$O$2:$O$313,"Baseline_1"),SUMIFS(Data!$K$2:$K$313,Data!$B$2:$B$313,$A7,Data!$O$2:$O$313,"Baseline_2"))</f>
        <v/>
      </c>
      <c r="E7" s="11">
        <f>SUMIFS(Data!$K$2:$K$313,Data!$B$2:$B$313,$A7,Data!$O$2:$O$313,"KeyScene")</f>
        <v/>
      </c>
      <c r="F7" s="11">
        <f>E7-D7</f>
        <v/>
      </c>
      <c r="G7" s="11">
        <f>IF($B7="C1first",SUMIFS(Default!$K$2:$K$313,Default!$B$2:$B$313,$A7,Default!$O$2:$O$313,"Baseline_1"),SUMIFS(Default!$K$2:$K$313,Default!$B$2:$B$313,$A7,Default!$O$2:$O$313,"Baseline_2"))</f>
        <v/>
      </c>
      <c r="H7" s="11">
        <f>SUMIFS(Default!$K$2:$K$313,Default!$B$2:$B$313,$A7,Default!$O$2:$O$313,"KeyScene")</f>
        <v/>
      </c>
      <c r="I7" s="11">
        <f>H7-G7</f>
        <v/>
      </c>
      <c r="K7" t="inlineStr">
        <is>
          <t>Baseline SD</t>
        </is>
      </c>
      <c r="L7" s="4">
        <f>_xlfn.STDEV.S(D5:D26)</f>
        <v/>
      </c>
      <c r="M7" s="14" t="inlineStr">
        <is>
          <t>=STDEV.S(D5:D26)</t>
        </is>
      </c>
      <c r="N7" s="7" t="inlineStr">
        <is>
          <t>STDEV.S = sample standard deviation</t>
        </is>
      </c>
    </row>
    <row r="8">
      <c r="A8" s="8" t="inlineStr">
        <is>
          <t>P09</t>
        </is>
      </c>
      <c r="B8" s="8">
        <f>INDEX(Data!$N$2:$N$313,MATCH($A8,Data!$B$2:$B$313,0))</f>
        <v/>
      </c>
      <c r="C8" s="8">
        <f>INDEX(Data!$Q$2:$Q$313,MATCH($A8,Data!$B$2:$B$313,0))</f>
        <v/>
      </c>
      <c r="D8" s="11">
        <f>IF($B8="C1first",SUMIFS(Data!$K$2:$K$313,Data!$B$2:$B$313,$A8,Data!$O$2:$O$313,"Baseline_1"),SUMIFS(Data!$K$2:$K$313,Data!$B$2:$B$313,$A8,Data!$O$2:$O$313,"Baseline_2"))</f>
        <v/>
      </c>
      <c r="E8" s="11">
        <f>SUMIFS(Data!$K$2:$K$313,Data!$B$2:$B$313,$A8,Data!$O$2:$O$313,"KeyScene")</f>
        <v/>
      </c>
      <c r="F8" s="11">
        <f>E8-D8</f>
        <v/>
      </c>
      <c r="G8" s="11">
        <f>IF($B8="C1first",SUMIFS(Default!$K$2:$K$313,Default!$B$2:$B$313,$A8,Default!$O$2:$O$313,"Baseline_1"),SUMIFS(Default!$K$2:$K$313,Default!$B$2:$B$313,$A8,Default!$O$2:$O$313,"Baseline_2"))</f>
        <v/>
      </c>
      <c r="H8" s="11">
        <f>SUMIFS(Default!$K$2:$K$313,Default!$B$2:$B$313,$A8,Default!$O$2:$O$313,"KeyScene")</f>
        <v/>
      </c>
      <c r="I8" s="11">
        <f>H8-G8</f>
        <v/>
      </c>
      <c r="K8" t="inlineStr">
        <is>
          <t>KeyScene mean (FA)</t>
        </is>
      </c>
      <c r="L8" s="4">
        <f>AVERAGE(E5:E26)</f>
        <v/>
      </c>
      <c r="M8" s="14" t="inlineStr">
        <is>
          <t>=AVERAGE(E5:E26)</t>
        </is>
      </c>
    </row>
    <row r="9">
      <c r="A9" s="8" t="inlineStr">
        <is>
          <t>P11</t>
        </is>
      </c>
      <c r="B9" s="8">
        <f>INDEX(Data!$N$2:$N$313,MATCH($A9,Data!$B$2:$B$313,0))</f>
        <v/>
      </c>
      <c r="C9" s="8">
        <f>INDEX(Data!$Q$2:$Q$313,MATCH($A9,Data!$B$2:$B$313,0))</f>
        <v/>
      </c>
      <c r="D9" s="11">
        <f>IF($B9="C1first",SUMIFS(Data!$K$2:$K$313,Data!$B$2:$B$313,$A9,Data!$O$2:$O$313,"Baseline_1"),SUMIFS(Data!$K$2:$K$313,Data!$B$2:$B$313,$A9,Data!$O$2:$O$313,"Baseline_2"))</f>
        <v/>
      </c>
      <c r="E9" s="11">
        <f>SUMIFS(Data!$K$2:$K$313,Data!$B$2:$B$313,$A9,Data!$O$2:$O$313,"KeyScene")</f>
        <v/>
      </c>
      <c r="F9" s="11">
        <f>E9-D9</f>
        <v/>
      </c>
      <c r="G9" s="11">
        <f>IF($B9="C1first",SUMIFS(Default!$K$2:$K$313,Default!$B$2:$B$313,$A9,Default!$O$2:$O$313,"Baseline_1"),SUMIFS(Default!$K$2:$K$313,Default!$B$2:$B$313,$A9,Default!$O$2:$O$313,"Baseline_2"))</f>
        <v/>
      </c>
      <c r="H9" s="11">
        <f>SUMIFS(Default!$K$2:$K$313,Default!$B$2:$B$313,$A9,Default!$O$2:$O$313,"KeyScene")</f>
        <v/>
      </c>
      <c r="I9" s="11">
        <f>H9-G9</f>
        <v/>
      </c>
      <c r="K9" t="inlineStr">
        <is>
          <t>KeyScene SD</t>
        </is>
      </c>
      <c r="L9" s="4">
        <f>_xlfn.STDEV.S(E5:E26)</f>
        <v/>
      </c>
      <c r="M9" s="14" t="inlineStr">
        <is>
          <t>=STDEV.S(E5:E26)</t>
        </is>
      </c>
    </row>
    <row r="10">
      <c r="A10" s="8" t="inlineStr">
        <is>
          <t>P13</t>
        </is>
      </c>
      <c r="B10" s="8">
        <f>INDEX(Data!$N$2:$N$313,MATCH($A10,Data!$B$2:$B$313,0))</f>
        <v/>
      </c>
      <c r="C10" s="8">
        <f>INDEX(Data!$Q$2:$Q$313,MATCH($A10,Data!$B$2:$B$313,0))</f>
        <v/>
      </c>
      <c r="D10" s="11">
        <f>IF($B10="C1first",SUMIFS(Data!$K$2:$K$313,Data!$B$2:$B$313,$A10,Data!$O$2:$O$313,"Baseline_1"),SUMIFS(Data!$K$2:$K$313,Data!$B$2:$B$313,$A10,Data!$O$2:$O$313,"Baseline_2"))</f>
        <v/>
      </c>
      <c r="E10" s="11">
        <f>SUMIFS(Data!$K$2:$K$313,Data!$B$2:$B$313,$A10,Data!$O$2:$O$313,"KeyScene")</f>
        <v/>
      </c>
      <c r="F10" s="11">
        <f>E10-D10</f>
        <v/>
      </c>
      <c r="G10" s="11">
        <f>IF($B10="C1first",SUMIFS(Default!$K$2:$K$313,Default!$B$2:$B$313,$A10,Default!$O$2:$O$313,"Baseline_1"),SUMIFS(Default!$K$2:$K$313,Default!$B$2:$B$313,$A10,Default!$O$2:$O$313,"Baseline_2"))</f>
        <v/>
      </c>
      <c r="H10" s="11">
        <f>SUMIFS(Default!$K$2:$K$313,Default!$B$2:$B$313,$A10,Default!$O$2:$O$313,"KeyScene")</f>
        <v/>
      </c>
      <c r="I10" s="11">
        <f>H10-G10</f>
        <v/>
      </c>
      <c r="K10" t="inlineStr">
        <is>
          <t>n (respondents)</t>
        </is>
      </c>
      <c r="L10" s="15">
        <f>COUNT(F5:F26)</f>
        <v/>
      </c>
      <c r="M10" s="14" t="inlineStr">
        <is>
          <t>=COUNT(F5:F26)</t>
        </is>
      </c>
      <c r="N10" s="7" t="inlineStr">
        <is>
          <t>COUNT of the change column; must equal the check below</t>
        </is>
      </c>
    </row>
    <row r="11">
      <c r="A11" s="8" t="inlineStr">
        <is>
          <t>P14</t>
        </is>
      </c>
      <c r="B11" s="8">
        <f>INDEX(Data!$N$2:$N$313,MATCH($A11,Data!$B$2:$B$313,0))</f>
        <v/>
      </c>
      <c r="C11" s="8">
        <f>INDEX(Data!$Q$2:$Q$313,MATCH($A11,Data!$B$2:$B$313,0))</f>
        <v/>
      </c>
      <c r="D11" s="11">
        <f>IF($B11="C1first",SUMIFS(Data!$K$2:$K$313,Data!$B$2:$B$313,$A11,Data!$O$2:$O$313,"Baseline_1"),SUMIFS(Data!$K$2:$K$313,Data!$B$2:$B$313,$A11,Data!$O$2:$O$313,"Baseline_2"))</f>
        <v/>
      </c>
      <c r="E11" s="11">
        <f>SUMIFS(Data!$K$2:$K$313,Data!$B$2:$B$313,$A11,Data!$O$2:$O$313,"KeyScene")</f>
        <v/>
      </c>
      <c r="F11" s="11">
        <f>E11-D11</f>
        <v/>
      </c>
      <c r="G11" s="11">
        <f>IF($B11="C1first",SUMIFS(Default!$K$2:$K$313,Default!$B$2:$B$313,$A11,Default!$O$2:$O$313,"Baseline_1"),SUMIFS(Default!$K$2:$K$313,Default!$B$2:$B$313,$A11,Default!$O$2:$O$313,"Baseline_2"))</f>
        <v/>
      </c>
      <c r="H11" s="11">
        <f>SUMIFS(Default!$K$2:$K$313,Default!$B$2:$B$313,$A11,Default!$O$2:$O$313,"KeyScene")</f>
        <v/>
      </c>
      <c r="I11" s="11">
        <f>H11-G11</f>
        <v/>
      </c>
      <c r="K11" t="inlineStr">
        <is>
          <t>Mean change, KeyScene minus Baseline</t>
        </is>
      </c>
      <c r="L11" s="4">
        <f>AVERAGE(F5:F26)</f>
        <v/>
      </c>
      <c r="M11" s="14" t="inlineStr">
        <is>
          <t>=AVERAGE(F5:F26)</t>
        </is>
      </c>
    </row>
    <row r="12">
      <c r="A12" s="8" t="inlineStr">
        <is>
          <t>P20</t>
        </is>
      </c>
      <c r="B12" s="8">
        <f>INDEX(Data!$N$2:$N$313,MATCH($A12,Data!$B$2:$B$313,0))</f>
        <v/>
      </c>
      <c r="C12" s="8">
        <f>INDEX(Data!$Q$2:$Q$313,MATCH($A12,Data!$B$2:$B$313,0))</f>
        <v/>
      </c>
      <c r="D12" s="11">
        <f>IF($B12="C1first",SUMIFS(Data!$K$2:$K$313,Data!$B$2:$B$313,$A12,Data!$O$2:$O$313,"Baseline_1"),SUMIFS(Data!$K$2:$K$313,Data!$B$2:$B$313,$A12,Data!$O$2:$O$313,"Baseline_2"))</f>
        <v/>
      </c>
      <c r="E12" s="11">
        <f>SUMIFS(Data!$K$2:$K$313,Data!$B$2:$B$313,$A12,Data!$O$2:$O$313,"KeyScene")</f>
        <v/>
      </c>
      <c r="F12" s="11">
        <f>E12-D12</f>
        <v/>
      </c>
      <c r="G12" s="11">
        <f>IF($B12="C1first",SUMIFS(Default!$K$2:$K$313,Default!$B$2:$B$313,$A12,Default!$O$2:$O$313,"Baseline_1"),SUMIFS(Default!$K$2:$K$313,Default!$B$2:$B$313,$A12,Default!$O$2:$O$313,"Baseline_2"))</f>
        <v/>
      </c>
      <c r="H12" s="11">
        <f>SUMIFS(Default!$K$2:$K$313,Default!$B$2:$B$313,$A12,Default!$O$2:$O$313,"KeyScene")</f>
        <v/>
      </c>
      <c r="I12" s="11">
        <f>H12-G12</f>
        <v/>
      </c>
      <c r="K12" t="inlineStr">
        <is>
          <t>SD of the changes</t>
        </is>
      </c>
      <c r="L12" s="4">
        <f>_xlfn.STDEV.S(F5:F26)</f>
        <v/>
      </c>
      <c r="M12" s="14" t="inlineStr">
        <is>
          <t>=STDEV.S(F5:F26)</t>
        </is>
      </c>
      <c r="N12" s="7" t="inlineStr">
        <is>
          <t>the SD that matters in a paired design</t>
        </is>
      </c>
    </row>
    <row r="13">
      <c r="A13" s="8" t="inlineStr">
        <is>
          <t>P23</t>
        </is>
      </c>
      <c r="B13" s="8">
        <f>INDEX(Data!$N$2:$N$313,MATCH($A13,Data!$B$2:$B$313,0))</f>
        <v/>
      </c>
      <c r="C13" s="8">
        <f>INDEX(Data!$Q$2:$Q$313,MATCH($A13,Data!$B$2:$B$313,0))</f>
        <v/>
      </c>
      <c r="D13" s="11">
        <f>IF($B13="C1first",SUMIFS(Data!$K$2:$K$313,Data!$B$2:$B$313,$A13,Data!$O$2:$O$313,"Baseline_1"),SUMIFS(Data!$K$2:$K$313,Data!$B$2:$B$313,$A13,Data!$O$2:$O$313,"Baseline_2"))</f>
        <v/>
      </c>
      <c r="E13" s="11">
        <f>SUMIFS(Data!$K$2:$K$313,Data!$B$2:$B$313,$A13,Data!$O$2:$O$313,"KeyScene")</f>
        <v/>
      </c>
      <c r="F13" s="11">
        <f>E13-D13</f>
        <v/>
      </c>
      <c r="G13" s="11">
        <f>IF($B13="C1first",SUMIFS(Default!$K$2:$K$313,Default!$B$2:$B$313,$A13,Default!$O$2:$O$313,"Baseline_1"),SUMIFS(Default!$K$2:$K$313,Default!$B$2:$B$313,$A13,Default!$O$2:$O$313,"Baseline_2"))</f>
        <v/>
      </c>
      <c r="H13" s="11">
        <f>SUMIFS(Default!$K$2:$K$313,Default!$B$2:$B$313,$A13,Default!$O$2:$O$313,"KeyScene")</f>
        <v/>
      </c>
      <c r="I13" s="11">
        <f>H13-G13</f>
        <v/>
      </c>
      <c r="K13" t="inlineStr">
        <is>
          <t>SE of the mean change</t>
        </is>
      </c>
      <c r="L13" s="4">
        <f>L12/SQRT(L10)</f>
        <v/>
      </c>
      <c r="M13" s="14" t="inlineStr">
        <is>
          <t>=L12/SQRT(L10)</t>
        </is>
      </c>
      <c r="N13" s="7" t="inlineStr">
        <is>
          <t>SD of the changes / sqrt(n)</t>
        </is>
      </c>
    </row>
    <row r="14">
      <c r="A14" s="8" t="inlineStr">
        <is>
          <t>P24</t>
        </is>
      </c>
      <c r="B14" s="8">
        <f>INDEX(Data!$N$2:$N$313,MATCH($A14,Data!$B$2:$B$313,0))</f>
        <v/>
      </c>
      <c r="C14" s="8">
        <f>INDEX(Data!$Q$2:$Q$313,MATCH($A14,Data!$B$2:$B$313,0))</f>
        <v/>
      </c>
      <c r="D14" s="11">
        <f>IF($B14="C1first",SUMIFS(Data!$K$2:$K$313,Data!$B$2:$B$313,$A14,Data!$O$2:$O$313,"Baseline_1"),SUMIFS(Data!$K$2:$K$313,Data!$B$2:$B$313,$A14,Data!$O$2:$O$313,"Baseline_2"))</f>
        <v/>
      </c>
      <c r="E14" s="11">
        <f>SUMIFS(Data!$K$2:$K$313,Data!$B$2:$B$313,$A14,Data!$O$2:$O$313,"KeyScene")</f>
        <v/>
      </c>
      <c r="F14" s="11">
        <f>E14-D14</f>
        <v/>
      </c>
      <c r="G14" s="11">
        <f>IF($B14="C1first",SUMIFS(Default!$K$2:$K$313,Default!$B$2:$B$313,$A14,Default!$O$2:$O$313,"Baseline_1"),SUMIFS(Default!$K$2:$K$313,Default!$B$2:$B$313,$A14,Default!$O$2:$O$313,"Baseline_2"))</f>
        <v/>
      </c>
      <c r="H14" s="11">
        <f>SUMIFS(Default!$K$2:$K$313,Default!$B$2:$B$313,$A14,Default!$O$2:$O$313,"KeyScene")</f>
        <v/>
      </c>
      <c r="I14" s="11">
        <f>H14-G14</f>
        <v/>
      </c>
      <c r="K14" t="inlineStr">
        <is>
          <t>t</t>
        </is>
      </c>
      <c r="L14" s="4">
        <f>L11/L13</f>
        <v/>
      </c>
      <c r="M14" s="14" t="inlineStr">
        <is>
          <t>=L11/L13</t>
        </is>
      </c>
      <c r="N14" s="7" t="inlineStr">
        <is>
          <t>t = mean change / SE</t>
        </is>
      </c>
    </row>
    <row r="15">
      <c r="A15" s="8" t="inlineStr">
        <is>
          <t>P28</t>
        </is>
      </c>
      <c r="B15" s="8">
        <f>INDEX(Data!$N$2:$N$313,MATCH($A15,Data!$B$2:$B$313,0))</f>
        <v/>
      </c>
      <c r="C15" s="8">
        <f>INDEX(Data!$Q$2:$Q$313,MATCH($A15,Data!$B$2:$B$313,0))</f>
        <v/>
      </c>
      <c r="D15" s="11">
        <f>IF($B15="C1first",SUMIFS(Data!$K$2:$K$313,Data!$B$2:$B$313,$A15,Data!$O$2:$O$313,"Baseline_1"),SUMIFS(Data!$K$2:$K$313,Data!$B$2:$B$313,$A15,Data!$O$2:$O$313,"Baseline_2"))</f>
        <v/>
      </c>
      <c r="E15" s="11">
        <f>SUMIFS(Data!$K$2:$K$313,Data!$B$2:$B$313,$A15,Data!$O$2:$O$313,"KeyScene")</f>
        <v/>
      </c>
      <c r="F15" s="11">
        <f>E15-D15</f>
        <v/>
      </c>
      <c r="G15" s="11">
        <f>IF($B15="C1first",SUMIFS(Default!$K$2:$K$313,Default!$B$2:$B$313,$A15,Default!$O$2:$O$313,"Baseline_1"),SUMIFS(Default!$K$2:$K$313,Default!$B$2:$B$313,$A15,Default!$O$2:$O$313,"Baseline_2"))</f>
        <v/>
      </c>
      <c r="H15" s="11">
        <f>SUMIFS(Default!$K$2:$K$313,Default!$B$2:$B$313,$A15,Default!$O$2:$O$313,"KeyScene")</f>
        <v/>
      </c>
      <c r="I15" s="11">
        <f>H15-G15</f>
        <v/>
      </c>
      <c r="K15" t="inlineStr">
        <is>
          <t>df</t>
        </is>
      </c>
      <c r="L15" s="15">
        <f>L10-1</f>
        <v/>
      </c>
      <c r="M15" s="14" t="inlineStr">
        <is>
          <t>=L10-1</t>
        </is>
      </c>
      <c r="N15" s="7" t="inlineStr">
        <is>
          <t>n minus 1</t>
        </is>
      </c>
    </row>
    <row r="16">
      <c r="A16" s="8" t="inlineStr">
        <is>
          <t>P30</t>
        </is>
      </c>
      <c r="B16" s="8">
        <f>INDEX(Data!$N$2:$N$313,MATCH($A16,Data!$B$2:$B$313,0))</f>
        <v/>
      </c>
      <c r="C16" s="8">
        <f>INDEX(Data!$Q$2:$Q$313,MATCH($A16,Data!$B$2:$B$313,0))</f>
        <v/>
      </c>
      <c r="D16" s="11">
        <f>IF($B16="C1first",SUMIFS(Data!$K$2:$K$313,Data!$B$2:$B$313,$A16,Data!$O$2:$O$313,"Baseline_1"),SUMIFS(Data!$K$2:$K$313,Data!$B$2:$B$313,$A16,Data!$O$2:$O$313,"Baseline_2"))</f>
        <v/>
      </c>
      <c r="E16" s="11">
        <f>SUMIFS(Data!$K$2:$K$313,Data!$B$2:$B$313,$A16,Data!$O$2:$O$313,"KeyScene")</f>
        <v/>
      </c>
      <c r="F16" s="11">
        <f>E16-D16</f>
        <v/>
      </c>
      <c r="G16" s="11">
        <f>IF($B16="C1first",SUMIFS(Default!$K$2:$K$313,Default!$B$2:$B$313,$A16,Default!$O$2:$O$313,"Baseline_1"),SUMIFS(Default!$K$2:$K$313,Default!$B$2:$B$313,$A16,Default!$O$2:$O$313,"Baseline_2"))</f>
        <v/>
      </c>
      <c r="H16" s="11">
        <f>SUMIFS(Default!$K$2:$K$313,Default!$B$2:$B$313,$A16,Default!$O$2:$O$313,"KeyScene")</f>
        <v/>
      </c>
      <c r="I16" s="11">
        <f>H16-G16</f>
        <v/>
      </c>
      <c r="K16" t="inlineStr">
        <is>
          <t>p, two tailed (T.TEST type 1)</t>
        </is>
      </c>
      <c r="L16" s="16">
        <f>_xlfn.T.TEST(D5:D26,E5:E26,2,1)</f>
        <v/>
      </c>
      <c r="M16" s="14" t="inlineStr">
        <is>
          <t>=T.TEST(D5:D26,E5:E26,2,1)</t>
        </is>
      </c>
      <c r="N16" s="7" t="inlineStr">
        <is>
          <t>tails = 2, type = 1 means paired</t>
        </is>
      </c>
    </row>
    <row r="17">
      <c r="A17" s="8" t="inlineStr">
        <is>
          <t>P31</t>
        </is>
      </c>
      <c r="B17" s="8">
        <f>INDEX(Data!$N$2:$N$313,MATCH($A17,Data!$B$2:$B$313,0))</f>
        <v/>
      </c>
      <c r="C17" s="8">
        <f>INDEX(Data!$Q$2:$Q$313,MATCH($A17,Data!$B$2:$B$313,0))</f>
        <v/>
      </c>
      <c r="D17" s="11">
        <f>IF($B17="C1first",SUMIFS(Data!$K$2:$K$313,Data!$B$2:$B$313,$A17,Data!$O$2:$O$313,"Baseline_1"),SUMIFS(Data!$K$2:$K$313,Data!$B$2:$B$313,$A17,Data!$O$2:$O$313,"Baseline_2"))</f>
        <v/>
      </c>
      <c r="E17" s="11">
        <f>SUMIFS(Data!$K$2:$K$313,Data!$B$2:$B$313,$A17,Data!$O$2:$O$313,"KeyScene")</f>
        <v/>
      </c>
      <c r="F17" s="11">
        <f>E17-D17</f>
        <v/>
      </c>
      <c r="G17" s="11">
        <f>IF($B17="C1first",SUMIFS(Default!$K$2:$K$313,Default!$B$2:$B$313,$A17,Default!$O$2:$O$313,"Baseline_1"),SUMIFS(Default!$K$2:$K$313,Default!$B$2:$B$313,$A17,Default!$O$2:$O$313,"Baseline_2"))</f>
        <v/>
      </c>
      <c r="H17" s="11">
        <f>SUMIFS(Default!$K$2:$K$313,Default!$B$2:$B$313,$A17,Default!$O$2:$O$313,"KeyScene")</f>
        <v/>
      </c>
      <c r="I17" s="11">
        <f>H17-G17</f>
        <v/>
      </c>
      <c r="K17" t="inlineStr">
        <is>
          <t>p from the hand computed t</t>
        </is>
      </c>
      <c r="L17" s="16">
        <f>_xlfn.T.DIST.2T(ABS(L14),L15)</f>
        <v/>
      </c>
      <c r="M17" s="14" t="inlineStr">
        <is>
          <t>=T.DIST.2T(ABS(L14),L15)</t>
        </is>
      </c>
      <c r="N17" s="7" t="inlineStr">
        <is>
          <t>must match the T.TEST cell</t>
        </is>
      </c>
    </row>
    <row r="18">
      <c r="A18" s="8" t="inlineStr">
        <is>
          <t>P34</t>
        </is>
      </c>
      <c r="B18" s="8">
        <f>INDEX(Data!$N$2:$N$313,MATCH($A18,Data!$B$2:$B$313,0))</f>
        <v/>
      </c>
      <c r="C18" s="8">
        <f>INDEX(Data!$Q$2:$Q$313,MATCH($A18,Data!$B$2:$B$313,0))</f>
        <v/>
      </c>
      <c r="D18" s="11">
        <f>IF($B18="C1first",SUMIFS(Data!$K$2:$K$313,Data!$B$2:$B$313,$A18,Data!$O$2:$O$313,"Baseline_1"),SUMIFS(Data!$K$2:$K$313,Data!$B$2:$B$313,$A18,Data!$O$2:$O$313,"Baseline_2"))</f>
        <v/>
      </c>
      <c r="E18" s="11">
        <f>SUMIFS(Data!$K$2:$K$313,Data!$B$2:$B$313,$A18,Data!$O$2:$O$313,"KeyScene")</f>
        <v/>
      </c>
      <c r="F18" s="11">
        <f>E18-D18</f>
        <v/>
      </c>
      <c r="G18" s="11">
        <f>IF($B18="C1first",SUMIFS(Default!$K$2:$K$313,Default!$B$2:$B$313,$A18,Default!$O$2:$O$313,"Baseline_1"),SUMIFS(Default!$K$2:$K$313,Default!$B$2:$B$313,$A18,Default!$O$2:$O$313,"Baseline_2"))</f>
        <v/>
      </c>
      <c r="H18" s="11">
        <f>SUMIFS(Default!$K$2:$K$313,Default!$B$2:$B$313,$A18,Default!$O$2:$O$313,"KeyScene")</f>
        <v/>
      </c>
      <c r="I18" s="11">
        <f>H18-G18</f>
        <v/>
      </c>
      <c r="K18" t="inlineStr">
        <is>
          <t>p, one tailed (teaching only)</t>
        </is>
      </c>
      <c r="L18" s="16">
        <f>_xlfn.T.DIST.RT(L14,L15)</f>
        <v/>
      </c>
      <c r="M18" s="14" t="inlineStr">
        <is>
          <t>=T.DIST.RT(L14,L15)</t>
        </is>
      </c>
      <c r="N18" s="7" t="inlineStr">
        <is>
          <t>right tail: the predicted direction is positive</t>
        </is>
      </c>
    </row>
    <row r="19">
      <c r="A19" s="8" t="inlineStr">
        <is>
          <t>P35</t>
        </is>
      </c>
      <c r="B19" s="8">
        <f>INDEX(Data!$N$2:$N$313,MATCH($A19,Data!$B$2:$B$313,0))</f>
        <v/>
      </c>
      <c r="C19" s="8">
        <f>INDEX(Data!$Q$2:$Q$313,MATCH($A19,Data!$B$2:$B$313,0))</f>
        <v/>
      </c>
      <c r="D19" s="11">
        <f>IF($B19="C1first",SUMIFS(Data!$K$2:$K$313,Data!$B$2:$B$313,$A19,Data!$O$2:$O$313,"Baseline_1"),SUMIFS(Data!$K$2:$K$313,Data!$B$2:$B$313,$A19,Data!$O$2:$O$313,"Baseline_2"))</f>
        <v/>
      </c>
      <c r="E19" s="11">
        <f>SUMIFS(Data!$K$2:$K$313,Data!$B$2:$B$313,$A19,Data!$O$2:$O$313,"KeyScene")</f>
        <v/>
      </c>
      <c r="F19" s="11">
        <f>E19-D19</f>
        <v/>
      </c>
      <c r="G19" s="11">
        <f>IF($B19="C1first",SUMIFS(Default!$K$2:$K$313,Default!$B$2:$B$313,$A19,Default!$O$2:$O$313,"Baseline_1"),SUMIFS(Default!$K$2:$K$313,Default!$B$2:$B$313,$A19,Default!$O$2:$O$313,"Baseline_2"))</f>
        <v/>
      </c>
      <c r="H19" s="11">
        <f>SUMIFS(Default!$K$2:$K$313,Default!$B$2:$B$313,$A19,Default!$O$2:$O$313,"KeyScene")</f>
        <v/>
      </c>
      <c r="I19" s="11">
        <f>H19-G19</f>
        <v/>
      </c>
      <c r="K19" t="inlineStr">
        <is>
          <t>Critical t (95%)</t>
        </is>
      </c>
      <c r="L19" s="4">
        <f>_xlfn.T.INV.2T(0.05,L15)</f>
        <v/>
      </c>
      <c r="M19" s="14" t="inlineStr">
        <is>
          <t>=T.INV.2T(0.05,L15)</t>
        </is>
      </c>
      <c r="N19" s="7" t="inlineStr">
        <is>
          <t>two tailed, alpha = .05</t>
        </is>
      </c>
    </row>
    <row r="20">
      <c r="A20" s="8" t="inlineStr">
        <is>
          <t>P37</t>
        </is>
      </c>
      <c r="B20" s="8">
        <f>INDEX(Data!$N$2:$N$313,MATCH($A20,Data!$B$2:$B$313,0))</f>
        <v/>
      </c>
      <c r="C20" s="8">
        <f>INDEX(Data!$Q$2:$Q$313,MATCH($A20,Data!$B$2:$B$313,0))</f>
        <v/>
      </c>
      <c r="D20" s="11">
        <f>IF($B20="C1first",SUMIFS(Data!$K$2:$K$313,Data!$B$2:$B$313,$A20,Data!$O$2:$O$313,"Baseline_1"),SUMIFS(Data!$K$2:$K$313,Data!$B$2:$B$313,$A20,Data!$O$2:$O$313,"Baseline_2"))</f>
        <v/>
      </c>
      <c r="E20" s="11">
        <f>SUMIFS(Data!$K$2:$K$313,Data!$B$2:$B$313,$A20,Data!$O$2:$O$313,"KeyScene")</f>
        <v/>
      </c>
      <c r="F20" s="11">
        <f>E20-D20</f>
        <v/>
      </c>
      <c r="G20" s="11">
        <f>IF($B20="C1first",SUMIFS(Default!$K$2:$K$313,Default!$B$2:$B$313,$A20,Default!$O$2:$O$313,"Baseline_1"),SUMIFS(Default!$K$2:$K$313,Default!$B$2:$B$313,$A20,Default!$O$2:$O$313,"Baseline_2"))</f>
        <v/>
      </c>
      <c r="H20" s="11">
        <f>SUMIFS(Default!$K$2:$K$313,Default!$B$2:$B$313,$A20,Default!$O$2:$O$313,"KeyScene")</f>
        <v/>
      </c>
      <c r="I20" s="11">
        <f>H20-G20</f>
        <v/>
      </c>
      <c r="K20" t="inlineStr">
        <is>
          <t>Mean change 95% CI lower</t>
        </is>
      </c>
      <c r="L20" s="4">
        <f>L11-L19*L13</f>
        <v/>
      </c>
      <c r="M20" s="14" t="inlineStr">
        <is>
          <t>=L11-L19*L13</t>
        </is>
      </c>
    </row>
    <row r="21">
      <c r="A21" s="8" t="inlineStr">
        <is>
          <t>P38</t>
        </is>
      </c>
      <c r="B21" s="8">
        <f>INDEX(Data!$N$2:$N$313,MATCH($A21,Data!$B$2:$B$313,0))</f>
        <v/>
      </c>
      <c r="C21" s="8">
        <f>INDEX(Data!$Q$2:$Q$313,MATCH($A21,Data!$B$2:$B$313,0))</f>
        <v/>
      </c>
      <c r="D21" s="11">
        <f>IF($B21="C1first",SUMIFS(Data!$K$2:$K$313,Data!$B$2:$B$313,$A21,Data!$O$2:$O$313,"Baseline_1"),SUMIFS(Data!$K$2:$K$313,Data!$B$2:$B$313,$A21,Data!$O$2:$O$313,"Baseline_2"))</f>
        <v/>
      </c>
      <c r="E21" s="11">
        <f>SUMIFS(Data!$K$2:$K$313,Data!$B$2:$B$313,$A21,Data!$O$2:$O$313,"KeyScene")</f>
        <v/>
      </c>
      <c r="F21" s="11">
        <f>E21-D21</f>
        <v/>
      </c>
      <c r="G21" s="11">
        <f>IF($B21="C1first",SUMIFS(Default!$K$2:$K$313,Default!$B$2:$B$313,$A21,Default!$O$2:$O$313,"Baseline_1"),SUMIFS(Default!$K$2:$K$313,Default!$B$2:$B$313,$A21,Default!$O$2:$O$313,"Baseline_2"))</f>
        <v/>
      </c>
      <c r="H21" s="11">
        <f>SUMIFS(Default!$K$2:$K$313,Default!$B$2:$B$313,$A21,Default!$O$2:$O$313,"KeyScene")</f>
        <v/>
      </c>
      <c r="I21" s="11">
        <f>H21-G21</f>
        <v/>
      </c>
      <c r="K21" t="inlineStr">
        <is>
          <t>Mean change 95% CI upper</t>
        </is>
      </c>
      <c r="L21" s="4">
        <f>L11+L19*L13</f>
        <v/>
      </c>
      <c r="M21" s="14" t="inlineStr">
        <is>
          <t>=L11+L19*L13</t>
        </is>
      </c>
    </row>
    <row r="22">
      <c r="A22" s="8" t="inlineStr">
        <is>
          <t>P44</t>
        </is>
      </c>
      <c r="B22" s="8">
        <f>INDEX(Data!$N$2:$N$313,MATCH($A22,Data!$B$2:$B$313,0))</f>
        <v/>
      </c>
      <c r="C22" s="8">
        <f>INDEX(Data!$Q$2:$Q$313,MATCH($A22,Data!$B$2:$B$313,0))</f>
        <v/>
      </c>
      <c r="D22" s="11">
        <f>IF($B22="C1first",SUMIFS(Data!$K$2:$K$313,Data!$B$2:$B$313,$A22,Data!$O$2:$O$313,"Baseline_1"),SUMIFS(Data!$K$2:$K$313,Data!$B$2:$B$313,$A22,Data!$O$2:$O$313,"Baseline_2"))</f>
        <v/>
      </c>
      <c r="E22" s="11">
        <f>SUMIFS(Data!$K$2:$K$313,Data!$B$2:$B$313,$A22,Data!$O$2:$O$313,"KeyScene")</f>
        <v/>
      </c>
      <c r="F22" s="11">
        <f>E22-D22</f>
        <v/>
      </c>
      <c r="G22" s="11">
        <f>IF($B22="C1first",SUMIFS(Default!$K$2:$K$313,Default!$B$2:$B$313,$A22,Default!$O$2:$O$313,"Baseline_1"),SUMIFS(Default!$K$2:$K$313,Default!$B$2:$B$313,$A22,Default!$O$2:$O$313,"Baseline_2"))</f>
        <v/>
      </c>
      <c r="H22" s="11">
        <f>SUMIFS(Default!$K$2:$K$313,Default!$B$2:$B$313,$A22,Default!$O$2:$O$313,"KeyScene")</f>
        <v/>
      </c>
      <c r="I22" s="11">
        <f>H22-G22</f>
        <v/>
      </c>
      <c r="K22" t="inlineStr">
        <is>
          <t>Cohen's d_z</t>
        </is>
      </c>
      <c r="L22" s="4">
        <f>L11/L12</f>
        <v/>
      </c>
      <c r="M22" s="14" t="inlineStr">
        <is>
          <t>=L11/L12</t>
        </is>
      </c>
      <c r="N22" s="7" t="inlineStr">
        <is>
          <t>d_z = mean change / SD of the changes</t>
        </is>
      </c>
    </row>
    <row r="23">
      <c r="A23" s="8" t="inlineStr">
        <is>
          <t>P46</t>
        </is>
      </c>
      <c r="B23" s="8">
        <f>INDEX(Data!$N$2:$N$313,MATCH($A23,Data!$B$2:$B$313,0))</f>
        <v/>
      </c>
      <c r="C23" s="8">
        <f>INDEX(Data!$Q$2:$Q$313,MATCH($A23,Data!$B$2:$B$313,0))</f>
        <v/>
      </c>
      <c r="D23" s="11">
        <f>IF($B23="C1first",SUMIFS(Data!$K$2:$K$313,Data!$B$2:$B$313,$A23,Data!$O$2:$O$313,"Baseline_1"),SUMIFS(Data!$K$2:$K$313,Data!$B$2:$B$313,$A23,Data!$O$2:$O$313,"Baseline_2"))</f>
        <v/>
      </c>
      <c r="E23" s="11">
        <f>SUMIFS(Data!$K$2:$K$313,Data!$B$2:$B$313,$A23,Data!$O$2:$O$313,"KeyScene")</f>
        <v/>
      </c>
      <c r="F23" s="11">
        <f>E23-D23</f>
        <v/>
      </c>
      <c r="G23" s="11">
        <f>IF($B23="C1first",SUMIFS(Default!$K$2:$K$313,Default!$B$2:$B$313,$A23,Default!$O$2:$O$313,"Baseline_1"),SUMIFS(Default!$K$2:$K$313,Default!$B$2:$B$313,$A23,Default!$O$2:$O$313,"Baseline_2"))</f>
        <v/>
      </c>
      <c r="H23" s="11">
        <f>SUMIFS(Default!$K$2:$K$313,Default!$B$2:$B$313,$A23,Default!$O$2:$O$313,"KeyScene")</f>
        <v/>
      </c>
      <c r="I23" s="11">
        <f>H23-G23</f>
        <v/>
      </c>
      <c r="K23" t="inlineStr">
        <is>
          <t>SE of d_z (approximation)</t>
        </is>
      </c>
      <c r="L23" s="4">
        <f>SQRT(1/L10+L22^2/(2*L10))</f>
        <v/>
      </c>
      <c r="M23" s="14" t="inlineStr">
        <is>
          <t>=SQRT(1/L10+L22^2/(2*L10))</t>
        </is>
      </c>
      <c r="N23" s="7" t="inlineStr">
        <is>
          <t>sqrt(1/n + d_z^2 / (2 n))</t>
        </is>
      </c>
    </row>
    <row r="24">
      <c r="A24" s="8" t="inlineStr">
        <is>
          <t>P47</t>
        </is>
      </c>
      <c r="B24" s="8">
        <f>INDEX(Data!$N$2:$N$313,MATCH($A24,Data!$B$2:$B$313,0))</f>
        <v/>
      </c>
      <c r="C24" s="8">
        <f>INDEX(Data!$Q$2:$Q$313,MATCH($A24,Data!$B$2:$B$313,0))</f>
        <v/>
      </c>
      <c r="D24" s="11">
        <f>IF($B24="C1first",SUMIFS(Data!$K$2:$K$313,Data!$B$2:$B$313,$A24,Data!$O$2:$O$313,"Baseline_1"),SUMIFS(Data!$K$2:$K$313,Data!$B$2:$B$313,$A24,Data!$O$2:$O$313,"Baseline_2"))</f>
        <v/>
      </c>
      <c r="E24" s="11">
        <f>SUMIFS(Data!$K$2:$K$313,Data!$B$2:$B$313,$A24,Data!$O$2:$O$313,"KeyScene")</f>
        <v/>
      </c>
      <c r="F24" s="11">
        <f>E24-D24</f>
        <v/>
      </c>
      <c r="G24" s="11">
        <f>IF($B24="C1first",SUMIFS(Default!$K$2:$K$313,Default!$B$2:$B$313,$A24,Default!$O$2:$O$313,"Baseline_1"),SUMIFS(Default!$K$2:$K$313,Default!$B$2:$B$313,$A24,Default!$O$2:$O$313,"Baseline_2"))</f>
        <v/>
      </c>
      <c r="H24" s="11">
        <f>SUMIFS(Default!$K$2:$K$313,Default!$B$2:$B$313,$A24,Default!$O$2:$O$313,"KeyScene")</f>
        <v/>
      </c>
      <c r="I24" s="11">
        <f>H24-G24</f>
        <v/>
      </c>
      <c r="K24" t="inlineStr">
        <is>
          <t>d_z 95% CI lower (approximation)</t>
        </is>
      </c>
      <c r="L24" s="4">
        <f>L22-1.96*L23</f>
        <v/>
      </c>
      <c r="M24" s="14" t="inlineStr">
        <is>
          <t>=L22-1.96*L23</t>
        </is>
      </c>
      <c r="N24" s="7" t="inlineStr">
        <is>
          <t>R also gives the exact noncentral t interval</t>
        </is>
      </c>
    </row>
    <row r="25">
      <c r="A25" s="8" t="inlineStr">
        <is>
          <t>P04</t>
        </is>
      </c>
      <c r="B25" s="8">
        <f>INDEX(Data!$N$2:$N$313,MATCH($A25,Data!$B$2:$B$313,0))</f>
        <v/>
      </c>
      <c r="C25" s="8">
        <f>INDEX(Data!$Q$2:$Q$313,MATCH($A25,Data!$B$2:$B$313,0))</f>
        <v/>
      </c>
      <c r="D25" s="11">
        <f>IF($B25="C1first",SUMIFS(Data!$K$2:$K$313,Data!$B$2:$B$313,$A25,Data!$O$2:$O$313,"Baseline_1"),SUMIFS(Data!$K$2:$K$313,Data!$B$2:$B$313,$A25,Data!$O$2:$O$313,"Baseline_2"))</f>
        <v/>
      </c>
      <c r="E25" s="11">
        <f>SUMIFS(Data!$K$2:$K$313,Data!$B$2:$B$313,$A25,Data!$O$2:$O$313,"KeyScene")</f>
        <v/>
      </c>
      <c r="F25" s="11">
        <f>E25-D25</f>
        <v/>
      </c>
      <c r="G25" s="11">
        <f>IF($B25="C1first",SUMIFS(Default!$K$2:$K$313,Default!$B$2:$B$313,$A25,Default!$O$2:$O$313,"Baseline_1"),SUMIFS(Default!$K$2:$K$313,Default!$B$2:$B$313,$A25,Default!$O$2:$O$313,"Baseline_2"))</f>
        <v/>
      </c>
      <c r="H25" s="11">
        <f>SUMIFS(Default!$K$2:$K$313,Default!$B$2:$B$313,$A25,Default!$O$2:$O$313,"KeyScene")</f>
        <v/>
      </c>
      <c r="I25" s="11">
        <f>H25-G25</f>
        <v/>
      </c>
      <c r="K25" t="inlineStr">
        <is>
          <t>d_z 95% CI upper (approximation)</t>
        </is>
      </c>
      <c r="L25" s="4">
        <f>L22+1.96*L23</f>
        <v/>
      </c>
      <c r="M25" s="14" t="inlineStr">
        <is>
          <t>=L22+1.96*L23</t>
        </is>
      </c>
    </row>
    <row r="26">
      <c r="A26" s="8" t="inlineStr">
        <is>
          <t>P18</t>
        </is>
      </c>
      <c r="B26" s="8">
        <f>INDEX(Data!$N$2:$N$313,MATCH($A26,Data!$B$2:$B$313,0))</f>
        <v/>
      </c>
      <c r="C26" s="8">
        <f>INDEX(Data!$Q$2:$Q$313,MATCH($A26,Data!$B$2:$B$313,0))</f>
        <v/>
      </c>
      <c r="D26" s="11">
        <f>IF($B26="C1first",SUMIFS(Data!$K$2:$K$313,Data!$B$2:$B$313,$A26,Data!$O$2:$O$313,"Baseline_1"),SUMIFS(Data!$K$2:$K$313,Data!$B$2:$B$313,$A26,Data!$O$2:$O$313,"Baseline_2"))</f>
        <v/>
      </c>
      <c r="E26" s="11">
        <f>SUMIFS(Data!$K$2:$K$313,Data!$B$2:$B$313,$A26,Data!$O$2:$O$313,"KeyScene")</f>
        <v/>
      </c>
      <c r="F26" s="11">
        <f>E26-D26</f>
        <v/>
      </c>
      <c r="G26" s="11">
        <f>IF($B26="C1first",SUMIFS(Default!$K$2:$K$313,Default!$B$2:$B$313,$A26,Default!$O$2:$O$313,"Baseline_1"),SUMIFS(Default!$K$2:$K$313,Default!$B$2:$B$313,$A26,Default!$O$2:$O$313,"Baseline_2"))</f>
        <v/>
      </c>
      <c r="H26" s="11">
        <f>SUMIFS(Default!$K$2:$K$313,Default!$B$2:$B$313,$A26,Default!$O$2:$O$313,"KeyScene")</f>
        <v/>
      </c>
      <c r="I26" s="11">
        <f>H26-G26</f>
        <v/>
      </c>
      <c r="K26" t="inlineStr">
        <is>
          <t>Correlation of the two columns</t>
        </is>
      </c>
      <c r="L26" s="4">
        <f>CORREL(D5:D26,E5:E26)</f>
        <v/>
      </c>
      <c r="M26" s="14" t="inlineStr">
        <is>
          <t>=CORREL(D5:D26,E5:E26)</t>
        </is>
      </c>
      <c r="N26" s="7" t="inlineStr">
        <is>
          <t>how stable a respondent is from one segment to the other</t>
        </is>
      </c>
    </row>
    <row r="27">
      <c r="K27" t="inlineStr">
        <is>
          <t>Respondents with a positive change</t>
        </is>
      </c>
      <c r="L27" s="15">
        <f>COUNTIF(F5:F26,"&gt;0")</f>
        <v/>
      </c>
      <c r="M27" s="14" t="inlineStr">
        <is>
          <t>=COUNTIF(F5:F26,"&gt;0")</t>
        </is>
      </c>
    </row>
    <row r="30">
      <c r="K30" s="12" t="inlineStr">
        <is>
          <t>Statistic</t>
        </is>
      </c>
      <c r="L30" s="12" t="inlineStr">
        <is>
          <t>Value</t>
        </is>
      </c>
      <c r="M30" s="12" t="inlineStr">
        <is>
          <t>Formula shown</t>
        </is>
      </c>
      <c r="N30" s="12" t="inlineStr">
        <is>
          <t>Note</t>
        </is>
      </c>
    </row>
    <row r="31">
      <c r="K31" s="13" t="inlineStr">
        <is>
          <t>Sensitivity: 15 percent threshold (rows 5 to 24)</t>
        </is>
      </c>
    </row>
    <row r="32">
      <c r="K32" t="inlineStr">
        <is>
          <t>Baseline mean (FA)</t>
        </is>
      </c>
      <c r="L32" s="4">
        <f>AVERAGE(D5:D24)</f>
        <v/>
      </c>
      <c r="M32" s="14" t="inlineStr">
        <is>
          <t>=AVERAGE(D5:D24)</t>
        </is>
      </c>
      <c r="N32" s="7" t="inlineStr">
        <is>
          <t>AVERAGE of the reference column</t>
        </is>
      </c>
    </row>
    <row r="33">
      <c r="K33" t="inlineStr">
        <is>
          <t>Baseline SD</t>
        </is>
      </c>
      <c r="L33" s="4">
        <f>_xlfn.STDEV.S(D5:D24)</f>
        <v/>
      </c>
      <c r="M33" s="14" t="inlineStr">
        <is>
          <t>=STDEV.S(D5:D24)</t>
        </is>
      </c>
      <c r="N33" s="7" t="inlineStr">
        <is>
          <t>STDEV.S = sample standard deviation</t>
        </is>
      </c>
    </row>
    <row r="34">
      <c r="K34" t="inlineStr">
        <is>
          <t>KeyScene mean (FA)</t>
        </is>
      </c>
      <c r="L34" s="4">
        <f>AVERAGE(E5:E24)</f>
        <v/>
      </c>
      <c r="M34" s="14" t="inlineStr">
        <is>
          <t>=AVERAGE(E5:E24)</t>
        </is>
      </c>
    </row>
    <row r="35">
      <c r="K35" t="inlineStr">
        <is>
          <t>KeyScene SD</t>
        </is>
      </c>
      <c r="L35" s="4">
        <f>_xlfn.STDEV.S(E5:E24)</f>
        <v/>
      </c>
      <c r="M35" s="14" t="inlineStr">
        <is>
          <t>=STDEV.S(E5:E24)</t>
        </is>
      </c>
    </row>
    <row r="36">
      <c r="K36" t="inlineStr">
        <is>
          <t>n (respondents)</t>
        </is>
      </c>
      <c r="L36" s="15">
        <f>COUNT(F5:F24)</f>
        <v/>
      </c>
      <c r="M36" s="14" t="inlineStr">
        <is>
          <t>=COUNT(F5:F24)</t>
        </is>
      </c>
      <c r="N36" s="7" t="inlineStr">
        <is>
          <t>the respondents dropped at 15 percent sit below this range</t>
        </is>
      </c>
    </row>
    <row r="37">
      <c r="K37" t="inlineStr">
        <is>
          <t>Mean change, KeyScene minus Baseline</t>
        </is>
      </c>
      <c r="L37" s="4">
        <f>AVERAGE(F5:F24)</f>
        <v/>
      </c>
      <c r="M37" s="14" t="inlineStr">
        <is>
          <t>=AVERAGE(F5:F24)</t>
        </is>
      </c>
    </row>
    <row r="38">
      <c r="K38" t="inlineStr">
        <is>
          <t>SD of the changes</t>
        </is>
      </c>
      <c r="L38" s="4">
        <f>_xlfn.STDEV.S(F5:F24)</f>
        <v/>
      </c>
      <c r="M38" s="14" t="inlineStr">
        <is>
          <t>=STDEV.S(F5:F24)</t>
        </is>
      </c>
      <c r="N38" s="7" t="inlineStr">
        <is>
          <t>the SD that matters in a paired design</t>
        </is>
      </c>
    </row>
    <row r="39">
      <c r="K39" t="inlineStr">
        <is>
          <t>SE of the mean change</t>
        </is>
      </c>
      <c r="L39" s="4">
        <f>L38/SQRT(L36)</f>
        <v/>
      </c>
      <c r="M39" s="14" t="inlineStr">
        <is>
          <t>=L38/SQRT(L36)</t>
        </is>
      </c>
      <c r="N39" s="7" t="inlineStr">
        <is>
          <t>SD of the changes / sqrt(n)</t>
        </is>
      </c>
    </row>
    <row r="40">
      <c r="K40" t="inlineStr">
        <is>
          <t>t</t>
        </is>
      </c>
      <c r="L40" s="4">
        <f>L37/L39</f>
        <v/>
      </c>
      <c r="M40" s="14" t="inlineStr">
        <is>
          <t>=L37/L39</t>
        </is>
      </c>
      <c r="N40" s="7" t="inlineStr">
        <is>
          <t>t = mean change / SE</t>
        </is>
      </c>
    </row>
    <row r="41">
      <c r="K41" t="inlineStr">
        <is>
          <t>df</t>
        </is>
      </c>
      <c r="L41" s="15">
        <f>L36-1</f>
        <v/>
      </c>
      <c r="M41" s="14" t="inlineStr">
        <is>
          <t>=L36-1</t>
        </is>
      </c>
      <c r="N41" s="7" t="inlineStr">
        <is>
          <t>n minus 1</t>
        </is>
      </c>
    </row>
    <row r="42">
      <c r="K42" t="inlineStr">
        <is>
          <t>p, two tailed (T.TEST type 1)</t>
        </is>
      </c>
      <c r="L42" s="16">
        <f>_xlfn.T.TEST(D5:D24,E5:E24,2,1)</f>
        <v/>
      </c>
      <c r="M42" s="14" t="inlineStr">
        <is>
          <t>=T.TEST(D5:D24,E5:E24,2,1)</t>
        </is>
      </c>
      <c r="N42" s="7" t="inlineStr">
        <is>
          <t>tails = 2, type = 1 means paired</t>
        </is>
      </c>
    </row>
    <row r="43">
      <c r="K43" t="inlineStr">
        <is>
          <t>p from the hand computed t</t>
        </is>
      </c>
      <c r="L43" s="16">
        <f>_xlfn.T.DIST.2T(ABS(L40),L41)</f>
        <v/>
      </c>
      <c r="M43" s="14" t="inlineStr">
        <is>
          <t>=T.DIST.2T(ABS(L40),L41)</t>
        </is>
      </c>
      <c r="N43" s="7" t="inlineStr">
        <is>
          <t>must match the T.TEST cell</t>
        </is>
      </c>
    </row>
    <row r="44">
      <c r="K44" t="inlineStr">
        <is>
          <t>p, one tailed (teaching only)</t>
        </is>
      </c>
      <c r="L44" s="16">
        <f>_xlfn.T.DIST.RT(L40,L41)</f>
        <v/>
      </c>
      <c r="M44" s="14" t="inlineStr">
        <is>
          <t>=T.DIST.RT(L40,L41)</t>
        </is>
      </c>
      <c r="N44" s="7" t="inlineStr">
        <is>
          <t>right tail: the predicted direction is positive</t>
        </is>
      </c>
    </row>
    <row r="45">
      <c r="K45" t="inlineStr">
        <is>
          <t>Critical t (95%)</t>
        </is>
      </c>
      <c r="L45" s="4">
        <f>_xlfn.T.INV.2T(0.05,L41)</f>
        <v/>
      </c>
      <c r="M45" s="14" t="inlineStr">
        <is>
          <t>=T.INV.2T(0.05,L41)</t>
        </is>
      </c>
      <c r="N45" s="7" t="inlineStr">
        <is>
          <t>two tailed, alpha = .05</t>
        </is>
      </c>
    </row>
    <row r="46">
      <c r="K46" t="inlineStr">
        <is>
          <t>Mean change 95% CI lower</t>
        </is>
      </c>
      <c r="L46" s="4">
        <f>L37-L45*L39</f>
        <v/>
      </c>
      <c r="M46" s="14" t="inlineStr">
        <is>
          <t>=L37-L45*L39</t>
        </is>
      </c>
    </row>
    <row r="47">
      <c r="K47" t="inlineStr">
        <is>
          <t>Mean change 95% CI upper</t>
        </is>
      </c>
      <c r="L47" s="4">
        <f>L37+L45*L39</f>
        <v/>
      </c>
      <c r="M47" s="14" t="inlineStr">
        <is>
          <t>=L37+L45*L39</t>
        </is>
      </c>
    </row>
    <row r="48">
      <c r="K48" t="inlineStr">
        <is>
          <t>Cohen's d_z</t>
        </is>
      </c>
      <c r="L48" s="4">
        <f>L37/L38</f>
        <v/>
      </c>
      <c r="M48" s="14" t="inlineStr">
        <is>
          <t>=L37/L38</t>
        </is>
      </c>
      <c r="N48" s="7" t="inlineStr">
        <is>
          <t>d_z = mean change / SD of the changes</t>
        </is>
      </c>
    </row>
    <row r="49">
      <c r="K49" t="inlineStr">
        <is>
          <t>SE of d_z (approximation)</t>
        </is>
      </c>
      <c r="L49" s="4">
        <f>SQRT(1/L36+L48^2/(2*L36))</f>
        <v/>
      </c>
      <c r="M49" s="14" t="inlineStr">
        <is>
          <t>=SQRT(1/L36+L48^2/(2*L36))</t>
        </is>
      </c>
      <c r="N49" s="7" t="inlineStr">
        <is>
          <t>sqrt(1/n + d_z^2 / (2 n))</t>
        </is>
      </c>
    </row>
    <row r="50">
      <c r="K50" t="inlineStr">
        <is>
          <t>d_z 95% CI lower (approximation)</t>
        </is>
      </c>
      <c r="L50" s="4">
        <f>L48-1.96*L49</f>
        <v/>
      </c>
      <c r="M50" s="14" t="inlineStr">
        <is>
          <t>=L48-1.96*L49</t>
        </is>
      </c>
      <c r="N50" s="7" t="inlineStr">
        <is>
          <t>R also gives the exact noncentral t interval</t>
        </is>
      </c>
    </row>
    <row r="51">
      <c r="K51" t="inlineStr">
        <is>
          <t>d_z 95% CI upper (approximation)</t>
        </is>
      </c>
      <c r="L51" s="4">
        <f>L48+1.96*L49</f>
        <v/>
      </c>
      <c r="M51" s="14" t="inlineStr">
        <is>
          <t>=L48+1.96*L49</t>
        </is>
      </c>
    </row>
    <row r="52">
      <c r="K52" t="inlineStr">
        <is>
          <t>Correlation of the two columns</t>
        </is>
      </c>
      <c r="L52" s="4">
        <f>CORREL(D5:D24,E5:E24)</f>
        <v/>
      </c>
      <c r="M52" s="14" t="inlineStr">
        <is>
          <t>=CORREL(D5:D24,E5:E24)</t>
        </is>
      </c>
      <c r="N52" s="7" t="inlineStr">
        <is>
          <t>how stable a respondent is from one segment to the other</t>
        </is>
      </c>
    </row>
    <row r="53">
      <c r="K53" t="inlineStr">
        <is>
          <t>Respondents with a positive change</t>
        </is>
      </c>
      <c r="L53" s="15">
        <f>COUNTIF(F5:F24,"&gt;0")</f>
        <v/>
      </c>
      <c r="M53" s="14" t="inlineStr">
        <is>
          <t>=COUNTIF(F5:F24,"&gt;0")</t>
        </is>
      </c>
    </row>
    <row r="56">
      <c r="K56" s="12" t="inlineStr">
        <is>
          <t>Statistic</t>
        </is>
      </c>
      <c r="L56" s="12" t="inlineStr">
        <is>
          <t>Value</t>
        </is>
      </c>
      <c r="M56" s="12" t="inlineStr">
        <is>
          <t>Formula shown</t>
        </is>
      </c>
      <c r="N56" s="12" t="inlineStr">
        <is>
          <t>Note</t>
        </is>
      </c>
    </row>
    <row r="57">
      <c r="K57" s="13" t="inlineStr">
        <is>
          <t>Sensitivity: no baseline correction (raw KeyScene FA against 0)</t>
        </is>
      </c>
    </row>
    <row r="58">
      <c r="K58" t="inlineStr">
        <is>
          <t>n</t>
        </is>
      </c>
      <c r="L58" s="15">
        <f>COUNT(E5:E26)</f>
        <v/>
      </c>
      <c r="M58" s="14" t="inlineStr">
        <is>
          <t>=COUNT(E5:E26)</t>
        </is>
      </c>
    </row>
    <row r="59">
      <c r="K59" t="inlineStr">
        <is>
          <t>Mean (FA)</t>
        </is>
      </c>
      <c r="L59" s="4">
        <f>AVERAGE(E5:E26)</f>
        <v/>
      </c>
      <c r="M59" s="14" t="inlineStr">
        <is>
          <t>=AVERAGE(E5:E26)</t>
        </is>
      </c>
    </row>
    <row r="60">
      <c r="K60" t="inlineStr">
        <is>
          <t>SD</t>
        </is>
      </c>
      <c r="L60" s="4">
        <f>_xlfn.STDEV.S(E5:E26)</f>
        <v/>
      </c>
      <c r="M60" s="14" t="inlineStr">
        <is>
          <t>=STDEV.S(E5:E26)</t>
        </is>
      </c>
    </row>
    <row r="61">
      <c r="K61" t="inlineStr">
        <is>
          <t>SE of the mean</t>
        </is>
      </c>
      <c r="L61" s="4">
        <f>L60/SQRT(L58)</f>
        <v/>
      </c>
      <c r="M61" s="14" t="inlineStr">
        <is>
          <t>=L60/SQRT(L58)</t>
        </is>
      </c>
    </row>
    <row r="62">
      <c r="K62" t="inlineStr">
        <is>
          <t>t against 0</t>
        </is>
      </c>
      <c r="L62" s="4">
        <f>L59/L61</f>
        <v/>
      </c>
      <c r="M62" s="14" t="inlineStr">
        <is>
          <t>=L59/L61</t>
        </is>
      </c>
    </row>
    <row r="63">
      <c r="K63" t="inlineStr">
        <is>
          <t>df</t>
        </is>
      </c>
      <c r="L63" s="15">
        <f>L58-1</f>
        <v/>
      </c>
      <c r="M63" s="14" t="inlineStr">
        <is>
          <t>=L58-1</t>
        </is>
      </c>
    </row>
    <row r="64">
      <c r="K64" t="inlineStr">
        <is>
          <t>p, two tailed</t>
        </is>
      </c>
      <c r="L64" s="16">
        <f>_xlfn.T.DIST.2T(ABS(L62),L63)</f>
        <v/>
      </c>
      <c r="M64" s="14" t="inlineStr">
        <is>
          <t>=T.DIST.2T(ABS(L62),L63)</t>
        </is>
      </c>
    </row>
    <row r="65">
      <c r="K65" t="inlineStr">
        <is>
          <t>Cohen's d (one sample)</t>
        </is>
      </c>
      <c r="L65" s="4">
        <f>L59/L60</f>
        <v/>
      </c>
      <c r="M65" s="14" t="inlineStr">
        <is>
          <t>=L59/L60</t>
        </is>
      </c>
    </row>
    <row r="68">
      <c r="K68" s="12" t="inlineStr">
        <is>
          <t>Statistic</t>
        </is>
      </c>
      <c r="L68" s="12" t="inlineStr">
        <is>
          <t>Value</t>
        </is>
      </c>
      <c r="M68" s="12" t="inlineStr">
        <is>
          <t>Formula shown</t>
        </is>
      </c>
      <c r="N68" s="12" t="inlineStr">
        <is>
          <t>Note</t>
        </is>
      </c>
    </row>
    <row r="69">
      <c r="K69" s="13" t="inlineStr">
        <is>
          <t>Teaching contrast: the same test with the DEFAULT channels (Ch1 = Fz, Ch7 = P3)</t>
        </is>
      </c>
    </row>
    <row r="70">
      <c r="K70" t="inlineStr">
        <is>
          <t>Baseline mean (FA)</t>
        </is>
      </c>
      <c r="L70" s="4">
        <f>AVERAGE(G5:G26)</f>
        <v/>
      </c>
      <c r="M70" s="14" t="inlineStr">
        <is>
          <t>=AVERAGE(G5:G26)</t>
        </is>
      </c>
      <c r="N70" s="7" t="inlineStr">
        <is>
          <t>AVERAGE of the reference column</t>
        </is>
      </c>
    </row>
    <row r="71">
      <c r="K71" t="inlineStr">
        <is>
          <t>Baseline SD</t>
        </is>
      </c>
      <c r="L71" s="4">
        <f>_xlfn.STDEV.S(G5:G26)</f>
        <v/>
      </c>
      <c r="M71" s="14" t="inlineStr">
        <is>
          <t>=STDEV.S(G5:G26)</t>
        </is>
      </c>
      <c r="N71" s="7" t="inlineStr">
        <is>
          <t>STDEV.S = sample standard deviation</t>
        </is>
      </c>
    </row>
    <row r="72">
      <c r="K72" t="inlineStr">
        <is>
          <t>KeyScene mean (FA)</t>
        </is>
      </c>
      <c r="L72" s="4">
        <f>AVERAGE(H5:H26)</f>
        <v/>
      </c>
      <c r="M72" s="14" t="inlineStr">
        <is>
          <t>=AVERAGE(H5:H26)</t>
        </is>
      </c>
    </row>
    <row r="73">
      <c r="K73" t="inlineStr">
        <is>
          <t>KeyScene SD</t>
        </is>
      </c>
      <c r="L73" s="4">
        <f>_xlfn.STDEV.S(H5:H26)</f>
        <v/>
      </c>
      <c r="M73" s="14" t="inlineStr">
        <is>
          <t>=STDEV.S(H5:H26)</t>
        </is>
      </c>
    </row>
    <row r="74">
      <c r="K74" t="inlineStr">
        <is>
          <t>n (respondents)</t>
        </is>
      </c>
      <c r="L74" s="15">
        <f>COUNT(I5:I26)</f>
        <v/>
      </c>
      <c r="M74" s="14" t="inlineStr">
        <is>
          <t>=COUNT(I5:I26)</t>
        </is>
      </c>
    </row>
    <row r="75">
      <c r="K75" t="inlineStr">
        <is>
          <t>Mean change, KeyScene minus Baseline</t>
        </is>
      </c>
      <c r="L75" s="4">
        <f>AVERAGE(I5:I26)</f>
        <v/>
      </c>
      <c r="M75" s="14" t="inlineStr">
        <is>
          <t>=AVERAGE(I5:I26)</t>
        </is>
      </c>
    </row>
    <row r="76">
      <c r="K76" t="inlineStr">
        <is>
          <t>SD of the changes</t>
        </is>
      </c>
      <c r="L76" s="4">
        <f>_xlfn.STDEV.S(I5:I26)</f>
        <v/>
      </c>
      <c r="M76" s="14" t="inlineStr">
        <is>
          <t>=STDEV.S(I5:I26)</t>
        </is>
      </c>
      <c r="N76" s="7" t="inlineStr">
        <is>
          <t>the SD that matters in a paired design</t>
        </is>
      </c>
    </row>
    <row r="77">
      <c r="K77" t="inlineStr">
        <is>
          <t>SE of the mean change</t>
        </is>
      </c>
      <c r="L77" s="4">
        <f>L76/SQRT(L74)</f>
        <v/>
      </c>
      <c r="M77" s="14" t="inlineStr">
        <is>
          <t>=L76/SQRT(L74)</t>
        </is>
      </c>
      <c r="N77" s="7" t="inlineStr">
        <is>
          <t>SD of the changes / sqrt(n)</t>
        </is>
      </c>
    </row>
    <row r="78">
      <c r="K78" t="inlineStr">
        <is>
          <t>t</t>
        </is>
      </c>
      <c r="L78" s="4">
        <f>L75/L77</f>
        <v/>
      </c>
      <c r="M78" s="14" t="inlineStr">
        <is>
          <t>=L75/L77</t>
        </is>
      </c>
      <c r="N78" s="7" t="inlineStr">
        <is>
          <t>t = mean change / SE</t>
        </is>
      </c>
    </row>
    <row r="79">
      <c r="K79" t="inlineStr">
        <is>
          <t>df</t>
        </is>
      </c>
      <c r="L79" s="15">
        <f>L74-1</f>
        <v/>
      </c>
      <c r="M79" s="14" t="inlineStr">
        <is>
          <t>=L74-1</t>
        </is>
      </c>
      <c r="N79" s="7" t="inlineStr">
        <is>
          <t>n minus 1</t>
        </is>
      </c>
    </row>
    <row r="80">
      <c r="K80" t="inlineStr">
        <is>
          <t>p, two tailed (T.TEST type 1)</t>
        </is>
      </c>
      <c r="L80" s="16">
        <f>_xlfn.T.TEST(G5:G26,H5:H26,2,1)</f>
        <v/>
      </c>
      <c r="M80" s="14" t="inlineStr">
        <is>
          <t>=T.TEST(G5:G26,H5:H26,2,1)</t>
        </is>
      </c>
      <c r="N80" s="7" t="inlineStr">
        <is>
          <t>tails = 2, type = 1 means paired</t>
        </is>
      </c>
    </row>
    <row r="81">
      <c r="K81" t="inlineStr">
        <is>
          <t>p from the hand computed t</t>
        </is>
      </c>
      <c r="L81" s="16">
        <f>_xlfn.T.DIST.2T(ABS(L78),L79)</f>
        <v/>
      </c>
      <c r="M81" s="14" t="inlineStr">
        <is>
          <t>=T.DIST.2T(ABS(L78),L79)</t>
        </is>
      </c>
      <c r="N81" s="7" t="inlineStr">
        <is>
          <t>must match the T.TEST cell</t>
        </is>
      </c>
    </row>
    <row r="82">
      <c r="K82" t="inlineStr">
        <is>
          <t>p, one tailed (teaching only)</t>
        </is>
      </c>
      <c r="L82" s="16">
        <f>_xlfn.T.DIST.RT(L78,L79)</f>
        <v/>
      </c>
      <c r="M82" s="14" t="inlineStr">
        <is>
          <t>=T.DIST.RT(L78,L79)</t>
        </is>
      </c>
      <c r="N82" s="7" t="inlineStr">
        <is>
          <t>right tail: the predicted direction is positive</t>
        </is>
      </c>
    </row>
    <row r="83">
      <c r="K83" t="inlineStr">
        <is>
          <t>Critical t (95%)</t>
        </is>
      </c>
      <c r="L83" s="4">
        <f>_xlfn.T.INV.2T(0.05,L79)</f>
        <v/>
      </c>
      <c r="M83" s="14" t="inlineStr">
        <is>
          <t>=T.INV.2T(0.05,L79)</t>
        </is>
      </c>
      <c r="N83" s="7" t="inlineStr">
        <is>
          <t>two tailed, alpha = .05</t>
        </is>
      </c>
    </row>
    <row r="84">
      <c r="K84" t="inlineStr">
        <is>
          <t>Mean change 95% CI lower</t>
        </is>
      </c>
      <c r="L84" s="4">
        <f>L75-L83*L77</f>
        <v/>
      </c>
      <c r="M84" s="14" t="inlineStr">
        <is>
          <t>=L75-L83*L77</t>
        </is>
      </c>
    </row>
    <row r="85">
      <c r="K85" t="inlineStr">
        <is>
          <t>Mean change 95% CI upper</t>
        </is>
      </c>
      <c r="L85" s="4">
        <f>L75+L83*L77</f>
        <v/>
      </c>
      <c r="M85" s="14" t="inlineStr">
        <is>
          <t>=L75+L83*L77</t>
        </is>
      </c>
    </row>
    <row r="86">
      <c r="K86" t="inlineStr">
        <is>
          <t>Cohen's d_z</t>
        </is>
      </c>
      <c r="L86" s="4">
        <f>L75/L76</f>
        <v/>
      </c>
      <c r="M86" s="14" t="inlineStr">
        <is>
          <t>=L75/L76</t>
        </is>
      </c>
      <c r="N86" s="7" t="inlineStr">
        <is>
          <t>d_z = mean change / SD of the changes</t>
        </is>
      </c>
    </row>
    <row r="87">
      <c r="K87" t="inlineStr">
        <is>
          <t>SE of d_z (approximation)</t>
        </is>
      </c>
      <c r="L87" s="4">
        <f>SQRT(1/L74+L86^2/(2*L74))</f>
        <v/>
      </c>
      <c r="M87" s="14" t="inlineStr">
        <is>
          <t>=SQRT(1/L74+L86^2/(2*L74))</t>
        </is>
      </c>
      <c r="N87" s="7" t="inlineStr">
        <is>
          <t>sqrt(1/n + d_z^2 / (2 n))</t>
        </is>
      </c>
    </row>
    <row r="88">
      <c r="K88" t="inlineStr">
        <is>
          <t>d_z 95% CI lower (approximation)</t>
        </is>
      </c>
      <c r="L88" s="4">
        <f>L86-1.96*L87</f>
        <v/>
      </c>
      <c r="M88" s="14" t="inlineStr">
        <is>
          <t>=L86-1.96*L87</t>
        </is>
      </c>
      <c r="N88" s="7" t="inlineStr">
        <is>
          <t>R also gives the exact noncentral t interval</t>
        </is>
      </c>
    </row>
    <row r="89">
      <c r="K89" t="inlineStr">
        <is>
          <t>d_z 95% CI upper (approximation)</t>
        </is>
      </c>
      <c r="L89" s="4">
        <f>L86+1.96*L87</f>
        <v/>
      </c>
      <c r="M89" s="14" t="inlineStr">
        <is>
          <t>=L86+1.96*L87</t>
        </is>
      </c>
    </row>
    <row r="90">
      <c r="K90" t="inlineStr">
        <is>
          <t>Correlation of the two columns</t>
        </is>
      </c>
      <c r="L90" s="4">
        <f>CORREL(G5:G26,H5:H26)</f>
        <v/>
      </c>
      <c r="M90" s="14" t="inlineStr">
        <is>
          <t>=CORREL(G5:G26,H5:H26)</t>
        </is>
      </c>
      <c r="N90" s="7" t="inlineStr">
        <is>
          <t>how stable a respondent is from one segment to the other</t>
        </is>
      </c>
    </row>
    <row r="91">
      <c r="K91" t="inlineStr">
        <is>
          <t>Respondents with a positive change</t>
        </is>
      </c>
      <c r="L91" s="15">
        <f>COUNTIF(I5:I26,"&gt;0")</f>
        <v/>
      </c>
      <c r="M91" s="14" t="inlineStr">
        <is>
          <t>=COUNTIF(I5:I26,"&gt;0")</t>
        </is>
      </c>
    </row>
    <row r="94">
      <c r="K94" s="12" t="inlineStr">
        <is>
          <t>Statistic</t>
        </is>
      </c>
      <c r="L94" s="12" t="inlineStr">
        <is>
          <t>Value</t>
        </is>
      </c>
      <c r="M94" s="12" t="inlineStr">
        <is>
          <t>Formula shown</t>
        </is>
      </c>
      <c r="N94" s="12" t="inlineStr">
        <is>
          <t>Note</t>
        </is>
      </c>
    </row>
    <row r="95">
      <c r="K95" s="13" t="inlineStr">
        <is>
          <t>Checks</t>
        </is>
      </c>
    </row>
    <row r="96">
      <c r="K96" t="inlineStr">
        <is>
          <t>Kept Version A respondents with a KeyScene row in Data (Keep = Yes)</t>
        </is>
      </c>
      <c r="L96" s="15">
        <f>COUNTIFS(Data!$O$2:$O$313,"KeyScene",Data!$P$2:$P$313,"Yes")</f>
        <v/>
      </c>
      <c r="M96" s="14" t="inlineStr">
        <is>
          <t>=COUNTIFS(Data!$O$2:$O$313,"KeyScene",Data!$P$2:$P$313,"Yes")</t>
        </is>
      </c>
      <c r="N96" s="7" t="inlineStr">
        <is>
          <t>must equal n of the H1 block</t>
        </is>
      </c>
    </row>
    <row r="97">
      <c r="K97" t="inlineStr">
        <is>
          <t>Roster rows dropped under the 15 percent rule (Keep15 = No)</t>
        </is>
      </c>
      <c r="L97" s="15">
        <f>COUNTIF(C5:C26,"No")</f>
        <v/>
      </c>
      <c r="M97" s="14" t="inlineStr">
        <is>
          <t>=COUNTIF(C5:C26,"No")</t>
        </is>
      </c>
    </row>
    <row r="98">
      <c r="K98" t="inlineStr">
        <is>
          <t>Keep15 = No inside the rows of the 15 percent block</t>
        </is>
      </c>
      <c r="L98" s="15">
        <f>COUNTIF(C5:C24,"No")</f>
        <v/>
      </c>
      <c r="M98" s="14" t="inlineStr">
        <is>
          <t>=COUNTIF(C5:C24,"No")</t>
        </is>
      </c>
      <c r="N98" s="7" t="inlineStr">
        <is>
          <t>must be 0</t>
        </is>
      </c>
    </row>
    <row r="99">
      <c r="K99" t="inlineStr">
        <is>
          <t>Correlation of the default channel change with the F3/F4 change</t>
        </is>
      </c>
      <c r="L99" s="4">
        <f>CORREL(F5:F26,I5:I26)</f>
        <v/>
      </c>
      <c r="M99" s="14" t="inlineStr">
        <is>
          <t>=CORREL(F5:F26,I5:I26)</t>
        </is>
      </c>
    </row>
    <row r="102">
      <c r="K102" s="10" t="inlineStr">
        <is>
          <t>Chart table: mean FA with 95% CI half width (Version A)</t>
        </is>
      </c>
    </row>
    <row r="103">
      <c r="K103" t="inlineStr">
        <is>
          <t>Segment</t>
        </is>
      </c>
      <c r="L103" t="inlineStr">
        <is>
          <t>Mean FA</t>
        </is>
      </c>
      <c r="M103" t="inlineStr">
        <is>
          <t>CI half width</t>
        </is>
      </c>
    </row>
    <row r="104">
      <c r="K104" t="inlineStr">
        <is>
          <t>Baseline before Commercial_1A</t>
        </is>
      </c>
      <c r="L104" s="17">
        <f>L6</f>
        <v/>
      </c>
      <c r="M104" s="17">
        <f>_xlfn.CONFIDENCE.T(0.05,L7,L10)</f>
        <v/>
      </c>
    </row>
    <row r="105">
      <c r="K105" t="inlineStr">
        <is>
          <t>KeyScene</t>
        </is>
      </c>
      <c r="L105" s="17">
        <f>L8</f>
        <v/>
      </c>
      <c r="M105" s="17">
        <f>_xlfn.CONFIDENCE.T(0.05,L9,L10)</f>
        <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L96"/>
  <sheetViews>
    <sheetView workbookViewId="0">
      <selection activeCell="A1" sqref="A1"/>
    </sheetView>
  </sheetViews>
  <sheetFormatPr baseColWidth="8" defaultRowHeight="15"/>
  <cols>
    <col width="17" customWidth="1" min="1" max="1"/>
    <col width="9" customWidth="1" min="2" max="2"/>
    <col width="10" customWidth="1" min="3" max="3"/>
    <col width="9" customWidth="1" min="4" max="4"/>
    <col width="16" customWidth="1" min="5" max="5"/>
    <col width="16" customWidth="1" min="6" max="6"/>
    <col width="16" customWidth="1" min="7" max="7"/>
    <col width="3" customWidth="1" min="8" max="8"/>
    <col width="58" customWidth="1" min="9" max="9"/>
    <col width="12" customWidth="1" min="10" max="10"/>
    <col width="74" customWidth="1" min="11" max="11"/>
    <col width="56" customWidth="1" min="12" max="12"/>
  </cols>
  <sheetData>
    <row r="1">
      <c r="A1" s="6" t="inlineStr">
        <is>
          <t>H2. Baseline corrected FA during the EndScene of Commercial 1, Version A versus Version B, kept respondents. SIMULATED data.</t>
        </is>
      </c>
    </row>
    <row r="2">
      <c r="A2" s="7" t="inlineStr">
        <is>
          <t>Version A in rows 5 to 26 (rows 25 to 26 are dropped by the 15 percent rule), Version B in rows 27 to 49 (rows 48 to 49 dropped by the 15 percent rule). Change = EndScene of Commercial 1 minus the baseline before Commercial 1.</t>
        </is>
      </c>
    </row>
    <row r="4" ht="48" customHeight="1">
      <c r="A4" s="2" t="inlineStr">
        <is>
          <t>Respondent Name</t>
        </is>
      </c>
      <c r="B4" s="2" t="inlineStr">
        <is>
          <t>Version</t>
        </is>
      </c>
      <c r="C4" s="2" t="inlineStr">
        <is>
          <t>Order</t>
        </is>
      </c>
      <c r="D4" s="2" t="inlineStr">
        <is>
          <t>Keep15</t>
        </is>
      </c>
      <c r="E4" s="2" t="inlineStr">
        <is>
          <t>Baseline before Commercial 1 (FA)</t>
        </is>
      </c>
      <c r="F4" s="2" t="inlineStr">
        <is>
          <t>EndScene of Commercial 1 (FA)</t>
        </is>
      </c>
      <c r="G4" s="2" t="inlineStr">
        <is>
          <t>Change (EndScene minus baseline)</t>
        </is>
      </c>
      <c r="I4" s="12" t="inlineStr">
        <is>
          <t>Statistic</t>
        </is>
      </c>
      <c r="J4" s="12" t="inlineStr">
        <is>
          <t>Value</t>
        </is>
      </c>
      <c r="K4" s="12" t="inlineStr">
        <is>
          <t>Formula shown</t>
        </is>
      </c>
      <c r="L4" s="12" t="inlineStr">
        <is>
          <t>Note</t>
        </is>
      </c>
    </row>
    <row r="5">
      <c r="A5" s="8" t="inlineStr">
        <is>
          <t>P02</t>
        </is>
      </c>
      <c r="B5" s="8">
        <f>INDEX(Data!$M$2:$M$313,MATCH($A5,Data!$B$2:$B$313,0))</f>
        <v/>
      </c>
      <c r="C5" s="8">
        <f>INDEX(Data!$N$2:$N$313,MATCH($A5,Data!$B$2:$B$313,0))</f>
        <v/>
      </c>
      <c r="D5" s="8">
        <f>INDEX(Data!$Q$2:$Q$313,MATCH($A5,Data!$B$2:$B$313,0))</f>
        <v/>
      </c>
      <c r="E5" s="11">
        <f>IF($C5="C1first",SUMIFS(Data!$K$2:$K$313,Data!$B$2:$B$313,$A5,Data!$O$2:$O$313,"Baseline_1"),SUMIFS(Data!$K$2:$K$313,Data!$B$2:$B$313,$A5,Data!$O$2:$O$313,"Baseline_2"))</f>
        <v/>
      </c>
      <c r="F5" s="11">
        <f>SUMIFS(Data!$K$2:$K$313,Data!$B$2:$B$313,$A5,Data!$O$2:$O$313,"EndScene_C1")</f>
        <v/>
      </c>
      <c r="G5" s="11">
        <f>F5-E5</f>
        <v/>
      </c>
      <c r="I5" s="13" t="inlineStr">
        <is>
          <t>H2: Welch t test, Version A (n = 22) versus Version B (n = 23)</t>
        </is>
      </c>
    </row>
    <row r="6">
      <c r="A6" s="8" t="inlineStr">
        <is>
          <t>P05</t>
        </is>
      </c>
      <c r="B6" s="8">
        <f>INDEX(Data!$M$2:$M$313,MATCH($A6,Data!$B$2:$B$313,0))</f>
        <v/>
      </c>
      <c r="C6" s="8">
        <f>INDEX(Data!$N$2:$N$313,MATCH($A6,Data!$B$2:$B$313,0))</f>
        <v/>
      </c>
      <c r="D6" s="8">
        <f>INDEX(Data!$Q$2:$Q$313,MATCH($A6,Data!$B$2:$B$313,0))</f>
        <v/>
      </c>
      <c r="E6" s="11">
        <f>IF($C6="C1first",SUMIFS(Data!$K$2:$K$313,Data!$B$2:$B$313,$A6,Data!$O$2:$O$313,"Baseline_1"),SUMIFS(Data!$K$2:$K$313,Data!$B$2:$B$313,$A6,Data!$O$2:$O$313,"Baseline_2"))</f>
        <v/>
      </c>
      <c r="F6" s="11">
        <f>SUMIFS(Data!$K$2:$K$313,Data!$B$2:$B$313,$A6,Data!$O$2:$O$313,"EndScene_C1")</f>
        <v/>
      </c>
      <c r="G6" s="11">
        <f>F6-E6</f>
        <v/>
      </c>
      <c r="I6" t="inlineStr">
        <is>
          <t>Version A mean</t>
        </is>
      </c>
      <c r="J6" s="4">
        <f>AVERAGE(G5:G26)</f>
        <v/>
      </c>
      <c r="K6" s="14" t="inlineStr">
        <is>
          <t>=AVERAGE(G5:G26)</t>
        </is>
      </c>
    </row>
    <row r="7">
      <c r="A7" s="8" t="inlineStr">
        <is>
          <t>P08</t>
        </is>
      </c>
      <c r="B7" s="8">
        <f>INDEX(Data!$M$2:$M$313,MATCH($A7,Data!$B$2:$B$313,0))</f>
        <v/>
      </c>
      <c r="C7" s="8">
        <f>INDEX(Data!$N$2:$N$313,MATCH($A7,Data!$B$2:$B$313,0))</f>
        <v/>
      </c>
      <c r="D7" s="8">
        <f>INDEX(Data!$Q$2:$Q$313,MATCH($A7,Data!$B$2:$B$313,0))</f>
        <v/>
      </c>
      <c r="E7" s="11">
        <f>IF($C7="C1first",SUMIFS(Data!$K$2:$K$313,Data!$B$2:$B$313,$A7,Data!$O$2:$O$313,"Baseline_1"),SUMIFS(Data!$K$2:$K$313,Data!$B$2:$B$313,$A7,Data!$O$2:$O$313,"Baseline_2"))</f>
        <v/>
      </c>
      <c r="F7" s="11">
        <f>SUMIFS(Data!$K$2:$K$313,Data!$B$2:$B$313,$A7,Data!$O$2:$O$313,"EndScene_C1")</f>
        <v/>
      </c>
      <c r="G7" s="11">
        <f>F7-E7</f>
        <v/>
      </c>
      <c r="I7" t="inlineStr">
        <is>
          <t>Version A SD</t>
        </is>
      </c>
      <c r="J7" s="4">
        <f>_xlfn.STDEV.S(G5:G26)</f>
        <v/>
      </c>
      <c r="K7" s="14" t="inlineStr">
        <is>
          <t>=STDEV.S(G5:G26)</t>
        </is>
      </c>
    </row>
    <row r="8">
      <c r="A8" s="8" t="inlineStr">
        <is>
          <t>P09</t>
        </is>
      </c>
      <c r="B8" s="8">
        <f>INDEX(Data!$M$2:$M$313,MATCH($A8,Data!$B$2:$B$313,0))</f>
        <v/>
      </c>
      <c r="C8" s="8">
        <f>INDEX(Data!$N$2:$N$313,MATCH($A8,Data!$B$2:$B$313,0))</f>
        <v/>
      </c>
      <c r="D8" s="8">
        <f>INDEX(Data!$Q$2:$Q$313,MATCH($A8,Data!$B$2:$B$313,0))</f>
        <v/>
      </c>
      <c r="E8" s="11">
        <f>IF($C8="C1first",SUMIFS(Data!$K$2:$K$313,Data!$B$2:$B$313,$A8,Data!$O$2:$O$313,"Baseline_1"),SUMIFS(Data!$K$2:$K$313,Data!$B$2:$B$313,$A8,Data!$O$2:$O$313,"Baseline_2"))</f>
        <v/>
      </c>
      <c r="F8" s="11">
        <f>SUMIFS(Data!$K$2:$K$313,Data!$B$2:$B$313,$A8,Data!$O$2:$O$313,"EndScene_C1")</f>
        <v/>
      </c>
      <c r="G8" s="11">
        <f>F8-E8</f>
        <v/>
      </c>
      <c r="I8" t="inlineStr">
        <is>
          <t>Version A n</t>
        </is>
      </c>
      <c r="J8" s="15">
        <f>COUNT(G5:G26)</f>
        <v/>
      </c>
      <c r="K8" s="14" t="inlineStr">
        <is>
          <t>=COUNT(G5:G26)</t>
        </is>
      </c>
      <c r="L8" s="7" t="inlineStr">
        <is>
          <t>must equal the check below</t>
        </is>
      </c>
    </row>
    <row r="9">
      <c r="A9" s="8" t="inlineStr">
        <is>
          <t>P11</t>
        </is>
      </c>
      <c r="B9" s="8">
        <f>INDEX(Data!$M$2:$M$313,MATCH($A9,Data!$B$2:$B$313,0))</f>
        <v/>
      </c>
      <c r="C9" s="8">
        <f>INDEX(Data!$N$2:$N$313,MATCH($A9,Data!$B$2:$B$313,0))</f>
        <v/>
      </c>
      <c r="D9" s="8">
        <f>INDEX(Data!$Q$2:$Q$313,MATCH($A9,Data!$B$2:$B$313,0))</f>
        <v/>
      </c>
      <c r="E9" s="11">
        <f>IF($C9="C1first",SUMIFS(Data!$K$2:$K$313,Data!$B$2:$B$313,$A9,Data!$O$2:$O$313,"Baseline_1"),SUMIFS(Data!$K$2:$K$313,Data!$B$2:$B$313,$A9,Data!$O$2:$O$313,"Baseline_2"))</f>
        <v/>
      </c>
      <c r="F9" s="11">
        <f>SUMIFS(Data!$K$2:$K$313,Data!$B$2:$B$313,$A9,Data!$O$2:$O$313,"EndScene_C1")</f>
        <v/>
      </c>
      <c r="G9" s="11">
        <f>F9-E9</f>
        <v/>
      </c>
      <c r="I9" t="inlineStr">
        <is>
          <t>Version B mean</t>
        </is>
      </c>
      <c r="J9" s="4">
        <f>AVERAGE(G27:G49)</f>
        <v/>
      </c>
      <c r="K9" s="14" t="inlineStr">
        <is>
          <t>=AVERAGE(G27:G49)</t>
        </is>
      </c>
    </row>
    <row r="10">
      <c r="A10" s="8" t="inlineStr">
        <is>
          <t>P13</t>
        </is>
      </c>
      <c r="B10" s="8">
        <f>INDEX(Data!$M$2:$M$313,MATCH($A10,Data!$B$2:$B$313,0))</f>
        <v/>
      </c>
      <c r="C10" s="8">
        <f>INDEX(Data!$N$2:$N$313,MATCH($A10,Data!$B$2:$B$313,0))</f>
        <v/>
      </c>
      <c r="D10" s="8">
        <f>INDEX(Data!$Q$2:$Q$313,MATCH($A10,Data!$B$2:$B$313,0))</f>
        <v/>
      </c>
      <c r="E10" s="11">
        <f>IF($C10="C1first",SUMIFS(Data!$K$2:$K$313,Data!$B$2:$B$313,$A10,Data!$O$2:$O$313,"Baseline_1"),SUMIFS(Data!$K$2:$K$313,Data!$B$2:$B$313,$A10,Data!$O$2:$O$313,"Baseline_2"))</f>
        <v/>
      </c>
      <c r="F10" s="11">
        <f>SUMIFS(Data!$K$2:$K$313,Data!$B$2:$B$313,$A10,Data!$O$2:$O$313,"EndScene_C1")</f>
        <v/>
      </c>
      <c r="G10" s="11">
        <f>F10-E10</f>
        <v/>
      </c>
      <c r="I10" t="inlineStr">
        <is>
          <t>Version B SD</t>
        </is>
      </c>
      <c r="J10" s="4">
        <f>_xlfn.STDEV.S(G27:G49)</f>
        <v/>
      </c>
      <c r="K10" s="14" t="inlineStr">
        <is>
          <t>=STDEV.S(G27:G49)</t>
        </is>
      </c>
    </row>
    <row r="11">
      <c r="A11" s="8" t="inlineStr">
        <is>
          <t>P14</t>
        </is>
      </c>
      <c r="B11" s="8">
        <f>INDEX(Data!$M$2:$M$313,MATCH($A11,Data!$B$2:$B$313,0))</f>
        <v/>
      </c>
      <c r="C11" s="8">
        <f>INDEX(Data!$N$2:$N$313,MATCH($A11,Data!$B$2:$B$313,0))</f>
        <v/>
      </c>
      <c r="D11" s="8">
        <f>INDEX(Data!$Q$2:$Q$313,MATCH($A11,Data!$B$2:$B$313,0))</f>
        <v/>
      </c>
      <c r="E11" s="11">
        <f>IF($C11="C1first",SUMIFS(Data!$K$2:$K$313,Data!$B$2:$B$313,$A11,Data!$O$2:$O$313,"Baseline_1"),SUMIFS(Data!$K$2:$K$313,Data!$B$2:$B$313,$A11,Data!$O$2:$O$313,"Baseline_2"))</f>
        <v/>
      </c>
      <c r="F11" s="11">
        <f>SUMIFS(Data!$K$2:$K$313,Data!$B$2:$B$313,$A11,Data!$O$2:$O$313,"EndScene_C1")</f>
        <v/>
      </c>
      <c r="G11" s="11">
        <f>F11-E11</f>
        <v/>
      </c>
      <c r="I11" t="inlineStr">
        <is>
          <t>Version B n</t>
        </is>
      </c>
      <c r="J11" s="15">
        <f>COUNT(G27:G49)</f>
        <v/>
      </c>
      <c r="K11" s="14" t="inlineStr">
        <is>
          <t>=COUNT(G27:G49)</t>
        </is>
      </c>
    </row>
    <row r="12">
      <c r="A12" s="8" t="inlineStr">
        <is>
          <t>P20</t>
        </is>
      </c>
      <c r="B12" s="8">
        <f>INDEX(Data!$M$2:$M$313,MATCH($A12,Data!$B$2:$B$313,0))</f>
        <v/>
      </c>
      <c r="C12" s="8">
        <f>INDEX(Data!$N$2:$N$313,MATCH($A12,Data!$B$2:$B$313,0))</f>
        <v/>
      </c>
      <c r="D12" s="8">
        <f>INDEX(Data!$Q$2:$Q$313,MATCH($A12,Data!$B$2:$B$313,0))</f>
        <v/>
      </c>
      <c r="E12" s="11">
        <f>IF($C12="C1first",SUMIFS(Data!$K$2:$K$313,Data!$B$2:$B$313,$A12,Data!$O$2:$O$313,"Baseline_1"),SUMIFS(Data!$K$2:$K$313,Data!$B$2:$B$313,$A12,Data!$O$2:$O$313,"Baseline_2"))</f>
        <v/>
      </c>
      <c r="F12" s="11">
        <f>SUMIFS(Data!$K$2:$K$313,Data!$B$2:$B$313,$A12,Data!$O$2:$O$313,"EndScene_C1")</f>
        <v/>
      </c>
      <c r="G12" s="11">
        <f>F12-E12</f>
        <v/>
      </c>
      <c r="I12" t="inlineStr">
        <is>
          <t>Difference, Version A minus Version B</t>
        </is>
      </c>
      <c r="J12" s="4">
        <f>J6-J9</f>
        <v/>
      </c>
      <c r="K12" s="14" t="inlineStr">
        <is>
          <t>=J6-J9</t>
        </is>
      </c>
    </row>
    <row r="13">
      <c r="A13" s="8" t="inlineStr">
        <is>
          <t>P23</t>
        </is>
      </c>
      <c r="B13" s="8">
        <f>INDEX(Data!$M$2:$M$313,MATCH($A13,Data!$B$2:$B$313,0))</f>
        <v/>
      </c>
      <c r="C13" s="8">
        <f>INDEX(Data!$N$2:$N$313,MATCH($A13,Data!$B$2:$B$313,0))</f>
        <v/>
      </c>
      <c r="D13" s="8">
        <f>INDEX(Data!$Q$2:$Q$313,MATCH($A13,Data!$B$2:$B$313,0))</f>
        <v/>
      </c>
      <c r="E13" s="11">
        <f>IF($C13="C1first",SUMIFS(Data!$K$2:$K$313,Data!$B$2:$B$313,$A13,Data!$O$2:$O$313,"Baseline_1"),SUMIFS(Data!$K$2:$K$313,Data!$B$2:$B$313,$A13,Data!$O$2:$O$313,"Baseline_2"))</f>
        <v/>
      </c>
      <c r="F13" s="11">
        <f>SUMIFS(Data!$K$2:$K$313,Data!$B$2:$B$313,$A13,Data!$O$2:$O$313,"EndScene_C1")</f>
        <v/>
      </c>
      <c r="G13" s="11">
        <f>F13-E13</f>
        <v/>
      </c>
      <c r="I13" t="inlineStr">
        <is>
          <t>SE of the difference (Welch)</t>
        </is>
      </c>
      <c r="J13" s="4">
        <f>SQRT(J7^2/J8+J10^2/J11)</f>
        <v/>
      </c>
      <c r="K13" s="14" t="inlineStr">
        <is>
          <t>=SQRT(J7^2/J8+J10^2/J11)</t>
        </is>
      </c>
      <c r="L13" s="7" t="inlineStr">
        <is>
          <t>each group keeps its own variance</t>
        </is>
      </c>
    </row>
    <row r="14">
      <c r="A14" s="8" t="inlineStr">
        <is>
          <t>P24</t>
        </is>
      </c>
      <c r="B14" s="8">
        <f>INDEX(Data!$M$2:$M$313,MATCH($A14,Data!$B$2:$B$313,0))</f>
        <v/>
      </c>
      <c r="C14" s="8">
        <f>INDEX(Data!$N$2:$N$313,MATCH($A14,Data!$B$2:$B$313,0))</f>
        <v/>
      </c>
      <c r="D14" s="8">
        <f>INDEX(Data!$Q$2:$Q$313,MATCH($A14,Data!$B$2:$B$313,0))</f>
        <v/>
      </c>
      <c r="E14" s="11">
        <f>IF($C14="C1first",SUMIFS(Data!$K$2:$K$313,Data!$B$2:$B$313,$A14,Data!$O$2:$O$313,"Baseline_1"),SUMIFS(Data!$K$2:$K$313,Data!$B$2:$B$313,$A14,Data!$O$2:$O$313,"Baseline_2"))</f>
        <v/>
      </c>
      <c r="F14" s="11">
        <f>SUMIFS(Data!$K$2:$K$313,Data!$B$2:$B$313,$A14,Data!$O$2:$O$313,"EndScene_C1")</f>
        <v/>
      </c>
      <c r="G14" s="11">
        <f>F14-E14</f>
        <v/>
      </c>
      <c r="I14" t="inlineStr">
        <is>
          <t>Welch t</t>
        </is>
      </c>
      <c r="J14" s="4">
        <f>J12/J13</f>
        <v/>
      </c>
      <c r="K14" s="14" t="inlineStr">
        <is>
          <t>=J12/J13</t>
        </is>
      </c>
    </row>
    <row r="15">
      <c r="A15" s="8" t="inlineStr">
        <is>
          <t>P28</t>
        </is>
      </c>
      <c r="B15" s="8">
        <f>INDEX(Data!$M$2:$M$313,MATCH($A15,Data!$B$2:$B$313,0))</f>
        <v/>
      </c>
      <c r="C15" s="8">
        <f>INDEX(Data!$N$2:$N$313,MATCH($A15,Data!$B$2:$B$313,0))</f>
        <v/>
      </c>
      <c r="D15" s="8">
        <f>INDEX(Data!$Q$2:$Q$313,MATCH($A15,Data!$B$2:$B$313,0))</f>
        <v/>
      </c>
      <c r="E15" s="11">
        <f>IF($C15="C1first",SUMIFS(Data!$K$2:$K$313,Data!$B$2:$B$313,$A15,Data!$O$2:$O$313,"Baseline_1"),SUMIFS(Data!$K$2:$K$313,Data!$B$2:$B$313,$A15,Data!$O$2:$O$313,"Baseline_2"))</f>
        <v/>
      </c>
      <c r="F15" s="11">
        <f>SUMIFS(Data!$K$2:$K$313,Data!$B$2:$B$313,$A15,Data!$O$2:$O$313,"EndScene_C1")</f>
        <v/>
      </c>
      <c r="G15" s="11">
        <f>F15-E15</f>
        <v/>
      </c>
      <c r="I15" t="inlineStr">
        <is>
          <t>Welch df</t>
        </is>
      </c>
      <c r="J15" s="5">
        <f>(J7^2/J8+J10^2/J11)^2/((J7^2/J8)^2/(J8-1)+(J10^2/J11)^2/(J11-1))</f>
        <v/>
      </c>
      <c r="K15" s="14" t="inlineStr">
        <is>
          <t>=(J7^2/J8+J10^2/J11)^2/((J7^2/J8)^2/(J8-1)+(J10^2/J11)^2/(J11-1))</t>
        </is>
      </c>
      <c r="L15" s="7" t="inlineStr">
        <is>
          <t>Welch Satterthwaite formula; not a whole number</t>
        </is>
      </c>
    </row>
    <row r="16">
      <c r="A16" s="8" t="inlineStr">
        <is>
          <t>P30</t>
        </is>
      </c>
      <c r="B16" s="8">
        <f>INDEX(Data!$M$2:$M$313,MATCH($A16,Data!$B$2:$B$313,0))</f>
        <v/>
      </c>
      <c r="C16" s="8">
        <f>INDEX(Data!$N$2:$N$313,MATCH($A16,Data!$B$2:$B$313,0))</f>
        <v/>
      </c>
      <c r="D16" s="8">
        <f>INDEX(Data!$Q$2:$Q$313,MATCH($A16,Data!$B$2:$B$313,0))</f>
        <v/>
      </c>
      <c r="E16" s="11">
        <f>IF($C16="C1first",SUMIFS(Data!$K$2:$K$313,Data!$B$2:$B$313,$A16,Data!$O$2:$O$313,"Baseline_1"),SUMIFS(Data!$K$2:$K$313,Data!$B$2:$B$313,$A16,Data!$O$2:$O$313,"Baseline_2"))</f>
        <v/>
      </c>
      <c r="F16" s="11">
        <f>SUMIFS(Data!$K$2:$K$313,Data!$B$2:$B$313,$A16,Data!$O$2:$O$313,"EndScene_C1")</f>
        <v/>
      </c>
      <c r="G16" s="11">
        <f>F16-E16</f>
        <v/>
      </c>
      <c r="I16" t="inlineStr">
        <is>
          <t>p, two tailed (T.TEST type 3)</t>
        </is>
      </c>
      <c r="J16" s="16">
        <f>_xlfn.T.TEST(G5:G26,G27:G49,2,3)</f>
        <v/>
      </c>
      <c r="K16" s="14" t="inlineStr">
        <is>
          <t>=T.TEST(G5:G26,G27:G49,2,3)</t>
        </is>
      </c>
      <c r="L16" s="7" t="inlineStr">
        <is>
          <t>type 3 = two groups, unequal variances (Welch)</t>
        </is>
      </c>
    </row>
    <row r="17">
      <c r="A17" s="8" t="inlineStr">
        <is>
          <t>P31</t>
        </is>
      </c>
      <c r="B17" s="8">
        <f>INDEX(Data!$M$2:$M$313,MATCH($A17,Data!$B$2:$B$313,0))</f>
        <v/>
      </c>
      <c r="C17" s="8">
        <f>INDEX(Data!$N$2:$N$313,MATCH($A17,Data!$B$2:$B$313,0))</f>
        <v/>
      </c>
      <c r="D17" s="8">
        <f>INDEX(Data!$Q$2:$Q$313,MATCH($A17,Data!$B$2:$B$313,0))</f>
        <v/>
      </c>
      <c r="E17" s="11">
        <f>IF($C17="C1first",SUMIFS(Data!$K$2:$K$313,Data!$B$2:$B$313,$A17,Data!$O$2:$O$313,"Baseline_1"),SUMIFS(Data!$K$2:$K$313,Data!$B$2:$B$313,$A17,Data!$O$2:$O$313,"Baseline_2"))</f>
        <v/>
      </c>
      <c r="F17" s="11">
        <f>SUMIFS(Data!$K$2:$K$313,Data!$B$2:$B$313,$A17,Data!$O$2:$O$313,"EndScene_C1")</f>
        <v/>
      </c>
      <c r="G17" s="11">
        <f>F17-E17</f>
        <v/>
      </c>
      <c r="I17" t="inlineStr">
        <is>
          <t>p from the hand computed t</t>
        </is>
      </c>
      <c r="J17" s="16">
        <f>_xlfn.T.DIST.2T(ABS(J14),J15)</f>
        <v/>
      </c>
      <c r="K17" s="14" t="inlineStr">
        <is>
          <t>=T.DIST.2T(ABS(J14),J15)</t>
        </is>
      </c>
      <c r="L17" s="7" t="inlineStr">
        <is>
          <t>may round the df down to a whole number; report the T.TEST cell</t>
        </is>
      </c>
    </row>
    <row r="18">
      <c r="A18" s="8" t="inlineStr">
        <is>
          <t>P34</t>
        </is>
      </c>
      <c r="B18" s="8">
        <f>INDEX(Data!$M$2:$M$313,MATCH($A18,Data!$B$2:$B$313,0))</f>
        <v/>
      </c>
      <c r="C18" s="8">
        <f>INDEX(Data!$N$2:$N$313,MATCH($A18,Data!$B$2:$B$313,0))</f>
        <v/>
      </c>
      <c r="D18" s="8">
        <f>INDEX(Data!$Q$2:$Q$313,MATCH($A18,Data!$B$2:$B$313,0))</f>
        <v/>
      </c>
      <c r="E18" s="11">
        <f>IF($C18="C1first",SUMIFS(Data!$K$2:$K$313,Data!$B$2:$B$313,$A18,Data!$O$2:$O$313,"Baseline_1"),SUMIFS(Data!$K$2:$K$313,Data!$B$2:$B$313,$A18,Data!$O$2:$O$313,"Baseline_2"))</f>
        <v/>
      </c>
      <c r="F18" s="11">
        <f>SUMIFS(Data!$K$2:$K$313,Data!$B$2:$B$313,$A18,Data!$O$2:$O$313,"EndScene_C1")</f>
        <v/>
      </c>
      <c r="G18" s="11">
        <f>F18-E18</f>
        <v/>
      </c>
      <c r="I18" t="inlineStr">
        <is>
          <t>p, one tailed, predicted direction A &gt; B (teaching only)</t>
        </is>
      </c>
      <c r="J18" s="16">
        <f>IF(J14&gt;0,J16/2,1-J16/2)</f>
        <v/>
      </c>
      <c r="K18" s="14" t="inlineStr">
        <is>
          <t>=IF(J14&gt;0,J16/2,1-J16/2)</t>
        </is>
      </c>
      <c r="L18" s="7" t="inlineStr">
        <is>
          <t>half the two tailed p when t points the predicted way; T.TEST with tails = 1 ignores the direction</t>
        </is>
      </c>
    </row>
    <row r="19">
      <c r="A19" s="8" t="inlineStr">
        <is>
          <t>P35</t>
        </is>
      </c>
      <c r="B19" s="8">
        <f>INDEX(Data!$M$2:$M$313,MATCH($A19,Data!$B$2:$B$313,0))</f>
        <v/>
      </c>
      <c r="C19" s="8">
        <f>INDEX(Data!$N$2:$N$313,MATCH($A19,Data!$B$2:$B$313,0))</f>
        <v/>
      </c>
      <c r="D19" s="8">
        <f>INDEX(Data!$Q$2:$Q$313,MATCH($A19,Data!$B$2:$B$313,0))</f>
        <v/>
      </c>
      <c r="E19" s="11">
        <f>IF($C19="C1first",SUMIFS(Data!$K$2:$K$313,Data!$B$2:$B$313,$A19,Data!$O$2:$O$313,"Baseline_1"),SUMIFS(Data!$K$2:$K$313,Data!$B$2:$B$313,$A19,Data!$O$2:$O$313,"Baseline_2"))</f>
        <v/>
      </c>
      <c r="F19" s="11">
        <f>SUMIFS(Data!$K$2:$K$313,Data!$B$2:$B$313,$A19,Data!$O$2:$O$313,"EndScene_C1")</f>
        <v/>
      </c>
      <c r="G19" s="11">
        <f>F19-E19</f>
        <v/>
      </c>
      <c r="I19" t="inlineStr">
        <is>
          <t>Critical t (95%)</t>
        </is>
      </c>
      <c r="J19" s="4">
        <f>_xlfn.T.INV.2T(0.05,J15)</f>
        <v/>
      </c>
      <c r="K19" s="14" t="inlineStr">
        <is>
          <t>=T.INV.2T(0.05,J15)</t>
        </is>
      </c>
      <c r="L19" s="7" t="inlineStr">
        <is>
          <t>may also round the df down</t>
        </is>
      </c>
    </row>
    <row r="20">
      <c r="A20" s="8" t="inlineStr">
        <is>
          <t>P37</t>
        </is>
      </c>
      <c r="B20" s="8">
        <f>INDEX(Data!$M$2:$M$313,MATCH($A20,Data!$B$2:$B$313,0))</f>
        <v/>
      </c>
      <c r="C20" s="8">
        <f>INDEX(Data!$N$2:$N$313,MATCH($A20,Data!$B$2:$B$313,0))</f>
        <v/>
      </c>
      <c r="D20" s="8">
        <f>INDEX(Data!$Q$2:$Q$313,MATCH($A20,Data!$B$2:$B$313,0))</f>
        <v/>
      </c>
      <c r="E20" s="11">
        <f>IF($C20="C1first",SUMIFS(Data!$K$2:$K$313,Data!$B$2:$B$313,$A20,Data!$O$2:$O$313,"Baseline_1"),SUMIFS(Data!$K$2:$K$313,Data!$B$2:$B$313,$A20,Data!$O$2:$O$313,"Baseline_2"))</f>
        <v/>
      </c>
      <c r="F20" s="11">
        <f>SUMIFS(Data!$K$2:$K$313,Data!$B$2:$B$313,$A20,Data!$O$2:$O$313,"EndScene_C1")</f>
        <v/>
      </c>
      <c r="G20" s="11">
        <f>F20-E20</f>
        <v/>
      </c>
      <c r="I20" t="inlineStr">
        <is>
          <t>Difference 95% CI lower</t>
        </is>
      </c>
      <c r="J20" s="4">
        <f>J12-J19*J13</f>
        <v/>
      </c>
      <c r="K20" s="14" t="inlineStr">
        <is>
          <t>=J12-J19*J13</t>
        </is>
      </c>
    </row>
    <row r="21">
      <c r="A21" s="8" t="inlineStr">
        <is>
          <t>P38</t>
        </is>
      </c>
      <c r="B21" s="8">
        <f>INDEX(Data!$M$2:$M$313,MATCH($A21,Data!$B$2:$B$313,0))</f>
        <v/>
      </c>
      <c r="C21" s="8">
        <f>INDEX(Data!$N$2:$N$313,MATCH($A21,Data!$B$2:$B$313,0))</f>
        <v/>
      </c>
      <c r="D21" s="8">
        <f>INDEX(Data!$Q$2:$Q$313,MATCH($A21,Data!$B$2:$B$313,0))</f>
        <v/>
      </c>
      <c r="E21" s="11">
        <f>IF($C21="C1first",SUMIFS(Data!$K$2:$K$313,Data!$B$2:$B$313,$A21,Data!$O$2:$O$313,"Baseline_1"),SUMIFS(Data!$K$2:$K$313,Data!$B$2:$B$313,$A21,Data!$O$2:$O$313,"Baseline_2"))</f>
        <v/>
      </c>
      <c r="F21" s="11">
        <f>SUMIFS(Data!$K$2:$K$313,Data!$B$2:$B$313,$A21,Data!$O$2:$O$313,"EndScene_C1")</f>
        <v/>
      </c>
      <c r="G21" s="11">
        <f>F21-E21</f>
        <v/>
      </c>
      <c r="I21" t="inlineStr">
        <is>
          <t>Difference 95% CI upper</t>
        </is>
      </c>
      <c r="J21" s="4">
        <f>J12+J19*J13</f>
        <v/>
      </c>
      <c r="K21" s="14" t="inlineStr">
        <is>
          <t>=J12+J19*J13</t>
        </is>
      </c>
    </row>
    <row r="22">
      <c r="A22" s="8" t="inlineStr">
        <is>
          <t>P44</t>
        </is>
      </c>
      <c r="B22" s="8">
        <f>INDEX(Data!$M$2:$M$313,MATCH($A22,Data!$B$2:$B$313,0))</f>
        <v/>
      </c>
      <c r="C22" s="8">
        <f>INDEX(Data!$N$2:$N$313,MATCH($A22,Data!$B$2:$B$313,0))</f>
        <v/>
      </c>
      <c r="D22" s="8">
        <f>INDEX(Data!$Q$2:$Q$313,MATCH($A22,Data!$B$2:$B$313,0))</f>
        <v/>
      </c>
      <c r="E22" s="11">
        <f>IF($C22="C1first",SUMIFS(Data!$K$2:$K$313,Data!$B$2:$B$313,$A22,Data!$O$2:$O$313,"Baseline_1"),SUMIFS(Data!$K$2:$K$313,Data!$B$2:$B$313,$A22,Data!$O$2:$O$313,"Baseline_2"))</f>
        <v/>
      </c>
      <c r="F22" s="11">
        <f>SUMIFS(Data!$K$2:$K$313,Data!$B$2:$B$313,$A22,Data!$O$2:$O$313,"EndScene_C1")</f>
        <v/>
      </c>
      <c r="G22" s="11">
        <f>F22-E22</f>
        <v/>
      </c>
      <c r="I22" t="inlineStr">
        <is>
          <t>Pooled SD (for the effect size)</t>
        </is>
      </c>
      <c r="J22" s="4">
        <f>SQRT(((J8-1)*J7^2+(J11-1)*J10^2)/(J8+J11-2))</f>
        <v/>
      </c>
      <c r="K22" s="14" t="inlineStr">
        <is>
          <t>=SQRT(((J8-1)*J7^2+(J11-1)*J10^2)/(J8+J11-2))</t>
        </is>
      </c>
    </row>
    <row r="23">
      <c r="A23" s="8" t="inlineStr">
        <is>
          <t>P46</t>
        </is>
      </c>
      <c r="B23" s="8">
        <f>INDEX(Data!$M$2:$M$313,MATCH($A23,Data!$B$2:$B$313,0))</f>
        <v/>
      </c>
      <c r="C23" s="8">
        <f>INDEX(Data!$N$2:$N$313,MATCH($A23,Data!$B$2:$B$313,0))</f>
        <v/>
      </c>
      <c r="D23" s="8">
        <f>INDEX(Data!$Q$2:$Q$313,MATCH($A23,Data!$B$2:$B$313,0))</f>
        <v/>
      </c>
      <c r="E23" s="11">
        <f>IF($C23="C1first",SUMIFS(Data!$K$2:$K$313,Data!$B$2:$B$313,$A23,Data!$O$2:$O$313,"Baseline_1"),SUMIFS(Data!$K$2:$K$313,Data!$B$2:$B$313,$A23,Data!$O$2:$O$313,"Baseline_2"))</f>
        <v/>
      </c>
      <c r="F23" s="11">
        <f>SUMIFS(Data!$K$2:$K$313,Data!$B$2:$B$313,$A23,Data!$O$2:$O$313,"EndScene_C1")</f>
        <v/>
      </c>
      <c r="G23" s="11">
        <f>F23-E23</f>
        <v/>
      </c>
      <c r="I23" t="inlineStr">
        <is>
          <t>Cohen's d</t>
        </is>
      </c>
      <c r="J23" s="4">
        <f>J12/J22</f>
        <v/>
      </c>
      <c r="K23" s="14" t="inlineStr">
        <is>
          <t>=J12/J22</t>
        </is>
      </c>
      <c r="L23" s="7" t="inlineStr">
        <is>
          <t>difference / pooled SD</t>
        </is>
      </c>
    </row>
    <row r="24">
      <c r="A24" s="8" t="inlineStr">
        <is>
          <t>P47</t>
        </is>
      </c>
      <c r="B24" s="8">
        <f>INDEX(Data!$M$2:$M$313,MATCH($A24,Data!$B$2:$B$313,0))</f>
        <v/>
      </c>
      <c r="C24" s="8">
        <f>INDEX(Data!$N$2:$N$313,MATCH($A24,Data!$B$2:$B$313,0))</f>
        <v/>
      </c>
      <c r="D24" s="8">
        <f>INDEX(Data!$Q$2:$Q$313,MATCH($A24,Data!$B$2:$B$313,0))</f>
        <v/>
      </c>
      <c r="E24" s="11">
        <f>IF($C24="C1first",SUMIFS(Data!$K$2:$K$313,Data!$B$2:$B$313,$A24,Data!$O$2:$O$313,"Baseline_1"),SUMIFS(Data!$K$2:$K$313,Data!$B$2:$B$313,$A24,Data!$O$2:$O$313,"Baseline_2"))</f>
        <v/>
      </c>
      <c r="F24" s="11">
        <f>SUMIFS(Data!$K$2:$K$313,Data!$B$2:$B$313,$A24,Data!$O$2:$O$313,"EndScene_C1")</f>
        <v/>
      </c>
      <c r="G24" s="11">
        <f>F24-E24</f>
        <v/>
      </c>
      <c r="I24" t="inlineStr">
        <is>
          <t>Small sample correction J</t>
        </is>
      </c>
      <c r="J24" s="4">
        <f>1-3/(4*(J8+J11)-9)</f>
        <v/>
      </c>
      <c r="K24" s="14" t="inlineStr">
        <is>
          <t>=1-3/(4*(J8+J11)-9)</t>
        </is>
      </c>
      <c r="L24" s="7" t="inlineStr">
        <is>
          <t>Hedges' approximation</t>
        </is>
      </c>
    </row>
    <row r="25">
      <c r="A25" s="8" t="inlineStr">
        <is>
          <t>P04</t>
        </is>
      </c>
      <c r="B25" s="8">
        <f>INDEX(Data!$M$2:$M$313,MATCH($A25,Data!$B$2:$B$313,0))</f>
        <v/>
      </c>
      <c r="C25" s="8">
        <f>INDEX(Data!$N$2:$N$313,MATCH($A25,Data!$B$2:$B$313,0))</f>
        <v/>
      </c>
      <c r="D25" s="8">
        <f>INDEX(Data!$Q$2:$Q$313,MATCH($A25,Data!$B$2:$B$313,0))</f>
        <v/>
      </c>
      <c r="E25" s="11">
        <f>IF($C25="C1first",SUMIFS(Data!$K$2:$K$313,Data!$B$2:$B$313,$A25,Data!$O$2:$O$313,"Baseline_1"),SUMIFS(Data!$K$2:$K$313,Data!$B$2:$B$313,$A25,Data!$O$2:$O$313,"Baseline_2"))</f>
        <v/>
      </c>
      <c r="F25" s="11">
        <f>SUMIFS(Data!$K$2:$K$313,Data!$B$2:$B$313,$A25,Data!$O$2:$O$313,"EndScene_C1")</f>
        <v/>
      </c>
      <c r="G25" s="11">
        <f>F25-E25</f>
        <v/>
      </c>
      <c r="I25" t="inlineStr">
        <is>
          <t>Hedges' g</t>
        </is>
      </c>
      <c r="J25" s="4">
        <f>J24*J23</f>
        <v/>
      </c>
      <c r="K25" s="14" t="inlineStr">
        <is>
          <t>=J24*J23</t>
        </is>
      </c>
    </row>
    <row r="26">
      <c r="A26" s="8" t="inlineStr">
        <is>
          <t>P18</t>
        </is>
      </c>
      <c r="B26" s="8">
        <f>INDEX(Data!$M$2:$M$313,MATCH($A26,Data!$B$2:$B$313,0))</f>
        <v/>
      </c>
      <c r="C26" s="8">
        <f>INDEX(Data!$N$2:$N$313,MATCH($A26,Data!$B$2:$B$313,0))</f>
        <v/>
      </c>
      <c r="D26" s="8">
        <f>INDEX(Data!$Q$2:$Q$313,MATCH($A26,Data!$B$2:$B$313,0))</f>
        <v/>
      </c>
      <c r="E26" s="11">
        <f>IF($C26="C1first",SUMIFS(Data!$K$2:$K$313,Data!$B$2:$B$313,$A26,Data!$O$2:$O$313,"Baseline_1"),SUMIFS(Data!$K$2:$K$313,Data!$B$2:$B$313,$A26,Data!$O$2:$O$313,"Baseline_2"))</f>
        <v/>
      </c>
      <c r="F26" s="11">
        <f>SUMIFS(Data!$K$2:$K$313,Data!$B$2:$B$313,$A26,Data!$O$2:$O$313,"EndScene_C1")</f>
        <v/>
      </c>
      <c r="G26" s="11">
        <f>F26-E26</f>
        <v/>
      </c>
      <c r="I26" t="inlineStr">
        <is>
          <t>SE of g (approximation)</t>
        </is>
      </c>
      <c r="J26" s="4">
        <f>SQRT((J8+J11)/(J8*J11)+J25^2/(2*(J8+J11)))</f>
        <v/>
      </c>
      <c r="K26" s="14" t="inlineStr">
        <is>
          <t>=SQRT((J8+J11)/(J8*J11)+J25^2/(2*(J8+J11)))</t>
        </is>
      </c>
    </row>
    <row r="27">
      <c r="A27" s="8" t="inlineStr">
        <is>
          <t>P01</t>
        </is>
      </c>
      <c r="B27" s="8">
        <f>INDEX(Data!$M$2:$M$313,MATCH($A27,Data!$B$2:$B$313,0))</f>
        <v/>
      </c>
      <c r="C27" s="8">
        <f>INDEX(Data!$N$2:$N$313,MATCH($A27,Data!$B$2:$B$313,0))</f>
        <v/>
      </c>
      <c r="D27" s="8">
        <f>INDEX(Data!$Q$2:$Q$313,MATCH($A27,Data!$B$2:$B$313,0))</f>
        <v/>
      </c>
      <c r="E27" s="11">
        <f>IF($C27="C1first",SUMIFS(Data!$K$2:$K$313,Data!$B$2:$B$313,$A27,Data!$O$2:$O$313,"Baseline_1"),SUMIFS(Data!$K$2:$K$313,Data!$B$2:$B$313,$A27,Data!$O$2:$O$313,"Baseline_2"))</f>
        <v/>
      </c>
      <c r="F27" s="11">
        <f>SUMIFS(Data!$K$2:$K$313,Data!$B$2:$B$313,$A27,Data!$O$2:$O$313,"EndScene_C1")</f>
        <v/>
      </c>
      <c r="G27" s="11">
        <f>F27-E27</f>
        <v/>
      </c>
      <c r="I27" t="inlineStr">
        <is>
          <t>g 95% CI lower (approximation)</t>
        </is>
      </c>
      <c r="J27" s="4">
        <f>J25-1.96*J26</f>
        <v/>
      </c>
      <c r="K27" s="14" t="inlineStr">
        <is>
          <t>=J25-1.96*J26</t>
        </is>
      </c>
      <c r="L27" s="7" t="inlineStr">
        <is>
          <t>R also gives the exact noncentral t interval</t>
        </is>
      </c>
    </row>
    <row r="28">
      <c r="A28" s="8" t="inlineStr">
        <is>
          <t>P03</t>
        </is>
      </c>
      <c r="B28" s="8">
        <f>INDEX(Data!$M$2:$M$313,MATCH($A28,Data!$B$2:$B$313,0))</f>
        <v/>
      </c>
      <c r="C28" s="8">
        <f>INDEX(Data!$N$2:$N$313,MATCH($A28,Data!$B$2:$B$313,0))</f>
        <v/>
      </c>
      <c r="D28" s="8">
        <f>INDEX(Data!$Q$2:$Q$313,MATCH($A28,Data!$B$2:$B$313,0))</f>
        <v/>
      </c>
      <c r="E28" s="11">
        <f>IF($C28="C1first",SUMIFS(Data!$K$2:$K$313,Data!$B$2:$B$313,$A28,Data!$O$2:$O$313,"Baseline_1"),SUMIFS(Data!$K$2:$K$313,Data!$B$2:$B$313,$A28,Data!$O$2:$O$313,"Baseline_2"))</f>
        <v/>
      </c>
      <c r="F28" s="11">
        <f>SUMIFS(Data!$K$2:$K$313,Data!$B$2:$B$313,$A28,Data!$O$2:$O$313,"EndScene_C1")</f>
        <v/>
      </c>
      <c r="G28" s="11">
        <f>F28-E28</f>
        <v/>
      </c>
      <c r="I28" t="inlineStr">
        <is>
          <t>g 95% CI upper (approximation)</t>
        </is>
      </c>
      <c r="J28" s="4">
        <f>J25+1.96*J26</f>
        <v/>
      </c>
      <c r="K28" s="14" t="inlineStr">
        <is>
          <t>=J25+1.96*J26</t>
        </is>
      </c>
    </row>
    <row r="29">
      <c r="A29" s="8" t="inlineStr">
        <is>
          <t>P06</t>
        </is>
      </c>
      <c r="B29" s="8">
        <f>INDEX(Data!$M$2:$M$313,MATCH($A29,Data!$B$2:$B$313,0))</f>
        <v/>
      </c>
      <c r="C29" s="8">
        <f>INDEX(Data!$N$2:$N$313,MATCH($A29,Data!$B$2:$B$313,0))</f>
        <v/>
      </c>
      <c r="D29" s="8">
        <f>INDEX(Data!$Q$2:$Q$313,MATCH($A29,Data!$B$2:$B$313,0))</f>
        <v/>
      </c>
      <c r="E29" s="11">
        <f>IF($C29="C1first",SUMIFS(Data!$K$2:$K$313,Data!$B$2:$B$313,$A29,Data!$O$2:$O$313,"Baseline_1"),SUMIFS(Data!$K$2:$K$313,Data!$B$2:$B$313,$A29,Data!$O$2:$O$313,"Baseline_2"))</f>
        <v/>
      </c>
      <c r="F29" s="11">
        <f>SUMIFS(Data!$K$2:$K$313,Data!$B$2:$B$313,$A29,Data!$O$2:$O$313,"EndScene_C1")</f>
        <v/>
      </c>
      <c r="G29" s="11">
        <f>F29-E29</f>
        <v/>
      </c>
    </row>
    <row r="30">
      <c r="A30" s="8" t="inlineStr">
        <is>
          <t>P07</t>
        </is>
      </c>
      <c r="B30" s="8">
        <f>INDEX(Data!$M$2:$M$313,MATCH($A30,Data!$B$2:$B$313,0))</f>
        <v/>
      </c>
      <c r="C30" s="8">
        <f>INDEX(Data!$N$2:$N$313,MATCH($A30,Data!$B$2:$B$313,0))</f>
        <v/>
      </c>
      <c r="D30" s="8">
        <f>INDEX(Data!$Q$2:$Q$313,MATCH($A30,Data!$B$2:$B$313,0))</f>
        <v/>
      </c>
      <c r="E30" s="11">
        <f>IF($C30="C1first",SUMIFS(Data!$K$2:$K$313,Data!$B$2:$B$313,$A30,Data!$O$2:$O$313,"Baseline_1"),SUMIFS(Data!$K$2:$K$313,Data!$B$2:$B$313,$A30,Data!$O$2:$O$313,"Baseline_2"))</f>
        <v/>
      </c>
      <c r="F30" s="11">
        <f>SUMIFS(Data!$K$2:$K$313,Data!$B$2:$B$313,$A30,Data!$O$2:$O$313,"EndScene_C1")</f>
        <v/>
      </c>
      <c r="G30" s="11">
        <f>F30-E30</f>
        <v/>
      </c>
    </row>
    <row r="31">
      <c r="A31" s="8" t="inlineStr">
        <is>
          <t>P10</t>
        </is>
      </c>
      <c r="B31" s="8">
        <f>INDEX(Data!$M$2:$M$313,MATCH($A31,Data!$B$2:$B$313,0))</f>
        <v/>
      </c>
      <c r="C31" s="8">
        <f>INDEX(Data!$N$2:$N$313,MATCH($A31,Data!$B$2:$B$313,0))</f>
        <v/>
      </c>
      <c r="D31" s="8">
        <f>INDEX(Data!$Q$2:$Q$313,MATCH($A31,Data!$B$2:$B$313,0))</f>
        <v/>
      </c>
      <c r="E31" s="11">
        <f>IF($C31="C1first",SUMIFS(Data!$K$2:$K$313,Data!$B$2:$B$313,$A31,Data!$O$2:$O$313,"Baseline_1"),SUMIFS(Data!$K$2:$K$313,Data!$B$2:$B$313,$A31,Data!$O$2:$O$313,"Baseline_2"))</f>
        <v/>
      </c>
      <c r="F31" s="11">
        <f>SUMIFS(Data!$K$2:$K$313,Data!$B$2:$B$313,$A31,Data!$O$2:$O$313,"EndScene_C1")</f>
        <v/>
      </c>
      <c r="G31" s="11">
        <f>F31-E31</f>
        <v/>
      </c>
      <c r="I31" s="12" t="inlineStr">
        <is>
          <t>Statistic</t>
        </is>
      </c>
      <c r="J31" s="12" t="inlineStr">
        <is>
          <t>Value</t>
        </is>
      </c>
      <c r="K31" s="12" t="inlineStr">
        <is>
          <t>Formula shown</t>
        </is>
      </c>
      <c r="L31" s="12" t="inlineStr">
        <is>
          <t>Note</t>
        </is>
      </c>
    </row>
    <row r="32">
      <c r="A32" s="8" t="inlineStr">
        <is>
          <t>P12</t>
        </is>
      </c>
      <c r="B32" s="8">
        <f>INDEX(Data!$M$2:$M$313,MATCH($A32,Data!$B$2:$B$313,0))</f>
        <v/>
      </c>
      <c r="C32" s="8">
        <f>INDEX(Data!$N$2:$N$313,MATCH($A32,Data!$B$2:$B$313,0))</f>
        <v/>
      </c>
      <c r="D32" s="8">
        <f>INDEX(Data!$Q$2:$Q$313,MATCH($A32,Data!$B$2:$B$313,0))</f>
        <v/>
      </c>
      <c r="E32" s="11">
        <f>IF($C32="C1first",SUMIFS(Data!$K$2:$K$313,Data!$B$2:$B$313,$A32,Data!$O$2:$O$313,"Baseline_1"),SUMIFS(Data!$K$2:$K$313,Data!$B$2:$B$313,$A32,Data!$O$2:$O$313,"Baseline_2"))</f>
        <v/>
      </c>
      <c r="F32" s="11">
        <f>SUMIFS(Data!$K$2:$K$313,Data!$B$2:$B$313,$A32,Data!$O$2:$O$313,"EndScene_C1")</f>
        <v/>
      </c>
      <c r="G32" s="11">
        <f>F32-E32</f>
        <v/>
      </c>
      <c r="I32" s="13" t="inlineStr">
        <is>
          <t>Sensitivity: 15 percent threshold (rows 5 to 24 and 27 to 47)</t>
        </is>
      </c>
    </row>
    <row r="33">
      <c r="A33" s="8" t="inlineStr">
        <is>
          <t>P15</t>
        </is>
      </c>
      <c r="B33" s="8">
        <f>INDEX(Data!$M$2:$M$313,MATCH($A33,Data!$B$2:$B$313,0))</f>
        <v/>
      </c>
      <c r="C33" s="8">
        <f>INDEX(Data!$N$2:$N$313,MATCH($A33,Data!$B$2:$B$313,0))</f>
        <v/>
      </c>
      <c r="D33" s="8">
        <f>INDEX(Data!$Q$2:$Q$313,MATCH($A33,Data!$B$2:$B$313,0))</f>
        <v/>
      </c>
      <c r="E33" s="11">
        <f>IF($C33="C1first",SUMIFS(Data!$K$2:$K$313,Data!$B$2:$B$313,$A33,Data!$O$2:$O$313,"Baseline_1"),SUMIFS(Data!$K$2:$K$313,Data!$B$2:$B$313,$A33,Data!$O$2:$O$313,"Baseline_2"))</f>
        <v/>
      </c>
      <c r="F33" s="11">
        <f>SUMIFS(Data!$K$2:$K$313,Data!$B$2:$B$313,$A33,Data!$O$2:$O$313,"EndScene_C1")</f>
        <v/>
      </c>
      <c r="G33" s="11">
        <f>F33-E33</f>
        <v/>
      </c>
      <c r="I33" t="inlineStr">
        <is>
          <t>Version A mean</t>
        </is>
      </c>
      <c r="J33" s="4">
        <f>AVERAGE(G5:G24)</f>
        <v/>
      </c>
      <c r="K33" s="14" t="inlineStr">
        <is>
          <t>=AVERAGE(G5:G24)</t>
        </is>
      </c>
    </row>
    <row r="34">
      <c r="A34" s="8" t="inlineStr">
        <is>
          <t>P16</t>
        </is>
      </c>
      <c r="B34" s="8">
        <f>INDEX(Data!$M$2:$M$313,MATCH($A34,Data!$B$2:$B$313,0))</f>
        <v/>
      </c>
      <c r="C34" s="8">
        <f>INDEX(Data!$N$2:$N$313,MATCH($A34,Data!$B$2:$B$313,0))</f>
        <v/>
      </c>
      <c r="D34" s="8">
        <f>INDEX(Data!$Q$2:$Q$313,MATCH($A34,Data!$B$2:$B$313,0))</f>
        <v/>
      </c>
      <c r="E34" s="11">
        <f>IF($C34="C1first",SUMIFS(Data!$K$2:$K$313,Data!$B$2:$B$313,$A34,Data!$O$2:$O$313,"Baseline_1"),SUMIFS(Data!$K$2:$K$313,Data!$B$2:$B$313,$A34,Data!$O$2:$O$313,"Baseline_2"))</f>
        <v/>
      </c>
      <c r="F34" s="11">
        <f>SUMIFS(Data!$K$2:$K$313,Data!$B$2:$B$313,$A34,Data!$O$2:$O$313,"EndScene_C1")</f>
        <v/>
      </c>
      <c r="G34" s="11">
        <f>F34-E34</f>
        <v/>
      </c>
      <c r="I34" t="inlineStr">
        <is>
          <t>Version A SD</t>
        </is>
      </c>
      <c r="J34" s="4">
        <f>_xlfn.STDEV.S(G5:G24)</f>
        <v/>
      </c>
      <c r="K34" s="14" t="inlineStr">
        <is>
          <t>=STDEV.S(G5:G24)</t>
        </is>
      </c>
    </row>
    <row r="35">
      <c r="A35" s="8" t="inlineStr">
        <is>
          <t>P17</t>
        </is>
      </c>
      <c r="B35" s="8">
        <f>INDEX(Data!$M$2:$M$313,MATCH($A35,Data!$B$2:$B$313,0))</f>
        <v/>
      </c>
      <c r="C35" s="8">
        <f>INDEX(Data!$N$2:$N$313,MATCH($A35,Data!$B$2:$B$313,0))</f>
        <v/>
      </c>
      <c r="D35" s="8">
        <f>INDEX(Data!$Q$2:$Q$313,MATCH($A35,Data!$B$2:$B$313,0))</f>
        <v/>
      </c>
      <c r="E35" s="11">
        <f>IF($C35="C1first",SUMIFS(Data!$K$2:$K$313,Data!$B$2:$B$313,$A35,Data!$O$2:$O$313,"Baseline_1"),SUMIFS(Data!$K$2:$K$313,Data!$B$2:$B$313,$A35,Data!$O$2:$O$313,"Baseline_2"))</f>
        <v/>
      </c>
      <c r="F35" s="11">
        <f>SUMIFS(Data!$K$2:$K$313,Data!$B$2:$B$313,$A35,Data!$O$2:$O$313,"EndScene_C1")</f>
        <v/>
      </c>
      <c r="G35" s="11">
        <f>F35-E35</f>
        <v/>
      </c>
      <c r="I35" t="inlineStr">
        <is>
          <t>Version A n</t>
        </is>
      </c>
      <c r="J35" s="15">
        <f>COUNT(G5:G24)</f>
        <v/>
      </c>
      <c r="K35" s="14" t="inlineStr">
        <is>
          <t>=COUNT(G5:G24)</t>
        </is>
      </c>
    </row>
    <row r="36">
      <c r="A36" s="8" t="inlineStr">
        <is>
          <t>P19</t>
        </is>
      </c>
      <c r="B36" s="8">
        <f>INDEX(Data!$M$2:$M$313,MATCH($A36,Data!$B$2:$B$313,0))</f>
        <v/>
      </c>
      <c r="C36" s="8">
        <f>INDEX(Data!$N$2:$N$313,MATCH($A36,Data!$B$2:$B$313,0))</f>
        <v/>
      </c>
      <c r="D36" s="8">
        <f>INDEX(Data!$Q$2:$Q$313,MATCH($A36,Data!$B$2:$B$313,0))</f>
        <v/>
      </c>
      <c r="E36" s="11">
        <f>IF($C36="C1first",SUMIFS(Data!$K$2:$K$313,Data!$B$2:$B$313,$A36,Data!$O$2:$O$313,"Baseline_1"),SUMIFS(Data!$K$2:$K$313,Data!$B$2:$B$313,$A36,Data!$O$2:$O$313,"Baseline_2"))</f>
        <v/>
      </c>
      <c r="F36" s="11">
        <f>SUMIFS(Data!$K$2:$K$313,Data!$B$2:$B$313,$A36,Data!$O$2:$O$313,"EndScene_C1")</f>
        <v/>
      </c>
      <c r="G36" s="11">
        <f>F36-E36</f>
        <v/>
      </c>
      <c r="I36" t="inlineStr">
        <is>
          <t>Version B mean</t>
        </is>
      </c>
      <c r="J36" s="4">
        <f>AVERAGE(G27:G47)</f>
        <v/>
      </c>
      <c r="K36" s="14" t="inlineStr">
        <is>
          <t>=AVERAGE(G27:G47)</t>
        </is>
      </c>
    </row>
    <row r="37">
      <c r="A37" s="8" t="inlineStr">
        <is>
          <t>P21</t>
        </is>
      </c>
      <c r="B37" s="8">
        <f>INDEX(Data!$M$2:$M$313,MATCH($A37,Data!$B$2:$B$313,0))</f>
        <v/>
      </c>
      <c r="C37" s="8">
        <f>INDEX(Data!$N$2:$N$313,MATCH($A37,Data!$B$2:$B$313,0))</f>
        <v/>
      </c>
      <c r="D37" s="8">
        <f>INDEX(Data!$Q$2:$Q$313,MATCH($A37,Data!$B$2:$B$313,0))</f>
        <v/>
      </c>
      <c r="E37" s="11">
        <f>IF($C37="C1first",SUMIFS(Data!$K$2:$K$313,Data!$B$2:$B$313,$A37,Data!$O$2:$O$313,"Baseline_1"),SUMIFS(Data!$K$2:$K$313,Data!$B$2:$B$313,$A37,Data!$O$2:$O$313,"Baseline_2"))</f>
        <v/>
      </c>
      <c r="F37" s="11">
        <f>SUMIFS(Data!$K$2:$K$313,Data!$B$2:$B$313,$A37,Data!$O$2:$O$313,"EndScene_C1")</f>
        <v/>
      </c>
      <c r="G37" s="11">
        <f>F37-E37</f>
        <v/>
      </c>
      <c r="I37" t="inlineStr">
        <is>
          <t>Version B SD</t>
        </is>
      </c>
      <c r="J37" s="4">
        <f>_xlfn.STDEV.S(G27:G47)</f>
        <v/>
      </c>
      <c r="K37" s="14" t="inlineStr">
        <is>
          <t>=STDEV.S(G27:G47)</t>
        </is>
      </c>
    </row>
    <row r="38">
      <c r="A38" s="8" t="inlineStr">
        <is>
          <t>P25</t>
        </is>
      </c>
      <c r="B38" s="8">
        <f>INDEX(Data!$M$2:$M$313,MATCH($A38,Data!$B$2:$B$313,0))</f>
        <v/>
      </c>
      <c r="C38" s="8">
        <f>INDEX(Data!$N$2:$N$313,MATCH($A38,Data!$B$2:$B$313,0))</f>
        <v/>
      </c>
      <c r="D38" s="8">
        <f>INDEX(Data!$Q$2:$Q$313,MATCH($A38,Data!$B$2:$B$313,0))</f>
        <v/>
      </c>
      <c r="E38" s="11">
        <f>IF($C38="C1first",SUMIFS(Data!$K$2:$K$313,Data!$B$2:$B$313,$A38,Data!$O$2:$O$313,"Baseline_1"),SUMIFS(Data!$K$2:$K$313,Data!$B$2:$B$313,$A38,Data!$O$2:$O$313,"Baseline_2"))</f>
        <v/>
      </c>
      <c r="F38" s="11">
        <f>SUMIFS(Data!$K$2:$K$313,Data!$B$2:$B$313,$A38,Data!$O$2:$O$313,"EndScene_C1")</f>
        <v/>
      </c>
      <c r="G38" s="11">
        <f>F38-E38</f>
        <v/>
      </c>
      <c r="I38" t="inlineStr">
        <is>
          <t>Version B n</t>
        </is>
      </c>
      <c r="J38" s="15">
        <f>COUNT(G27:G47)</f>
        <v/>
      </c>
      <c r="K38" s="14" t="inlineStr">
        <is>
          <t>=COUNT(G27:G47)</t>
        </is>
      </c>
    </row>
    <row r="39">
      <c r="A39" s="8" t="inlineStr">
        <is>
          <t>P26</t>
        </is>
      </c>
      <c r="B39" s="8">
        <f>INDEX(Data!$M$2:$M$313,MATCH($A39,Data!$B$2:$B$313,0))</f>
        <v/>
      </c>
      <c r="C39" s="8">
        <f>INDEX(Data!$N$2:$N$313,MATCH($A39,Data!$B$2:$B$313,0))</f>
        <v/>
      </c>
      <c r="D39" s="8">
        <f>INDEX(Data!$Q$2:$Q$313,MATCH($A39,Data!$B$2:$B$313,0))</f>
        <v/>
      </c>
      <c r="E39" s="11">
        <f>IF($C39="C1first",SUMIFS(Data!$K$2:$K$313,Data!$B$2:$B$313,$A39,Data!$O$2:$O$313,"Baseline_1"),SUMIFS(Data!$K$2:$K$313,Data!$B$2:$B$313,$A39,Data!$O$2:$O$313,"Baseline_2"))</f>
        <v/>
      </c>
      <c r="F39" s="11">
        <f>SUMIFS(Data!$K$2:$K$313,Data!$B$2:$B$313,$A39,Data!$O$2:$O$313,"EndScene_C1")</f>
        <v/>
      </c>
      <c r="G39" s="11">
        <f>F39-E39</f>
        <v/>
      </c>
      <c r="I39" t="inlineStr">
        <is>
          <t>Difference, Version A minus Version B</t>
        </is>
      </c>
      <c r="J39" s="4">
        <f>J33-J36</f>
        <v/>
      </c>
      <c r="K39" s="14" t="inlineStr">
        <is>
          <t>=J33-J36</t>
        </is>
      </c>
    </row>
    <row r="40">
      <c r="A40" s="8" t="inlineStr">
        <is>
          <t>P29</t>
        </is>
      </c>
      <c r="B40" s="8">
        <f>INDEX(Data!$M$2:$M$313,MATCH($A40,Data!$B$2:$B$313,0))</f>
        <v/>
      </c>
      <c r="C40" s="8">
        <f>INDEX(Data!$N$2:$N$313,MATCH($A40,Data!$B$2:$B$313,0))</f>
        <v/>
      </c>
      <c r="D40" s="8">
        <f>INDEX(Data!$Q$2:$Q$313,MATCH($A40,Data!$B$2:$B$313,0))</f>
        <v/>
      </c>
      <c r="E40" s="11">
        <f>IF($C40="C1first",SUMIFS(Data!$K$2:$K$313,Data!$B$2:$B$313,$A40,Data!$O$2:$O$313,"Baseline_1"),SUMIFS(Data!$K$2:$K$313,Data!$B$2:$B$313,$A40,Data!$O$2:$O$313,"Baseline_2"))</f>
        <v/>
      </c>
      <c r="F40" s="11">
        <f>SUMIFS(Data!$K$2:$K$313,Data!$B$2:$B$313,$A40,Data!$O$2:$O$313,"EndScene_C1")</f>
        <v/>
      </c>
      <c r="G40" s="11">
        <f>F40-E40</f>
        <v/>
      </c>
      <c r="I40" t="inlineStr">
        <is>
          <t>SE of the difference (Welch)</t>
        </is>
      </c>
      <c r="J40" s="4">
        <f>SQRT(J34^2/J35+J37^2/J38)</f>
        <v/>
      </c>
      <c r="K40" s="14" t="inlineStr">
        <is>
          <t>=SQRT(J34^2/J35+J37^2/J38)</t>
        </is>
      </c>
      <c r="L40" s="7" t="inlineStr">
        <is>
          <t>each group keeps its own variance</t>
        </is>
      </c>
    </row>
    <row r="41">
      <c r="A41" s="8" t="inlineStr">
        <is>
          <t>P33</t>
        </is>
      </c>
      <c r="B41" s="8">
        <f>INDEX(Data!$M$2:$M$313,MATCH($A41,Data!$B$2:$B$313,0))</f>
        <v/>
      </c>
      <c r="C41" s="8">
        <f>INDEX(Data!$N$2:$N$313,MATCH($A41,Data!$B$2:$B$313,0))</f>
        <v/>
      </c>
      <c r="D41" s="8">
        <f>INDEX(Data!$Q$2:$Q$313,MATCH($A41,Data!$B$2:$B$313,0))</f>
        <v/>
      </c>
      <c r="E41" s="11">
        <f>IF($C41="C1first",SUMIFS(Data!$K$2:$K$313,Data!$B$2:$B$313,$A41,Data!$O$2:$O$313,"Baseline_1"),SUMIFS(Data!$K$2:$K$313,Data!$B$2:$B$313,$A41,Data!$O$2:$O$313,"Baseline_2"))</f>
        <v/>
      </c>
      <c r="F41" s="11">
        <f>SUMIFS(Data!$K$2:$K$313,Data!$B$2:$B$313,$A41,Data!$O$2:$O$313,"EndScene_C1")</f>
        <v/>
      </c>
      <c r="G41" s="11">
        <f>F41-E41</f>
        <v/>
      </c>
      <c r="I41" t="inlineStr">
        <is>
          <t>Welch t</t>
        </is>
      </c>
      <c r="J41" s="4">
        <f>J39/J40</f>
        <v/>
      </c>
      <c r="K41" s="14" t="inlineStr">
        <is>
          <t>=J39/J40</t>
        </is>
      </c>
    </row>
    <row r="42">
      <c r="A42" s="8" t="inlineStr">
        <is>
          <t>P36</t>
        </is>
      </c>
      <c r="B42" s="8">
        <f>INDEX(Data!$M$2:$M$313,MATCH($A42,Data!$B$2:$B$313,0))</f>
        <v/>
      </c>
      <c r="C42" s="8">
        <f>INDEX(Data!$N$2:$N$313,MATCH($A42,Data!$B$2:$B$313,0))</f>
        <v/>
      </c>
      <c r="D42" s="8">
        <f>INDEX(Data!$Q$2:$Q$313,MATCH($A42,Data!$B$2:$B$313,0))</f>
        <v/>
      </c>
      <c r="E42" s="11">
        <f>IF($C42="C1first",SUMIFS(Data!$K$2:$K$313,Data!$B$2:$B$313,$A42,Data!$O$2:$O$313,"Baseline_1"),SUMIFS(Data!$K$2:$K$313,Data!$B$2:$B$313,$A42,Data!$O$2:$O$313,"Baseline_2"))</f>
        <v/>
      </c>
      <c r="F42" s="11">
        <f>SUMIFS(Data!$K$2:$K$313,Data!$B$2:$B$313,$A42,Data!$O$2:$O$313,"EndScene_C1")</f>
        <v/>
      </c>
      <c r="G42" s="11">
        <f>F42-E42</f>
        <v/>
      </c>
      <c r="I42" t="inlineStr">
        <is>
          <t>Welch df</t>
        </is>
      </c>
      <c r="J42" s="5">
        <f>(J34^2/J35+J37^2/J38)^2/((J34^2/J35)^2/(J35-1)+(J37^2/J38)^2/(J38-1))</f>
        <v/>
      </c>
      <c r="K42" s="14" t="inlineStr">
        <is>
          <t>=(J34^2/J35+J37^2/J38)^2/((J34^2/J35)^2/(J35-1)+(J37^2/J38)^2/(J38-1))</t>
        </is>
      </c>
      <c r="L42" s="7" t="inlineStr">
        <is>
          <t>Welch Satterthwaite formula; not a whole number</t>
        </is>
      </c>
    </row>
    <row r="43">
      <c r="A43" s="8" t="inlineStr">
        <is>
          <t>P39</t>
        </is>
      </c>
      <c r="B43" s="8">
        <f>INDEX(Data!$M$2:$M$313,MATCH($A43,Data!$B$2:$B$313,0))</f>
        <v/>
      </c>
      <c r="C43" s="8">
        <f>INDEX(Data!$N$2:$N$313,MATCH($A43,Data!$B$2:$B$313,0))</f>
        <v/>
      </c>
      <c r="D43" s="8">
        <f>INDEX(Data!$Q$2:$Q$313,MATCH($A43,Data!$B$2:$B$313,0))</f>
        <v/>
      </c>
      <c r="E43" s="11">
        <f>IF($C43="C1first",SUMIFS(Data!$K$2:$K$313,Data!$B$2:$B$313,$A43,Data!$O$2:$O$313,"Baseline_1"),SUMIFS(Data!$K$2:$K$313,Data!$B$2:$B$313,$A43,Data!$O$2:$O$313,"Baseline_2"))</f>
        <v/>
      </c>
      <c r="F43" s="11">
        <f>SUMIFS(Data!$K$2:$K$313,Data!$B$2:$B$313,$A43,Data!$O$2:$O$313,"EndScene_C1")</f>
        <v/>
      </c>
      <c r="G43" s="11">
        <f>F43-E43</f>
        <v/>
      </c>
      <c r="I43" t="inlineStr">
        <is>
          <t>p, two tailed (T.TEST type 3)</t>
        </is>
      </c>
      <c r="J43" s="16">
        <f>_xlfn.T.TEST(G5:G24,G27:G47,2,3)</f>
        <v/>
      </c>
      <c r="K43" s="14" t="inlineStr">
        <is>
          <t>=T.TEST(G5:G24,G27:G47,2,3)</t>
        </is>
      </c>
      <c r="L43" s="7" t="inlineStr">
        <is>
          <t>type 3 = two groups, unequal variances (Welch)</t>
        </is>
      </c>
    </row>
    <row r="44">
      <c r="A44" s="8" t="inlineStr">
        <is>
          <t>P40</t>
        </is>
      </c>
      <c r="B44" s="8">
        <f>INDEX(Data!$M$2:$M$313,MATCH($A44,Data!$B$2:$B$313,0))</f>
        <v/>
      </c>
      <c r="C44" s="8">
        <f>INDEX(Data!$N$2:$N$313,MATCH($A44,Data!$B$2:$B$313,0))</f>
        <v/>
      </c>
      <c r="D44" s="8">
        <f>INDEX(Data!$Q$2:$Q$313,MATCH($A44,Data!$B$2:$B$313,0))</f>
        <v/>
      </c>
      <c r="E44" s="11">
        <f>IF($C44="C1first",SUMIFS(Data!$K$2:$K$313,Data!$B$2:$B$313,$A44,Data!$O$2:$O$313,"Baseline_1"),SUMIFS(Data!$K$2:$K$313,Data!$B$2:$B$313,$A44,Data!$O$2:$O$313,"Baseline_2"))</f>
        <v/>
      </c>
      <c r="F44" s="11">
        <f>SUMIFS(Data!$K$2:$K$313,Data!$B$2:$B$313,$A44,Data!$O$2:$O$313,"EndScene_C1")</f>
        <v/>
      </c>
      <c r="G44" s="11">
        <f>F44-E44</f>
        <v/>
      </c>
      <c r="I44" t="inlineStr">
        <is>
          <t>p from the hand computed t</t>
        </is>
      </c>
      <c r="J44" s="16">
        <f>_xlfn.T.DIST.2T(ABS(J41),J42)</f>
        <v/>
      </c>
      <c r="K44" s="14" t="inlineStr">
        <is>
          <t>=T.DIST.2T(ABS(J41),J42)</t>
        </is>
      </c>
      <c r="L44" s="7" t="inlineStr">
        <is>
          <t>may round the df down to a whole number; report the T.TEST cell</t>
        </is>
      </c>
    </row>
    <row r="45">
      <c r="A45" s="8" t="inlineStr">
        <is>
          <t>P42</t>
        </is>
      </c>
      <c r="B45" s="8">
        <f>INDEX(Data!$M$2:$M$313,MATCH($A45,Data!$B$2:$B$313,0))</f>
        <v/>
      </c>
      <c r="C45" s="8">
        <f>INDEX(Data!$N$2:$N$313,MATCH($A45,Data!$B$2:$B$313,0))</f>
        <v/>
      </c>
      <c r="D45" s="8">
        <f>INDEX(Data!$Q$2:$Q$313,MATCH($A45,Data!$B$2:$B$313,0))</f>
        <v/>
      </c>
      <c r="E45" s="11">
        <f>IF($C45="C1first",SUMIFS(Data!$K$2:$K$313,Data!$B$2:$B$313,$A45,Data!$O$2:$O$313,"Baseline_1"),SUMIFS(Data!$K$2:$K$313,Data!$B$2:$B$313,$A45,Data!$O$2:$O$313,"Baseline_2"))</f>
        <v/>
      </c>
      <c r="F45" s="11">
        <f>SUMIFS(Data!$K$2:$K$313,Data!$B$2:$B$313,$A45,Data!$O$2:$O$313,"EndScene_C1")</f>
        <v/>
      </c>
      <c r="G45" s="11">
        <f>F45-E45</f>
        <v/>
      </c>
      <c r="I45" t="inlineStr">
        <is>
          <t>p, one tailed, predicted direction A &gt; B (teaching only)</t>
        </is>
      </c>
      <c r="J45" s="16">
        <f>IF(J41&gt;0,J43/2,1-J43/2)</f>
        <v/>
      </c>
      <c r="K45" s="14" t="inlineStr">
        <is>
          <t>=IF(J41&gt;0,J43/2,1-J43/2)</t>
        </is>
      </c>
      <c r="L45" s="7" t="inlineStr">
        <is>
          <t>half the two tailed p when t points the predicted way; T.TEST with tails = 1 ignores the direction</t>
        </is>
      </c>
    </row>
    <row r="46">
      <c r="A46" s="8" t="inlineStr">
        <is>
          <t>P43</t>
        </is>
      </c>
      <c r="B46" s="8">
        <f>INDEX(Data!$M$2:$M$313,MATCH($A46,Data!$B$2:$B$313,0))</f>
        <v/>
      </c>
      <c r="C46" s="8">
        <f>INDEX(Data!$N$2:$N$313,MATCH($A46,Data!$B$2:$B$313,0))</f>
        <v/>
      </c>
      <c r="D46" s="8">
        <f>INDEX(Data!$Q$2:$Q$313,MATCH($A46,Data!$B$2:$B$313,0))</f>
        <v/>
      </c>
      <c r="E46" s="11">
        <f>IF($C46="C1first",SUMIFS(Data!$K$2:$K$313,Data!$B$2:$B$313,$A46,Data!$O$2:$O$313,"Baseline_1"),SUMIFS(Data!$K$2:$K$313,Data!$B$2:$B$313,$A46,Data!$O$2:$O$313,"Baseline_2"))</f>
        <v/>
      </c>
      <c r="F46" s="11">
        <f>SUMIFS(Data!$K$2:$K$313,Data!$B$2:$B$313,$A46,Data!$O$2:$O$313,"EndScene_C1")</f>
        <v/>
      </c>
      <c r="G46" s="11">
        <f>F46-E46</f>
        <v/>
      </c>
      <c r="I46" t="inlineStr">
        <is>
          <t>Critical t (95%)</t>
        </is>
      </c>
      <c r="J46" s="4">
        <f>_xlfn.T.INV.2T(0.05,J42)</f>
        <v/>
      </c>
      <c r="K46" s="14" t="inlineStr">
        <is>
          <t>=T.INV.2T(0.05,J42)</t>
        </is>
      </c>
      <c r="L46" s="7" t="inlineStr">
        <is>
          <t>may also round the df down</t>
        </is>
      </c>
    </row>
    <row r="47">
      <c r="A47" s="8" t="inlineStr">
        <is>
          <t>P48</t>
        </is>
      </c>
      <c r="B47" s="8">
        <f>INDEX(Data!$M$2:$M$313,MATCH($A47,Data!$B$2:$B$313,0))</f>
        <v/>
      </c>
      <c r="C47" s="8">
        <f>INDEX(Data!$N$2:$N$313,MATCH($A47,Data!$B$2:$B$313,0))</f>
        <v/>
      </c>
      <c r="D47" s="8">
        <f>INDEX(Data!$Q$2:$Q$313,MATCH($A47,Data!$B$2:$B$313,0))</f>
        <v/>
      </c>
      <c r="E47" s="11">
        <f>IF($C47="C1first",SUMIFS(Data!$K$2:$K$313,Data!$B$2:$B$313,$A47,Data!$O$2:$O$313,"Baseline_1"),SUMIFS(Data!$K$2:$K$313,Data!$B$2:$B$313,$A47,Data!$O$2:$O$313,"Baseline_2"))</f>
        <v/>
      </c>
      <c r="F47" s="11">
        <f>SUMIFS(Data!$K$2:$K$313,Data!$B$2:$B$313,$A47,Data!$O$2:$O$313,"EndScene_C1")</f>
        <v/>
      </c>
      <c r="G47" s="11">
        <f>F47-E47</f>
        <v/>
      </c>
      <c r="I47" t="inlineStr">
        <is>
          <t>Difference 95% CI lower</t>
        </is>
      </c>
      <c r="J47" s="4">
        <f>J39-J46*J40</f>
        <v/>
      </c>
      <c r="K47" s="14" t="inlineStr">
        <is>
          <t>=J39-J46*J40</t>
        </is>
      </c>
    </row>
    <row r="48">
      <c r="A48" s="8" t="inlineStr">
        <is>
          <t>P22</t>
        </is>
      </c>
      <c r="B48" s="8">
        <f>INDEX(Data!$M$2:$M$313,MATCH($A48,Data!$B$2:$B$313,0))</f>
        <v/>
      </c>
      <c r="C48" s="8">
        <f>INDEX(Data!$N$2:$N$313,MATCH($A48,Data!$B$2:$B$313,0))</f>
        <v/>
      </c>
      <c r="D48" s="8">
        <f>INDEX(Data!$Q$2:$Q$313,MATCH($A48,Data!$B$2:$B$313,0))</f>
        <v/>
      </c>
      <c r="E48" s="11">
        <f>IF($C48="C1first",SUMIFS(Data!$K$2:$K$313,Data!$B$2:$B$313,$A48,Data!$O$2:$O$313,"Baseline_1"),SUMIFS(Data!$K$2:$K$313,Data!$B$2:$B$313,$A48,Data!$O$2:$O$313,"Baseline_2"))</f>
        <v/>
      </c>
      <c r="F48" s="11">
        <f>SUMIFS(Data!$K$2:$K$313,Data!$B$2:$B$313,$A48,Data!$O$2:$O$313,"EndScene_C1")</f>
        <v/>
      </c>
      <c r="G48" s="11">
        <f>F48-E48</f>
        <v/>
      </c>
      <c r="I48" t="inlineStr">
        <is>
          <t>Difference 95% CI upper</t>
        </is>
      </c>
      <c r="J48" s="4">
        <f>J39+J46*J40</f>
        <v/>
      </c>
      <c r="K48" s="14" t="inlineStr">
        <is>
          <t>=J39+J46*J40</t>
        </is>
      </c>
    </row>
    <row r="49">
      <c r="A49" s="8" t="inlineStr">
        <is>
          <t>P32</t>
        </is>
      </c>
      <c r="B49" s="8">
        <f>INDEX(Data!$M$2:$M$313,MATCH($A49,Data!$B$2:$B$313,0))</f>
        <v/>
      </c>
      <c r="C49" s="8">
        <f>INDEX(Data!$N$2:$N$313,MATCH($A49,Data!$B$2:$B$313,0))</f>
        <v/>
      </c>
      <c r="D49" s="8">
        <f>INDEX(Data!$Q$2:$Q$313,MATCH($A49,Data!$B$2:$B$313,0))</f>
        <v/>
      </c>
      <c r="E49" s="11">
        <f>IF($C49="C1first",SUMIFS(Data!$K$2:$K$313,Data!$B$2:$B$313,$A49,Data!$O$2:$O$313,"Baseline_1"),SUMIFS(Data!$K$2:$K$313,Data!$B$2:$B$313,$A49,Data!$O$2:$O$313,"Baseline_2"))</f>
        <v/>
      </c>
      <c r="F49" s="11">
        <f>SUMIFS(Data!$K$2:$K$313,Data!$B$2:$B$313,$A49,Data!$O$2:$O$313,"EndScene_C1")</f>
        <v/>
      </c>
      <c r="G49" s="11">
        <f>F49-E49</f>
        <v/>
      </c>
      <c r="I49" t="inlineStr">
        <is>
          <t>Pooled SD (for the effect size)</t>
        </is>
      </c>
      <c r="J49" s="4">
        <f>SQRT(((J35-1)*J34^2+(J38-1)*J37^2)/(J35+J38-2))</f>
        <v/>
      </c>
      <c r="K49" s="14" t="inlineStr">
        <is>
          <t>=SQRT(((J35-1)*J34^2+(J38-1)*J37^2)/(J35+J38-2))</t>
        </is>
      </c>
    </row>
    <row r="50">
      <c r="I50" t="inlineStr">
        <is>
          <t>Cohen's d</t>
        </is>
      </c>
      <c r="J50" s="4">
        <f>J39/J49</f>
        <v/>
      </c>
      <c r="K50" s="14" t="inlineStr">
        <is>
          <t>=J39/J49</t>
        </is>
      </c>
      <c r="L50" s="7" t="inlineStr">
        <is>
          <t>difference / pooled SD</t>
        </is>
      </c>
    </row>
    <row r="51">
      <c r="I51" t="inlineStr">
        <is>
          <t>Small sample correction J</t>
        </is>
      </c>
      <c r="J51" s="4">
        <f>1-3/(4*(J35+J38)-9)</f>
        <v/>
      </c>
      <c r="K51" s="14" t="inlineStr">
        <is>
          <t>=1-3/(4*(J35+J38)-9)</t>
        </is>
      </c>
      <c r="L51" s="7" t="inlineStr">
        <is>
          <t>Hedges' approximation</t>
        </is>
      </c>
    </row>
    <row r="52">
      <c r="I52" t="inlineStr">
        <is>
          <t>Hedges' g</t>
        </is>
      </c>
      <c r="J52" s="4">
        <f>J51*J50</f>
        <v/>
      </c>
      <c r="K52" s="14" t="inlineStr">
        <is>
          <t>=J51*J50</t>
        </is>
      </c>
    </row>
    <row r="53">
      <c r="I53" t="inlineStr">
        <is>
          <t>SE of g (approximation)</t>
        </is>
      </c>
      <c r="J53" s="4">
        <f>SQRT((J35+J38)/(J35*J38)+J52^2/(2*(J35+J38)))</f>
        <v/>
      </c>
      <c r="K53" s="14" t="inlineStr">
        <is>
          <t>=SQRT((J35+J38)/(J35*J38)+J52^2/(2*(J35+J38)))</t>
        </is>
      </c>
    </row>
    <row r="54">
      <c r="I54" t="inlineStr">
        <is>
          <t>g 95% CI lower (approximation)</t>
        </is>
      </c>
      <c r="J54" s="4">
        <f>J52-1.96*J53</f>
        <v/>
      </c>
      <c r="K54" s="14" t="inlineStr">
        <is>
          <t>=J52-1.96*J53</t>
        </is>
      </c>
      <c r="L54" s="7" t="inlineStr">
        <is>
          <t>R also gives the exact noncentral t interval</t>
        </is>
      </c>
    </row>
    <row r="55">
      <c r="I55" t="inlineStr">
        <is>
          <t>g 95% CI upper (approximation)</t>
        </is>
      </c>
      <c r="J55" s="4">
        <f>J52+1.96*J53</f>
        <v/>
      </c>
      <c r="K55" s="14" t="inlineStr">
        <is>
          <t>=J52+1.96*J53</t>
        </is>
      </c>
    </row>
    <row r="58">
      <c r="I58" s="12" t="inlineStr">
        <is>
          <t>Statistic</t>
        </is>
      </c>
      <c r="J58" s="12" t="inlineStr">
        <is>
          <t>Value</t>
        </is>
      </c>
      <c r="K58" s="12" t="inlineStr">
        <is>
          <t>Formula shown</t>
        </is>
      </c>
      <c r="L58" s="12" t="inlineStr">
        <is>
          <t>Note</t>
        </is>
      </c>
    </row>
    <row r="59">
      <c r="I59" s="13" t="inlineStr">
        <is>
          <t>Sensitivity: no baseline correction (raw EndScene FA, column F)</t>
        </is>
      </c>
    </row>
    <row r="60">
      <c r="I60" t="inlineStr">
        <is>
          <t>Version A mean</t>
        </is>
      </c>
      <c r="J60" s="4">
        <f>AVERAGE(F5:F26)</f>
        <v/>
      </c>
      <c r="K60" s="14" t="inlineStr">
        <is>
          <t>=AVERAGE(F5:F26)</t>
        </is>
      </c>
    </row>
    <row r="61">
      <c r="I61" t="inlineStr">
        <is>
          <t>Version A SD</t>
        </is>
      </c>
      <c r="J61" s="4">
        <f>_xlfn.STDEV.S(F5:F26)</f>
        <v/>
      </c>
      <c r="K61" s="14" t="inlineStr">
        <is>
          <t>=STDEV.S(F5:F26)</t>
        </is>
      </c>
    </row>
    <row r="62">
      <c r="I62" t="inlineStr">
        <is>
          <t>Version A n</t>
        </is>
      </c>
      <c r="J62" s="15">
        <f>COUNT(F5:F26)</f>
        <v/>
      </c>
      <c r="K62" s="14" t="inlineStr">
        <is>
          <t>=COUNT(F5:F26)</t>
        </is>
      </c>
    </row>
    <row r="63">
      <c r="I63" t="inlineStr">
        <is>
          <t>Version B mean</t>
        </is>
      </c>
      <c r="J63" s="4">
        <f>AVERAGE(F27:F49)</f>
        <v/>
      </c>
      <c r="K63" s="14" t="inlineStr">
        <is>
          <t>=AVERAGE(F27:F49)</t>
        </is>
      </c>
    </row>
    <row r="64">
      <c r="I64" t="inlineStr">
        <is>
          <t>Version B SD</t>
        </is>
      </c>
      <c r="J64" s="4">
        <f>_xlfn.STDEV.S(F27:F49)</f>
        <v/>
      </c>
      <c r="K64" s="14" t="inlineStr">
        <is>
          <t>=STDEV.S(F27:F49)</t>
        </is>
      </c>
    </row>
    <row r="65">
      <c r="I65" t="inlineStr">
        <is>
          <t>Version B n</t>
        </is>
      </c>
      <c r="J65" s="15">
        <f>COUNT(F27:F49)</f>
        <v/>
      </c>
      <c r="K65" s="14" t="inlineStr">
        <is>
          <t>=COUNT(F27:F49)</t>
        </is>
      </c>
    </row>
    <row r="66">
      <c r="I66" t="inlineStr">
        <is>
          <t>Difference, Version A minus Version B</t>
        </is>
      </c>
      <c r="J66" s="4">
        <f>J60-J63</f>
        <v/>
      </c>
      <c r="K66" s="14" t="inlineStr">
        <is>
          <t>=J60-J63</t>
        </is>
      </c>
    </row>
    <row r="67">
      <c r="I67" t="inlineStr">
        <is>
          <t>SE of the difference (Welch)</t>
        </is>
      </c>
      <c r="J67" s="4">
        <f>SQRT(J61^2/J62+J64^2/J65)</f>
        <v/>
      </c>
      <c r="K67" s="14" t="inlineStr">
        <is>
          <t>=SQRT(J61^2/J62+J64^2/J65)</t>
        </is>
      </c>
      <c r="L67" s="7" t="inlineStr">
        <is>
          <t>each group keeps its own variance</t>
        </is>
      </c>
    </row>
    <row r="68">
      <c r="I68" t="inlineStr">
        <is>
          <t>Welch t</t>
        </is>
      </c>
      <c r="J68" s="4">
        <f>J66/J67</f>
        <v/>
      </c>
      <c r="K68" s="14" t="inlineStr">
        <is>
          <t>=J66/J67</t>
        </is>
      </c>
    </row>
    <row r="69">
      <c r="I69" t="inlineStr">
        <is>
          <t>Welch df</t>
        </is>
      </c>
      <c r="J69" s="5">
        <f>(J61^2/J62+J64^2/J65)^2/((J61^2/J62)^2/(J62-1)+(J64^2/J65)^2/(J65-1))</f>
        <v/>
      </c>
      <c r="K69" s="14" t="inlineStr">
        <is>
          <t>=(J61^2/J62+J64^2/J65)^2/((J61^2/J62)^2/(J62-1)+(J64^2/J65)^2/(J65-1))</t>
        </is>
      </c>
      <c r="L69" s="7" t="inlineStr">
        <is>
          <t>Welch Satterthwaite formula; not a whole number</t>
        </is>
      </c>
    </row>
    <row r="70">
      <c r="I70" t="inlineStr">
        <is>
          <t>p, two tailed (T.TEST type 3)</t>
        </is>
      </c>
      <c r="J70" s="16">
        <f>_xlfn.T.TEST(F5:F26,F27:F49,2,3)</f>
        <v/>
      </c>
      <c r="K70" s="14" t="inlineStr">
        <is>
          <t>=T.TEST(F5:F26,F27:F49,2,3)</t>
        </is>
      </c>
      <c r="L70" s="7" t="inlineStr">
        <is>
          <t>type 3 = two groups, unequal variances (Welch)</t>
        </is>
      </c>
    </row>
    <row r="71">
      <c r="I71" t="inlineStr">
        <is>
          <t>p from the hand computed t</t>
        </is>
      </c>
      <c r="J71" s="16">
        <f>_xlfn.T.DIST.2T(ABS(J68),J69)</f>
        <v/>
      </c>
      <c r="K71" s="14" t="inlineStr">
        <is>
          <t>=T.DIST.2T(ABS(J68),J69)</t>
        </is>
      </c>
      <c r="L71" s="7" t="inlineStr">
        <is>
          <t>may round the df down to a whole number; report the T.TEST cell</t>
        </is>
      </c>
    </row>
    <row r="72">
      <c r="I72" t="inlineStr">
        <is>
          <t>p, one tailed, predicted direction A &gt; B (teaching only)</t>
        </is>
      </c>
      <c r="J72" s="16">
        <f>IF(J68&gt;0,J70/2,1-J70/2)</f>
        <v/>
      </c>
      <c r="K72" s="14" t="inlineStr">
        <is>
          <t>=IF(J68&gt;0,J70/2,1-J70/2)</t>
        </is>
      </c>
      <c r="L72" s="7" t="inlineStr">
        <is>
          <t>half the two tailed p when t points the predicted way; T.TEST with tails = 1 ignores the direction</t>
        </is>
      </c>
    </row>
    <row r="73">
      <c r="I73" t="inlineStr">
        <is>
          <t>Critical t (95%)</t>
        </is>
      </c>
      <c r="J73" s="4">
        <f>_xlfn.T.INV.2T(0.05,J69)</f>
        <v/>
      </c>
      <c r="K73" s="14" t="inlineStr">
        <is>
          <t>=T.INV.2T(0.05,J69)</t>
        </is>
      </c>
      <c r="L73" s="7" t="inlineStr">
        <is>
          <t>may also round the df down</t>
        </is>
      </c>
    </row>
    <row r="74">
      <c r="I74" t="inlineStr">
        <is>
          <t>Difference 95% CI lower</t>
        </is>
      </c>
      <c r="J74" s="4">
        <f>J66-J73*J67</f>
        <v/>
      </c>
      <c r="K74" s="14" t="inlineStr">
        <is>
          <t>=J66-J73*J67</t>
        </is>
      </c>
    </row>
    <row r="75">
      <c r="I75" t="inlineStr">
        <is>
          <t>Difference 95% CI upper</t>
        </is>
      </c>
      <c r="J75" s="4">
        <f>J66+J73*J67</f>
        <v/>
      </c>
      <c r="K75" s="14" t="inlineStr">
        <is>
          <t>=J66+J73*J67</t>
        </is>
      </c>
    </row>
    <row r="76">
      <c r="I76" t="inlineStr">
        <is>
          <t>Pooled SD (for the effect size)</t>
        </is>
      </c>
      <c r="J76" s="4">
        <f>SQRT(((J62-1)*J61^2+(J65-1)*J64^2)/(J62+J65-2))</f>
        <v/>
      </c>
      <c r="K76" s="14" t="inlineStr">
        <is>
          <t>=SQRT(((J62-1)*J61^2+(J65-1)*J64^2)/(J62+J65-2))</t>
        </is>
      </c>
    </row>
    <row r="77">
      <c r="I77" t="inlineStr">
        <is>
          <t>Cohen's d</t>
        </is>
      </c>
      <c r="J77" s="4">
        <f>J66/J76</f>
        <v/>
      </c>
      <c r="K77" s="14" t="inlineStr">
        <is>
          <t>=J66/J76</t>
        </is>
      </c>
      <c r="L77" s="7" t="inlineStr">
        <is>
          <t>difference / pooled SD</t>
        </is>
      </c>
    </row>
    <row r="78">
      <c r="I78" t="inlineStr">
        <is>
          <t>Small sample correction J</t>
        </is>
      </c>
      <c r="J78" s="4">
        <f>1-3/(4*(J62+J65)-9)</f>
        <v/>
      </c>
      <c r="K78" s="14" t="inlineStr">
        <is>
          <t>=1-3/(4*(J62+J65)-9)</t>
        </is>
      </c>
      <c r="L78" s="7" t="inlineStr">
        <is>
          <t>Hedges' approximation</t>
        </is>
      </c>
    </row>
    <row r="79">
      <c r="I79" t="inlineStr">
        <is>
          <t>Hedges' g</t>
        </is>
      </c>
      <c r="J79" s="4">
        <f>J78*J77</f>
        <v/>
      </c>
      <c r="K79" s="14" t="inlineStr">
        <is>
          <t>=J78*J77</t>
        </is>
      </c>
    </row>
    <row r="80">
      <c r="I80" t="inlineStr">
        <is>
          <t>SE of g (approximation)</t>
        </is>
      </c>
      <c r="J80" s="4">
        <f>SQRT((J62+J65)/(J62*J65)+J79^2/(2*(J62+J65)))</f>
        <v/>
      </c>
      <c r="K80" s="14" t="inlineStr">
        <is>
          <t>=SQRT((J62+J65)/(J62*J65)+J79^2/(2*(J62+J65)))</t>
        </is>
      </c>
    </row>
    <row r="81">
      <c r="I81" t="inlineStr">
        <is>
          <t>g 95% CI lower (approximation)</t>
        </is>
      </c>
      <c r="J81" s="4">
        <f>J79-1.96*J80</f>
        <v/>
      </c>
      <c r="K81" s="14" t="inlineStr">
        <is>
          <t>=J79-1.96*J80</t>
        </is>
      </c>
      <c r="L81" s="7" t="inlineStr">
        <is>
          <t>R also gives the exact noncentral t interval</t>
        </is>
      </c>
    </row>
    <row r="82">
      <c r="I82" t="inlineStr">
        <is>
          <t>g 95% CI upper (approximation)</t>
        </is>
      </c>
      <c r="J82" s="4">
        <f>J79+1.96*J80</f>
        <v/>
      </c>
      <c r="K82" s="14" t="inlineStr">
        <is>
          <t>=J79+1.96*J80</t>
        </is>
      </c>
    </row>
    <row r="85">
      <c r="I85" s="12" t="inlineStr">
        <is>
          <t>Statistic</t>
        </is>
      </c>
      <c r="J85" s="12" t="inlineStr">
        <is>
          <t>Value</t>
        </is>
      </c>
      <c r="K85" s="12" t="inlineStr">
        <is>
          <t>Formula shown</t>
        </is>
      </c>
      <c r="L85" s="12" t="inlineStr">
        <is>
          <t>Note</t>
        </is>
      </c>
    </row>
    <row r="86">
      <c r="I86" s="13" t="inlineStr">
        <is>
          <t>Checks</t>
        </is>
      </c>
    </row>
    <row r="87">
      <c r="I87" t="inlineStr">
        <is>
          <t>Kept respondents with an EndScene_C1 row in Data (Keep = Yes)</t>
        </is>
      </c>
      <c r="J87" s="15">
        <f>COUNTIFS(Data!$O$2:$O$313,"EndScene_C1",Data!$P$2:$P$313,"Yes")</f>
        <v/>
      </c>
      <c r="K87" s="14" t="inlineStr">
        <is>
          <t>=COUNTIFS(Data!$O$2:$O$313,"EndScene_C1",Data!$P$2:$P$313,"Yes")</t>
        </is>
      </c>
      <c r="L87" s="7" t="inlineStr">
        <is>
          <t>must equal n1 + n2</t>
        </is>
      </c>
    </row>
    <row r="88">
      <c r="I88" t="inlineStr">
        <is>
          <t>Version B rows inside the Version A range</t>
        </is>
      </c>
      <c r="J88" s="15">
        <f>COUNTIF(B5:B26,"B")</f>
        <v/>
      </c>
      <c r="K88" s="14" t="inlineStr">
        <is>
          <t>=COUNTIF(B5:B26,"B")</t>
        </is>
      </c>
      <c r="L88" s="7" t="inlineStr">
        <is>
          <t>must be 0</t>
        </is>
      </c>
    </row>
    <row r="89">
      <c r="I89" t="inlineStr">
        <is>
          <t>Version A rows inside the Version B range</t>
        </is>
      </c>
      <c r="J89" s="15">
        <f>COUNTIF(B27:B49,"A")</f>
        <v/>
      </c>
      <c r="K89" s="14" t="inlineStr">
        <is>
          <t>=COUNTIF(B27:B49,"A")</t>
        </is>
      </c>
      <c r="L89" s="7" t="inlineStr">
        <is>
          <t>must be 0</t>
        </is>
      </c>
    </row>
    <row r="90">
      <c r="I90" t="inlineStr">
        <is>
          <t>Baseline before Commercial 1: Version A mean minus Version B mean</t>
        </is>
      </c>
      <c r="J90" s="4">
        <f>AVERAGE(E5:E26)-AVERAGE(E27:E49)</f>
        <v/>
      </c>
      <c r="K90" s="14" t="inlineStr">
        <is>
          <t>=AVERAGE(E5:E26)-AVERAGE(E27:E49)</t>
        </is>
      </c>
      <c r="L90" s="7" t="inlineStr">
        <is>
          <t>a chance difference that the raw comparison carries along</t>
        </is>
      </c>
    </row>
    <row r="93">
      <c r="I93" s="10" t="inlineStr">
        <is>
          <t>Chart table: mean EndScene change with 95% CI half width</t>
        </is>
      </c>
    </row>
    <row r="94">
      <c r="I94" t="inlineStr">
        <is>
          <t>Version</t>
        </is>
      </c>
      <c r="J94" t="inlineStr">
        <is>
          <t>Mean change</t>
        </is>
      </c>
      <c r="K94" t="inlineStr">
        <is>
          <t>CI half width</t>
        </is>
      </c>
    </row>
    <row r="95">
      <c r="I95" t="inlineStr">
        <is>
          <t>Version A</t>
        </is>
      </c>
      <c r="J95" s="17">
        <f>J6</f>
        <v/>
      </c>
      <c r="K95" s="17">
        <f>_xlfn.CONFIDENCE.T(0.05,J7,J8)</f>
        <v/>
      </c>
    </row>
    <row r="96">
      <c r="I96" t="inlineStr">
        <is>
          <t>Version B</t>
        </is>
      </c>
      <c r="J96" s="17">
        <f>J9</f>
        <v/>
      </c>
      <c r="K96" s="17">
        <f>_xlfn.CONFIDENCE.T(0.05,J10,J11)</f>
        <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Q64"/>
  <sheetViews>
    <sheetView workbookViewId="0">
      <selection activeCell="A1" sqref="A1"/>
    </sheetView>
  </sheetViews>
  <sheetFormatPr baseColWidth="8" defaultRowHeight="15"/>
  <cols>
    <col width="17" customWidth="1" min="1" max="1"/>
    <col width="9" customWidth="1" min="2" max="2"/>
    <col width="10" customWidth="1" min="3" max="3"/>
    <col width="13" customWidth="1" min="4" max="4"/>
    <col width="13" customWidth="1" min="5" max="5"/>
    <col width="12" customWidth="1" min="6" max="6"/>
    <col width="13" customWidth="1" min="7" max="7"/>
    <col width="13" customWidth="1" min="8" max="8"/>
    <col width="12" customWidth="1" min="9" max="9"/>
    <col width="18" customWidth="1" min="10" max="10"/>
    <col width="13" customWidth="1" min="11" max="11"/>
    <col width="13" customWidth="1" min="12" max="12"/>
    <col width="3" customWidth="1" min="13" max="13"/>
    <col width="60" customWidth="1" min="14" max="14"/>
    <col width="12" customWidth="1" min="15" max="15"/>
    <col width="70" customWidth="1" min="16" max="16"/>
    <col width="52" customWidth="1" min="17" max="17"/>
  </cols>
  <sheetData>
    <row r="1">
      <c r="A1" s="6" t="inlineStr">
        <is>
          <t>H3. Whole commercial FA change from baseline, Commercial_2 versus Commercial_1, all kept respondents. SIMULATED data.</t>
        </is>
      </c>
    </row>
    <row r="2">
      <c r="A2" s="7" t="inlineStr">
        <is>
          <t>Same roster order as H2. Each commercial minus the baseline right before it; column J = Commercial_2 change minus Commercial_1 change. Columns K and L pull the liking ratings from the Survey sheet.</t>
        </is>
      </c>
    </row>
    <row r="4" ht="48" customHeight="1">
      <c r="A4" s="2" t="inlineStr">
        <is>
          <t>Respondent Name</t>
        </is>
      </c>
      <c r="B4" s="2" t="inlineStr">
        <is>
          <t>Version</t>
        </is>
      </c>
      <c r="C4" s="2" t="inlineStr">
        <is>
          <t>Order</t>
        </is>
      </c>
      <c r="D4" s="2" t="inlineStr">
        <is>
          <t>Baseline before C1</t>
        </is>
      </c>
      <c r="E4" s="2" t="inlineStr">
        <is>
          <t>Commercial_1 (FA)</t>
        </is>
      </c>
      <c r="F4" s="2" t="inlineStr">
        <is>
          <t>C1 change</t>
        </is>
      </c>
      <c r="G4" s="2" t="inlineStr">
        <is>
          <t>Baseline before C2</t>
        </is>
      </c>
      <c r="H4" s="2" t="inlineStr">
        <is>
          <t>Commercial_2 (FA)</t>
        </is>
      </c>
      <c r="I4" s="2" t="inlineStr">
        <is>
          <t>C2 change</t>
        </is>
      </c>
      <c r="J4" s="2" t="inlineStr">
        <is>
          <t>Difference (C2 change minus C1 change)</t>
        </is>
      </c>
      <c r="K4" s="2" t="inlineStr">
        <is>
          <t>Liking_Commercial_1_1to7</t>
        </is>
      </c>
      <c r="L4" s="2" t="inlineStr">
        <is>
          <t>Liking_Commercial_2_1to7</t>
        </is>
      </c>
      <c r="N4" s="12" t="inlineStr">
        <is>
          <t>Statistic</t>
        </is>
      </c>
      <c r="O4" s="12" t="inlineStr">
        <is>
          <t>Value</t>
        </is>
      </c>
      <c r="P4" s="12" t="inlineStr">
        <is>
          <t>Formula shown</t>
        </is>
      </c>
      <c r="Q4" s="12" t="inlineStr">
        <is>
          <t>Note</t>
        </is>
      </c>
    </row>
    <row r="5">
      <c r="A5" s="8" t="inlineStr">
        <is>
          <t>P02</t>
        </is>
      </c>
      <c r="B5" s="8">
        <f>INDEX(Data!$M$2:$M$313,MATCH($A5,Data!$B$2:$B$313,0))</f>
        <v/>
      </c>
      <c r="C5" s="8">
        <f>INDEX(Data!$N$2:$N$313,MATCH($A5,Data!$B$2:$B$313,0))</f>
        <v/>
      </c>
      <c r="D5" s="11">
        <f>IF($C5="C1first",SUMIFS(Data!$K$2:$K$313,Data!$B$2:$B$313,$A5,Data!$O$2:$O$313,"Baseline_1"),SUMIFS(Data!$K$2:$K$313,Data!$B$2:$B$313,$A5,Data!$O$2:$O$313,"Baseline_2"))</f>
        <v/>
      </c>
      <c r="E5" s="11">
        <f>SUMIFS(Data!$K$2:$K$313,Data!$B$2:$B$313,$A5,Data!$O$2:$O$313,"C1")</f>
        <v/>
      </c>
      <c r="F5" s="11">
        <f>E5-D5</f>
        <v/>
      </c>
      <c r="G5" s="11">
        <f>IF($C5="C1first",SUMIFS(Data!$K$2:$K$313,Data!$B$2:$B$313,$A5,Data!$O$2:$O$313,"Baseline_2"),SUMIFS(Data!$K$2:$K$313,Data!$B$2:$B$313,$A5,Data!$O$2:$O$313,"Baseline_1"))</f>
        <v/>
      </c>
      <c r="H5" s="11">
        <f>SUMIFS(Data!$K$2:$K$313,Data!$B$2:$B$313,$A5,Data!$O$2:$O$313,"C2")</f>
        <v/>
      </c>
      <c r="I5" s="11">
        <f>H5-G5</f>
        <v/>
      </c>
      <c r="J5" s="11">
        <f>I5-F5</f>
        <v/>
      </c>
      <c r="K5" s="8">
        <f>INDEX(Survey!$F$2:$F$49,MATCH($A5,Survey!$B$2:$B$49,0))</f>
        <v/>
      </c>
      <c r="L5" s="8">
        <f>INDEX(Survey!$G$2:$G$49,MATCH($A5,Survey!$B$2:$B$49,0))</f>
        <v/>
      </c>
      <c r="N5" s="13" t="inlineStr">
        <is>
          <t>H3: paired t on the two changes, all kept respondents, n = 45</t>
        </is>
      </c>
    </row>
    <row r="6">
      <c r="A6" s="8" t="inlineStr">
        <is>
          <t>P05</t>
        </is>
      </c>
      <c r="B6" s="8">
        <f>INDEX(Data!$M$2:$M$313,MATCH($A6,Data!$B$2:$B$313,0))</f>
        <v/>
      </c>
      <c r="C6" s="8">
        <f>INDEX(Data!$N$2:$N$313,MATCH($A6,Data!$B$2:$B$313,0))</f>
        <v/>
      </c>
      <c r="D6" s="11">
        <f>IF($C6="C1first",SUMIFS(Data!$K$2:$K$313,Data!$B$2:$B$313,$A6,Data!$O$2:$O$313,"Baseline_1"),SUMIFS(Data!$K$2:$K$313,Data!$B$2:$B$313,$A6,Data!$O$2:$O$313,"Baseline_2"))</f>
        <v/>
      </c>
      <c r="E6" s="11">
        <f>SUMIFS(Data!$K$2:$K$313,Data!$B$2:$B$313,$A6,Data!$O$2:$O$313,"C1")</f>
        <v/>
      </c>
      <c r="F6" s="11">
        <f>E6-D6</f>
        <v/>
      </c>
      <c r="G6" s="11">
        <f>IF($C6="C1first",SUMIFS(Data!$K$2:$K$313,Data!$B$2:$B$313,$A6,Data!$O$2:$O$313,"Baseline_2"),SUMIFS(Data!$K$2:$K$313,Data!$B$2:$B$313,$A6,Data!$O$2:$O$313,"Baseline_1"))</f>
        <v/>
      </c>
      <c r="H6" s="11">
        <f>SUMIFS(Data!$K$2:$K$313,Data!$B$2:$B$313,$A6,Data!$O$2:$O$313,"C2")</f>
        <v/>
      </c>
      <c r="I6" s="11">
        <f>H6-G6</f>
        <v/>
      </c>
      <c r="J6" s="11">
        <f>I6-F6</f>
        <v/>
      </c>
      <c r="K6" s="8">
        <f>INDEX(Survey!$F$2:$F$49,MATCH($A6,Survey!$B$2:$B$49,0))</f>
        <v/>
      </c>
      <c r="L6" s="8">
        <f>INDEX(Survey!$G$2:$G$49,MATCH($A6,Survey!$B$2:$B$49,0))</f>
        <v/>
      </c>
      <c r="N6" t="inlineStr">
        <is>
          <t>C1 change mean (FA)</t>
        </is>
      </c>
      <c r="O6" s="4">
        <f>AVERAGE(F5:F49)</f>
        <v/>
      </c>
      <c r="P6" s="14" t="inlineStr">
        <is>
          <t>=AVERAGE(F5:F49)</t>
        </is>
      </c>
      <c r="Q6" s="7" t="inlineStr">
        <is>
          <t>AVERAGE of the reference column</t>
        </is>
      </c>
    </row>
    <row r="7">
      <c r="A7" s="8" t="inlineStr">
        <is>
          <t>P08</t>
        </is>
      </c>
      <c r="B7" s="8">
        <f>INDEX(Data!$M$2:$M$313,MATCH($A7,Data!$B$2:$B$313,0))</f>
        <v/>
      </c>
      <c r="C7" s="8">
        <f>INDEX(Data!$N$2:$N$313,MATCH($A7,Data!$B$2:$B$313,0))</f>
        <v/>
      </c>
      <c r="D7" s="11">
        <f>IF($C7="C1first",SUMIFS(Data!$K$2:$K$313,Data!$B$2:$B$313,$A7,Data!$O$2:$O$313,"Baseline_1"),SUMIFS(Data!$K$2:$K$313,Data!$B$2:$B$313,$A7,Data!$O$2:$O$313,"Baseline_2"))</f>
        <v/>
      </c>
      <c r="E7" s="11">
        <f>SUMIFS(Data!$K$2:$K$313,Data!$B$2:$B$313,$A7,Data!$O$2:$O$313,"C1")</f>
        <v/>
      </c>
      <c r="F7" s="11">
        <f>E7-D7</f>
        <v/>
      </c>
      <c r="G7" s="11">
        <f>IF($C7="C1first",SUMIFS(Data!$K$2:$K$313,Data!$B$2:$B$313,$A7,Data!$O$2:$O$313,"Baseline_2"),SUMIFS(Data!$K$2:$K$313,Data!$B$2:$B$313,$A7,Data!$O$2:$O$313,"Baseline_1"))</f>
        <v/>
      </c>
      <c r="H7" s="11">
        <f>SUMIFS(Data!$K$2:$K$313,Data!$B$2:$B$313,$A7,Data!$O$2:$O$313,"C2")</f>
        <v/>
      </c>
      <c r="I7" s="11">
        <f>H7-G7</f>
        <v/>
      </c>
      <c r="J7" s="11">
        <f>I7-F7</f>
        <v/>
      </c>
      <c r="K7" s="8">
        <f>INDEX(Survey!$F$2:$F$49,MATCH($A7,Survey!$B$2:$B$49,0))</f>
        <v/>
      </c>
      <c r="L7" s="8">
        <f>INDEX(Survey!$G$2:$G$49,MATCH($A7,Survey!$B$2:$B$49,0))</f>
        <v/>
      </c>
      <c r="N7" t="inlineStr">
        <is>
          <t>C1 change SD</t>
        </is>
      </c>
      <c r="O7" s="4">
        <f>_xlfn.STDEV.S(F5:F49)</f>
        <v/>
      </c>
      <c r="P7" s="14" t="inlineStr">
        <is>
          <t>=STDEV.S(F5:F49)</t>
        </is>
      </c>
      <c r="Q7" s="7" t="inlineStr">
        <is>
          <t>STDEV.S = sample standard deviation</t>
        </is>
      </c>
    </row>
    <row r="8">
      <c r="A8" s="8" t="inlineStr">
        <is>
          <t>P09</t>
        </is>
      </c>
      <c r="B8" s="8">
        <f>INDEX(Data!$M$2:$M$313,MATCH($A8,Data!$B$2:$B$313,0))</f>
        <v/>
      </c>
      <c r="C8" s="8">
        <f>INDEX(Data!$N$2:$N$313,MATCH($A8,Data!$B$2:$B$313,0))</f>
        <v/>
      </c>
      <c r="D8" s="11">
        <f>IF($C8="C1first",SUMIFS(Data!$K$2:$K$313,Data!$B$2:$B$313,$A8,Data!$O$2:$O$313,"Baseline_1"),SUMIFS(Data!$K$2:$K$313,Data!$B$2:$B$313,$A8,Data!$O$2:$O$313,"Baseline_2"))</f>
        <v/>
      </c>
      <c r="E8" s="11">
        <f>SUMIFS(Data!$K$2:$K$313,Data!$B$2:$B$313,$A8,Data!$O$2:$O$313,"C1")</f>
        <v/>
      </c>
      <c r="F8" s="11">
        <f>E8-D8</f>
        <v/>
      </c>
      <c r="G8" s="11">
        <f>IF($C8="C1first",SUMIFS(Data!$K$2:$K$313,Data!$B$2:$B$313,$A8,Data!$O$2:$O$313,"Baseline_2"),SUMIFS(Data!$K$2:$K$313,Data!$B$2:$B$313,$A8,Data!$O$2:$O$313,"Baseline_1"))</f>
        <v/>
      </c>
      <c r="H8" s="11">
        <f>SUMIFS(Data!$K$2:$K$313,Data!$B$2:$B$313,$A8,Data!$O$2:$O$313,"C2")</f>
        <v/>
      </c>
      <c r="I8" s="11">
        <f>H8-G8</f>
        <v/>
      </c>
      <c r="J8" s="11">
        <f>I8-F8</f>
        <v/>
      </c>
      <c r="K8" s="8">
        <f>INDEX(Survey!$F$2:$F$49,MATCH($A8,Survey!$B$2:$B$49,0))</f>
        <v/>
      </c>
      <c r="L8" s="8">
        <f>INDEX(Survey!$G$2:$G$49,MATCH($A8,Survey!$B$2:$B$49,0))</f>
        <v/>
      </c>
      <c r="N8" t="inlineStr">
        <is>
          <t>C2 change mean (FA)</t>
        </is>
      </c>
      <c r="O8" s="4">
        <f>AVERAGE(I5:I49)</f>
        <v/>
      </c>
      <c r="P8" s="14" t="inlineStr">
        <is>
          <t>=AVERAGE(I5:I49)</t>
        </is>
      </c>
    </row>
    <row r="9">
      <c r="A9" s="8" t="inlineStr">
        <is>
          <t>P11</t>
        </is>
      </c>
      <c r="B9" s="8">
        <f>INDEX(Data!$M$2:$M$313,MATCH($A9,Data!$B$2:$B$313,0))</f>
        <v/>
      </c>
      <c r="C9" s="8">
        <f>INDEX(Data!$N$2:$N$313,MATCH($A9,Data!$B$2:$B$313,0))</f>
        <v/>
      </c>
      <c r="D9" s="11">
        <f>IF($C9="C1first",SUMIFS(Data!$K$2:$K$313,Data!$B$2:$B$313,$A9,Data!$O$2:$O$313,"Baseline_1"),SUMIFS(Data!$K$2:$K$313,Data!$B$2:$B$313,$A9,Data!$O$2:$O$313,"Baseline_2"))</f>
        <v/>
      </c>
      <c r="E9" s="11">
        <f>SUMIFS(Data!$K$2:$K$313,Data!$B$2:$B$313,$A9,Data!$O$2:$O$313,"C1")</f>
        <v/>
      </c>
      <c r="F9" s="11">
        <f>E9-D9</f>
        <v/>
      </c>
      <c r="G9" s="11">
        <f>IF($C9="C1first",SUMIFS(Data!$K$2:$K$313,Data!$B$2:$B$313,$A9,Data!$O$2:$O$313,"Baseline_2"),SUMIFS(Data!$K$2:$K$313,Data!$B$2:$B$313,$A9,Data!$O$2:$O$313,"Baseline_1"))</f>
        <v/>
      </c>
      <c r="H9" s="11">
        <f>SUMIFS(Data!$K$2:$K$313,Data!$B$2:$B$313,$A9,Data!$O$2:$O$313,"C2")</f>
        <v/>
      </c>
      <c r="I9" s="11">
        <f>H9-G9</f>
        <v/>
      </c>
      <c r="J9" s="11">
        <f>I9-F9</f>
        <v/>
      </c>
      <c r="K9" s="8">
        <f>INDEX(Survey!$F$2:$F$49,MATCH($A9,Survey!$B$2:$B$49,0))</f>
        <v/>
      </c>
      <c r="L9" s="8">
        <f>INDEX(Survey!$G$2:$G$49,MATCH($A9,Survey!$B$2:$B$49,0))</f>
        <v/>
      </c>
      <c r="N9" t="inlineStr">
        <is>
          <t>C2 change SD</t>
        </is>
      </c>
      <c r="O9" s="4">
        <f>_xlfn.STDEV.S(I5:I49)</f>
        <v/>
      </c>
      <c r="P9" s="14" t="inlineStr">
        <is>
          <t>=STDEV.S(I5:I49)</t>
        </is>
      </c>
    </row>
    <row r="10">
      <c r="A10" s="8" t="inlineStr">
        <is>
          <t>P13</t>
        </is>
      </c>
      <c r="B10" s="8">
        <f>INDEX(Data!$M$2:$M$313,MATCH($A10,Data!$B$2:$B$313,0))</f>
        <v/>
      </c>
      <c r="C10" s="8">
        <f>INDEX(Data!$N$2:$N$313,MATCH($A10,Data!$B$2:$B$313,0))</f>
        <v/>
      </c>
      <c r="D10" s="11">
        <f>IF($C10="C1first",SUMIFS(Data!$K$2:$K$313,Data!$B$2:$B$313,$A10,Data!$O$2:$O$313,"Baseline_1"),SUMIFS(Data!$K$2:$K$313,Data!$B$2:$B$313,$A10,Data!$O$2:$O$313,"Baseline_2"))</f>
        <v/>
      </c>
      <c r="E10" s="11">
        <f>SUMIFS(Data!$K$2:$K$313,Data!$B$2:$B$313,$A10,Data!$O$2:$O$313,"C1")</f>
        <v/>
      </c>
      <c r="F10" s="11">
        <f>E10-D10</f>
        <v/>
      </c>
      <c r="G10" s="11">
        <f>IF($C10="C1first",SUMIFS(Data!$K$2:$K$313,Data!$B$2:$B$313,$A10,Data!$O$2:$O$313,"Baseline_2"),SUMIFS(Data!$K$2:$K$313,Data!$B$2:$B$313,$A10,Data!$O$2:$O$313,"Baseline_1"))</f>
        <v/>
      </c>
      <c r="H10" s="11">
        <f>SUMIFS(Data!$K$2:$K$313,Data!$B$2:$B$313,$A10,Data!$O$2:$O$313,"C2")</f>
        <v/>
      </c>
      <c r="I10" s="11">
        <f>H10-G10</f>
        <v/>
      </c>
      <c r="J10" s="11">
        <f>I10-F10</f>
        <v/>
      </c>
      <c r="K10" s="8">
        <f>INDEX(Survey!$F$2:$F$49,MATCH($A10,Survey!$B$2:$B$49,0))</f>
        <v/>
      </c>
      <c r="L10" s="8">
        <f>INDEX(Survey!$G$2:$G$49,MATCH($A10,Survey!$B$2:$B$49,0))</f>
        <v/>
      </c>
      <c r="N10" t="inlineStr">
        <is>
          <t>n (respondents)</t>
        </is>
      </c>
      <c r="O10" s="15">
        <f>COUNT(J5:J49)</f>
        <v/>
      </c>
      <c r="P10" s="14" t="inlineStr">
        <is>
          <t>=COUNT(J5:J49)</t>
        </is>
      </c>
      <c r="Q10" s="7" t="inlineStr">
        <is>
          <t>must equal the check below</t>
        </is>
      </c>
    </row>
    <row r="11">
      <c r="A11" s="8" t="inlineStr">
        <is>
          <t>P14</t>
        </is>
      </c>
      <c r="B11" s="8">
        <f>INDEX(Data!$M$2:$M$313,MATCH($A11,Data!$B$2:$B$313,0))</f>
        <v/>
      </c>
      <c r="C11" s="8">
        <f>INDEX(Data!$N$2:$N$313,MATCH($A11,Data!$B$2:$B$313,0))</f>
        <v/>
      </c>
      <c r="D11" s="11">
        <f>IF($C11="C1first",SUMIFS(Data!$K$2:$K$313,Data!$B$2:$B$313,$A11,Data!$O$2:$O$313,"Baseline_1"),SUMIFS(Data!$K$2:$K$313,Data!$B$2:$B$313,$A11,Data!$O$2:$O$313,"Baseline_2"))</f>
        <v/>
      </c>
      <c r="E11" s="11">
        <f>SUMIFS(Data!$K$2:$K$313,Data!$B$2:$B$313,$A11,Data!$O$2:$O$313,"C1")</f>
        <v/>
      </c>
      <c r="F11" s="11">
        <f>E11-D11</f>
        <v/>
      </c>
      <c r="G11" s="11">
        <f>IF($C11="C1first",SUMIFS(Data!$K$2:$K$313,Data!$B$2:$B$313,$A11,Data!$O$2:$O$313,"Baseline_2"),SUMIFS(Data!$K$2:$K$313,Data!$B$2:$B$313,$A11,Data!$O$2:$O$313,"Baseline_1"))</f>
        <v/>
      </c>
      <c r="H11" s="11">
        <f>SUMIFS(Data!$K$2:$K$313,Data!$B$2:$B$313,$A11,Data!$O$2:$O$313,"C2")</f>
        <v/>
      </c>
      <c r="I11" s="11">
        <f>H11-G11</f>
        <v/>
      </c>
      <c r="J11" s="11">
        <f>I11-F11</f>
        <v/>
      </c>
      <c r="K11" s="8">
        <f>INDEX(Survey!$F$2:$F$49,MATCH($A11,Survey!$B$2:$B$49,0))</f>
        <v/>
      </c>
      <c r="L11" s="8">
        <f>INDEX(Survey!$G$2:$G$49,MATCH($A11,Survey!$B$2:$B$49,0))</f>
        <v/>
      </c>
      <c r="N11" t="inlineStr">
        <is>
          <t>Mean change, C2 change minus C1 change</t>
        </is>
      </c>
      <c r="O11" s="4">
        <f>AVERAGE(J5:J49)</f>
        <v/>
      </c>
      <c r="P11" s="14" t="inlineStr">
        <is>
          <t>=AVERAGE(J5:J49)</t>
        </is>
      </c>
    </row>
    <row r="12">
      <c r="A12" s="8" t="inlineStr">
        <is>
          <t>P20</t>
        </is>
      </c>
      <c r="B12" s="8">
        <f>INDEX(Data!$M$2:$M$313,MATCH($A12,Data!$B$2:$B$313,0))</f>
        <v/>
      </c>
      <c r="C12" s="8">
        <f>INDEX(Data!$N$2:$N$313,MATCH($A12,Data!$B$2:$B$313,0))</f>
        <v/>
      </c>
      <c r="D12" s="11">
        <f>IF($C12="C1first",SUMIFS(Data!$K$2:$K$313,Data!$B$2:$B$313,$A12,Data!$O$2:$O$313,"Baseline_1"),SUMIFS(Data!$K$2:$K$313,Data!$B$2:$B$313,$A12,Data!$O$2:$O$313,"Baseline_2"))</f>
        <v/>
      </c>
      <c r="E12" s="11">
        <f>SUMIFS(Data!$K$2:$K$313,Data!$B$2:$B$313,$A12,Data!$O$2:$O$313,"C1")</f>
        <v/>
      </c>
      <c r="F12" s="11">
        <f>E12-D12</f>
        <v/>
      </c>
      <c r="G12" s="11">
        <f>IF($C12="C1first",SUMIFS(Data!$K$2:$K$313,Data!$B$2:$B$313,$A12,Data!$O$2:$O$313,"Baseline_2"),SUMIFS(Data!$K$2:$K$313,Data!$B$2:$B$313,$A12,Data!$O$2:$O$313,"Baseline_1"))</f>
        <v/>
      </c>
      <c r="H12" s="11">
        <f>SUMIFS(Data!$K$2:$K$313,Data!$B$2:$B$313,$A12,Data!$O$2:$O$313,"C2")</f>
        <v/>
      </c>
      <c r="I12" s="11">
        <f>H12-G12</f>
        <v/>
      </c>
      <c r="J12" s="11">
        <f>I12-F12</f>
        <v/>
      </c>
      <c r="K12" s="8">
        <f>INDEX(Survey!$F$2:$F$49,MATCH($A12,Survey!$B$2:$B$49,0))</f>
        <v/>
      </c>
      <c r="L12" s="8">
        <f>INDEX(Survey!$G$2:$G$49,MATCH($A12,Survey!$B$2:$B$49,0))</f>
        <v/>
      </c>
      <c r="N12" t="inlineStr">
        <is>
          <t>SD of the changes</t>
        </is>
      </c>
      <c r="O12" s="4">
        <f>_xlfn.STDEV.S(J5:J49)</f>
        <v/>
      </c>
      <c r="P12" s="14" t="inlineStr">
        <is>
          <t>=STDEV.S(J5:J49)</t>
        </is>
      </c>
      <c r="Q12" s="7" t="inlineStr">
        <is>
          <t>the SD that matters in a paired design</t>
        </is>
      </c>
    </row>
    <row r="13">
      <c r="A13" s="8" t="inlineStr">
        <is>
          <t>P23</t>
        </is>
      </c>
      <c r="B13" s="8">
        <f>INDEX(Data!$M$2:$M$313,MATCH($A13,Data!$B$2:$B$313,0))</f>
        <v/>
      </c>
      <c r="C13" s="8">
        <f>INDEX(Data!$N$2:$N$313,MATCH($A13,Data!$B$2:$B$313,0))</f>
        <v/>
      </c>
      <c r="D13" s="11">
        <f>IF($C13="C1first",SUMIFS(Data!$K$2:$K$313,Data!$B$2:$B$313,$A13,Data!$O$2:$O$313,"Baseline_1"),SUMIFS(Data!$K$2:$K$313,Data!$B$2:$B$313,$A13,Data!$O$2:$O$313,"Baseline_2"))</f>
        <v/>
      </c>
      <c r="E13" s="11">
        <f>SUMIFS(Data!$K$2:$K$313,Data!$B$2:$B$313,$A13,Data!$O$2:$O$313,"C1")</f>
        <v/>
      </c>
      <c r="F13" s="11">
        <f>E13-D13</f>
        <v/>
      </c>
      <c r="G13" s="11">
        <f>IF($C13="C1first",SUMIFS(Data!$K$2:$K$313,Data!$B$2:$B$313,$A13,Data!$O$2:$O$313,"Baseline_2"),SUMIFS(Data!$K$2:$K$313,Data!$B$2:$B$313,$A13,Data!$O$2:$O$313,"Baseline_1"))</f>
        <v/>
      </c>
      <c r="H13" s="11">
        <f>SUMIFS(Data!$K$2:$K$313,Data!$B$2:$B$313,$A13,Data!$O$2:$O$313,"C2")</f>
        <v/>
      </c>
      <c r="I13" s="11">
        <f>H13-G13</f>
        <v/>
      </c>
      <c r="J13" s="11">
        <f>I13-F13</f>
        <v/>
      </c>
      <c r="K13" s="8">
        <f>INDEX(Survey!$F$2:$F$49,MATCH($A13,Survey!$B$2:$B$49,0))</f>
        <v/>
      </c>
      <c r="L13" s="8">
        <f>INDEX(Survey!$G$2:$G$49,MATCH($A13,Survey!$B$2:$B$49,0))</f>
        <v/>
      </c>
      <c r="N13" t="inlineStr">
        <is>
          <t>SE of the mean change</t>
        </is>
      </c>
      <c r="O13" s="4">
        <f>O12/SQRT(O10)</f>
        <v/>
      </c>
      <c r="P13" s="14" t="inlineStr">
        <is>
          <t>=O12/SQRT(O10)</t>
        </is>
      </c>
      <c r="Q13" s="7" t="inlineStr">
        <is>
          <t>SD of the changes / sqrt(n)</t>
        </is>
      </c>
    </row>
    <row r="14">
      <c r="A14" s="8" t="inlineStr">
        <is>
          <t>P24</t>
        </is>
      </c>
      <c r="B14" s="8">
        <f>INDEX(Data!$M$2:$M$313,MATCH($A14,Data!$B$2:$B$313,0))</f>
        <v/>
      </c>
      <c r="C14" s="8">
        <f>INDEX(Data!$N$2:$N$313,MATCH($A14,Data!$B$2:$B$313,0))</f>
        <v/>
      </c>
      <c r="D14" s="11">
        <f>IF($C14="C1first",SUMIFS(Data!$K$2:$K$313,Data!$B$2:$B$313,$A14,Data!$O$2:$O$313,"Baseline_1"),SUMIFS(Data!$K$2:$K$313,Data!$B$2:$B$313,$A14,Data!$O$2:$O$313,"Baseline_2"))</f>
        <v/>
      </c>
      <c r="E14" s="11">
        <f>SUMIFS(Data!$K$2:$K$313,Data!$B$2:$B$313,$A14,Data!$O$2:$O$313,"C1")</f>
        <v/>
      </c>
      <c r="F14" s="11">
        <f>E14-D14</f>
        <v/>
      </c>
      <c r="G14" s="11">
        <f>IF($C14="C1first",SUMIFS(Data!$K$2:$K$313,Data!$B$2:$B$313,$A14,Data!$O$2:$O$313,"Baseline_2"),SUMIFS(Data!$K$2:$K$313,Data!$B$2:$B$313,$A14,Data!$O$2:$O$313,"Baseline_1"))</f>
        <v/>
      </c>
      <c r="H14" s="11">
        <f>SUMIFS(Data!$K$2:$K$313,Data!$B$2:$B$313,$A14,Data!$O$2:$O$313,"C2")</f>
        <v/>
      </c>
      <c r="I14" s="11">
        <f>H14-G14</f>
        <v/>
      </c>
      <c r="J14" s="11">
        <f>I14-F14</f>
        <v/>
      </c>
      <c r="K14" s="8">
        <f>INDEX(Survey!$F$2:$F$49,MATCH($A14,Survey!$B$2:$B$49,0))</f>
        <v/>
      </c>
      <c r="L14" s="8">
        <f>INDEX(Survey!$G$2:$G$49,MATCH($A14,Survey!$B$2:$B$49,0))</f>
        <v/>
      </c>
      <c r="N14" t="inlineStr">
        <is>
          <t>t</t>
        </is>
      </c>
      <c r="O14" s="4">
        <f>O11/O13</f>
        <v/>
      </c>
      <c r="P14" s="14" t="inlineStr">
        <is>
          <t>=O11/O13</t>
        </is>
      </c>
      <c r="Q14" s="7" t="inlineStr">
        <is>
          <t>t = mean change / SE</t>
        </is>
      </c>
    </row>
    <row r="15">
      <c r="A15" s="8" t="inlineStr">
        <is>
          <t>P28</t>
        </is>
      </c>
      <c r="B15" s="8">
        <f>INDEX(Data!$M$2:$M$313,MATCH($A15,Data!$B$2:$B$313,0))</f>
        <v/>
      </c>
      <c r="C15" s="8">
        <f>INDEX(Data!$N$2:$N$313,MATCH($A15,Data!$B$2:$B$313,0))</f>
        <v/>
      </c>
      <c r="D15" s="11">
        <f>IF($C15="C1first",SUMIFS(Data!$K$2:$K$313,Data!$B$2:$B$313,$A15,Data!$O$2:$O$313,"Baseline_1"),SUMIFS(Data!$K$2:$K$313,Data!$B$2:$B$313,$A15,Data!$O$2:$O$313,"Baseline_2"))</f>
        <v/>
      </c>
      <c r="E15" s="11">
        <f>SUMIFS(Data!$K$2:$K$313,Data!$B$2:$B$313,$A15,Data!$O$2:$O$313,"C1")</f>
        <v/>
      </c>
      <c r="F15" s="11">
        <f>E15-D15</f>
        <v/>
      </c>
      <c r="G15" s="11">
        <f>IF($C15="C1first",SUMIFS(Data!$K$2:$K$313,Data!$B$2:$B$313,$A15,Data!$O$2:$O$313,"Baseline_2"),SUMIFS(Data!$K$2:$K$313,Data!$B$2:$B$313,$A15,Data!$O$2:$O$313,"Baseline_1"))</f>
        <v/>
      </c>
      <c r="H15" s="11">
        <f>SUMIFS(Data!$K$2:$K$313,Data!$B$2:$B$313,$A15,Data!$O$2:$O$313,"C2")</f>
        <v/>
      </c>
      <c r="I15" s="11">
        <f>H15-G15</f>
        <v/>
      </c>
      <c r="J15" s="11">
        <f>I15-F15</f>
        <v/>
      </c>
      <c r="K15" s="8">
        <f>INDEX(Survey!$F$2:$F$49,MATCH($A15,Survey!$B$2:$B$49,0))</f>
        <v/>
      </c>
      <c r="L15" s="8">
        <f>INDEX(Survey!$G$2:$G$49,MATCH($A15,Survey!$B$2:$B$49,0))</f>
        <v/>
      </c>
      <c r="N15" t="inlineStr">
        <is>
          <t>df</t>
        </is>
      </c>
      <c r="O15" s="15">
        <f>O10-1</f>
        <v/>
      </c>
      <c r="P15" s="14" t="inlineStr">
        <is>
          <t>=O10-1</t>
        </is>
      </c>
      <c r="Q15" s="7" t="inlineStr">
        <is>
          <t>n minus 1</t>
        </is>
      </c>
    </row>
    <row r="16">
      <c r="A16" s="8" t="inlineStr">
        <is>
          <t>P30</t>
        </is>
      </c>
      <c r="B16" s="8">
        <f>INDEX(Data!$M$2:$M$313,MATCH($A16,Data!$B$2:$B$313,0))</f>
        <v/>
      </c>
      <c r="C16" s="8">
        <f>INDEX(Data!$N$2:$N$313,MATCH($A16,Data!$B$2:$B$313,0))</f>
        <v/>
      </c>
      <c r="D16" s="11">
        <f>IF($C16="C1first",SUMIFS(Data!$K$2:$K$313,Data!$B$2:$B$313,$A16,Data!$O$2:$O$313,"Baseline_1"),SUMIFS(Data!$K$2:$K$313,Data!$B$2:$B$313,$A16,Data!$O$2:$O$313,"Baseline_2"))</f>
        <v/>
      </c>
      <c r="E16" s="11">
        <f>SUMIFS(Data!$K$2:$K$313,Data!$B$2:$B$313,$A16,Data!$O$2:$O$313,"C1")</f>
        <v/>
      </c>
      <c r="F16" s="11">
        <f>E16-D16</f>
        <v/>
      </c>
      <c r="G16" s="11">
        <f>IF($C16="C1first",SUMIFS(Data!$K$2:$K$313,Data!$B$2:$B$313,$A16,Data!$O$2:$O$313,"Baseline_2"),SUMIFS(Data!$K$2:$K$313,Data!$B$2:$B$313,$A16,Data!$O$2:$O$313,"Baseline_1"))</f>
        <v/>
      </c>
      <c r="H16" s="11">
        <f>SUMIFS(Data!$K$2:$K$313,Data!$B$2:$B$313,$A16,Data!$O$2:$O$313,"C2")</f>
        <v/>
      </c>
      <c r="I16" s="11">
        <f>H16-G16</f>
        <v/>
      </c>
      <c r="J16" s="11">
        <f>I16-F16</f>
        <v/>
      </c>
      <c r="K16" s="8">
        <f>INDEX(Survey!$F$2:$F$49,MATCH($A16,Survey!$B$2:$B$49,0))</f>
        <v/>
      </c>
      <c r="L16" s="8">
        <f>INDEX(Survey!$G$2:$G$49,MATCH($A16,Survey!$B$2:$B$49,0))</f>
        <v/>
      </c>
      <c r="N16" t="inlineStr">
        <is>
          <t>p, two tailed (T.TEST type 1)</t>
        </is>
      </c>
      <c r="O16" s="16">
        <f>_xlfn.T.TEST(F5:F49,I5:I49,2,1)</f>
        <v/>
      </c>
      <c r="P16" s="14" t="inlineStr">
        <is>
          <t>=T.TEST(F5:F49,I5:I49,2,1)</t>
        </is>
      </c>
      <c r="Q16" s="7" t="inlineStr">
        <is>
          <t>tails = 2, type = 1 means paired</t>
        </is>
      </c>
    </row>
    <row r="17">
      <c r="A17" s="8" t="inlineStr">
        <is>
          <t>P31</t>
        </is>
      </c>
      <c r="B17" s="8">
        <f>INDEX(Data!$M$2:$M$313,MATCH($A17,Data!$B$2:$B$313,0))</f>
        <v/>
      </c>
      <c r="C17" s="8">
        <f>INDEX(Data!$N$2:$N$313,MATCH($A17,Data!$B$2:$B$313,0))</f>
        <v/>
      </c>
      <c r="D17" s="11">
        <f>IF($C17="C1first",SUMIFS(Data!$K$2:$K$313,Data!$B$2:$B$313,$A17,Data!$O$2:$O$313,"Baseline_1"),SUMIFS(Data!$K$2:$K$313,Data!$B$2:$B$313,$A17,Data!$O$2:$O$313,"Baseline_2"))</f>
        <v/>
      </c>
      <c r="E17" s="11">
        <f>SUMIFS(Data!$K$2:$K$313,Data!$B$2:$B$313,$A17,Data!$O$2:$O$313,"C1")</f>
        <v/>
      </c>
      <c r="F17" s="11">
        <f>E17-D17</f>
        <v/>
      </c>
      <c r="G17" s="11">
        <f>IF($C17="C1first",SUMIFS(Data!$K$2:$K$313,Data!$B$2:$B$313,$A17,Data!$O$2:$O$313,"Baseline_2"),SUMIFS(Data!$K$2:$K$313,Data!$B$2:$B$313,$A17,Data!$O$2:$O$313,"Baseline_1"))</f>
        <v/>
      </c>
      <c r="H17" s="11">
        <f>SUMIFS(Data!$K$2:$K$313,Data!$B$2:$B$313,$A17,Data!$O$2:$O$313,"C2")</f>
        <v/>
      </c>
      <c r="I17" s="11">
        <f>H17-G17</f>
        <v/>
      </c>
      <c r="J17" s="11">
        <f>I17-F17</f>
        <v/>
      </c>
      <c r="K17" s="8">
        <f>INDEX(Survey!$F$2:$F$49,MATCH($A17,Survey!$B$2:$B$49,0))</f>
        <v/>
      </c>
      <c r="L17" s="8">
        <f>INDEX(Survey!$G$2:$G$49,MATCH($A17,Survey!$B$2:$B$49,0))</f>
        <v/>
      </c>
      <c r="N17" t="inlineStr">
        <is>
          <t>p from the hand computed t</t>
        </is>
      </c>
      <c r="O17" s="16">
        <f>_xlfn.T.DIST.2T(ABS(O14),O15)</f>
        <v/>
      </c>
      <c r="P17" s="14" t="inlineStr">
        <is>
          <t>=T.DIST.2T(ABS(O14),O15)</t>
        </is>
      </c>
      <c r="Q17" s="7" t="inlineStr">
        <is>
          <t>must match the T.TEST cell</t>
        </is>
      </c>
    </row>
    <row r="18">
      <c r="A18" s="8" t="inlineStr">
        <is>
          <t>P34</t>
        </is>
      </c>
      <c r="B18" s="8">
        <f>INDEX(Data!$M$2:$M$313,MATCH($A18,Data!$B$2:$B$313,0))</f>
        <v/>
      </c>
      <c r="C18" s="8">
        <f>INDEX(Data!$N$2:$N$313,MATCH($A18,Data!$B$2:$B$313,0))</f>
        <v/>
      </c>
      <c r="D18" s="11">
        <f>IF($C18="C1first",SUMIFS(Data!$K$2:$K$313,Data!$B$2:$B$313,$A18,Data!$O$2:$O$313,"Baseline_1"),SUMIFS(Data!$K$2:$K$313,Data!$B$2:$B$313,$A18,Data!$O$2:$O$313,"Baseline_2"))</f>
        <v/>
      </c>
      <c r="E18" s="11">
        <f>SUMIFS(Data!$K$2:$K$313,Data!$B$2:$B$313,$A18,Data!$O$2:$O$313,"C1")</f>
        <v/>
      </c>
      <c r="F18" s="11">
        <f>E18-D18</f>
        <v/>
      </c>
      <c r="G18" s="11">
        <f>IF($C18="C1first",SUMIFS(Data!$K$2:$K$313,Data!$B$2:$B$313,$A18,Data!$O$2:$O$313,"Baseline_2"),SUMIFS(Data!$K$2:$K$313,Data!$B$2:$B$313,$A18,Data!$O$2:$O$313,"Baseline_1"))</f>
        <v/>
      </c>
      <c r="H18" s="11">
        <f>SUMIFS(Data!$K$2:$K$313,Data!$B$2:$B$313,$A18,Data!$O$2:$O$313,"C2")</f>
        <v/>
      </c>
      <c r="I18" s="11">
        <f>H18-G18</f>
        <v/>
      </c>
      <c r="J18" s="11">
        <f>I18-F18</f>
        <v/>
      </c>
      <c r="K18" s="8">
        <f>INDEX(Survey!$F$2:$F$49,MATCH($A18,Survey!$B$2:$B$49,0))</f>
        <v/>
      </c>
      <c r="L18" s="8">
        <f>INDEX(Survey!$G$2:$G$49,MATCH($A18,Survey!$B$2:$B$49,0))</f>
        <v/>
      </c>
      <c r="N18" t="inlineStr">
        <is>
          <t>p, one tailed (teaching only)</t>
        </is>
      </c>
      <c r="O18" s="16">
        <f>_xlfn.T.DIST.RT(O14,O15)</f>
        <v/>
      </c>
      <c r="P18" s="14" t="inlineStr">
        <is>
          <t>=T.DIST.RT(O14,O15)</t>
        </is>
      </c>
      <c r="Q18" s="7" t="inlineStr">
        <is>
          <t>right tail: the predicted direction is positive</t>
        </is>
      </c>
    </row>
    <row r="19">
      <c r="A19" s="8" t="inlineStr">
        <is>
          <t>P35</t>
        </is>
      </c>
      <c r="B19" s="8">
        <f>INDEX(Data!$M$2:$M$313,MATCH($A19,Data!$B$2:$B$313,0))</f>
        <v/>
      </c>
      <c r="C19" s="8">
        <f>INDEX(Data!$N$2:$N$313,MATCH($A19,Data!$B$2:$B$313,0))</f>
        <v/>
      </c>
      <c r="D19" s="11">
        <f>IF($C19="C1first",SUMIFS(Data!$K$2:$K$313,Data!$B$2:$B$313,$A19,Data!$O$2:$O$313,"Baseline_1"),SUMIFS(Data!$K$2:$K$313,Data!$B$2:$B$313,$A19,Data!$O$2:$O$313,"Baseline_2"))</f>
        <v/>
      </c>
      <c r="E19" s="11">
        <f>SUMIFS(Data!$K$2:$K$313,Data!$B$2:$B$313,$A19,Data!$O$2:$O$313,"C1")</f>
        <v/>
      </c>
      <c r="F19" s="11">
        <f>E19-D19</f>
        <v/>
      </c>
      <c r="G19" s="11">
        <f>IF($C19="C1first",SUMIFS(Data!$K$2:$K$313,Data!$B$2:$B$313,$A19,Data!$O$2:$O$313,"Baseline_2"),SUMIFS(Data!$K$2:$K$313,Data!$B$2:$B$313,$A19,Data!$O$2:$O$313,"Baseline_1"))</f>
        <v/>
      </c>
      <c r="H19" s="11">
        <f>SUMIFS(Data!$K$2:$K$313,Data!$B$2:$B$313,$A19,Data!$O$2:$O$313,"C2")</f>
        <v/>
      </c>
      <c r="I19" s="11">
        <f>H19-G19</f>
        <v/>
      </c>
      <c r="J19" s="11">
        <f>I19-F19</f>
        <v/>
      </c>
      <c r="K19" s="8">
        <f>INDEX(Survey!$F$2:$F$49,MATCH($A19,Survey!$B$2:$B$49,0))</f>
        <v/>
      </c>
      <c r="L19" s="8">
        <f>INDEX(Survey!$G$2:$G$49,MATCH($A19,Survey!$B$2:$B$49,0))</f>
        <v/>
      </c>
      <c r="N19" t="inlineStr">
        <is>
          <t>Critical t (95%)</t>
        </is>
      </c>
      <c r="O19" s="4">
        <f>_xlfn.T.INV.2T(0.05,O15)</f>
        <v/>
      </c>
      <c r="P19" s="14" t="inlineStr">
        <is>
          <t>=T.INV.2T(0.05,O15)</t>
        </is>
      </c>
      <c r="Q19" s="7" t="inlineStr">
        <is>
          <t>two tailed, alpha = .05</t>
        </is>
      </c>
    </row>
    <row r="20">
      <c r="A20" s="8" t="inlineStr">
        <is>
          <t>P37</t>
        </is>
      </c>
      <c r="B20" s="8">
        <f>INDEX(Data!$M$2:$M$313,MATCH($A20,Data!$B$2:$B$313,0))</f>
        <v/>
      </c>
      <c r="C20" s="8">
        <f>INDEX(Data!$N$2:$N$313,MATCH($A20,Data!$B$2:$B$313,0))</f>
        <v/>
      </c>
      <c r="D20" s="11">
        <f>IF($C20="C1first",SUMIFS(Data!$K$2:$K$313,Data!$B$2:$B$313,$A20,Data!$O$2:$O$313,"Baseline_1"),SUMIFS(Data!$K$2:$K$313,Data!$B$2:$B$313,$A20,Data!$O$2:$O$313,"Baseline_2"))</f>
        <v/>
      </c>
      <c r="E20" s="11">
        <f>SUMIFS(Data!$K$2:$K$313,Data!$B$2:$B$313,$A20,Data!$O$2:$O$313,"C1")</f>
        <v/>
      </c>
      <c r="F20" s="11">
        <f>E20-D20</f>
        <v/>
      </c>
      <c r="G20" s="11">
        <f>IF($C20="C1first",SUMIFS(Data!$K$2:$K$313,Data!$B$2:$B$313,$A20,Data!$O$2:$O$313,"Baseline_2"),SUMIFS(Data!$K$2:$K$313,Data!$B$2:$B$313,$A20,Data!$O$2:$O$313,"Baseline_1"))</f>
        <v/>
      </c>
      <c r="H20" s="11">
        <f>SUMIFS(Data!$K$2:$K$313,Data!$B$2:$B$313,$A20,Data!$O$2:$O$313,"C2")</f>
        <v/>
      </c>
      <c r="I20" s="11">
        <f>H20-G20</f>
        <v/>
      </c>
      <c r="J20" s="11">
        <f>I20-F20</f>
        <v/>
      </c>
      <c r="K20" s="8">
        <f>INDEX(Survey!$F$2:$F$49,MATCH($A20,Survey!$B$2:$B$49,0))</f>
        <v/>
      </c>
      <c r="L20" s="8">
        <f>INDEX(Survey!$G$2:$G$49,MATCH($A20,Survey!$B$2:$B$49,0))</f>
        <v/>
      </c>
      <c r="N20" t="inlineStr">
        <is>
          <t>Mean change 95% CI lower</t>
        </is>
      </c>
      <c r="O20" s="4">
        <f>O11-O19*O13</f>
        <v/>
      </c>
      <c r="P20" s="14" t="inlineStr">
        <is>
          <t>=O11-O19*O13</t>
        </is>
      </c>
    </row>
    <row r="21">
      <c r="A21" s="8" t="inlineStr">
        <is>
          <t>P38</t>
        </is>
      </c>
      <c r="B21" s="8">
        <f>INDEX(Data!$M$2:$M$313,MATCH($A21,Data!$B$2:$B$313,0))</f>
        <v/>
      </c>
      <c r="C21" s="8">
        <f>INDEX(Data!$N$2:$N$313,MATCH($A21,Data!$B$2:$B$313,0))</f>
        <v/>
      </c>
      <c r="D21" s="11">
        <f>IF($C21="C1first",SUMIFS(Data!$K$2:$K$313,Data!$B$2:$B$313,$A21,Data!$O$2:$O$313,"Baseline_1"),SUMIFS(Data!$K$2:$K$313,Data!$B$2:$B$313,$A21,Data!$O$2:$O$313,"Baseline_2"))</f>
        <v/>
      </c>
      <c r="E21" s="11">
        <f>SUMIFS(Data!$K$2:$K$313,Data!$B$2:$B$313,$A21,Data!$O$2:$O$313,"C1")</f>
        <v/>
      </c>
      <c r="F21" s="11">
        <f>E21-D21</f>
        <v/>
      </c>
      <c r="G21" s="11">
        <f>IF($C21="C1first",SUMIFS(Data!$K$2:$K$313,Data!$B$2:$B$313,$A21,Data!$O$2:$O$313,"Baseline_2"),SUMIFS(Data!$K$2:$K$313,Data!$B$2:$B$313,$A21,Data!$O$2:$O$313,"Baseline_1"))</f>
        <v/>
      </c>
      <c r="H21" s="11">
        <f>SUMIFS(Data!$K$2:$K$313,Data!$B$2:$B$313,$A21,Data!$O$2:$O$313,"C2")</f>
        <v/>
      </c>
      <c r="I21" s="11">
        <f>H21-G21</f>
        <v/>
      </c>
      <c r="J21" s="11">
        <f>I21-F21</f>
        <v/>
      </c>
      <c r="K21" s="8">
        <f>INDEX(Survey!$F$2:$F$49,MATCH($A21,Survey!$B$2:$B$49,0))</f>
        <v/>
      </c>
      <c r="L21" s="8">
        <f>INDEX(Survey!$G$2:$G$49,MATCH($A21,Survey!$B$2:$B$49,0))</f>
        <v/>
      </c>
      <c r="N21" t="inlineStr">
        <is>
          <t>Mean change 95% CI upper</t>
        </is>
      </c>
      <c r="O21" s="4">
        <f>O11+O19*O13</f>
        <v/>
      </c>
      <c r="P21" s="14" t="inlineStr">
        <is>
          <t>=O11+O19*O13</t>
        </is>
      </c>
    </row>
    <row r="22">
      <c r="A22" s="8" t="inlineStr">
        <is>
          <t>P44</t>
        </is>
      </c>
      <c r="B22" s="8">
        <f>INDEX(Data!$M$2:$M$313,MATCH($A22,Data!$B$2:$B$313,0))</f>
        <v/>
      </c>
      <c r="C22" s="8">
        <f>INDEX(Data!$N$2:$N$313,MATCH($A22,Data!$B$2:$B$313,0))</f>
        <v/>
      </c>
      <c r="D22" s="11">
        <f>IF($C22="C1first",SUMIFS(Data!$K$2:$K$313,Data!$B$2:$B$313,$A22,Data!$O$2:$O$313,"Baseline_1"),SUMIFS(Data!$K$2:$K$313,Data!$B$2:$B$313,$A22,Data!$O$2:$O$313,"Baseline_2"))</f>
        <v/>
      </c>
      <c r="E22" s="11">
        <f>SUMIFS(Data!$K$2:$K$313,Data!$B$2:$B$313,$A22,Data!$O$2:$O$313,"C1")</f>
        <v/>
      </c>
      <c r="F22" s="11">
        <f>E22-D22</f>
        <v/>
      </c>
      <c r="G22" s="11">
        <f>IF($C22="C1first",SUMIFS(Data!$K$2:$K$313,Data!$B$2:$B$313,$A22,Data!$O$2:$O$313,"Baseline_2"),SUMIFS(Data!$K$2:$K$313,Data!$B$2:$B$313,$A22,Data!$O$2:$O$313,"Baseline_1"))</f>
        <v/>
      </c>
      <c r="H22" s="11">
        <f>SUMIFS(Data!$K$2:$K$313,Data!$B$2:$B$313,$A22,Data!$O$2:$O$313,"C2")</f>
        <v/>
      </c>
      <c r="I22" s="11">
        <f>H22-G22</f>
        <v/>
      </c>
      <c r="J22" s="11">
        <f>I22-F22</f>
        <v/>
      </c>
      <c r="K22" s="8">
        <f>INDEX(Survey!$F$2:$F$49,MATCH($A22,Survey!$B$2:$B$49,0))</f>
        <v/>
      </c>
      <c r="L22" s="8">
        <f>INDEX(Survey!$G$2:$G$49,MATCH($A22,Survey!$B$2:$B$49,0))</f>
        <v/>
      </c>
      <c r="N22" t="inlineStr">
        <is>
          <t>Cohen's d_z</t>
        </is>
      </c>
      <c r="O22" s="4">
        <f>O11/O12</f>
        <v/>
      </c>
      <c r="P22" s="14" t="inlineStr">
        <is>
          <t>=O11/O12</t>
        </is>
      </c>
      <c r="Q22" s="7" t="inlineStr">
        <is>
          <t>d_z = mean change / SD of the changes</t>
        </is>
      </c>
    </row>
    <row r="23">
      <c r="A23" s="8" t="inlineStr">
        <is>
          <t>P46</t>
        </is>
      </c>
      <c r="B23" s="8">
        <f>INDEX(Data!$M$2:$M$313,MATCH($A23,Data!$B$2:$B$313,0))</f>
        <v/>
      </c>
      <c r="C23" s="8">
        <f>INDEX(Data!$N$2:$N$313,MATCH($A23,Data!$B$2:$B$313,0))</f>
        <v/>
      </c>
      <c r="D23" s="11">
        <f>IF($C23="C1first",SUMIFS(Data!$K$2:$K$313,Data!$B$2:$B$313,$A23,Data!$O$2:$O$313,"Baseline_1"),SUMIFS(Data!$K$2:$K$313,Data!$B$2:$B$313,$A23,Data!$O$2:$O$313,"Baseline_2"))</f>
        <v/>
      </c>
      <c r="E23" s="11">
        <f>SUMIFS(Data!$K$2:$K$313,Data!$B$2:$B$313,$A23,Data!$O$2:$O$313,"C1")</f>
        <v/>
      </c>
      <c r="F23" s="11">
        <f>E23-D23</f>
        <v/>
      </c>
      <c r="G23" s="11">
        <f>IF($C23="C1first",SUMIFS(Data!$K$2:$K$313,Data!$B$2:$B$313,$A23,Data!$O$2:$O$313,"Baseline_2"),SUMIFS(Data!$K$2:$K$313,Data!$B$2:$B$313,$A23,Data!$O$2:$O$313,"Baseline_1"))</f>
        <v/>
      </c>
      <c r="H23" s="11">
        <f>SUMIFS(Data!$K$2:$K$313,Data!$B$2:$B$313,$A23,Data!$O$2:$O$313,"C2")</f>
        <v/>
      </c>
      <c r="I23" s="11">
        <f>H23-G23</f>
        <v/>
      </c>
      <c r="J23" s="11">
        <f>I23-F23</f>
        <v/>
      </c>
      <c r="K23" s="8">
        <f>INDEX(Survey!$F$2:$F$49,MATCH($A23,Survey!$B$2:$B$49,0))</f>
        <v/>
      </c>
      <c r="L23" s="8">
        <f>INDEX(Survey!$G$2:$G$49,MATCH($A23,Survey!$B$2:$B$49,0))</f>
        <v/>
      </c>
      <c r="N23" t="inlineStr">
        <is>
          <t>SE of d_z (approximation)</t>
        </is>
      </c>
      <c r="O23" s="4">
        <f>SQRT(1/O10+O22^2/(2*O10))</f>
        <v/>
      </c>
      <c r="P23" s="14" t="inlineStr">
        <is>
          <t>=SQRT(1/O10+O22^2/(2*O10))</t>
        </is>
      </c>
      <c r="Q23" s="7" t="inlineStr">
        <is>
          <t>sqrt(1/n + d_z^2 / (2 n))</t>
        </is>
      </c>
    </row>
    <row r="24">
      <c r="A24" s="8" t="inlineStr">
        <is>
          <t>P47</t>
        </is>
      </c>
      <c r="B24" s="8">
        <f>INDEX(Data!$M$2:$M$313,MATCH($A24,Data!$B$2:$B$313,0))</f>
        <v/>
      </c>
      <c r="C24" s="8">
        <f>INDEX(Data!$N$2:$N$313,MATCH($A24,Data!$B$2:$B$313,0))</f>
        <v/>
      </c>
      <c r="D24" s="11">
        <f>IF($C24="C1first",SUMIFS(Data!$K$2:$K$313,Data!$B$2:$B$313,$A24,Data!$O$2:$O$313,"Baseline_1"),SUMIFS(Data!$K$2:$K$313,Data!$B$2:$B$313,$A24,Data!$O$2:$O$313,"Baseline_2"))</f>
        <v/>
      </c>
      <c r="E24" s="11">
        <f>SUMIFS(Data!$K$2:$K$313,Data!$B$2:$B$313,$A24,Data!$O$2:$O$313,"C1")</f>
        <v/>
      </c>
      <c r="F24" s="11">
        <f>E24-D24</f>
        <v/>
      </c>
      <c r="G24" s="11">
        <f>IF($C24="C1first",SUMIFS(Data!$K$2:$K$313,Data!$B$2:$B$313,$A24,Data!$O$2:$O$313,"Baseline_2"),SUMIFS(Data!$K$2:$K$313,Data!$B$2:$B$313,$A24,Data!$O$2:$O$313,"Baseline_1"))</f>
        <v/>
      </c>
      <c r="H24" s="11">
        <f>SUMIFS(Data!$K$2:$K$313,Data!$B$2:$B$313,$A24,Data!$O$2:$O$313,"C2")</f>
        <v/>
      </c>
      <c r="I24" s="11">
        <f>H24-G24</f>
        <v/>
      </c>
      <c r="J24" s="11">
        <f>I24-F24</f>
        <v/>
      </c>
      <c r="K24" s="8">
        <f>INDEX(Survey!$F$2:$F$49,MATCH($A24,Survey!$B$2:$B$49,0))</f>
        <v/>
      </c>
      <c r="L24" s="8">
        <f>INDEX(Survey!$G$2:$G$49,MATCH($A24,Survey!$B$2:$B$49,0))</f>
        <v/>
      </c>
      <c r="N24" t="inlineStr">
        <is>
          <t>d_z 95% CI lower (approximation)</t>
        </is>
      </c>
      <c r="O24" s="4">
        <f>O22-1.96*O23</f>
        <v/>
      </c>
      <c r="P24" s="14" t="inlineStr">
        <is>
          <t>=O22-1.96*O23</t>
        </is>
      </c>
      <c r="Q24" s="7" t="inlineStr">
        <is>
          <t>R also gives the exact noncentral t interval</t>
        </is>
      </c>
    </row>
    <row r="25">
      <c r="A25" s="8" t="inlineStr">
        <is>
          <t>P04</t>
        </is>
      </c>
      <c r="B25" s="8">
        <f>INDEX(Data!$M$2:$M$313,MATCH($A25,Data!$B$2:$B$313,0))</f>
        <v/>
      </c>
      <c r="C25" s="8">
        <f>INDEX(Data!$N$2:$N$313,MATCH($A25,Data!$B$2:$B$313,0))</f>
        <v/>
      </c>
      <c r="D25" s="11">
        <f>IF($C25="C1first",SUMIFS(Data!$K$2:$K$313,Data!$B$2:$B$313,$A25,Data!$O$2:$O$313,"Baseline_1"),SUMIFS(Data!$K$2:$K$313,Data!$B$2:$B$313,$A25,Data!$O$2:$O$313,"Baseline_2"))</f>
        <v/>
      </c>
      <c r="E25" s="11">
        <f>SUMIFS(Data!$K$2:$K$313,Data!$B$2:$B$313,$A25,Data!$O$2:$O$313,"C1")</f>
        <v/>
      </c>
      <c r="F25" s="11">
        <f>E25-D25</f>
        <v/>
      </c>
      <c r="G25" s="11">
        <f>IF($C25="C1first",SUMIFS(Data!$K$2:$K$313,Data!$B$2:$B$313,$A25,Data!$O$2:$O$313,"Baseline_2"),SUMIFS(Data!$K$2:$K$313,Data!$B$2:$B$313,$A25,Data!$O$2:$O$313,"Baseline_1"))</f>
        <v/>
      </c>
      <c r="H25" s="11">
        <f>SUMIFS(Data!$K$2:$K$313,Data!$B$2:$B$313,$A25,Data!$O$2:$O$313,"C2")</f>
        <v/>
      </c>
      <c r="I25" s="11">
        <f>H25-G25</f>
        <v/>
      </c>
      <c r="J25" s="11">
        <f>I25-F25</f>
        <v/>
      </c>
      <c r="K25" s="8">
        <f>INDEX(Survey!$F$2:$F$49,MATCH($A25,Survey!$B$2:$B$49,0))</f>
        <v/>
      </c>
      <c r="L25" s="8">
        <f>INDEX(Survey!$G$2:$G$49,MATCH($A25,Survey!$B$2:$B$49,0))</f>
        <v/>
      </c>
      <c r="N25" t="inlineStr">
        <is>
          <t>d_z 95% CI upper (approximation)</t>
        </is>
      </c>
      <c r="O25" s="4">
        <f>O22+1.96*O23</f>
        <v/>
      </c>
      <c r="P25" s="14" t="inlineStr">
        <is>
          <t>=O22+1.96*O23</t>
        </is>
      </c>
    </row>
    <row r="26">
      <c r="A26" s="8" t="inlineStr">
        <is>
          <t>P18</t>
        </is>
      </c>
      <c r="B26" s="8">
        <f>INDEX(Data!$M$2:$M$313,MATCH($A26,Data!$B$2:$B$313,0))</f>
        <v/>
      </c>
      <c r="C26" s="8">
        <f>INDEX(Data!$N$2:$N$313,MATCH($A26,Data!$B$2:$B$313,0))</f>
        <v/>
      </c>
      <c r="D26" s="11">
        <f>IF($C26="C1first",SUMIFS(Data!$K$2:$K$313,Data!$B$2:$B$313,$A26,Data!$O$2:$O$313,"Baseline_1"),SUMIFS(Data!$K$2:$K$313,Data!$B$2:$B$313,$A26,Data!$O$2:$O$313,"Baseline_2"))</f>
        <v/>
      </c>
      <c r="E26" s="11">
        <f>SUMIFS(Data!$K$2:$K$313,Data!$B$2:$B$313,$A26,Data!$O$2:$O$313,"C1")</f>
        <v/>
      </c>
      <c r="F26" s="11">
        <f>E26-D26</f>
        <v/>
      </c>
      <c r="G26" s="11">
        <f>IF($C26="C1first",SUMIFS(Data!$K$2:$K$313,Data!$B$2:$B$313,$A26,Data!$O$2:$O$313,"Baseline_2"),SUMIFS(Data!$K$2:$K$313,Data!$B$2:$B$313,$A26,Data!$O$2:$O$313,"Baseline_1"))</f>
        <v/>
      </c>
      <c r="H26" s="11">
        <f>SUMIFS(Data!$K$2:$K$313,Data!$B$2:$B$313,$A26,Data!$O$2:$O$313,"C2")</f>
        <v/>
      </c>
      <c r="I26" s="11">
        <f>H26-G26</f>
        <v/>
      </c>
      <c r="J26" s="11">
        <f>I26-F26</f>
        <v/>
      </c>
      <c r="K26" s="8">
        <f>INDEX(Survey!$F$2:$F$49,MATCH($A26,Survey!$B$2:$B$49,0))</f>
        <v/>
      </c>
      <c r="L26" s="8">
        <f>INDEX(Survey!$G$2:$G$49,MATCH($A26,Survey!$B$2:$B$49,0))</f>
        <v/>
      </c>
      <c r="N26" t="inlineStr">
        <is>
          <t>Correlation of the two columns</t>
        </is>
      </c>
      <c r="O26" s="4">
        <f>CORREL(F5:F49,I5:I49)</f>
        <v/>
      </c>
      <c r="P26" s="14" t="inlineStr">
        <is>
          <t>=CORREL(F5:F49,I5:I49)</t>
        </is>
      </c>
      <c r="Q26" s="7" t="inlineStr">
        <is>
          <t>how stable a respondent is from one segment to the other</t>
        </is>
      </c>
    </row>
    <row r="27">
      <c r="A27" s="8" t="inlineStr">
        <is>
          <t>P01</t>
        </is>
      </c>
      <c r="B27" s="8">
        <f>INDEX(Data!$M$2:$M$313,MATCH($A27,Data!$B$2:$B$313,0))</f>
        <v/>
      </c>
      <c r="C27" s="8">
        <f>INDEX(Data!$N$2:$N$313,MATCH($A27,Data!$B$2:$B$313,0))</f>
        <v/>
      </c>
      <c r="D27" s="11">
        <f>IF($C27="C1first",SUMIFS(Data!$K$2:$K$313,Data!$B$2:$B$313,$A27,Data!$O$2:$O$313,"Baseline_1"),SUMIFS(Data!$K$2:$K$313,Data!$B$2:$B$313,$A27,Data!$O$2:$O$313,"Baseline_2"))</f>
        <v/>
      </c>
      <c r="E27" s="11">
        <f>SUMIFS(Data!$K$2:$K$313,Data!$B$2:$B$313,$A27,Data!$O$2:$O$313,"C1")</f>
        <v/>
      </c>
      <c r="F27" s="11">
        <f>E27-D27</f>
        <v/>
      </c>
      <c r="G27" s="11">
        <f>IF($C27="C1first",SUMIFS(Data!$K$2:$K$313,Data!$B$2:$B$313,$A27,Data!$O$2:$O$313,"Baseline_2"),SUMIFS(Data!$K$2:$K$313,Data!$B$2:$B$313,$A27,Data!$O$2:$O$313,"Baseline_1"))</f>
        <v/>
      </c>
      <c r="H27" s="11">
        <f>SUMIFS(Data!$K$2:$K$313,Data!$B$2:$B$313,$A27,Data!$O$2:$O$313,"C2")</f>
        <v/>
      </c>
      <c r="I27" s="11">
        <f>H27-G27</f>
        <v/>
      </c>
      <c r="J27" s="11">
        <f>I27-F27</f>
        <v/>
      </c>
      <c r="K27" s="8">
        <f>INDEX(Survey!$F$2:$F$49,MATCH($A27,Survey!$B$2:$B$49,0))</f>
        <v/>
      </c>
      <c r="L27" s="8">
        <f>INDEX(Survey!$G$2:$G$49,MATCH($A27,Survey!$B$2:$B$49,0))</f>
        <v/>
      </c>
      <c r="N27" t="inlineStr">
        <is>
          <t>Respondents with a positive change</t>
        </is>
      </c>
      <c r="O27" s="15">
        <f>COUNTIF(J5:J49,"&gt;0")</f>
        <v/>
      </c>
      <c r="P27" s="14" t="inlineStr">
        <is>
          <t>=COUNTIF(J5:J49,"&gt;0")</t>
        </is>
      </c>
    </row>
    <row r="28">
      <c r="A28" s="8" t="inlineStr">
        <is>
          <t>P03</t>
        </is>
      </c>
      <c r="B28" s="8">
        <f>INDEX(Data!$M$2:$M$313,MATCH($A28,Data!$B$2:$B$313,0))</f>
        <v/>
      </c>
      <c r="C28" s="8">
        <f>INDEX(Data!$N$2:$N$313,MATCH($A28,Data!$B$2:$B$313,0))</f>
        <v/>
      </c>
      <c r="D28" s="11">
        <f>IF($C28="C1first",SUMIFS(Data!$K$2:$K$313,Data!$B$2:$B$313,$A28,Data!$O$2:$O$313,"Baseline_1"),SUMIFS(Data!$K$2:$K$313,Data!$B$2:$B$313,$A28,Data!$O$2:$O$313,"Baseline_2"))</f>
        <v/>
      </c>
      <c r="E28" s="11">
        <f>SUMIFS(Data!$K$2:$K$313,Data!$B$2:$B$313,$A28,Data!$O$2:$O$313,"C1")</f>
        <v/>
      </c>
      <c r="F28" s="11">
        <f>E28-D28</f>
        <v/>
      </c>
      <c r="G28" s="11">
        <f>IF($C28="C1first",SUMIFS(Data!$K$2:$K$313,Data!$B$2:$B$313,$A28,Data!$O$2:$O$313,"Baseline_2"),SUMIFS(Data!$K$2:$K$313,Data!$B$2:$B$313,$A28,Data!$O$2:$O$313,"Baseline_1"))</f>
        <v/>
      </c>
      <c r="H28" s="11">
        <f>SUMIFS(Data!$K$2:$K$313,Data!$B$2:$B$313,$A28,Data!$O$2:$O$313,"C2")</f>
        <v/>
      </c>
      <c r="I28" s="11">
        <f>H28-G28</f>
        <v/>
      </c>
      <c r="J28" s="11">
        <f>I28-F28</f>
        <v/>
      </c>
      <c r="K28" s="8">
        <f>INDEX(Survey!$F$2:$F$49,MATCH($A28,Survey!$B$2:$B$49,0))</f>
        <v/>
      </c>
      <c r="L28" s="8">
        <f>INDEX(Survey!$G$2:$G$49,MATCH($A28,Survey!$B$2:$B$49,0))</f>
        <v/>
      </c>
    </row>
    <row r="29">
      <c r="A29" s="8" t="inlineStr">
        <is>
          <t>P06</t>
        </is>
      </c>
      <c r="B29" s="8">
        <f>INDEX(Data!$M$2:$M$313,MATCH($A29,Data!$B$2:$B$313,0))</f>
        <v/>
      </c>
      <c r="C29" s="8">
        <f>INDEX(Data!$N$2:$N$313,MATCH($A29,Data!$B$2:$B$313,0))</f>
        <v/>
      </c>
      <c r="D29" s="11">
        <f>IF($C29="C1first",SUMIFS(Data!$K$2:$K$313,Data!$B$2:$B$313,$A29,Data!$O$2:$O$313,"Baseline_1"),SUMIFS(Data!$K$2:$K$313,Data!$B$2:$B$313,$A29,Data!$O$2:$O$313,"Baseline_2"))</f>
        <v/>
      </c>
      <c r="E29" s="11">
        <f>SUMIFS(Data!$K$2:$K$313,Data!$B$2:$B$313,$A29,Data!$O$2:$O$313,"C1")</f>
        <v/>
      </c>
      <c r="F29" s="11">
        <f>E29-D29</f>
        <v/>
      </c>
      <c r="G29" s="11">
        <f>IF($C29="C1first",SUMIFS(Data!$K$2:$K$313,Data!$B$2:$B$313,$A29,Data!$O$2:$O$313,"Baseline_2"),SUMIFS(Data!$K$2:$K$313,Data!$B$2:$B$313,$A29,Data!$O$2:$O$313,"Baseline_1"))</f>
        <v/>
      </c>
      <c r="H29" s="11">
        <f>SUMIFS(Data!$K$2:$K$313,Data!$B$2:$B$313,$A29,Data!$O$2:$O$313,"C2")</f>
        <v/>
      </c>
      <c r="I29" s="11">
        <f>H29-G29</f>
        <v/>
      </c>
      <c r="J29" s="11">
        <f>I29-F29</f>
        <v/>
      </c>
      <c r="K29" s="8">
        <f>INDEX(Survey!$F$2:$F$49,MATCH($A29,Survey!$B$2:$B$49,0))</f>
        <v/>
      </c>
      <c r="L29" s="8">
        <f>INDEX(Survey!$G$2:$G$49,MATCH($A29,Survey!$B$2:$B$49,0))</f>
        <v/>
      </c>
      <c r="N29" s="13" t="inlineStr">
        <is>
          <t>Simple estimates (Excel cannot fit the mixed model)</t>
        </is>
      </c>
    </row>
    <row r="30">
      <c r="A30" s="8" t="inlineStr">
        <is>
          <t>P07</t>
        </is>
      </c>
      <c r="B30" s="8">
        <f>INDEX(Data!$M$2:$M$313,MATCH($A30,Data!$B$2:$B$313,0))</f>
        <v/>
      </c>
      <c r="C30" s="8">
        <f>INDEX(Data!$N$2:$N$313,MATCH($A30,Data!$B$2:$B$313,0))</f>
        <v/>
      </c>
      <c r="D30" s="11">
        <f>IF($C30="C1first",SUMIFS(Data!$K$2:$K$313,Data!$B$2:$B$313,$A30,Data!$O$2:$O$313,"Baseline_1"),SUMIFS(Data!$K$2:$K$313,Data!$B$2:$B$313,$A30,Data!$O$2:$O$313,"Baseline_2"))</f>
        <v/>
      </c>
      <c r="E30" s="11">
        <f>SUMIFS(Data!$K$2:$K$313,Data!$B$2:$B$313,$A30,Data!$O$2:$O$313,"C1")</f>
        <v/>
      </c>
      <c r="F30" s="11">
        <f>E30-D30</f>
        <v/>
      </c>
      <c r="G30" s="11">
        <f>IF($C30="C1first",SUMIFS(Data!$K$2:$K$313,Data!$B$2:$B$313,$A30,Data!$O$2:$O$313,"Baseline_2"),SUMIFS(Data!$K$2:$K$313,Data!$B$2:$B$313,$A30,Data!$O$2:$O$313,"Baseline_1"))</f>
        <v/>
      </c>
      <c r="H30" s="11">
        <f>SUMIFS(Data!$K$2:$K$313,Data!$B$2:$B$313,$A30,Data!$O$2:$O$313,"C2")</f>
        <v/>
      </c>
      <c r="I30" s="11">
        <f>H30-G30</f>
        <v/>
      </c>
      <c r="J30" s="11">
        <f>I30-F30</f>
        <v/>
      </c>
      <c r="K30" s="8">
        <f>INDEX(Survey!$F$2:$F$49,MATCH($A30,Survey!$B$2:$B$49,0))</f>
        <v/>
      </c>
      <c r="L30" s="8">
        <f>INDEX(Survey!$G$2:$G$49,MATCH($A30,Survey!$B$2:$B$49,0))</f>
        <v/>
      </c>
      <c r="N30" t="inlineStr">
        <is>
          <t>Mean difference, C1first respondents (Commercial_2 seen second)</t>
        </is>
      </c>
      <c r="O30" s="4">
        <f>AVERAGEIFS(J5:J49,C5:C49,"C1first")</f>
        <v/>
      </c>
      <c r="P30" s="14" t="inlineStr">
        <is>
          <t>=AVERAGEIFS(J5:J49,C5:C49,"C1first")</t>
        </is>
      </c>
      <c r="Q30" s="7" t="inlineStr">
        <is>
          <t>difference = commercial effect + position effect</t>
        </is>
      </c>
    </row>
    <row r="31">
      <c r="A31" s="8" t="inlineStr">
        <is>
          <t>P10</t>
        </is>
      </c>
      <c r="B31" s="8">
        <f>INDEX(Data!$M$2:$M$313,MATCH($A31,Data!$B$2:$B$313,0))</f>
        <v/>
      </c>
      <c r="C31" s="8">
        <f>INDEX(Data!$N$2:$N$313,MATCH($A31,Data!$B$2:$B$313,0))</f>
        <v/>
      </c>
      <c r="D31" s="11">
        <f>IF($C31="C1first",SUMIFS(Data!$K$2:$K$313,Data!$B$2:$B$313,$A31,Data!$O$2:$O$313,"Baseline_1"),SUMIFS(Data!$K$2:$K$313,Data!$B$2:$B$313,$A31,Data!$O$2:$O$313,"Baseline_2"))</f>
        <v/>
      </c>
      <c r="E31" s="11">
        <f>SUMIFS(Data!$K$2:$K$313,Data!$B$2:$B$313,$A31,Data!$O$2:$O$313,"C1")</f>
        <v/>
      </c>
      <c r="F31" s="11">
        <f>E31-D31</f>
        <v/>
      </c>
      <c r="G31" s="11">
        <f>IF($C31="C1first",SUMIFS(Data!$K$2:$K$313,Data!$B$2:$B$313,$A31,Data!$O$2:$O$313,"Baseline_2"),SUMIFS(Data!$K$2:$K$313,Data!$B$2:$B$313,$A31,Data!$O$2:$O$313,"Baseline_1"))</f>
        <v/>
      </c>
      <c r="H31" s="11">
        <f>SUMIFS(Data!$K$2:$K$313,Data!$B$2:$B$313,$A31,Data!$O$2:$O$313,"C2")</f>
        <v/>
      </c>
      <c r="I31" s="11">
        <f>H31-G31</f>
        <v/>
      </c>
      <c r="J31" s="11">
        <f>I31-F31</f>
        <v/>
      </c>
      <c r="K31" s="8">
        <f>INDEX(Survey!$F$2:$F$49,MATCH($A31,Survey!$B$2:$B$49,0))</f>
        <v/>
      </c>
      <c r="L31" s="8">
        <f>INDEX(Survey!$G$2:$G$49,MATCH($A31,Survey!$B$2:$B$49,0))</f>
        <v/>
      </c>
      <c r="N31" t="inlineStr">
        <is>
          <t>Mean difference, C2first respondents (Commercial_2 seen first)</t>
        </is>
      </c>
      <c r="O31" s="4">
        <f>AVERAGEIFS(J5:J49,C5:C49,"C2first")</f>
        <v/>
      </c>
      <c r="P31" s="14" t="inlineStr">
        <is>
          <t>=AVERAGEIFS(J5:J49,C5:C49,"C2first")</t>
        </is>
      </c>
      <c r="Q31" s="7" t="inlineStr">
        <is>
          <t>difference = commercial effect - position effect</t>
        </is>
      </c>
    </row>
    <row r="32">
      <c r="A32" s="8" t="inlineStr">
        <is>
          <t>P12</t>
        </is>
      </c>
      <c r="B32" s="8">
        <f>INDEX(Data!$M$2:$M$313,MATCH($A32,Data!$B$2:$B$313,0))</f>
        <v/>
      </c>
      <c r="C32" s="8">
        <f>INDEX(Data!$N$2:$N$313,MATCH($A32,Data!$B$2:$B$313,0))</f>
        <v/>
      </c>
      <c r="D32" s="11">
        <f>IF($C32="C1first",SUMIFS(Data!$K$2:$K$313,Data!$B$2:$B$313,$A32,Data!$O$2:$O$313,"Baseline_1"),SUMIFS(Data!$K$2:$K$313,Data!$B$2:$B$313,$A32,Data!$O$2:$O$313,"Baseline_2"))</f>
        <v/>
      </c>
      <c r="E32" s="11">
        <f>SUMIFS(Data!$K$2:$K$313,Data!$B$2:$B$313,$A32,Data!$O$2:$O$313,"C1")</f>
        <v/>
      </c>
      <c r="F32" s="11">
        <f>E32-D32</f>
        <v/>
      </c>
      <c r="G32" s="11">
        <f>IF($C32="C1first",SUMIFS(Data!$K$2:$K$313,Data!$B$2:$B$313,$A32,Data!$O$2:$O$313,"Baseline_2"),SUMIFS(Data!$K$2:$K$313,Data!$B$2:$B$313,$A32,Data!$O$2:$O$313,"Baseline_1"))</f>
        <v/>
      </c>
      <c r="H32" s="11">
        <f>SUMIFS(Data!$K$2:$K$313,Data!$B$2:$B$313,$A32,Data!$O$2:$O$313,"C2")</f>
        <v/>
      </c>
      <c r="I32" s="11">
        <f>H32-G32</f>
        <v/>
      </c>
      <c r="J32" s="11">
        <f>I32-F32</f>
        <v/>
      </c>
      <c r="K32" s="8">
        <f>INDEX(Survey!$F$2:$F$49,MATCH($A32,Survey!$B$2:$B$49,0))</f>
        <v/>
      </c>
      <c r="L32" s="8">
        <f>INDEX(Survey!$G$2:$G$49,MATCH($A32,Survey!$B$2:$B$49,0))</f>
        <v/>
      </c>
      <c r="N32" t="inlineStr">
        <is>
          <t>n, C1first</t>
        </is>
      </c>
      <c r="O32" s="15">
        <f>COUNTIF(C5:C49,"C1first")</f>
        <v/>
      </c>
      <c r="P32" s="14" t="inlineStr">
        <is>
          <t>=COUNTIF(C5:C49,"C1first")</t>
        </is>
      </c>
    </row>
    <row r="33">
      <c r="A33" s="8" t="inlineStr">
        <is>
          <t>P15</t>
        </is>
      </c>
      <c r="B33" s="8">
        <f>INDEX(Data!$M$2:$M$313,MATCH($A33,Data!$B$2:$B$313,0))</f>
        <v/>
      </c>
      <c r="C33" s="8">
        <f>INDEX(Data!$N$2:$N$313,MATCH($A33,Data!$B$2:$B$313,0))</f>
        <v/>
      </c>
      <c r="D33" s="11">
        <f>IF($C33="C1first",SUMIFS(Data!$K$2:$K$313,Data!$B$2:$B$313,$A33,Data!$O$2:$O$313,"Baseline_1"),SUMIFS(Data!$K$2:$K$313,Data!$B$2:$B$313,$A33,Data!$O$2:$O$313,"Baseline_2"))</f>
        <v/>
      </c>
      <c r="E33" s="11">
        <f>SUMIFS(Data!$K$2:$K$313,Data!$B$2:$B$313,$A33,Data!$O$2:$O$313,"C1")</f>
        <v/>
      </c>
      <c r="F33" s="11">
        <f>E33-D33</f>
        <v/>
      </c>
      <c r="G33" s="11">
        <f>IF($C33="C1first",SUMIFS(Data!$K$2:$K$313,Data!$B$2:$B$313,$A33,Data!$O$2:$O$313,"Baseline_2"),SUMIFS(Data!$K$2:$K$313,Data!$B$2:$B$313,$A33,Data!$O$2:$O$313,"Baseline_1"))</f>
        <v/>
      </c>
      <c r="H33" s="11">
        <f>SUMIFS(Data!$K$2:$K$313,Data!$B$2:$B$313,$A33,Data!$O$2:$O$313,"C2")</f>
        <v/>
      </c>
      <c r="I33" s="11">
        <f>H33-G33</f>
        <v/>
      </c>
      <c r="J33" s="11">
        <f>I33-F33</f>
        <v/>
      </c>
      <c r="K33" s="8">
        <f>INDEX(Survey!$F$2:$F$49,MATCH($A33,Survey!$B$2:$B$49,0))</f>
        <v/>
      </c>
      <c r="L33" s="8">
        <f>INDEX(Survey!$G$2:$G$49,MATCH($A33,Survey!$B$2:$B$49,0))</f>
        <v/>
      </c>
      <c r="N33" t="inlineStr">
        <is>
          <t>n, C2first</t>
        </is>
      </c>
      <c r="O33" s="15">
        <f>COUNTIF(C5:C49,"C2first")</f>
        <v/>
      </c>
      <c r="P33" s="14" t="inlineStr">
        <is>
          <t>=COUNTIF(C5:C49,"C2first")</t>
        </is>
      </c>
    </row>
    <row r="34">
      <c r="A34" s="8" t="inlineStr">
        <is>
          <t>P16</t>
        </is>
      </c>
      <c r="B34" s="8">
        <f>INDEX(Data!$M$2:$M$313,MATCH($A34,Data!$B$2:$B$313,0))</f>
        <v/>
      </c>
      <c r="C34" s="8">
        <f>INDEX(Data!$N$2:$N$313,MATCH($A34,Data!$B$2:$B$313,0))</f>
        <v/>
      </c>
      <c r="D34" s="11">
        <f>IF($C34="C1first",SUMIFS(Data!$K$2:$K$313,Data!$B$2:$B$313,$A34,Data!$O$2:$O$313,"Baseline_1"),SUMIFS(Data!$K$2:$K$313,Data!$B$2:$B$313,$A34,Data!$O$2:$O$313,"Baseline_2"))</f>
        <v/>
      </c>
      <c r="E34" s="11">
        <f>SUMIFS(Data!$K$2:$K$313,Data!$B$2:$B$313,$A34,Data!$O$2:$O$313,"C1")</f>
        <v/>
      </c>
      <c r="F34" s="11">
        <f>E34-D34</f>
        <v/>
      </c>
      <c r="G34" s="11">
        <f>IF($C34="C1first",SUMIFS(Data!$K$2:$K$313,Data!$B$2:$B$313,$A34,Data!$O$2:$O$313,"Baseline_2"),SUMIFS(Data!$K$2:$K$313,Data!$B$2:$B$313,$A34,Data!$O$2:$O$313,"Baseline_1"))</f>
        <v/>
      </c>
      <c r="H34" s="11">
        <f>SUMIFS(Data!$K$2:$K$313,Data!$B$2:$B$313,$A34,Data!$O$2:$O$313,"C2")</f>
        <v/>
      </c>
      <c r="I34" s="11">
        <f>H34-G34</f>
        <v/>
      </c>
      <c r="J34" s="11">
        <f>I34-F34</f>
        <v/>
      </c>
      <c r="K34" s="8">
        <f>INDEX(Survey!$F$2:$F$49,MATCH($A34,Survey!$B$2:$B$49,0))</f>
        <v/>
      </c>
      <c r="L34" s="8">
        <f>INDEX(Survey!$G$2:$G$49,MATCH($A34,Survey!$B$2:$B$49,0))</f>
        <v/>
      </c>
      <c r="N34" t="inlineStr">
        <is>
          <t>Position (second minus first), simple estimate</t>
        </is>
      </c>
      <c r="O34" s="4">
        <f>(O30-O31)/2</f>
        <v/>
      </c>
      <c r="P34" s="14" t="inlineStr">
        <is>
          <t>=(O30-O31)/2</t>
        </is>
      </c>
      <c r="Q34" s="7" t="inlineStr">
        <is>
          <t>R mixed model: see analysis_output.txt step 9b</t>
        </is>
      </c>
    </row>
    <row r="35">
      <c r="A35" s="8" t="inlineStr">
        <is>
          <t>P17</t>
        </is>
      </c>
      <c r="B35" s="8">
        <f>INDEX(Data!$M$2:$M$313,MATCH($A35,Data!$B$2:$B$313,0))</f>
        <v/>
      </c>
      <c r="C35" s="8">
        <f>INDEX(Data!$N$2:$N$313,MATCH($A35,Data!$B$2:$B$313,0))</f>
        <v/>
      </c>
      <c r="D35" s="11">
        <f>IF($C35="C1first",SUMIFS(Data!$K$2:$K$313,Data!$B$2:$B$313,$A35,Data!$O$2:$O$313,"Baseline_1"),SUMIFS(Data!$K$2:$K$313,Data!$B$2:$B$313,$A35,Data!$O$2:$O$313,"Baseline_2"))</f>
        <v/>
      </c>
      <c r="E35" s="11">
        <f>SUMIFS(Data!$K$2:$K$313,Data!$B$2:$B$313,$A35,Data!$O$2:$O$313,"C1")</f>
        <v/>
      </c>
      <c r="F35" s="11">
        <f>E35-D35</f>
        <v/>
      </c>
      <c r="G35" s="11">
        <f>IF($C35="C1first",SUMIFS(Data!$K$2:$K$313,Data!$B$2:$B$313,$A35,Data!$O$2:$O$313,"Baseline_2"),SUMIFS(Data!$K$2:$K$313,Data!$B$2:$B$313,$A35,Data!$O$2:$O$313,"Baseline_1"))</f>
        <v/>
      </c>
      <c r="H35" s="11">
        <f>SUMIFS(Data!$K$2:$K$313,Data!$B$2:$B$313,$A35,Data!$O$2:$O$313,"C2")</f>
        <v/>
      </c>
      <c r="I35" s="11">
        <f>H35-G35</f>
        <v/>
      </c>
      <c r="J35" s="11">
        <f>I35-F35</f>
        <v/>
      </c>
      <c r="K35" s="8">
        <f>INDEX(Survey!$F$2:$F$49,MATCH($A35,Survey!$B$2:$B$49,0))</f>
        <v/>
      </c>
      <c r="L35" s="8">
        <f>INDEX(Survey!$G$2:$G$49,MATCH($A35,Survey!$B$2:$B$49,0))</f>
        <v/>
      </c>
      <c r="N35" t="inlineStr">
        <is>
          <t>Commercial (Commercial_2 minus Commercial_1), position balanced</t>
        </is>
      </c>
      <c r="O35" s="4">
        <f>(O30+O31)/2</f>
        <v/>
      </c>
      <c r="P35" s="14" t="inlineStr">
        <is>
          <t>=(O30+O31)/2</t>
        </is>
      </c>
    </row>
    <row r="36">
      <c r="A36" s="8" t="inlineStr">
        <is>
          <t>P19</t>
        </is>
      </c>
      <c r="B36" s="8">
        <f>INDEX(Data!$M$2:$M$313,MATCH($A36,Data!$B$2:$B$313,0))</f>
        <v/>
      </c>
      <c r="C36" s="8">
        <f>INDEX(Data!$N$2:$N$313,MATCH($A36,Data!$B$2:$B$313,0))</f>
        <v/>
      </c>
      <c r="D36" s="11">
        <f>IF($C36="C1first",SUMIFS(Data!$K$2:$K$313,Data!$B$2:$B$313,$A36,Data!$O$2:$O$313,"Baseline_1"),SUMIFS(Data!$K$2:$K$313,Data!$B$2:$B$313,$A36,Data!$O$2:$O$313,"Baseline_2"))</f>
        <v/>
      </c>
      <c r="E36" s="11">
        <f>SUMIFS(Data!$K$2:$K$313,Data!$B$2:$B$313,$A36,Data!$O$2:$O$313,"C1")</f>
        <v/>
      </c>
      <c r="F36" s="11">
        <f>E36-D36</f>
        <v/>
      </c>
      <c r="G36" s="11">
        <f>IF($C36="C1first",SUMIFS(Data!$K$2:$K$313,Data!$B$2:$B$313,$A36,Data!$O$2:$O$313,"Baseline_2"),SUMIFS(Data!$K$2:$K$313,Data!$B$2:$B$313,$A36,Data!$O$2:$O$313,"Baseline_1"))</f>
        <v/>
      </c>
      <c r="H36" s="11">
        <f>SUMIFS(Data!$K$2:$K$313,Data!$B$2:$B$313,$A36,Data!$O$2:$O$313,"C2")</f>
        <v/>
      </c>
      <c r="I36" s="11">
        <f>H36-G36</f>
        <v/>
      </c>
      <c r="J36" s="11">
        <f>I36-F36</f>
        <v/>
      </c>
      <c r="K36" s="8">
        <f>INDEX(Survey!$F$2:$F$49,MATCH($A36,Survey!$B$2:$B$49,0))</f>
        <v/>
      </c>
      <c r="L36" s="8">
        <f>INDEX(Survey!$G$2:$G$49,MATCH($A36,Survey!$B$2:$B$49,0))</f>
        <v/>
      </c>
      <c r="N36" t="inlineStr">
        <is>
          <t>Mean difference, Version A</t>
        </is>
      </c>
      <c r="O36" s="4">
        <f>AVERAGEIFS(J5:J49,B5:B49,"A")</f>
        <v/>
      </c>
      <c r="P36" s="14" t="inlineStr">
        <is>
          <t>=AVERAGEIFS(J5:J49,B5:B49,"A")</t>
        </is>
      </c>
    </row>
    <row r="37">
      <c r="A37" s="8" t="inlineStr">
        <is>
          <t>P21</t>
        </is>
      </c>
      <c r="B37" s="8">
        <f>INDEX(Data!$M$2:$M$313,MATCH($A37,Data!$B$2:$B$313,0))</f>
        <v/>
      </c>
      <c r="C37" s="8">
        <f>INDEX(Data!$N$2:$N$313,MATCH($A37,Data!$B$2:$B$313,0))</f>
        <v/>
      </c>
      <c r="D37" s="11">
        <f>IF($C37="C1first",SUMIFS(Data!$K$2:$K$313,Data!$B$2:$B$313,$A37,Data!$O$2:$O$313,"Baseline_1"),SUMIFS(Data!$K$2:$K$313,Data!$B$2:$B$313,$A37,Data!$O$2:$O$313,"Baseline_2"))</f>
        <v/>
      </c>
      <c r="E37" s="11">
        <f>SUMIFS(Data!$K$2:$K$313,Data!$B$2:$B$313,$A37,Data!$O$2:$O$313,"C1")</f>
        <v/>
      </c>
      <c r="F37" s="11">
        <f>E37-D37</f>
        <v/>
      </c>
      <c r="G37" s="11">
        <f>IF($C37="C1first",SUMIFS(Data!$K$2:$K$313,Data!$B$2:$B$313,$A37,Data!$O$2:$O$313,"Baseline_2"),SUMIFS(Data!$K$2:$K$313,Data!$B$2:$B$313,$A37,Data!$O$2:$O$313,"Baseline_1"))</f>
        <v/>
      </c>
      <c r="H37" s="11">
        <f>SUMIFS(Data!$K$2:$K$313,Data!$B$2:$B$313,$A37,Data!$O$2:$O$313,"C2")</f>
        <v/>
      </c>
      <c r="I37" s="11">
        <f>H37-G37</f>
        <v/>
      </c>
      <c r="J37" s="11">
        <f>I37-F37</f>
        <v/>
      </c>
      <c r="K37" s="8">
        <f>INDEX(Survey!$F$2:$F$49,MATCH($A37,Survey!$B$2:$B$49,0))</f>
        <v/>
      </c>
      <c r="L37" s="8">
        <f>INDEX(Survey!$G$2:$G$49,MATCH($A37,Survey!$B$2:$B$49,0))</f>
        <v/>
      </c>
      <c r="N37" t="inlineStr">
        <is>
          <t>Mean difference, Version B</t>
        </is>
      </c>
      <c r="O37" s="4">
        <f>AVERAGEIFS(J5:J49,B5:B49,"B")</f>
        <v/>
      </c>
      <c r="P37" s="14" t="inlineStr">
        <is>
          <t>=AVERAGEIFS(J5:J49,B5:B49,"B")</t>
        </is>
      </c>
    </row>
    <row r="38">
      <c r="A38" s="8" t="inlineStr">
        <is>
          <t>P25</t>
        </is>
      </c>
      <c r="B38" s="8">
        <f>INDEX(Data!$M$2:$M$313,MATCH($A38,Data!$B$2:$B$313,0))</f>
        <v/>
      </c>
      <c r="C38" s="8">
        <f>INDEX(Data!$N$2:$N$313,MATCH($A38,Data!$B$2:$B$313,0))</f>
        <v/>
      </c>
      <c r="D38" s="11">
        <f>IF($C38="C1first",SUMIFS(Data!$K$2:$K$313,Data!$B$2:$B$313,$A38,Data!$O$2:$O$313,"Baseline_1"),SUMIFS(Data!$K$2:$K$313,Data!$B$2:$B$313,$A38,Data!$O$2:$O$313,"Baseline_2"))</f>
        <v/>
      </c>
      <c r="E38" s="11">
        <f>SUMIFS(Data!$K$2:$K$313,Data!$B$2:$B$313,$A38,Data!$O$2:$O$313,"C1")</f>
        <v/>
      </c>
      <c r="F38" s="11">
        <f>E38-D38</f>
        <v/>
      </c>
      <c r="G38" s="11">
        <f>IF($C38="C1first",SUMIFS(Data!$K$2:$K$313,Data!$B$2:$B$313,$A38,Data!$O$2:$O$313,"Baseline_2"),SUMIFS(Data!$K$2:$K$313,Data!$B$2:$B$313,$A38,Data!$O$2:$O$313,"Baseline_1"))</f>
        <v/>
      </c>
      <c r="H38" s="11">
        <f>SUMIFS(Data!$K$2:$K$313,Data!$B$2:$B$313,$A38,Data!$O$2:$O$313,"C2")</f>
        <v/>
      </c>
      <c r="I38" s="11">
        <f>H38-G38</f>
        <v/>
      </c>
      <c r="J38" s="11">
        <f>I38-F38</f>
        <v/>
      </c>
      <c r="K38" s="8">
        <f>INDEX(Survey!$F$2:$F$49,MATCH($A38,Survey!$B$2:$B$49,0))</f>
        <v/>
      </c>
      <c r="L38" s="8">
        <f>INDEX(Survey!$G$2:$G$49,MATCH($A38,Survey!$B$2:$B$49,0))</f>
        <v/>
      </c>
      <c r="N38" t="inlineStr">
        <is>
          <t>Commercial x version, simple estimate (A minus B)</t>
        </is>
      </c>
      <c r="O38" s="4">
        <f>O36-O37</f>
        <v/>
      </c>
      <c r="P38" s="14" t="inlineStr">
        <is>
          <t>=O36-O37</t>
        </is>
      </c>
      <c r="Q38" s="7" t="inlineStr">
        <is>
          <t>R tests it in the mixed model</t>
        </is>
      </c>
    </row>
    <row r="39">
      <c r="A39" s="8" t="inlineStr">
        <is>
          <t>P26</t>
        </is>
      </c>
      <c r="B39" s="8">
        <f>INDEX(Data!$M$2:$M$313,MATCH($A39,Data!$B$2:$B$313,0))</f>
        <v/>
      </c>
      <c r="C39" s="8">
        <f>INDEX(Data!$N$2:$N$313,MATCH($A39,Data!$B$2:$B$313,0))</f>
        <v/>
      </c>
      <c r="D39" s="11">
        <f>IF($C39="C1first",SUMIFS(Data!$K$2:$K$313,Data!$B$2:$B$313,$A39,Data!$O$2:$O$313,"Baseline_1"),SUMIFS(Data!$K$2:$K$313,Data!$B$2:$B$313,$A39,Data!$O$2:$O$313,"Baseline_2"))</f>
        <v/>
      </c>
      <c r="E39" s="11">
        <f>SUMIFS(Data!$K$2:$K$313,Data!$B$2:$B$313,$A39,Data!$O$2:$O$313,"C1")</f>
        <v/>
      </c>
      <c r="F39" s="11">
        <f>E39-D39</f>
        <v/>
      </c>
      <c r="G39" s="11">
        <f>IF($C39="C1first",SUMIFS(Data!$K$2:$K$313,Data!$B$2:$B$313,$A39,Data!$O$2:$O$313,"Baseline_2"),SUMIFS(Data!$K$2:$K$313,Data!$B$2:$B$313,$A39,Data!$O$2:$O$313,"Baseline_1"))</f>
        <v/>
      </c>
      <c r="H39" s="11">
        <f>SUMIFS(Data!$K$2:$K$313,Data!$B$2:$B$313,$A39,Data!$O$2:$O$313,"C2")</f>
        <v/>
      </c>
      <c r="I39" s="11">
        <f>H39-G39</f>
        <v/>
      </c>
      <c r="J39" s="11">
        <f>I39-F39</f>
        <v/>
      </c>
      <c r="K39" s="8">
        <f>INDEX(Survey!$F$2:$F$49,MATCH($A39,Survey!$B$2:$B$49,0))</f>
        <v/>
      </c>
      <c r="L39" s="8">
        <f>INDEX(Survey!$G$2:$G$49,MATCH($A39,Survey!$B$2:$B$49,0))</f>
        <v/>
      </c>
    </row>
    <row r="40">
      <c r="A40" s="8" t="inlineStr">
        <is>
          <t>P29</t>
        </is>
      </c>
      <c r="B40" s="8">
        <f>INDEX(Data!$M$2:$M$313,MATCH($A40,Data!$B$2:$B$313,0))</f>
        <v/>
      </c>
      <c r="C40" s="8">
        <f>INDEX(Data!$N$2:$N$313,MATCH($A40,Data!$B$2:$B$313,0))</f>
        <v/>
      </c>
      <c r="D40" s="11">
        <f>IF($C40="C1first",SUMIFS(Data!$K$2:$K$313,Data!$B$2:$B$313,$A40,Data!$O$2:$O$313,"Baseline_1"),SUMIFS(Data!$K$2:$K$313,Data!$B$2:$B$313,$A40,Data!$O$2:$O$313,"Baseline_2"))</f>
        <v/>
      </c>
      <c r="E40" s="11">
        <f>SUMIFS(Data!$K$2:$K$313,Data!$B$2:$B$313,$A40,Data!$O$2:$O$313,"C1")</f>
        <v/>
      </c>
      <c r="F40" s="11">
        <f>E40-D40</f>
        <v/>
      </c>
      <c r="G40" s="11">
        <f>IF($C40="C1first",SUMIFS(Data!$K$2:$K$313,Data!$B$2:$B$313,$A40,Data!$O$2:$O$313,"Baseline_2"),SUMIFS(Data!$K$2:$K$313,Data!$B$2:$B$313,$A40,Data!$O$2:$O$313,"Baseline_1"))</f>
        <v/>
      </c>
      <c r="H40" s="11">
        <f>SUMIFS(Data!$K$2:$K$313,Data!$B$2:$B$313,$A40,Data!$O$2:$O$313,"C2")</f>
        <v/>
      </c>
      <c r="I40" s="11">
        <f>H40-G40</f>
        <v/>
      </c>
      <c r="J40" s="11">
        <f>I40-F40</f>
        <v/>
      </c>
      <c r="K40" s="8">
        <f>INDEX(Survey!$F$2:$F$49,MATCH($A40,Survey!$B$2:$B$49,0))</f>
        <v/>
      </c>
      <c r="L40" s="8">
        <f>INDEX(Survey!$G$2:$G$49,MATCH($A40,Survey!$B$2:$B$49,0))</f>
        <v/>
      </c>
    </row>
    <row r="41">
      <c r="A41" s="8" t="inlineStr">
        <is>
          <t>P33</t>
        </is>
      </c>
      <c r="B41" s="8">
        <f>INDEX(Data!$M$2:$M$313,MATCH($A41,Data!$B$2:$B$313,0))</f>
        <v/>
      </c>
      <c r="C41" s="8">
        <f>INDEX(Data!$N$2:$N$313,MATCH($A41,Data!$B$2:$B$313,0))</f>
        <v/>
      </c>
      <c r="D41" s="11">
        <f>IF($C41="C1first",SUMIFS(Data!$K$2:$K$313,Data!$B$2:$B$313,$A41,Data!$O$2:$O$313,"Baseline_1"),SUMIFS(Data!$K$2:$K$313,Data!$B$2:$B$313,$A41,Data!$O$2:$O$313,"Baseline_2"))</f>
        <v/>
      </c>
      <c r="E41" s="11">
        <f>SUMIFS(Data!$K$2:$K$313,Data!$B$2:$B$313,$A41,Data!$O$2:$O$313,"C1")</f>
        <v/>
      </c>
      <c r="F41" s="11">
        <f>E41-D41</f>
        <v/>
      </c>
      <c r="G41" s="11">
        <f>IF($C41="C1first",SUMIFS(Data!$K$2:$K$313,Data!$B$2:$B$313,$A41,Data!$O$2:$O$313,"Baseline_2"),SUMIFS(Data!$K$2:$K$313,Data!$B$2:$B$313,$A41,Data!$O$2:$O$313,"Baseline_1"))</f>
        <v/>
      </c>
      <c r="H41" s="11">
        <f>SUMIFS(Data!$K$2:$K$313,Data!$B$2:$B$313,$A41,Data!$O$2:$O$313,"C2")</f>
        <v/>
      </c>
      <c r="I41" s="11">
        <f>H41-G41</f>
        <v/>
      </c>
      <c r="J41" s="11">
        <f>I41-F41</f>
        <v/>
      </c>
      <c r="K41" s="8">
        <f>INDEX(Survey!$F$2:$F$49,MATCH($A41,Survey!$B$2:$B$49,0))</f>
        <v/>
      </c>
      <c r="L41" s="8">
        <f>INDEX(Survey!$G$2:$G$49,MATCH($A41,Survey!$B$2:$B$49,0))</f>
        <v/>
      </c>
      <c r="N41" s="12" t="inlineStr">
        <is>
          <t>Statistic</t>
        </is>
      </c>
      <c r="O41" s="12" t="inlineStr">
        <is>
          <t>Value</t>
        </is>
      </c>
      <c r="P41" s="12" t="inlineStr">
        <is>
          <t>Formula shown</t>
        </is>
      </c>
      <c r="Q41" s="12" t="inlineStr">
        <is>
          <t>Note</t>
        </is>
      </c>
    </row>
    <row r="42">
      <c r="A42" s="8" t="inlineStr">
        <is>
          <t>P36</t>
        </is>
      </c>
      <c r="B42" s="8">
        <f>INDEX(Data!$M$2:$M$313,MATCH($A42,Data!$B$2:$B$313,0))</f>
        <v/>
      </c>
      <c r="C42" s="8">
        <f>INDEX(Data!$N$2:$N$313,MATCH($A42,Data!$B$2:$B$313,0))</f>
        <v/>
      </c>
      <c r="D42" s="11">
        <f>IF($C42="C1first",SUMIFS(Data!$K$2:$K$313,Data!$B$2:$B$313,$A42,Data!$O$2:$O$313,"Baseline_1"),SUMIFS(Data!$K$2:$K$313,Data!$B$2:$B$313,$A42,Data!$O$2:$O$313,"Baseline_2"))</f>
        <v/>
      </c>
      <c r="E42" s="11">
        <f>SUMIFS(Data!$K$2:$K$313,Data!$B$2:$B$313,$A42,Data!$O$2:$O$313,"C1")</f>
        <v/>
      </c>
      <c r="F42" s="11">
        <f>E42-D42</f>
        <v/>
      </c>
      <c r="G42" s="11">
        <f>IF($C42="C1first",SUMIFS(Data!$K$2:$K$313,Data!$B$2:$B$313,$A42,Data!$O$2:$O$313,"Baseline_2"),SUMIFS(Data!$K$2:$K$313,Data!$B$2:$B$313,$A42,Data!$O$2:$O$313,"Baseline_1"))</f>
        <v/>
      </c>
      <c r="H42" s="11">
        <f>SUMIFS(Data!$K$2:$K$313,Data!$B$2:$B$313,$A42,Data!$O$2:$O$313,"C2")</f>
        <v/>
      </c>
      <c r="I42" s="11">
        <f>H42-G42</f>
        <v/>
      </c>
      <c r="J42" s="11">
        <f>I42-F42</f>
        <v/>
      </c>
      <c r="K42" s="8">
        <f>INDEX(Survey!$F$2:$F$49,MATCH($A42,Survey!$B$2:$B$49,0))</f>
        <v/>
      </c>
      <c r="L42" s="8">
        <f>INDEX(Survey!$G$2:$G$49,MATCH($A42,Survey!$B$2:$B$49,0))</f>
        <v/>
      </c>
      <c r="N42" s="13" t="inlineStr">
        <is>
          <t>Exploratory: Commercial_1 change with Liking_Commercial_1_1to7</t>
        </is>
      </c>
    </row>
    <row r="43">
      <c r="A43" s="8" t="inlineStr">
        <is>
          <t>P39</t>
        </is>
      </c>
      <c r="B43" s="8">
        <f>INDEX(Data!$M$2:$M$313,MATCH($A43,Data!$B$2:$B$313,0))</f>
        <v/>
      </c>
      <c r="C43" s="8">
        <f>INDEX(Data!$N$2:$N$313,MATCH($A43,Data!$B$2:$B$313,0))</f>
        <v/>
      </c>
      <c r="D43" s="11">
        <f>IF($C43="C1first",SUMIFS(Data!$K$2:$K$313,Data!$B$2:$B$313,$A43,Data!$O$2:$O$313,"Baseline_1"),SUMIFS(Data!$K$2:$K$313,Data!$B$2:$B$313,$A43,Data!$O$2:$O$313,"Baseline_2"))</f>
        <v/>
      </c>
      <c r="E43" s="11">
        <f>SUMIFS(Data!$K$2:$K$313,Data!$B$2:$B$313,$A43,Data!$O$2:$O$313,"C1")</f>
        <v/>
      </c>
      <c r="F43" s="11">
        <f>E43-D43</f>
        <v/>
      </c>
      <c r="G43" s="11">
        <f>IF($C43="C1first",SUMIFS(Data!$K$2:$K$313,Data!$B$2:$B$313,$A43,Data!$O$2:$O$313,"Baseline_2"),SUMIFS(Data!$K$2:$K$313,Data!$B$2:$B$313,$A43,Data!$O$2:$O$313,"Baseline_1"))</f>
        <v/>
      </c>
      <c r="H43" s="11">
        <f>SUMIFS(Data!$K$2:$K$313,Data!$B$2:$B$313,$A43,Data!$O$2:$O$313,"C2")</f>
        <v/>
      </c>
      <c r="I43" s="11">
        <f>H43-G43</f>
        <v/>
      </c>
      <c r="J43" s="11">
        <f>I43-F43</f>
        <v/>
      </c>
      <c r="K43" s="8">
        <f>INDEX(Survey!$F$2:$F$49,MATCH($A43,Survey!$B$2:$B$49,0))</f>
        <v/>
      </c>
      <c r="L43" s="8">
        <f>INDEX(Survey!$G$2:$G$49,MATCH($A43,Survey!$B$2:$B$49,0))</f>
        <v/>
      </c>
      <c r="N43" t="inlineStr">
        <is>
          <t>n</t>
        </is>
      </c>
      <c r="O43" s="15">
        <f>COUNT(F5:F49)</f>
        <v/>
      </c>
      <c r="P43" s="14" t="inlineStr">
        <is>
          <t>=COUNT(F5:F49)</t>
        </is>
      </c>
    </row>
    <row r="44">
      <c r="A44" s="8" t="inlineStr">
        <is>
          <t>P40</t>
        </is>
      </c>
      <c r="B44" s="8">
        <f>INDEX(Data!$M$2:$M$313,MATCH($A44,Data!$B$2:$B$313,0))</f>
        <v/>
      </c>
      <c r="C44" s="8">
        <f>INDEX(Data!$N$2:$N$313,MATCH($A44,Data!$B$2:$B$313,0))</f>
        <v/>
      </c>
      <c r="D44" s="11">
        <f>IF($C44="C1first",SUMIFS(Data!$K$2:$K$313,Data!$B$2:$B$313,$A44,Data!$O$2:$O$313,"Baseline_1"),SUMIFS(Data!$K$2:$K$313,Data!$B$2:$B$313,$A44,Data!$O$2:$O$313,"Baseline_2"))</f>
        <v/>
      </c>
      <c r="E44" s="11">
        <f>SUMIFS(Data!$K$2:$K$313,Data!$B$2:$B$313,$A44,Data!$O$2:$O$313,"C1")</f>
        <v/>
      </c>
      <c r="F44" s="11">
        <f>E44-D44</f>
        <v/>
      </c>
      <c r="G44" s="11">
        <f>IF($C44="C1first",SUMIFS(Data!$K$2:$K$313,Data!$B$2:$B$313,$A44,Data!$O$2:$O$313,"Baseline_2"),SUMIFS(Data!$K$2:$K$313,Data!$B$2:$B$313,$A44,Data!$O$2:$O$313,"Baseline_1"))</f>
        <v/>
      </c>
      <c r="H44" s="11">
        <f>SUMIFS(Data!$K$2:$K$313,Data!$B$2:$B$313,$A44,Data!$O$2:$O$313,"C2")</f>
        <v/>
      </c>
      <c r="I44" s="11">
        <f>H44-G44</f>
        <v/>
      </c>
      <c r="J44" s="11">
        <f>I44-F44</f>
        <v/>
      </c>
      <c r="K44" s="8">
        <f>INDEX(Survey!$F$2:$F$49,MATCH($A44,Survey!$B$2:$B$49,0))</f>
        <v/>
      </c>
      <c r="L44" s="8">
        <f>INDEX(Survey!$G$2:$G$49,MATCH($A44,Survey!$B$2:$B$49,0))</f>
        <v/>
      </c>
      <c r="N44" t="inlineStr">
        <is>
          <t>Pearson r (CORREL)</t>
        </is>
      </c>
      <c r="O44" s="4">
        <f>CORREL(F5:F49,K5:K49)</f>
        <v/>
      </c>
      <c r="P44" s="14" t="inlineStr">
        <is>
          <t>=CORREL(F5:F49,K5:K49)</t>
        </is>
      </c>
    </row>
    <row r="45">
      <c r="A45" s="8" t="inlineStr">
        <is>
          <t>P42</t>
        </is>
      </c>
      <c r="B45" s="8">
        <f>INDEX(Data!$M$2:$M$313,MATCH($A45,Data!$B$2:$B$313,0))</f>
        <v/>
      </c>
      <c r="C45" s="8">
        <f>INDEX(Data!$N$2:$N$313,MATCH($A45,Data!$B$2:$B$313,0))</f>
        <v/>
      </c>
      <c r="D45" s="11">
        <f>IF($C45="C1first",SUMIFS(Data!$K$2:$K$313,Data!$B$2:$B$313,$A45,Data!$O$2:$O$313,"Baseline_1"),SUMIFS(Data!$K$2:$K$313,Data!$B$2:$B$313,$A45,Data!$O$2:$O$313,"Baseline_2"))</f>
        <v/>
      </c>
      <c r="E45" s="11">
        <f>SUMIFS(Data!$K$2:$K$313,Data!$B$2:$B$313,$A45,Data!$O$2:$O$313,"C1")</f>
        <v/>
      </c>
      <c r="F45" s="11">
        <f>E45-D45</f>
        <v/>
      </c>
      <c r="G45" s="11">
        <f>IF($C45="C1first",SUMIFS(Data!$K$2:$K$313,Data!$B$2:$B$313,$A45,Data!$O$2:$O$313,"Baseline_2"),SUMIFS(Data!$K$2:$K$313,Data!$B$2:$B$313,$A45,Data!$O$2:$O$313,"Baseline_1"))</f>
        <v/>
      </c>
      <c r="H45" s="11">
        <f>SUMIFS(Data!$K$2:$K$313,Data!$B$2:$B$313,$A45,Data!$O$2:$O$313,"C2")</f>
        <v/>
      </c>
      <c r="I45" s="11">
        <f>H45-G45</f>
        <v/>
      </c>
      <c r="J45" s="11">
        <f>I45-F45</f>
        <v/>
      </c>
      <c r="K45" s="8">
        <f>INDEX(Survey!$F$2:$F$49,MATCH($A45,Survey!$B$2:$B$49,0))</f>
        <v/>
      </c>
      <c r="L45" s="8">
        <f>INDEX(Survey!$G$2:$G$49,MATCH($A45,Survey!$B$2:$B$49,0))</f>
        <v/>
      </c>
      <c r="N45" t="inlineStr">
        <is>
          <t>t for r</t>
        </is>
      </c>
      <c r="O45" s="4">
        <f>O44*SQRT((O43-2)/(1-O44^2))</f>
        <v/>
      </c>
      <c r="P45" s="14" t="inlineStr">
        <is>
          <t>=O44*SQRT((O43-2)/(1-O44^2))</t>
        </is>
      </c>
      <c r="Q45" s="7" t="inlineStr">
        <is>
          <t>t = r sqrt((n - 2) / (1 - r^2))</t>
        </is>
      </c>
    </row>
    <row r="46">
      <c r="A46" s="8" t="inlineStr">
        <is>
          <t>P43</t>
        </is>
      </c>
      <c r="B46" s="8">
        <f>INDEX(Data!$M$2:$M$313,MATCH($A46,Data!$B$2:$B$313,0))</f>
        <v/>
      </c>
      <c r="C46" s="8">
        <f>INDEX(Data!$N$2:$N$313,MATCH($A46,Data!$B$2:$B$313,0))</f>
        <v/>
      </c>
      <c r="D46" s="11">
        <f>IF($C46="C1first",SUMIFS(Data!$K$2:$K$313,Data!$B$2:$B$313,$A46,Data!$O$2:$O$313,"Baseline_1"),SUMIFS(Data!$K$2:$K$313,Data!$B$2:$B$313,$A46,Data!$O$2:$O$313,"Baseline_2"))</f>
        <v/>
      </c>
      <c r="E46" s="11">
        <f>SUMIFS(Data!$K$2:$K$313,Data!$B$2:$B$313,$A46,Data!$O$2:$O$313,"C1")</f>
        <v/>
      </c>
      <c r="F46" s="11">
        <f>E46-D46</f>
        <v/>
      </c>
      <c r="G46" s="11">
        <f>IF($C46="C1first",SUMIFS(Data!$K$2:$K$313,Data!$B$2:$B$313,$A46,Data!$O$2:$O$313,"Baseline_2"),SUMIFS(Data!$K$2:$K$313,Data!$B$2:$B$313,$A46,Data!$O$2:$O$313,"Baseline_1"))</f>
        <v/>
      </c>
      <c r="H46" s="11">
        <f>SUMIFS(Data!$K$2:$K$313,Data!$B$2:$B$313,$A46,Data!$O$2:$O$313,"C2")</f>
        <v/>
      </c>
      <c r="I46" s="11">
        <f>H46-G46</f>
        <v/>
      </c>
      <c r="J46" s="11">
        <f>I46-F46</f>
        <v/>
      </c>
      <c r="K46" s="8">
        <f>INDEX(Survey!$F$2:$F$49,MATCH($A46,Survey!$B$2:$B$49,0))</f>
        <v/>
      </c>
      <c r="L46" s="8">
        <f>INDEX(Survey!$G$2:$G$49,MATCH($A46,Survey!$B$2:$B$49,0))</f>
        <v/>
      </c>
      <c r="N46" t="inlineStr">
        <is>
          <t>p, two tailed</t>
        </is>
      </c>
      <c r="O46" s="16">
        <f>_xlfn.T.DIST.2T(ABS(O45),O43-2)</f>
        <v/>
      </c>
      <c r="P46" s="14" t="inlineStr">
        <is>
          <t>=T.DIST.2T(ABS(O45),O43-2)</t>
        </is>
      </c>
      <c r="Q46" s="7" t="inlineStr">
        <is>
          <t>df = n - 2</t>
        </is>
      </c>
    </row>
    <row r="47">
      <c r="A47" s="8" t="inlineStr">
        <is>
          <t>P48</t>
        </is>
      </c>
      <c r="B47" s="8">
        <f>INDEX(Data!$M$2:$M$313,MATCH($A47,Data!$B$2:$B$313,0))</f>
        <v/>
      </c>
      <c r="C47" s="8">
        <f>INDEX(Data!$N$2:$N$313,MATCH($A47,Data!$B$2:$B$313,0))</f>
        <v/>
      </c>
      <c r="D47" s="11">
        <f>IF($C47="C1first",SUMIFS(Data!$K$2:$K$313,Data!$B$2:$B$313,$A47,Data!$O$2:$O$313,"Baseline_1"),SUMIFS(Data!$K$2:$K$313,Data!$B$2:$B$313,$A47,Data!$O$2:$O$313,"Baseline_2"))</f>
        <v/>
      </c>
      <c r="E47" s="11">
        <f>SUMIFS(Data!$K$2:$K$313,Data!$B$2:$B$313,$A47,Data!$O$2:$O$313,"C1")</f>
        <v/>
      </c>
      <c r="F47" s="11">
        <f>E47-D47</f>
        <v/>
      </c>
      <c r="G47" s="11">
        <f>IF($C47="C1first",SUMIFS(Data!$K$2:$K$313,Data!$B$2:$B$313,$A47,Data!$O$2:$O$313,"Baseline_2"),SUMIFS(Data!$K$2:$K$313,Data!$B$2:$B$313,$A47,Data!$O$2:$O$313,"Baseline_1"))</f>
        <v/>
      </c>
      <c r="H47" s="11">
        <f>SUMIFS(Data!$K$2:$K$313,Data!$B$2:$B$313,$A47,Data!$O$2:$O$313,"C2")</f>
        <v/>
      </c>
      <c r="I47" s="11">
        <f>H47-G47</f>
        <v/>
      </c>
      <c r="J47" s="11">
        <f>I47-F47</f>
        <v/>
      </c>
      <c r="K47" s="8">
        <f>INDEX(Survey!$F$2:$F$49,MATCH($A47,Survey!$B$2:$B$49,0))</f>
        <v/>
      </c>
      <c r="L47" s="8">
        <f>INDEX(Survey!$G$2:$G$49,MATCH($A47,Survey!$B$2:$B$49,0))</f>
        <v/>
      </c>
      <c r="N47" t="inlineStr">
        <is>
          <t>r 95% CI lower (Fisher z)</t>
        </is>
      </c>
      <c r="O47" s="4">
        <f>TANH(ATANH(O44)-_xlfn.NORM.S.INV(0.975)/SQRT(O43-3))</f>
        <v/>
      </c>
      <c r="P47" s="14" t="inlineStr">
        <is>
          <t>=TANH(ATANH(O44)-NORM.S.INV(0.975)/SQRT(O43-3))</t>
        </is>
      </c>
    </row>
    <row r="48">
      <c r="A48" s="8" t="inlineStr">
        <is>
          <t>P22</t>
        </is>
      </c>
      <c r="B48" s="8">
        <f>INDEX(Data!$M$2:$M$313,MATCH($A48,Data!$B$2:$B$313,0))</f>
        <v/>
      </c>
      <c r="C48" s="8">
        <f>INDEX(Data!$N$2:$N$313,MATCH($A48,Data!$B$2:$B$313,0))</f>
        <v/>
      </c>
      <c r="D48" s="11">
        <f>IF($C48="C1first",SUMIFS(Data!$K$2:$K$313,Data!$B$2:$B$313,$A48,Data!$O$2:$O$313,"Baseline_1"),SUMIFS(Data!$K$2:$K$313,Data!$B$2:$B$313,$A48,Data!$O$2:$O$313,"Baseline_2"))</f>
        <v/>
      </c>
      <c r="E48" s="11">
        <f>SUMIFS(Data!$K$2:$K$313,Data!$B$2:$B$313,$A48,Data!$O$2:$O$313,"C1")</f>
        <v/>
      </c>
      <c r="F48" s="11">
        <f>E48-D48</f>
        <v/>
      </c>
      <c r="G48" s="11">
        <f>IF($C48="C1first",SUMIFS(Data!$K$2:$K$313,Data!$B$2:$B$313,$A48,Data!$O$2:$O$313,"Baseline_2"),SUMIFS(Data!$K$2:$K$313,Data!$B$2:$B$313,$A48,Data!$O$2:$O$313,"Baseline_1"))</f>
        <v/>
      </c>
      <c r="H48" s="11">
        <f>SUMIFS(Data!$K$2:$K$313,Data!$B$2:$B$313,$A48,Data!$O$2:$O$313,"C2")</f>
        <v/>
      </c>
      <c r="I48" s="11">
        <f>H48-G48</f>
        <v/>
      </c>
      <c r="J48" s="11">
        <f>I48-F48</f>
        <v/>
      </c>
      <c r="K48" s="8">
        <f>INDEX(Survey!$F$2:$F$49,MATCH($A48,Survey!$B$2:$B$49,0))</f>
        <v/>
      </c>
      <c r="L48" s="8">
        <f>INDEX(Survey!$G$2:$G$49,MATCH($A48,Survey!$B$2:$B$49,0))</f>
        <v/>
      </c>
      <c r="N48" t="inlineStr">
        <is>
          <t>r 95% CI upper (Fisher z)</t>
        </is>
      </c>
      <c r="O48" s="4">
        <f>TANH(ATANH(O44)+_xlfn.NORM.S.INV(0.975)/SQRT(O43-3))</f>
        <v/>
      </c>
      <c r="P48" s="14" t="inlineStr">
        <is>
          <t>=TANH(ATANH(O44)+NORM.S.INV(0.975)/SQRT(O43-3))</t>
        </is>
      </c>
    </row>
    <row r="49">
      <c r="A49" s="8" t="inlineStr">
        <is>
          <t>P32</t>
        </is>
      </c>
      <c r="B49" s="8">
        <f>INDEX(Data!$M$2:$M$313,MATCH($A49,Data!$B$2:$B$313,0))</f>
        <v/>
      </c>
      <c r="C49" s="8">
        <f>INDEX(Data!$N$2:$N$313,MATCH($A49,Data!$B$2:$B$313,0))</f>
        <v/>
      </c>
      <c r="D49" s="11">
        <f>IF($C49="C1first",SUMIFS(Data!$K$2:$K$313,Data!$B$2:$B$313,$A49,Data!$O$2:$O$313,"Baseline_1"),SUMIFS(Data!$K$2:$K$313,Data!$B$2:$B$313,$A49,Data!$O$2:$O$313,"Baseline_2"))</f>
        <v/>
      </c>
      <c r="E49" s="11">
        <f>SUMIFS(Data!$K$2:$K$313,Data!$B$2:$B$313,$A49,Data!$O$2:$O$313,"C1")</f>
        <v/>
      </c>
      <c r="F49" s="11">
        <f>E49-D49</f>
        <v/>
      </c>
      <c r="G49" s="11">
        <f>IF($C49="C1first",SUMIFS(Data!$K$2:$K$313,Data!$B$2:$B$313,$A49,Data!$O$2:$O$313,"Baseline_2"),SUMIFS(Data!$K$2:$K$313,Data!$B$2:$B$313,$A49,Data!$O$2:$O$313,"Baseline_1"))</f>
        <v/>
      </c>
      <c r="H49" s="11">
        <f>SUMIFS(Data!$K$2:$K$313,Data!$B$2:$B$313,$A49,Data!$O$2:$O$313,"C2")</f>
        <v/>
      </c>
      <c r="I49" s="11">
        <f>H49-G49</f>
        <v/>
      </c>
      <c r="J49" s="11">
        <f>I49-F49</f>
        <v/>
      </c>
      <c r="K49" s="8">
        <f>INDEX(Survey!$F$2:$F$49,MATCH($A49,Survey!$B$2:$B$49,0))</f>
        <v/>
      </c>
      <c r="L49" s="8">
        <f>INDEX(Survey!$G$2:$G$49,MATCH($A49,Survey!$B$2:$B$49,0))</f>
        <v/>
      </c>
    </row>
    <row r="51">
      <c r="N51" s="12" t="inlineStr">
        <is>
          <t>Statistic</t>
        </is>
      </c>
      <c r="O51" s="12" t="inlineStr">
        <is>
          <t>Value</t>
        </is>
      </c>
      <c r="P51" s="12" t="inlineStr">
        <is>
          <t>Formula shown</t>
        </is>
      </c>
      <c r="Q51" s="12" t="inlineStr">
        <is>
          <t>Note</t>
        </is>
      </c>
    </row>
    <row r="52">
      <c r="N52" s="13" t="inlineStr">
        <is>
          <t>Exploratory: Commercial_2 change with Liking_Commercial_2_1to7</t>
        </is>
      </c>
    </row>
    <row r="53">
      <c r="N53" t="inlineStr">
        <is>
          <t>n</t>
        </is>
      </c>
      <c r="O53" s="15">
        <f>COUNT(I5:I49)</f>
        <v/>
      </c>
      <c r="P53" s="14" t="inlineStr">
        <is>
          <t>=COUNT(I5:I49)</t>
        </is>
      </c>
    </row>
    <row r="54">
      <c r="N54" t="inlineStr">
        <is>
          <t>Pearson r (CORREL)</t>
        </is>
      </c>
      <c r="O54" s="4">
        <f>CORREL(I5:I49,L5:L49)</f>
        <v/>
      </c>
      <c r="P54" s="14" t="inlineStr">
        <is>
          <t>=CORREL(I5:I49,L5:L49)</t>
        </is>
      </c>
    </row>
    <row r="55">
      <c r="N55" t="inlineStr">
        <is>
          <t>t for r</t>
        </is>
      </c>
      <c r="O55" s="4">
        <f>O54*SQRT((O53-2)/(1-O54^2))</f>
        <v/>
      </c>
      <c r="P55" s="14" t="inlineStr">
        <is>
          <t>=O54*SQRT((O53-2)/(1-O54^2))</t>
        </is>
      </c>
      <c r="Q55" s="7" t="inlineStr">
        <is>
          <t>t = r sqrt((n - 2) / (1 - r^2))</t>
        </is>
      </c>
    </row>
    <row r="56">
      <c r="N56" t="inlineStr">
        <is>
          <t>p, two tailed</t>
        </is>
      </c>
      <c r="O56" s="16">
        <f>_xlfn.T.DIST.2T(ABS(O55),O53-2)</f>
        <v/>
      </c>
      <c r="P56" s="14" t="inlineStr">
        <is>
          <t>=T.DIST.2T(ABS(O55),O53-2)</t>
        </is>
      </c>
      <c r="Q56" s="7" t="inlineStr">
        <is>
          <t>df = n - 2</t>
        </is>
      </c>
    </row>
    <row r="57">
      <c r="N57" t="inlineStr">
        <is>
          <t>r 95% CI lower (Fisher z)</t>
        </is>
      </c>
      <c r="O57" s="4">
        <f>TANH(ATANH(O54)-_xlfn.NORM.S.INV(0.975)/SQRT(O53-3))</f>
        <v/>
      </c>
      <c r="P57" s="14" t="inlineStr">
        <is>
          <t>=TANH(ATANH(O54)-NORM.S.INV(0.975)/SQRT(O53-3))</t>
        </is>
      </c>
    </row>
    <row r="58">
      <c r="N58" t="inlineStr">
        <is>
          <t>r 95% CI upper (Fisher z)</t>
        </is>
      </c>
      <c r="O58" s="4">
        <f>TANH(ATANH(O54)+_xlfn.NORM.S.INV(0.975)/SQRT(O53-3))</f>
        <v/>
      </c>
      <c r="P58" s="14" t="inlineStr">
        <is>
          <t>=TANH(ATANH(O54)+NORM.S.INV(0.975)/SQRT(O53-3))</t>
        </is>
      </c>
    </row>
    <row r="61">
      <c r="N61" s="12" t="inlineStr">
        <is>
          <t>Statistic</t>
        </is>
      </c>
      <c r="O61" s="12" t="inlineStr">
        <is>
          <t>Value</t>
        </is>
      </c>
      <c r="P61" s="12" t="inlineStr">
        <is>
          <t>Formula shown</t>
        </is>
      </c>
      <c r="Q61" s="12" t="inlineStr">
        <is>
          <t>Note</t>
        </is>
      </c>
    </row>
    <row r="62">
      <c r="N62" s="13" t="inlineStr">
        <is>
          <t>Checks</t>
        </is>
      </c>
    </row>
    <row r="63">
      <c r="N63" t="inlineStr">
        <is>
          <t>Kept respondents with a Commercial_2 row in Data (Keep = Yes)</t>
        </is>
      </c>
      <c r="O63" s="15">
        <f>COUNTIFS(Data!$O$2:$O$313,"C2",Data!$P$2:$P$313,"Yes")</f>
        <v/>
      </c>
      <c r="P63" s="14" t="inlineStr">
        <is>
          <t>=COUNTIFS(Data!$O$2:$O$313,"C2",Data!$P$2:$P$313,"Yes")</t>
        </is>
      </c>
      <c r="Q63" s="7" t="inlineStr">
        <is>
          <t>must equal n of the H3 block</t>
        </is>
      </c>
    </row>
    <row r="64">
      <c r="N64" t="inlineStr">
        <is>
          <t>Rows where both changes use the same baseline (must be 0)</t>
        </is>
      </c>
      <c r="O64" s="15">
        <f>SUMPRODUCT(--(D5:D49=G5:G49))</f>
        <v/>
      </c>
      <c r="P64" s="14" t="inlineStr">
        <is>
          <t>=SUMPRODUCT(--(D5:D49=G5:G49))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243"/>
  <sheetViews>
    <sheetView workbookViewId="0">
      <selection activeCell="A1" sqref="A1"/>
    </sheetView>
  </sheetViews>
  <sheetFormatPr baseColWidth="8" defaultRowHeight="15"/>
  <cols>
    <col width="70" customWidth="1" min="1" max="1"/>
    <col width="18" customWidth="1" min="2" max="2"/>
    <col width="18" customWidth="1" min="3" max="3"/>
    <col width="18" customWidth="1" min="4" max="4"/>
    <col width="18" customWidth="1" min="5" max="5"/>
    <col width="18" customWidth="1" min="6" max="6"/>
    <col width="34" customWidth="1" min="7" max="7"/>
    <col width="23" customWidth="1" min="8" max="8"/>
    <col width="22" customWidth="1" min="9" max="9"/>
    <col width="21" customWidth="1" min="10" max="10"/>
    <col width="23" customWidth="1" min="11" max="11"/>
    <col width="21" customWidth="1" min="12" max="12"/>
    <col width="21" customWidth="1" min="13" max="13"/>
    <col width="24" customWidth="1" min="14" max="14"/>
    <col width="21" customWidth="1" min="15" max="15"/>
    <col width="22" customWidth="1" min="16" max="16"/>
    <col width="20" customWidth="1" min="17" max="17"/>
    <col width="23" customWidth="1" min="18" max="18"/>
    <col width="23" customWidth="1" min="19" max="19"/>
    <col width="16" customWidth="1" min="20" max="20"/>
    <col width="22" customWidth="1" min="21" max="21"/>
    <col width="23" customWidth="1" min="22" max="22"/>
    <col width="21" customWidth="1" min="23" max="23"/>
    <col width="23" customWidth="1" min="24" max="24"/>
    <col width="21" customWidth="1" min="25" max="25"/>
    <col width="22" customWidth="1" min="26" max="26"/>
    <col width="22" customWidth="1" min="27" max="27"/>
    <col width="20" customWidth="1" min="28" max="28"/>
    <col width="22" customWidth="1" min="29" max="29"/>
    <col width="21" customWidth="1" min="30" max="30"/>
    <col width="15" customWidth="1" min="31" max="31"/>
    <col width="22" customWidth="1" min="32" max="32"/>
    <col width="22" customWidth="1" min="33" max="33"/>
  </cols>
  <sheetData>
    <row r="1">
      <c r="A1" s="6" t="inlineStr">
        <is>
          <t>Live Excel results next to the values analysis.R produced (SIMULATED data). Status is OK when they agree within the tolerance.</t>
        </is>
      </c>
    </row>
    <row r="2"/>
    <row r="3">
      <c r="A3" s="2" t="inlineStr">
        <is>
          <t>Quantity</t>
        </is>
      </c>
      <c r="B3" s="2" t="inlineStr">
        <is>
          <t>Excel (live formula)</t>
        </is>
      </c>
      <c r="C3" s="2" t="inlineStr">
        <is>
          <t>analysis.R</t>
        </is>
      </c>
      <c r="D3" s="2" t="inlineStr">
        <is>
          <t>Difference</t>
        </is>
      </c>
      <c r="E3" s="2" t="inlineStr">
        <is>
          <t>Tolerance</t>
        </is>
      </c>
      <c r="F3" s="2" t="inlineStr">
        <is>
          <t>Status</t>
        </is>
      </c>
    </row>
    <row r="4">
      <c r="A4" t="inlineStr">
        <is>
          <t>H1: m1 (m1)</t>
        </is>
      </c>
      <c r="B4" s="16">
        <f>H1!L6</f>
        <v/>
      </c>
      <c r="C4" s="16" t="n">
        <v>-0.08960909090909092</v>
      </c>
      <c r="D4" s="16">
        <f>B4-C4</f>
        <v/>
      </c>
      <c r="E4" s="16" t="n">
        <v>1e-06</v>
      </c>
      <c r="F4">
        <f>IF(ABS(D4)&lt;=E4,"OK","CHECK")</f>
        <v/>
      </c>
    </row>
    <row r="5">
      <c r="A5" t="inlineStr">
        <is>
          <t>H1: m2 (m2)</t>
        </is>
      </c>
      <c r="B5" s="16">
        <f>H1!L8</f>
        <v/>
      </c>
      <c r="C5" s="16" t="n">
        <v>0.007736363636363638</v>
      </c>
      <c r="D5" s="16">
        <f>B5-C5</f>
        <v/>
      </c>
      <c r="E5" s="16" t="n">
        <v>1e-06</v>
      </c>
      <c r="F5">
        <f>IF(ABS(D5)&lt;=E5,"OK","CHECK")</f>
        <v/>
      </c>
    </row>
    <row r="6">
      <c r="A6" t="inlineStr">
        <is>
          <t>H1: n (n)</t>
        </is>
      </c>
      <c r="B6" s="16">
        <f>H1!L10</f>
        <v/>
      </c>
      <c r="C6" s="16" t="n">
        <v>22</v>
      </c>
      <c r="D6" s="16">
        <f>B6-C6</f>
        <v/>
      </c>
      <c r="E6" s="16" t="n">
        <v>1e-09</v>
      </c>
      <c r="F6">
        <f>IF(ABS(D6)&lt;=E6,"OK","CHECK")</f>
        <v/>
      </c>
    </row>
    <row r="7">
      <c r="A7" t="inlineStr">
        <is>
          <t>H1: mean_diff (md)</t>
        </is>
      </c>
      <c r="B7" s="16">
        <f>H1!L11</f>
        <v/>
      </c>
      <c r="C7" s="16" t="n">
        <v>0.09734545454545455</v>
      </c>
      <c r="D7" s="16">
        <f>B7-C7</f>
        <v/>
      </c>
      <c r="E7" s="16" t="n">
        <v>1e-06</v>
      </c>
      <c r="F7">
        <f>IF(ABS(D7)&lt;=E7,"OK","CHECK")</f>
        <v/>
      </c>
    </row>
    <row r="8">
      <c r="A8" t="inlineStr">
        <is>
          <t>H1: sd_diff (sdd)</t>
        </is>
      </c>
      <c r="B8" s="16">
        <f>H1!L12</f>
        <v/>
      </c>
      <c r="C8" s="16" t="n">
        <v>0.1422776418110286</v>
      </c>
      <c r="D8" s="16">
        <f>B8-C8</f>
        <v/>
      </c>
      <c r="E8" s="16" t="n">
        <v>1e-06</v>
      </c>
      <c r="F8">
        <f>IF(ABS(D8)&lt;=E8,"OK","CHECK")</f>
        <v/>
      </c>
    </row>
    <row r="9">
      <c r="A9" t="inlineStr">
        <is>
          <t>H1: t (t)</t>
        </is>
      </c>
      <c r="B9" s="16">
        <f>H1!L14</f>
        <v/>
      </c>
      <c r="C9" s="16" t="n">
        <v>3.209152529767209</v>
      </c>
      <c r="D9" s="16">
        <f>B9-C9</f>
        <v/>
      </c>
      <c r="E9" s="16" t="n">
        <v>0.0001</v>
      </c>
      <c r="F9">
        <f>IF(ABS(D9)&lt;=E9,"OK","CHECK")</f>
        <v/>
      </c>
    </row>
    <row r="10">
      <c r="A10" t="inlineStr">
        <is>
          <t>H1: df (df)</t>
        </is>
      </c>
      <c r="B10" s="16">
        <f>H1!L15</f>
        <v/>
      </c>
      <c r="C10" s="16" t="n">
        <v>21</v>
      </c>
      <c r="D10" s="16">
        <f>B10-C10</f>
        <v/>
      </c>
      <c r="E10" s="16" t="n">
        <v>1e-09</v>
      </c>
      <c r="F10">
        <f>IF(ABS(D10)&lt;=E10,"OK","CHECK")</f>
        <v/>
      </c>
    </row>
    <row r="11">
      <c r="A11" t="inlineStr">
        <is>
          <t>H1: p (p_tt)</t>
        </is>
      </c>
      <c r="B11" s="16">
        <f>H1!L16</f>
        <v/>
      </c>
      <c r="C11" s="16" t="n">
        <v>0.004213062150467291</v>
      </c>
      <c r="D11" s="16">
        <f>B11-C11</f>
        <v/>
      </c>
      <c r="E11" s="16" t="n">
        <v>1e-06</v>
      </c>
      <c r="F11">
        <f>IF(ABS(D11)&lt;=E11,"OK","CHECK")</f>
        <v/>
      </c>
    </row>
    <row r="12">
      <c r="A12" t="inlineStr">
        <is>
          <t>H1: p (p_hand)</t>
        </is>
      </c>
      <c r="B12" s="16">
        <f>H1!L17</f>
        <v/>
      </c>
      <c r="C12" s="16" t="n">
        <v>0.004213062150467291</v>
      </c>
      <c r="D12" s="16">
        <f>B12-C12</f>
        <v/>
      </c>
      <c r="E12" s="16" t="n">
        <v>1e-06</v>
      </c>
      <c r="F12">
        <f>IF(ABS(D12)&lt;=E12,"OK","CHECK")</f>
        <v/>
      </c>
    </row>
    <row r="13">
      <c r="A13" t="inlineStr">
        <is>
          <t>H1: p_one_tailed (p_one)</t>
        </is>
      </c>
      <c r="B13" s="16">
        <f>H1!L18</f>
        <v/>
      </c>
      <c r="C13" s="16" t="n">
        <v>0.002106531075233646</v>
      </c>
      <c r="D13" s="16">
        <f>B13-C13</f>
        <v/>
      </c>
      <c r="E13" s="16" t="n">
        <v>1e-06</v>
      </c>
      <c r="F13">
        <f>IF(ABS(D13)&lt;=E13,"OK","CHECK")</f>
        <v/>
      </c>
    </row>
    <row r="14">
      <c r="A14" t="inlineStr">
        <is>
          <t>H1: diff_ci_low (ci_lo)</t>
        </is>
      </c>
      <c r="B14" s="16">
        <f>H1!L20</f>
        <v/>
      </c>
      <c r="C14" s="16" t="n">
        <v>0.03426308213833143</v>
      </c>
      <c r="D14" s="16">
        <f>B14-C14</f>
        <v/>
      </c>
      <c r="E14" s="16" t="n">
        <v>1e-06</v>
      </c>
      <c r="F14">
        <f>IF(ABS(D14)&lt;=E14,"OK","CHECK")</f>
        <v/>
      </c>
    </row>
    <row r="15">
      <c r="A15" t="inlineStr">
        <is>
          <t>H1: diff_ci_high (ci_hi)</t>
        </is>
      </c>
      <c r="B15" s="16">
        <f>H1!L21</f>
        <v/>
      </c>
      <c r="C15" s="16" t="n">
        <v>0.1604278269525777</v>
      </c>
      <c r="D15" s="16">
        <f>B15-C15</f>
        <v/>
      </c>
      <c r="E15" s="16" t="n">
        <v>1e-06</v>
      </c>
      <c r="F15">
        <f>IF(ABS(D15)&lt;=E15,"OK","CHECK")</f>
        <v/>
      </c>
    </row>
    <row r="16">
      <c r="A16" t="inlineStr">
        <is>
          <t>H1: es (dz)</t>
        </is>
      </c>
      <c r="B16" s="16">
        <f>H1!L22</f>
        <v/>
      </c>
      <c r="C16" s="16" t="n">
        <v>0.6841936182407885</v>
      </c>
      <c r="D16" s="16">
        <f>B16-C16</f>
        <v/>
      </c>
      <c r="E16" s="16" t="n">
        <v>1e-05</v>
      </c>
      <c r="F16">
        <f>IF(ABS(D16)&lt;=E16,"OK","CHECK")</f>
        <v/>
      </c>
    </row>
    <row r="17">
      <c r="A17" t="inlineStr">
        <is>
          <t>H1: es_ci_low_approx (dz_lo)</t>
        </is>
      </c>
      <c r="B17" s="16">
        <f>H1!L24</f>
        <v/>
      </c>
      <c r="C17" s="16" t="n">
        <v>0.2199852677504411</v>
      </c>
      <c r="D17" s="16">
        <f>B17-C17</f>
        <v/>
      </c>
      <c r="E17" s="16" t="n">
        <v>1e-05</v>
      </c>
      <c r="F17">
        <f>IF(ABS(D17)&lt;=E17,"OK","CHECK")</f>
        <v/>
      </c>
    </row>
    <row r="18">
      <c r="A18" t="inlineStr">
        <is>
          <t>H1: es_ci_high_approx (dz_hi)</t>
        </is>
      </c>
      <c r="B18" s="16">
        <f>H1!L25</f>
        <v/>
      </c>
      <c r="C18" s="16" t="n">
        <v>1.148401968731136</v>
      </c>
      <c r="D18" s="16">
        <f>B18-C18</f>
        <v/>
      </c>
      <c r="E18" s="16" t="n">
        <v>1e-05</v>
      </c>
      <c r="F18">
        <f>IF(ABS(D18)&lt;=E18,"OK","CHECK")</f>
        <v/>
      </c>
    </row>
    <row r="19">
      <c r="A19" t="inlineStr">
        <is>
          <t>H1: d_z exact CI lower (noncentral t in R) versus the approximation</t>
        </is>
      </c>
      <c r="B19" s="16">
        <f>H1!L24</f>
        <v/>
      </c>
      <c r="C19" s="16" t="n">
        <v>0.2119148409052271</v>
      </c>
      <c r="D19" s="16">
        <f>B19-C19</f>
        <v/>
      </c>
      <c r="E19" s="16" t="n">
        <v>0.03</v>
      </c>
      <c r="F19">
        <f>IF(ABS(D19)&lt;=E19,"OK","CHECK")</f>
        <v/>
      </c>
      <c r="G19" s="7" t="inlineStr">
        <is>
          <t>method differs; looser tolerance</t>
        </is>
      </c>
    </row>
    <row r="20">
      <c r="A20" t="inlineStr">
        <is>
          <t>H1: d_z exact CI upper (noncentral t in R) versus the approximation</t>
        </is>
      </c>
      <c r="B20" s="16">
        <f>H1!L25</f>
        <v/>
      </c>
      <c r="C20" s="16" t="n">
        <v>1.143367771672794</v>
      </c>
      <c r="D20" s="16">
        <f>B20-C20</f>
        <v/>
      </c>
      <c r="E20" s="16" t="n">
        <v>0.03</v>
      </c>
      <c r="F20">
        <f>IF(ABS(D20)&lt;=E20,"OK","CHECK")</f>
        <v/>
      </c>
      <c r="G20" s="7" t="inlineStr">
        <is>
          <t>method differs; looser tolerance</t>
        </is>
      </c>
    </row>
    <row r="21">
      <c r="A21" t="inlineStr">
        <is>
          <t>S15_H1: m1 (m1)</t>
        </is>
      </c>
      <c r="B21" s="16">
        <f>H1!L32</f>
        <v/>
      </c>
      <c r="C21" s="16" t="n">
        <v>-0.096355</v>
      </c>
      <c r="D21" s="16">
        <f>B21-C21</f>
        <v/>
      </c>
      <c r="E21" s="16" t="n">
        <v>1e-06</v>
      </c>
      <c r="F21">
        <f>IF(ABS(D21)&lt;=E21,"OK","CHECK")</f>
        <v/>
      </c>
    </row>
    <row r="22">
      <c r="A22" t="inlineStr">
        <is>
          <t>S15_H1: m2 (m2)</t>
        </is>
      </c>
      <c r="B22" s="16">
        <f>H1!L34</f>
        <v/>
      </c>
      <c r="C22" s="16" t="n">
        <v>0.003675000000000001</v>
      </c>
      <c r="D22" s="16">
        <f>B22-C22</f>
        <v/>
      </c>
      <c r="E22" s="16" t="n">
        <v>1e-06</v>
      </c>
      <c r="F22">
        <f>IF(ABS(D22)&lt;=E22,"OK","CHECK")</f>
        <v/>
      </c>
    </row>
    <row r="23">
      <c r="A23" t="inlineStr">
        <is>
          <t>S15_H1: n (n)</t>
        </is>
      </c>
      <c r="B23" s="16">
        <f>H1!L36</f>
        <v/>
      </c>
      <c r="C23" s="16" t="n">
        <v>20</v>
      </c>
      <c r="D23" s="16">
        <f>B23-C23</f>
        <v/>
      </c>
      <c r="E23" s="16" t="n">
        <v>1e-09</v>
      </c>
      <c r="F23">
        <f>IF(ABS(D23)&lt;=E23,"OK","CHECK")</f>
        <v/>
      </c>
    </row>
    <row r="24">
      <c r="A24" t="inlineStr">
        <is>
          <t>S15_H1: mean_diff (md)</t>
        </is>
      </c>
      <c r="B24" s="16">
        <f>H1!L37</f>
        <v/>
      </c>
      <c r="C24" s="16" t="n">
        <v>0.10003</v>
      </c>
      <c r="D24" s="16">
        <f>B24-C24</f>
        <v/>
      </c>
      <c r="E24" s="16" t="n">
        <v>1e-06</v>
      </c>
      <c r="F24">
        <f>IF(ABS(D24)&lt;=E24,"OK","CHECK")</f>
        <v/>
      </c>
    </row>
    <row r="25">
      <c r="A25" t="inlineStr">
        <is>
          <t>S15_H1: sd_diff (sdd)</t>
        </is>
      </c>
      <c r="B25" s="16">
        <f>H1!L38</f>
        <v/>
      </c>
      <c r="C25" s="16" t="n">
        <v>0.1474606070500829</v>
      </c>
      <c r="D25" s="16">
        <f>B25-C25</f>
        <v/>
      </c>
      <c r="E25" s="16" t="n">
        <v>1e-06</v>
      </c>
      <c r="F25">
        <f>IF(ABS(D25)&lt;=E25,"OK","CHECK")</f>
        <v/>
      </c>
    </row>
    <row r="26">
      <c r="A26" t="inlineStr">
        <is>
          <t>S15_H1: t (t)</t>
        </is>
      </c>
      <c r="B26" s="16">
        <f>H1!L40</f>
        <v/>
      </c>
      <c r="C26" s="16" t="n">
        <v>3.033676373152816</v>
      </c>
      <c r="D26" s="16">
        <f>B26-C26</f>
        <v/>
      </c>
      <c r="E26" s="16" t="n">
        <v>0.0001</v>
      </c>
      <c r="F26">
        <f>IF(ABS(D26)&lt;=E26,"OK","CHECK")</f>
        <v/>
      </c>
    </row>
    <row r="27">
      <c r="A27" t="inlineStr">
        <is>
          <t>S15_H1: df (df)</t>
        </is>
      </c>
      <c r="B27" s="16">
        <f>H1!L41</f>
        <v/>
      </c>
      <c r="C27" s="16" t="n">
        <v>19</v>
      </c>
      <c r="D27" s="16">
        <f>B27-C27</f>
        <v/>
      </c>
      <c r="E27" s="16" t="n">
        <v>1e-09</v>
      </c>
      <c r="F27">
        <f>IF(ABS(D27)&lt;=E27,"OK","CHECK")</f>
        <v/>
      </c>
    </row>
    <row r="28">
      <c r="A28" t="inlineStr">
        <is>
          <t>S15_H1: p (p_tt)</t>
        </is>
      </c>
      <c r="B28" s="16">
        <f>H1!L42</f>
        <v/>
      </c>
      <c r="C28" s="16" t="n">
        <v>0.00683216682951547</v>
      </c>
      <c r="D28" s="16">
        <f>B28-C28</f>
        <v/>
      </c>
      <c r="E28" s="16" t="n">
        <v>1e-06</v>
      </c>
      <c r="F28">
        <f>IF(ABS(D28)&lt;=E28,"OK","CHECK")</f>
        <v/>
      </c>
    </row>
    <row r="29">
      <c r="A29" t="inlineStr">
        <is>
          <t>S15_H1: p (p_hand)</t>
        </is>
      </c>
      <c r="B29" s="16">
        <f>H1!L43</f>
        <v/>
      </c>
      <c r="C29" s="16" t="n">
        <v>0.00683216682951547</v>
      </c>
      <c r="D29" s="16">
        <f>B29-C29</f>
        <v/>
      </c>
      <c r="E29" s="16" t="n">
        <v>1e-06</v>
      </c>
      <c r="F29">
        <f>IF(ABS(D29)&lt;=E29,"OK","CHECK")</f>
        <v/>
      </c>
    </row>
    <row r="30">
      <c r="A30" t="inlineStr">
        <is>
          <t>S15_H1: p_one_tailed (p_one)</t>
        </is>
      </c>
      <c r="B30" s="16">
        <f>H1!L44</f>
        <v/>
      </c>
      <c r="C30" s="16" t="n">
        <v>0.003416083414757735</v>
      </c>
      <c r="D30" s="16">
        <f>B30-C30</f>
        <v/>
      </c>
      <c r="E30" s="16" t="n">
        <v>1e-06</v>
      </c>
      <c r="F30">
        <f>IF(ABS(D30)&lt;=E30,"OK","CHECK")</f>
        <v/>
      </c>
    </row>
    <row r="31">
      <c r="A31" t="inlineStr">
        <is>
          <t>S15_H1: diff_ci_low (ci_lo)</t>
        </is>
      </c>
      <c r="B31" s="16">
        <f>H1!L46</f>
        <v/>
      </c>
      <c r="C31" s="16" t="n">
        <v>0.03101631152113444</v>
      </c>
      <c r="D31" s="16">
        <f>B31-C31</f>
        <v/>
      </c>
      <c r="E31" s="16" t="n">
        <v>1e-06</v>
      </c>
      <c r="F31">
        <f>IF(ABS(D31)&lt;=E31,"OK","CHECK")</f>
        <v/>
      </c>
    </row>
    <row r="32">
      <c r="A32" t="inlineStr">
        <is>
          <t>S15_H1: diff_ci_high (ci_hi)</t>
        </is>
      </c>
      <c r="B32" s="16">
        <f>H1!L47</f>
        <v/>
      </c>
      <c r="C32" s="16" t="n">
        <v>0.1690436884788656</v>
      </c>
      <c r="D32" s="16">
        <f>B32-C32</f>
        <v/>
      </c>
      <c r="E32" s="16" t="n">
        <v>1e-06</v>
      </c>
      <c r="F32">
        <f>IF(ABS(D32)&lt;=E32,"OK","CHECK")</f>
        <v/>
      </c>
    </row>
    <row r="33">
      <c r="A33" t="inlineStr">
        <is>
          <t>S15_H1: es (dz)</t>
        </is>
      </c>
      <c r="B33" s="16">
        <f>H1!L48</f>
        <v/>
      </c>
      <c r="C33" s="16" t="n">
        <v>0.6783506592104714</v>
      </c>
      <c r="D33" s="16">
        <f>B33-C33</f>
        <v/>
      </c>
      <c r="E33" s="16" t="n">
        <v>1e-05</v>
      </c>
      <c r="F33">
        <f>IF(ABS(D33)&lt;=E33,"OK","CHECK")</f>
        <v/>
      </c>
    </row>
    <row r="34">
      <c r="A34" t="inlineStr">
        <is>
          <t>S15_H1: es_ci_low_approx (dz_lo)</t>
        </is>
      </c>
      <c r="B34" s="16">
        <f>H1!L50</f>
        <v/>
      </c>
      <c r="C34" s="16" t="n">
        <v>0.1922706970618585</v>
      </c>
      <c r="D34" s="16">
        <f>B34-C34</f>
        <v/>
      </c>
      <c r="E34" s="16" t="n">
        <v>1e-05</v>
      </c>
      <c r="F34">
        <f>IF(ABS(D34)&lt;=E34,"OK","CHECK")</f>
        <v/>
      </c>
    </row>
    <row r="35">
      <c r="A35" t="inlineStr">
        <is>
          <t>S15_H1: es_ci_high_approx (dz_hi)</t>
        </is>
      </c>
      <c r="B35" s="16">
        <f>H1!L51</f>
        <v/>
      </c>
      <c r="C35" s="16" t="n">
        <v>1.164430621359084</v>
      </c>
      <c r="D35" s="16">
        <f>B35-C35</f>
        <v/>
      </c>
      <c r="E35" s="16" t="n">
        <v>1e-05</v>
      </c>
      <c r="F35">
        <f>IF(ABS(D35)&lt;=E35,"OK","CHECK")</f>
        <v/>
      </c>
    </row>
    <row r="36">
      <c r="A36" t="inlineStr">
        <is>
          <t>S15_H1: d_z exact CI lower (noncentral t in R) versus the approximation</t>
        </is>
      </c>
      <c r="B36" s="16">
        <f>H1!L50</f>
        <v/>
      </c>
      <c r="C36" s="16" t="n">
        <v>0.1833534246066552</v>
      </c>
      <c r="D36" s="16">
        <f>B36-C36</f>
        <v/>
      </c>
      <c r="E36" s="16" t="n">
        <v>0.03</v>
      </c>
      <c r="F36">
        <f>IF(ABS(D36)&lt;=E36,"OK","CHECK")</f>
        <v/>
      </c>
      <c r="G36" s="7" t="inlineStr">
        <is>
          <t>method differs; looser tolerance</t>
        </is>
      </c>
    </row>
    <row r="37">
      <c r="A37" t="inlineStr">
        <is>
          <t>S15_H1: d_z exact CI upper (noncentral t in R) versus the approximation</t>
        </is>
      </c>
      <c r="B37" s="16">
        <f>H1!L51</f>
        <v/>
      </c>
      <c r="C37" s="16" t="n">
        <v>1.158971229484936</v>
      </c>
      <c r="D37" s="16">
        <f>B37-C37</f>
        <v/>
      </c>
      <c r="E37" s="16" t="n">
        <v>0.03</v>
      </c>
      <c r="F37">
        <f>IF(ABS(D37)&lt;=E37,"OK","CHECK")</f>
        <v/>
      </c>
      <c r="G37" s="7" t="inlineStr">
        <is>
          <t>method differs; looser tolerance</t>
        </is>
      </c>
    </row>
    <row r="38">
      <c r="A38" t="inlineStr">
        <is>
          <t>DEFAULT_H1: m1 (m1)</t>
        </is>
      </c>
      <c r="B38" s="16">
        <f>H1!L70</f>
        <v/>
      </c>
      <c r="C38" s="16" t="n">
        <v>0.7444590909090909</v>
      </c>
      <c r="D38" s="16">
        <f>B38-C38</f>
        <v/>
      </c>
      <c r="E38" s="16" t="n">
        <v>1e-06</v>
      </c>
      <c r="F38">
        <f>IF(ABS(D38)&lt;=E38,"OK","CHECK")</f>
        <v/>
      </c>
    </row>
    <row r="39">
      <c r="A39" t="inlineStr">
        <is>
          <t>DEFAULT_H1: m2 (m2)</t>
        </is>
      </c>
      <c r="B39" s="16">
        <f>H1!L72</f>
        <v/>
      </c>
      <c r="C39" s="16" t="n">
        <v>0.7338727272727272</v>
      </c>
      <c r="D39" s="16">
        <f>B39-C39</f>
        <v/>
      </c>
      <c r="E39" s="16" t="n">
        <v>1e-06</v>
      </c>
      <c r="F39">
        <f>IF(ABS(D39)&lt;=E39,"OK","CHECK")</f>
        <v/>
      </c>
    </row>
    <row r="40">
      <c r="A40" t="inlineStr">
        <is>
          <t>DEFAULT_H1: n (n)</t>
        </is>
      </c>
      <c r="B40" s="16">
        <f>H1!L74</f>
        <v/>
      </c>
      <c r="C40" s="16" t="n">
        <v>22</v>
      </c>
      <c r="D40" s="16">
        <f>B40-C40</f>
        <v/>
      </c>
      <c r="E40" s="16" t="n">
        <v>1e-09</v>
      </c>
      <c r="F40">
        <f>IF(ABS(D40)&lt;=E40,"OK","CHECK")</f>
        <v/>
      </c>
    </row>
    <row r="41">
      <c r="A41" t="inlineStr">
        <is>
          <t>DEFAULT_H1: mean_diff (md)</t>
        </is>
      </c>
      <c r="B41" s="16">
        <f>H1!L75</f>
        <v/>
      </c>
      <c r="C41" s="16" t="n">
        <v>-0.01058636363636363</v>
      </c>
      <c r="D41" s="16">
        <f>B41-C41</f>
        <v/>
      </c>
      <c r="E41" s="16" t="n">
        <v>1e-06</v>
      </c>
      <c r="F41">
        <f>IF(ABS(D41)&lt;=E41,"OK","CHECK")</f>
        <v/>
      </c>
    </row>
    <row r="42">
      <c r="A42" t="inlineStr">
        <is>
          <t>DEFAULT_H1: sd_diff (sdd)</t>
        </is>
      </c>
      <c r="B42" s="16">
        <f>H1!L76</f>
        <v/>
      </c>
      <c r="C42" s="16" t="n">
        <v>0.1230755451143516</v>
      </c>
      <c r="D42" s="16">
        <f>B42-C42</f>
        <v/>
      </c>
      <c r="E42" s="16" t="n">
        <v>1e-06</v>
      </c>
      <c r="F42">
        <f>IF(ABS(D42)&lt;=E42,"OK","CHECK")</f>
        <v/>
      </c>
    </row>
    <row r="43">
      <c r="A43" t="inlineStr">
        <is>
          <t>DEFAULT_H1: t (t)</t>
        </is>
      </c>
      <c r="B43" s="16">
        <f>H1!L78</f>
        <v/>
      </c>
      <c r="C43" s="16" t="n">
        <v>-0.4034468975383113</v>
      </c>
      <c r="D43" s="16">
        <f>B43-C43</f>
        <v/>
      </c>
      <c r="E43" s="16" t="n">
        <v>0.0001</v>
      </c>
      <c r="F43">
        <f>IF(ABS(D43)&lt;=E43,"OK","CHECK")</f>
        <v/>
      </c>
    </row>
    <row r="44">
      <c r="A44" t="inlineStr">
        <is>
          <t>DEFAULT_H1: df (df)</t>
        </is>
      </c>
      <c r="B44" s="16">
        <f>H1!L79</f>
        <v/>
      </c>
      <c r="C44" s="16" t="n">
        <v>21</v>
      </c>
      <c r="D44" s="16">
        <f>B44-C44</f>
        <v/>
      </c>
      <c r="E44" s="16" t="n">
        <v>1e-09</v>
      </c>
      <c r="F44">
        <f>IF(ABS(D44)&lt;=E44,"OK","CHECK")</f>
        <v/>
      </c>
    </row>
    <row r="45">
      <c r="A45" t="inlineStr">
        <is>
          <t>DEFAULT_H1: p (p_tt)</t>
        </is>
      </c>
      <c r="B45" s="16">
        <f>H1!L80</f>
        <v/>
      </c>
      <c r="C45" s="16" t="n">
        <v>0.690697970304168</v>
      </c>
      <c r="D45" s="16">
        <f>B45-C45</f>
        <v/>
      </c>
      <c r="E45" s="16" t="n">
        <v>1e-06</v>
      </c>
      <c r="F45">
        <f>IF(ABS(D45)&lt;=E45,"OK","CHECK")</f>
        <v/>
      </c>
    </row>
    <row r="46">
      <c r="A46" t="inlineStr">
        <is>
          <t>DEFAULT_H1: p (p_hand)</t>
        </is>
      </c>
      <c r="B46" s="16">
        <f>H1!L81</f>
        <v/>
      </c>
      <c r="C46" s="16" t="n">
        <v>0.690697970304168</v>
      </c>
      <c r="D46" s="16">
        <f>B46-C46</f>
        <v/>
      </c>
      <c r="E46" s="16" t="n">
        <v>1e-06</v>
      </c>
      <c r="F46">
        <f>IF(ABS(D46)&lt;=E46,"OK","CHECK")</f>
        <v/>
      </c>
    </row>
    <row r="47">
      <c r="A47" t="inlineStr">
        <is>
          <t>DEFAULT_H1: p_one_tailed (p_one)</t>
        </is>
      </c>
      <c r="B47" s="16">
        <f>H1!L82</f>
        <v/>
      </c>
      <c r="C47" s="16" t="n">
        <v>0.654651014847916</v>
      </c>
      <c r="D47" s="16">
        <f>B47-C47</f>
        <v/>
      </c>
      <c r="E47" s="16" t="n">
        <v>1e-06</v>
      </c>
      <c r="F47">
        <f>IF(ABS(D47)&lt;=E47,"OK","CHECK")</f>
        <v/>
      </c>
    </row>
    <row r="48">
      <c r="A48" t="inlineStr">
        <is>
          <t>DEFAULT_H1: diff_ci_low (ci_lo)</t>
        </is>
      </c>
      <c r="B48" s="16">
        <f>H1!L84</f>
        <v/>
      </c>
      <c r="C48" s="16" t="n">
        <v>-0.06515500332063057</v>
      </c>
      <c r="D48" s="16">
        <f>B48-C48</f>
        <v/>
      </c>
      <c r="E48" s="16" t="n">
        <v>1e-06</v>
      </c>
      <c r="F48">
        <f>IF(ABS(D48)&lt;=E48,"OK","CHECK")</f>
        <v/>
      </c>
    </row>
    <row r="49">
      <c r="A49" t="inlineStr">
        <is>
          <t>DEFAULT_H1: diff_ci_high (ci_hi)</t>
        </is>
      </c>
      <c r="B49" s="16">
        <f>H1!L85</f>
        <v/>
      </c>
      <c r="C49" s="16" t="n">
        <v>0.04398227604790331</v>
      </c>
      <c r="D49" s="16">
        <f>B49-C49</f>
        <v/>
      </c>
      <c r="E49" s="16" t="n">
        <v>1e-06</v>
      </c>
      <c r="F49">
        <f>IF(ABS(D49)&lt;=E49,"OK","CHECK")</f>
        <v/>
      </c>
    </row>
    <row r="50">
      <c r="A50" t="inlineStr">
        <is>
          <t>DEFAULT_H1: es (dz)</t>
        </is>
      </c>
      <c r="B50" s="16">
        <f>H1!L86</f>
        <v/>
      </c>
      <c r="C50" s="16" t="n">
        <v>-0.08601516756661652</v>
      </c>
      <c r="D50" s="16">
        <f>B50-C50</f>
        <v/>
      </c>
      <c r="E50" s="16" t="n">
        <v>1e-05</v>
      </c>
      <c r="F50">
        <f>IF(ABS(D50)&lt;=E50,"OK","CHECK")</f>
        <v/>
      </c>
    </row>
    <row r="51">
      <c r="A51" t="inlineStr">
        <is>
          <t>DEFAULT_H1: es_ci_low_approx (dz_lo)</t>
        </is>
      </c>
      <c r="B51" s="16">
        <f>H1!L88</f>
        <v/>
      </c>
      <c r="C51" s="16" t="n">
        <v>-0.5046607786130733</v>
      </c>
      <c r="D51" s="16">
        <f>B51-C51</f>
        <v/>
      </c>
      <c r="E51" s="16" t="n">
        <v>1e-05</v>
      </c>
      <c r="F51">
        <f>IF(ABS(D51)&lt;=E51,"OK","CHECK")</f>
        <v/>
      </c>
    </row>
    <row r="52">
      <c r="A52" t="inlineStr">
        <is>
          <t>DEFAULT_H1: es_ci_high_approx (dz_hi)</t>
        </is>
      </c>
      <c r="B52" s="16">
        <f>H1!L89</f>
        <v/>
      </c>
      <c r="C52" s="16" t="n">
        <v>0.3326304434798403</v>
      </c>
      <c r="D52" s="16">
        <f>B52-C52</f>
        <v/>
      </c>
      <c r="E52" s="16" t="n">
        <v>1e-05</v>
      </c>
      <c r="F52">
        <f>IF(ABS(D52)&lt;=E52,"OK","CHECK")</f>
        <v/>
      </c>
    </row>
    <row r="53">
      <c r="A53" t="inlineStr">
        <is>
          <t>DEFAULT_H1: d_z exact CI lower (noncentral t in R) versus the approximation</t>
        </is>
      </c>
      <c r="B53" s="16">
        <f>H1!L88</f>
        <v/>
      </c>
      <c r="C53" s="16" t="n">
        <v>-0.503666227105617</v>
      </c>
      <c r="D53" s="16">
        <f>B53-C53</f>
        <v/>
      </c>
      <c r="E53" s="16" t="n">
        <v>0.03</v>
      </c>
      <c r="F53">
        <f>IF(ABS(D53)&lt;=E53,"OK","CHECK")</f>
        <v/>
      </c>
      <c r="G53" s="7" t="inlineStr">
        <is>
          <t>method differs; looser tolerance</t>
        </is>
      </c>
    </row>
    <row r="54">
      <c r="A54" t="inlineStr">
        <is>
          <t>DEFAULT_H1: d_z exact CI upper (noncentral t in R) versus the approximation</t>
        </is>
      </c>
      <c r="B54" s="16">
        <f>H1!L89</f>
        <v/>
      </c>
      <c r="C54" s="16" t="n">
        <v>0.333663396496036</v>
      </c>
      <c r="D54" s="16">
        <f>B54-C54</f>
        <v/>
      </c>
      <c r="E54" s="16" t="n">
        <v>0.03</v>
      </c>
      <c r="F54">
        <f>IF(ABS(D54)&lt;=E54,"OK","CHECK")</f>
        <v/>
      </c>
      <c r="G54" s="7" t="inlineStr">
        <is>
          <t>method differs; looser tolerance</t>
        </is>
      </c>
    </row>
    <row r="55">
      <c r="A55" t="inlineStr">
        <is>
          <t>H3: m1 (m1)</t>
        </is>
      </c>
      <c r="B55" s="16">
        <f>H3!O6</f>
        <v/>
      </c>
      <c r="C55" s="16" t="n">
        <v>-0.02908</v>
      </c>
      <c r="D55" s="16">
        <f>B55-C55</f>
        <v/>
      </c>
      <c r="E55" s="16" t="n">
        <v>1e-06</v>
      </c>
      <c r="F55">
        <f>IF(ABS(D55)&lt;=E55,"OK","CHECK")</f>
        <v/>
      </c>
    </row>
    <row r="56">
      <c r="A56" t="inlineStr">
        <is>
          <t>H3: m2 (m2)</t>
        </is>
      </c>
      <c r="B56" s="16">
        <f>H3!O8</f>
        <v/>
      </c>
      <c r="C56" s="16" t="n">
        <v>0.003775555555555554</v>
      </c>
      <c r="D56" s="16">
        <f>B56-C56</f>
        <v/>
      </c>
      <c r="E56" s="16" t="n">
        <v>1e-06</v>
      </c>
      <c r="F56">
        <f>IF(ABS(D56)&lt;=E56,"OK","CHECK")</f>
        <v/>
      </c>
    </row>
    <row r="57">
      <c r="A57" t="inlineStr">
        <is>
          <t>H3: n (n)</t>
        </is>
      </c>
      <c r="B57" s="16">
        <f>H3!O10</f>
        <v/>
      </c>
      <c r="C57" s="16" t="n">
        <v>45</v>
      </c>
      <c r="D57" s="16">
        <f>B57-C57</f>
        <v/>
      </c>
      <c r="E57" s="16" t="n">
        <v>1e-09</v>
      </c>
      <c r="F57">
        <f>IF(ABS(D57)&lt;=E57,"OK","CHECK")</f>
        <v/>
      </c>
    </row>
    <row r="58">
      <c r="A58" t="inlineStr">
        <is>
          <t>H3: mean_diff (md)</t>
        </is>
      </c>
      <c r="B58" s="16">
        <f>H3!O11</f>
        <v/>
      </c>
      <c r="C58" s="16" t="n">
        <v>0.03285555555555555</v>
      </c>
      <c r="D58" s="16">
        <f>B58-C58</f>
        <v/>
      </c>
      <c r="E58" s="16" t="n">
        <v>1e-06</v>
      </c>
      <c r="F58">
        <f>IF(ABS(D58)&lt;=E58,"OK","CHECK")</f>
        <v/>
      </c>
    </row>
    <row r="59">
      <c r="A59" t="inlineStr">
        <is>
          <t>H3: sd_diff (sdd)</t>
        </is>
      </c>
      <c r="B59" s="16">
        <f>H3!O12</f>
        <v/>
      </c>
      <c r="C59" s="16" t="n">
        <v>0.1115889016873899</v>
      </c>
      <c r="D59" s="16">
        <f>B59-C59</f>
        <v/>
      </c>
      <c r="E59" s="16" t="n">
        <v>1e-06</v>
      </c>
      <c r="F59">
        <f>IF(ABS(D59)&lt;=E59,"OK","CHECK")</f>
        <v/>
      </c>
    </row>
    <row r="60">
      <c r="A60" t="inlineStr">
        <is>
          <t>H3: t (t)</t>
        </is>
      </c>
      <c r="B60" s="16">
        <f>H3!O14</f>
        <v/>
      </c>
      <c r="C60" s="16" t="n">
        <v>1.97512264794641</v>
      </c>
      <c r="D60" s="16">
        <f>B60-C60</f>
        <v/>
      </c>
      <c r="E60" s="16" t="n">
        <v>0.0001</v>
      </c>
      <c r="F60">
        <f>IF(ABS(D60)&lt;=E60,"OK","CHECK")</f>
        <v/>
      </c>
    </row>
    <row r="61">
      <c r="A61" t="inlineStr">
        <is>
          <t>H3: df (df)</t>
        </is>
      </c>
      <c r="B61" s="16">
        <f>H3!O15</f>
        <v/>
      </c>
      <c r="C61" s="16" t="n">
        <v>44</v>
      </c>
      <c r="D61" s="16">
        <f>B61-C61</f>
        <v/>
      </c>
      <c r="E61" s="16" t="n">
        <v>1e-09</v>
      </c>
      <c r="F61">
        <f>IF(ABS(D61)&lt;=E61,"OK","CHECK")</f>
        <v/>
      </c>
    </row>
    <row r="62">
      <c r="A62" t="inlineStr">
        <is>
          <t>H3: p (p_tt)</t>
        </is>
      </c>
      <c r="B62" s="16">
        <f>H3!O16</f>
        <v/>
      </c>
      <c r="C62" s="16" t="n">
        <v>0.05454871768279881</v>
      </c>
      <c r="D62" s="16">
        <f>B62-C62</f>
        <v/>
      </c>
      <c r="E62" s="16" t="n">
        <v>1e-06</v>
      </c>
      <c r="F62">
        <f>IF(ABS(D62)&lt;=E62,"OK","CHECK")</f>
        <v/>
      </c>
    </row>
    <row r="63">
      <c r="A63" t="inlineStr">
        <is>
          <t>H3: p (p_hand)</t>
        </is>
      </c>
      <c r="B63" s="16">
        <f>H3!O17</f>
        <v/>
      </c>
      <c r="C63" s="16" t="n">
        <v>0.05454871768279881</v>
      </c>
      <c r="D63" s="16">
        <f>B63-C63</f>
        <v/>
      </c>
      <c r="E63" s="16" t="n">
        <v>1e-06</v>
      </c>
      <c r="F63">
        <f>IF(ABS(D63)&lt;=E63,"OK","CHECK")</f>
        <v/>
      </c>
    </row>
    <row r="64">
      <c r="A64" t="inlineStr">
        <is>
          <t>H3: p_one_tailed (p_one)</t>
        </is>
      </c>
      <c r="B64" s="16">
        <f>H3!O18</f>
        <v/>
      </c>
      <c r="C64" s="16" t="n">
        <v>0.02727435884139941</v>
      </c>
      <c r="D64" s="16">
        <f>B64-C64</f>
        <v/>
      </c>
      <c r="E64" s="16" t="n">
        <v>1e-06</v>
      </c>
      <c r="F64">
        <f>IF(ABS(D64)&lt;=E64,"OK","CHECK")</f>
        <v/>
      </c>
    </row>
    <row r="65">
      <c r="A65" t="inlineStr">
        <is>
          <t>H3: diff_ci_low (ci_lo)</t>
        </is>
      </c>
      <c r="B65" s="16">
        <f>H3!O20</f>
        <v/>
      </c>
      <c r="C65" s="16" t="n">
        <v>-0.0006694619292315106</v>
      </c>
      <c r="D65" s="16">
        <f>B65-C65</f>
        <v/>
      </c>
      <c r="E65" s="16" t="n">
        <v>1e-06</v>
      </c>
      <c r="F65">
        <f>IF(ABS(D65)&lt;=E65,"OK","CHECK")</f>
        <v/>
      </c>
    </row>
    <row r="66">
      <c r="A66" t="inlineStr">
        <is>
          <t>H3: diff_ci_high (ci_hi)</t>
        </is>
      </c>
      <c r="B66" s="16">
        <f>H3!O21</f>
        <v/>
      </c>
      <c r="C66" s="16" t="n">
        <v>0.06638057304034262</v>
      </c>
      <c r="D66" s="16">
        <f>B66-C66</f>
        <v/>
      </c>
      <c r="E66" s="16" t="n">
        <v>1e-06</v>
      </c>
      <c r="F66">
        <f>IF(ABS(D66)&lt;=E66,"OK","CHECK")</f>
        <v/>
      </c>
    </row>
    <row r="67">
      <c r="A67" t="inlineStr">
        <is>
          <t>H3: es (dz)</t>
        </is>
      </c>
      <c r="B67" s="16">
        <f>H3!O22</f>
        <v/>
      </c>
      <c r="C67" s="16" t="n">
        <v>0.2944339003138373</v>
      </c>
      <c r="D67" s="16">
        <f>B67-C67</f>
        <v/>
      </c>
      <c r="E67" s="16" t="n">
        <v>1e-05</v>
      </c>
      <c r="F67">
        <f>IF(ABS(D67)&lt;=E67,"OK","CHECK")</f>
        <v/>
      </c>
    </row>
    <row r="68">
      <c r="A68" t="inlineStr">
        <is>
          <t>H3: es_ci_low_approx (dz_lo)</t>
        </is>
      </c>
      <c r="B68" s="16">
        <f>H3!O24</f>
        <v/>
      </c>
      <c r="C68" s="16" t="n">
        <v>-0.004010834590039591</v>
      </c>
      <c r="D68" s="16">
        <f>B68-C68</f>
        <v/>
      </c>
      <c r="E68" s="16" t="n">
        <v>1e-05</v>
      </c>
      <c r="F68">
        <f>IF(ABS(D68)&lt;=E68,"OK","CHECK")</f>
        <v/>
      </c>
    </row>
    <row r="69">
      <c r="A69" t="inlineStr">
        <is>
          <t>H3: es_ci_high_approx (dz_hi)</t>
        </is>
      </c>
      <c r="B69" s="16">
        <f>H3!O25</f>
        <v/>
      </c>
      <c r="C69" s="16" t="n">
        <v>0.5928786352177141</v>
      </c>
      <c r="D69" s="16">
        <f>B69-C69</f>
        <v/>
      </c>
      <c r="E69" s="16" t="n">
        <v>1e-05</v>
      </c>
      <c r="F69">
        <f>IF(ABS(D69)&lt;=E69,"OK","CHECK")</f>
        <v/>
      </c>
    </row>
    <row r="70">
      <c r="A70" t="inlineStr">
        <is>
          <t>H3: d_z exact CI lower (noncentral t in R) versus the approximation</t>
        </is>
      </c>
      <c r="B70" s="16">
        <f>H3!O24</f>
        <v/>
      </c>
      <c r="C70" s="16" t="n">
        <v>-0.005710165445040756</v>
      </c>
      <c r="D70" s="16">
        <f>B70-C70</f>
        <v/>
      </c>
      <c r="E70" s="16" t="n">
        <v>0.03</v>
      </c>
      <c r="F70">
        <f>IF(ABS(D70)&lt;=E70,"OK","CHECK")</f>
        <v/>
      </c>
      <c r="G70" s="7" t="inlineStr">
        <is>
          <t>method differs; looser tolerance</t>
        </is>
      </c>
    </row>
    <row r="71">
      <c r="A71" t="inlineStr">
        <is>
          <t>H3: d_z exact CI upper (noncentral t in R) versus the approximation</t>
        </is>
      </c>
      <c r="B71" s="16">
        <f>H3!O25</f>
        <v/>
      </c>
      <c r="C71" s="16" t="n">
        <v>0.5913772081768429</v>
      </c>
      <c r="D71" s="16">
        <f>B71-C71</f>
        <v/>
      </c>
      <c r="E71" s="16" t="n">
        <v>0.03</v>
      </c>
      <c r="F71">
        <f>IF(ABS(D71)&lt;=E71,"OK","CHECK")</f>
        <v/>
      </c>
      <c r="G71" s="7" t="inlineStr">
        <is>
          <t>method differs; looser tolerance</t>
        </is>
      </c>
    </row>
    <row r="72">
      <c r="A72" t="inlineStr">
        <is>
          <t>H2: m1 (m1)</t>
        </is>
      </c>
      <c r="B72" s="16">
        <f>H2!J6</f>
        <v/>
      </c>
      <c r="C72" s="16" t="n">
        <v>0.03263636363636364</v>
      </c>
      <c r="D72" s="16">
        <f>B72-C72</f>
        <v/>
      </c>
      <c r="E72" s="16" t="n">
        <v>1e-06</v>
      </c>
      <c r="F72">
        <f>IF(ABS(D72)&lt;=E72,"OK","CHECK")</f>
        <v/>
      </c>
    </row>
    <row r="73">
      <c r="A73" t="inlineStr">
        <is>
          <t>H2: m2 (m2)</t>
        </is>
      </c>
      <c r="B73" s="16">
        <f>H2!J9</f>
        <v/>
      </c>
      <c r="C73" s="16" t="n">
        <v>-0.01221304347826087</v>
      </c>
      <c r="D73" s="16">
        <f>B73-C73</f>
        <v/>
      </c>
      <c r="E73" s="16" t="n">
        <v>1e-06</v>
      </c>
      <c r="F73">
        <f>IF(ABS(D73)&lt;=E73,"OK","CHECK")</f>
        <v/>
      </c>
    </row>
    <row r="74">
      <c r="A74" t="inlineStr">
        <is>
          <t>H2: n1 (n1)</t>
        </is>
      </c>
      <c r="B74" s="16">
        <f>H2!J8</f>
        <v/>
      </c>
      <c r="C74" s="16" t="n">
        <v>22</v>
      </c>
      <c r="D74" s="16">
        <f>B74-C74</f>
        <v/>
      </c>
      <c r="E74" s="16" t="n">
        <v>1e-09</v>
      </c>
      <c r="F74">
        <f>IF(ABS(D74)&lt;=E74,"OK","CHECK")</f>
        <v/>
      </c>
    </row>
    <row r="75">
      <c r="A75" t="inlineStr">
        <is>
          <t>H2: n2 (n2)</t>
        </is>
      </c>
      <c r="B75" s="16">
        <f>H2!J11</f>
        <v/>
      </c>
      <c r="C75" s="16" t="n">
        <v>23</v>
      </c>
      <c r="D75" s="16">
        <f>B75-C75</f>
        <v/>
      </c>
      <c r="E75" s="16" t="n">
        <v>1e-09</v>
      </c>
      <c r="F75">
        <f>IF(ABS(D75)&lt;=E75,"OK","CHECK")</f>
        <v/>
      </c>
    </row>
    <row r="76">
      <c r="A76" t="inlineStr">
        <is>
          <t>H2: mean_diff (diff)</t>
        </is>
      </c>
      <c r="B76" s="16">
        <f>H2!J12</f>
        <v/>
      </c>
      <c r="C76" s="16" t="n">
        <v>0.04484940711462451</v>
      </c>
      <c r="D76" s="16">
        <f>B76-C76</f>
        <v/>
      </c>
      <c r="E76" s="16" t="n">
        <v>1e-06</v>
      </c>
      <c r="F76">
        <f>IF(ABS(D76)&lt;=E76,"OK","CHECK")</f>
        <v/>
      </c>
    </row>
    <row r="77">
      <c r="A77" t="inlineStr">
        <is>
          <t>H2: t (t)</t>
        </is>
      </c>
      <c r="B77" s="16">
        <f>H2!J14</f>
        <v/>
      </c>
      <c r="C77" s="16" t="n">
        <v>1.221306529322069</v>
      </c>
      <c r="D77" s="16">
        <f>B77-C77</f>
        <v/>
      </c>
      <c r="E77" s="16" t="n">
        <v>0.0001</v>
      </c>
      <c r="F77">
        <f>IF(ABS(D77)&lt;=E77,"OK","CHECK")</f>
        <v/>
      </c>
    </row>
    <row r="78">
      <c r="A78" t="inlineStr">
        <is>
          <t>H2: df (df)</t>
        </is>
      </c>
      <c r="B78" s="16">
        <f>H2!J15</f>
        <v/>
      </c>
      <c r="C78" s="16" t="n">
        <v>42.87048296652131</v>
      </c>
      <c r="D78" s="16">
        <f>B78-C78</f>
        <v/>
      </c>
      <c r="E78" s="16" t="n">
        <v>0.0001</v>
      </c>
      <c r="F78">
        <f>IF(ABS(D78)&lt;=E78,"OK","CHECK")</f>
        <v/>
      </c>
    </row>
    <row r="79">
      <c r="A79" t="inlineStr">
        <is>
          <t>H2: p (p_tt)</t>
        </is>
      </c>
      <c r="B79" s="16">
        <f>H2!J16</f>
        <v/>
      </c>
      <c r="C79" s="16" t="n">
        <v>0.2286440354180218</v>
      </c>
      <c r="D79" s="16">
        <f>B79-C79</f>
        <v/>
      </c>
      <c r="E79" s="16" t="n">
        <v>1e-06</v>
      </c>
      <c r="F79">
        <f>IF(ABS(D79)&lt;=E79,"OK","CHECK")</f>
        <v/>
      </c>
    </row>
    <row r="80">
      <c r="A80" t="inlineStr">
        <is>
          <t>H2: p_one_tailed (p_one)</t>
        </is>
      </c>
      <c r="B80" s="16">
        <f>H2!J18</f>
        <v/>
      </c>
      <c r="C80" s="16" t="n">
        <v>0.1143220177090109</v>
      </c>
      <c r="D80" s="16">
        <f>B80-C80</f>
        <v/>
      </c>
      <c r="E80" s="16" t="n">
        <v>1e-06</v>
      </c>
      <c r="F80">
        <f>IF(ABS(D80)&lt;=E80,"OK","CHECK")</f>
        <v/>
      </c>
    </row>
    <row r="81">
      <c r="A81" t="inlineStr">
        <is>
          <t>H2: diff_ci_low (ci_lo)</t>
        </is>
      </c>
      <c r="B81" s="16">
        <f>H2!J20</f>
        <v/>
      </c>
      <c r="C81" s="16" t="n">
        <v>-0.02921500679211994</v>
      </c>
      <c r="D81" s="16">
        <f>B81-C81</f>
        <v/>
      </c>
      <c r="E81" s="16" t="n">
        <v>0.0005</v>
      </c>
      <c r="F81">
        <f>IF(ABS(D81)&lt;=E81,"OK","CHECK")</f>
        <v/>
      </c>
      <c r="G81" s="7" t="inlineStr">
        <is>
          <t>Welch CI: the spreadsheet critical t may use a whole number df</t>
        </is>
      </c>
    </row>
    <row r="82">
      <c r="A82" t="inlineStr">
        <is>
          <t>H2: diff_ci_high (ci_hi)</t>
        </is>
      </c>
      <c r="B82" s="16">
        <f>H2!J21</f>
        <v/>
      </c>
      <c r="C82" s="16" t="n">
        <v>0.118913821021369</v>
      </c>
      <c r="D82" s="16">
        <f>B82-C82</f>
        <v/>
      </c>
      <c r="E82" s="16" t="n">
        <v>0.0005</v>
      </c>
      <c r="F82">
        <f>IF(ABS(D82)&lt;=E82,"OK","CHECK")</f>
        <v/>
      </c>
      <c r="G82" s="7" t="inlineStr">
        <is>
          <t>Welch CI: the spreadsheet critical t may use a whole number df</t>
        </is>
      </c>
    </row>
    <row r="83">
      <c r="A83" t="inlineStr">
        <is>
          <t>H2: sd_pooled (sp)</t>
        </is>
      </c>
      <c r="B83" s="16">
        <f>H2!J22</f>
        <v/>
      </c>
      <c r="C83" s="16" t="n">
        <v>0.1231139949156639</v>
      </c>
      <c r="D83" s="16">
        <f>B83-C83</f>
        <v/>
      </c>
      <c r="E83" s="16" t="n">
        <v>1e-06</v>
      </c>
      <c r="F83">
        <f>IF(ABS(D83)&lt;=E83,"OK","CHECK")</f>
        <v/>
      </c>
    </row>
    <row r="84">
      <c r="A84" t="inlineStr">
        <is>
          <t>H2: es (d)</t>
        </is>
      </c>
      <c r="B84" s="16">
        <f>H2!J23</f>
        <v/>
      </c>
      <c r="C84" s="16" t="n">
        <v>0.3642917049791735</v>
      </c>
      <c r="D84" s="16">
        <f>B84-C84</f>
        <v/>
      </c>
      <c r="E84" s="16" t="n">
        <v>1e-05</v>
      </c>
      <c r="F84">
        <f>IF(ABS(D84)&lt;=E84,"OK","CHECK")</f>
        <v/>
      </c>
    </row>
    <row r="85">
      <c r="A85" t="inlineStr">
        <is>
          <t>H2: g (g)</t>
        </is>
      </c>
      <c r="B85" s="16">
        <f>H2!J25</f>
        <v/>
      </c>
      <c r="C85" s="16" t="n">
        <v>0.3579006224356792</v>
      </c>
      <c r="D85" s="16">
        <f>B85-C85</f>
        <v/>
      </c>
      <c r="E85" s="16" t="n">
        <v>1e-05</v>
      </c>
      <c r="F85">
        <f>IF(ABS(D85)&lt;=E85,"OK","CHECK")</f>
        <v/>
      </c>
    </row>
    <row r="86">
      <c r="A86" t="inlineStr">
        <is>
          <t>H2: g_ci_low_approx (g_lo)</t>
        </is>
      </c>
      <c r="B86" s="16">
        <f>H2!J27</f>
        <v/>
      </c>
      <c r="C86" s="16" t="n">
        <v>-0.2312613596632376</v>
      </c>
      <c r="D86" s="16">
        <f>B86-C86</f>
        <v/>
      </c>
      <c r="E86" s="16" t="n">
        <v>1e-05</v>
      </c>
      <c r="F86">
        <f>IF(ABS(D86)&lt;=E86,"OK","CHECK")</f>
        <v/>
      </c>
    </row>
    <row r="87">
      <c r="A87" t="inlineStr">
        <is>
          <t>H2: g_ci_high_approx (g_hi)</t>
        </is>
      </c>
      <c r="B87" s="16">
        <f>H2!J28</f>
        <v/>
      </c>
      <c r="C87" s="16" t="n">
        <v>0.947062604534596</v>
      </c>
      <c r="D87" s="16">
        <f>B87-C87</f>
        <v/>
      </c>
      <c r="E87" s="16" t="n">
        <v>1e-05</v>
      </c>
      <c r="F87">
        <f>IF(ABS(D87)&lt;=E87,"OK","CHECK")</f>
        <v/>
      </c>
    </row>
    <row r="88">
      <c r="A88" t="inlineStr">
        <is>
          <t>S15_H2: m1 (m1)</t>
        </is>
      </c>
      <c r="B88" s="16">
        <f>H2!J33</f>
        <v/>
      </c>
      <c r="C88" s="16" t="n">
        <v>0.03578</v>
      </c>
      <c r="D88" s="16">
        <f>B88-C88</f>
        <v/>
      </c>
      <c r="E88" s="16" t="n">
        <v>1e-06</v>
      </c>
      <c r="F88">
        <f>IF(ABS(D88)&lt;=E88,"OK","CHECK")</f>
        <v/>
      </c>
    </row>
    <row r="89">
      <c r="A89" t="inlineStr">
        <is>
          <t>S15_H2: m2 (m2)</t>
        </is>
      </c>
      <c r="B89" s="16">
        <f>H2!J36</f>
        <v/>
      </c>
      <c r="C89" s="16" t="n">
        <v>-0.004019047619047623</v>
      </c>
      <c r="D89" s="16">
        <f>B89-C89</f>
        <v/>
      </c>
      <c r="E89" s="16" t="n">
        <v>1e-06</v>
      </c>
      <c r="F89">
        <f>IF(ABS(D89)&lt;=E89,"OK","CHECK")</f>
        <v/>
      </c>
    </row>
    <row r="90">
      <c r="A90" t="inlineStr">
        <is>
          <t>S15_H2: n1 (n1)</t>
        </is>
      </c>
      <c r="B90" s="16">
        <f>H2!J35</f>
        <v/>
      </c>
      <c r="C90" s="16" t="n">
        <v>20</v>
      </c>
      <c r="D90" s="16">
        <f>B90-C90</f>
        <v/>
      </c>
      <c r="E90" s="16" t="n">
        <v>1e-09</v>
      </c>
      <c r="F90">
        <f>IF(ABS(D90)&lt;=E90,"OK","CHECK")</f>
        <v/>
      </c>
    </row>
    <row r="91">
      <c r="A91" t="inlineStr">
        <is>
          <t>S15_H2: n2 (n2)</t>
        </is>
      </c>
      <c r="B91" s="16">
        <f>H2!J38</f>
        <v/>
      </c>
      <c r="C91" s="16" t="n">
        <v>21</v>
      </c>
      <c r="D91" s="16">
        <f>B91-C91</f>
        <v/>
      </c>
      <c r="E91" s="16" t="n">
        <v>1e-09</v>
      </c>
      <c r="F91">
        <f>IF(ABS(D91)&lt;=E91,"OK","CHECK")</f>
        <v/>
      </c>
    </row>
    <row r="92">
      <c r="A92" t="inlineStr">
        <is>
          <t>S15_H2: mean_diff (diff)</t>
        </is>
      </c>
      <c r="B92" s="16">
        <f>H2!J39</f>
        <v/>
      </c>
      <c r="C92" s="16" t="n">
        <v>0.03979904761904762</v>
      </c>
      <c r="D92" s="16">
        <f>B92-C92</f>
        <v/>
      </c>
      <c r="E92" s="16" t="n">
        <v>1e-06</v>
      </c>
      <c r="F92">
        <f>IF(ABS(D92)&lt;=E92,"OK","CHECK")</f>
        <v/>
      </c>
    </row>
    <row r="93">
      <c r="A93" t="inlineStr">
        <is>
          <t>S15_H2: t (t)</t>
        </is>
      </c>
      <c r="B93" s="16">
        <f>H2!J41</f>
        <v/>
      </c>
      <c r="C93" s="16" t="n">
        <v>1.011309208323253</v>
      </c>
      <c r="D93" s="16">
        <f>B93-C93</f>
        <v/>
      </c>
      <c r="E93" s="16" t="n">
        <v>0.0001</v>
      </c>
      <c r="F93">
        <f>IF(ABS(D93)&lt;=E93,"OK","CHECK")</f>
        <v/>
      </c>
    </row>
    <row r="94">
      <c r="A94" t="inlineStr">
        <is>
          <t>S15_H2: df (df)</t>
        </is>
      </c>
      <c r="B94" s="16">
        <f>H2!J42</f>
        <v/>
      </c>
      <c r="C94" s="16" t="n">
        <v>38.62843160721366</v>
      </c>
      <c r="D94" s="16">
        <f>B94-C94</f>
        <v/>
      </c>
      <c r="E94" s="16" t="n">
        <v>0.0001</v>
      </c>
      <c r="F94">
        <f>IF(ABS(D94)&lt;=E94,"OK","CHECK")</f>
        <v/>
      </c>
    </row>
    <row r="95">
      <c r="A95" t="inlineStr">
        <is>
          <t>S15_H2: p (p_tt)</t>
        </is>
      </c>
      <c r="B95" s="16">
        <f>H2!J43</f>
        <v/>
      </c>
      <c r="C95" s="16" t="n">
        <v>0.3181614850555259</v>
      </c>
      <c r="D95" s="16">
        <f>B95-C95</f>
        <v/>
      </c>
      <c r="E95" s="16" t="n">
        <v>1e-06</v>
      </c>
      <c r="F95">
        <f>IF(ABS(D95)&lt;=E95,"OK","CHECK")</f>
        <v/>
      </c>
    </row>
    <row r="96">
      <c r="A96" t="inlineStr">
        <is>
          <t>S15_H2: p_one_tailed (p_one)</t>
        </is>
      </c>
      <c r="B96" s="16">
        <f>H2!J45</f>
        <v/>
      </c>
      <c r="C96" s="16" t="n">
        <v>0.1590807425277629</v>
      </c>
      <c r="D96" s="16">
        <f>B96-C96</f>
        <v/>
      </c>
      <c r="E96" s="16" t="n">
        <v>1e-06</v>
      </c>
      <c r="F96">
        <f>IF(ABS(D96)&lt;=E96,"OK","CHECK")</f>
        <v/>
      </c>
    </row>
    <row r="97">
      <c r="A97" t="inlineStr">
        <is>
          <t>S15_H2: diff_ci_low (ci_lo)</t>
        </is>
      </c>
      <c r="B97" s="16">
        <f>H2!J47</f>
        <v/>
      </c>
      <c r="C97" s="16" t="n">
        <v>-0.03982638916587937</v>
      </c>
      <c r="D97" s="16">
        <f>B97-C97</f>
        <v/>
      </c>
      <c r="E97" s="16" t="n">
        <v>0.0005</v>
      </c>
      <c r="F97">
        <f>IF(ABS(D97)&lt;=E97,"OK","CHECK")</f>
        <v/>
      </c>
      <c r="G97" s="7" t="inlineStr">
        <is>
          <t>Welch CI: the spreadsheet critical t may use a whole number df</t>
        </is>
      </c>
    </row>
    <row r="98">
      <c r="A98" t="inlineStr">
        <is>
          <t>S15_H2: diff_ci_high (ci_hi)</t>
        </is>
      </c>
      <c r="B98" s="16">
        <f>H2!J48</f>
        <v/>
      </c>
      <c r="C98" s="16" t="n">
        <v>0.1194244844039746</v>
      </c>
      <c r="D98" s="16">
        <f>B98-C98</f>
        <v/>
      </c>
      <c r="E98" s="16" t="n">
        <v>0.0005</v>
      </c>
      <c r="F98">
        <f>IF(ABS(D98)&lt;=E98,"OK","CHECK")</f>
        <v/>
      </c>
      <c r="G98" s="7" t="inlineStr">
        <is>
          <t>Welch CI: the spreadsheet critical t may use a whole number df</t>
        </is>
      </c>
    </row>
    <row r="99">
      <c r="A99" t="inlineStr">
        <is>
          <t>S15_H2: sd_pooled (sp)</t>
        </is>
      </c>
      <c r="B99" s="16">
        <f>H2!J49</f>
        <v/>
      </c>
      <c r="C99" s="16" t="n">
        <v>0.1258052814085356</v>
      </c>
      <c r="D99" s="16">
        <f>B99-C99</f>
        <v/>
      </c>
      <c r="E99" s="16" t="n">
        <v>1e-06</v>
      </c>
      <c r="F99">
        <f>IF(ABS(D99)&lt;=E99,"OK","CHECK")</f>
        <v/>
      </c>
    </row>
    <row r="100">
      <c r="A100" t="inlineStr">
        <is>
          <t>S15_H2: es (d)</t>
        </is>
      </c>
      <c r="B100" s="16">
        <f>H2!J50</f>
        <v/>
      </c>
      <c r="C100" s="16" t="n">
        <v>0.3163543467607343</v>
      </c>
      <c r="D100" s="16">
        <f>B100-C100</f>
        <v/>
      </c>
      <c r="E100" s="16" t="n">
        <v>1e-05</v>
      </c>
      <c r="F100">
        <f>IF(ABS(D100)&lt;=E100,"OK","CHECK")</f>
        <v/>
      </c>
    </row>
    <row r="101">
      <c r="A101" t="inlineStr">
        <is>
          <t>S15_H2: g (g)</t>
        </is>
      </c>
      <c r="B101" s="16">
        <f>H2!J52</f>
        <v/>
      </c>
      <c r="C101" s="16" t="n">
        <v>0.3102313594040749</v>
      </c>
      <c r="D101" s="16">
        <f>B101-C101</f>
        <v/>
      </c>
      <c r="E101" s="16" t="n">
        <v>1e-05</v>
      </c>
      <c r="F101">
        <f>IF(ABS(D101)&lt;=E101,"OK","CHECK")</f>
        <v/>
      </c>
    </row>
    <row r="102">
      <c r="A102" t="inlineStr">
        <is>
          <t>S15_H2: g_ci_low_approx (g_lo)</t>
        </is>
      </c>
      <c r="B102" s="16">
        <f>H2!J54</f>
        <v/>
      </c>
      <c r="C102" s="16" t="n">
        <v>-0.3058223913089405</v>
      </c>
      <c r="D102" s="16">
        <f>B102-C102</f>
        <v/>
      </c>
      <c r="E102" s="16" t="n">
        <v>1e-05</v>
      </c>
      <c r="F102">
        <f>IF(ABS(D102)&lt;=E102,"OK","CHECK")</f>
        <v/>
      </c>
    </row>
    <row r="103">
      <c r="A103" t="inlineStr">
        <is>
          <t>S15_H2: g_ci_high_approx (g_hi)</t>
        </is>
      </c>
      <c r="B103" s="16">
        <f>H2!J55</f>
        <v/>
      </c>
      <c r="C103" s="16" t="n">
        <v>0.9262851101170902</v>
      </c>
      <c r="D103" s="16">
        <f>B103-C103</f>
        <v/>
      </c>
      <c r="E103" s="16" t="n">
        <v>1e-05</v>
      </c>
      <c r="F103">
        <f>IF(ABS(D103)&lt;=E103,"OK","CHECK")</f>
        <v/>
      </c>
    </row>
    <row r="104">
      <c r="A104" t="inlineStr">
        <is>
          <t>RAW_H2: m1 (m1)</t>
        </is>
      </c>
      <c r="B104" s="16">
        <f>H2!J60</f>
        <v/>
      </c>
      <c r="C104" s="16" t="n">
        <v>-0.05697272727272727</v>
      </c>
      <c r="D104" s="16">
        <f>B104-C104</f>
        <v/>
      </c>
      <c r="E104" s="16" t="n">
        <v>1e-06</v>
      </c>
      <c r="F104">
        <f>IF(ABS(D104)&lt;=E104,"OK","CHECK")</f>
        <v/>
      </c>
    </row>
    <row r="105">
      <c r="A105" t="inlineStr">
        <is>
          <t>RAW_H2: m2 (m2)</t>
        </is>
      </c>
      <c r="B105" s="16">
        <f>H2!J63</f>
        <v/>
      </c>
      <c r="C105" s="16" t="n">
        <v>-0.03608695652173913</v>
      </c>
      <c r="D105" s="16">
        <f>B105-C105</f>
        <v/>
      </c>
      <c r="E105" s="16" t="n">
        <v>1e-06</v>
      </c>
      <c r="F105">
        <f>IF(ABS(D105)&lt;=E105,"OK","CHECK")</f>
        <v/>
      </c>
    </row>
    <row r="106">
      <c r="A106" t="inlineStr">
        <is>
          <t>RAW_H2: n1 (n1)</t>
        </is>
      </c>
      <c r="B106" s="16">
        <f>H2!J62</f>
        <v/>
      </c>
      <c r="C106" s="16" t="n">
        <v>22</v>
      </c>
      <c r="D106" s="16">
        <f>B106-C106</f>
        <v/>
      </c>
      <c r="E106" s="16" t="n">
        <v>1e-09</v>
      </c>
      <c r="F106">
        <f>IF(ABS(D106)&lt;=E106,"OK","CHECK")</f>
        <v/>
      </c>
    </row>
    <row r="107">
      <c r="A107" t="inlineStr">
        <is>
          <t>RAW_H2: n2 (n2)</t>
        </is>
      </c>
      <c r="B107" s="16">
        <f>H2!J65</f>
        <v/>
      </c>
      <c r="C107" s="16" t="n">
        <v>23</v>
      </c>
      <c r="D107" s="16">
        <f>B107-C107</f>
        <v/>
      </c>
      <c r="E107" s="16" t="n">
        <v>1e-09</v>
      </c>
      <c r="F107">
        <f>IF(ABS(D107)&lt;=E107,"OK","CHECK")</f>
        <v/>
      </c>
    </row>
    <row r="108">
      <c r="A108" t="inlineStr">
        <is>
          <t>RAW_H2: mean_diff (diff)</t>
        </is>
      </c>
      <c r="B108" s="16">
        <f>H2!J66</f>
        <v/>
      </c>
      <c r="C108" s="16" t="n">
        <v>-0.02088577075098814</v>
      </c>
      <c r="D108" s="16">
        <f>B108-C108</f>
        <v/>
      </c>
      <c r="E108" s="16" t="n">
        <v>1e-06</v>
      </c>
      <c r="F108">
        <f>IF(ABS(D108)&lt;=E108,"OK","CHECK")</f>
        <v/>
      </c>
    </row>
    <row r="109">
      <c r="A109" t="inlineStr">
        <is>
          <t>RAW_H2: t (t)</t>
        </is>
      </c>
      <c r="B109" s="16">
        <f>H2!J68</f>
        <v/>
      </c>
      <c r="C109" s="16" t="n">
        <v>-0.5015210780653155</v>
      </c>
      <c r="D109" s="16">
        <f>B109-C109</f>
        <v/>
      </c>
      <c r="E109" s="16" t="n">
        <v>0.0001</v>
      </c>
      <c r="F109">
        <f>IF(ABS(D109)&lt;=E109,"OK","CHECK")</f>
        <v/>
      </c>
    </row>
    <row r="110">
      <c r="A110" t="inlineStr">
        <is>
          <t>RAW_H2: df (df)</t>
        </is>
      </c>
      <c r="B110" s="16">
        <f>H2!J69</f>
        <v/>
      </c>
      <c r="C110" s="16" t="n">
        <v>40.35531096746092</v>
      </c>
      <c r="D110" s="16">
        <f>B110-C110</f>
        <v/>
      </c>
      <c r="E110" s="16" t="n">
        <v>0.0001</v>
      </c>
      <c r="F110">
        <f>IF(ABS(D110)&lt;=E110,"OK","CHECK")</f>
        <v/>
      </c>
    </row>
    <row r="111">
      <c r="A111" t="inlineStr">
        <is>
          <t>RAW_H2: p (p_tt)</t>
        </is>
      </c>
      <c r="B111" s="16">
        <f>H2!J70</f>
        <v/>
      </c>
      <c r="C111" s="16" t="n">
        <v>0.6187295704557287</v>
      </c>
      <c r="D111" s="16">
        <f>B111-C111</f>
        <v/>
      </c>
      <c r="E111" s="16" t="n">
        <v>1e-06</v>
      </c>
      <c r="F111">
        <f>IF(ABS(D111)&lt;=E111,"OK","CHECK")</f>
        <v/>
      </c>
    </row>
    <row r="112">
      <c r="A112" t="inlineStr">
        <is>
          <t>RAW_H2: p_one_tailed (p_one)</t>
        </is>
      </c>
      <c r="B112" s="16">
        <f>H2!J72</f>
        <v/>
      </c>
      <c r="C112" s="16" t="n">
        <v>0.6906352147721356</v>
      </c>
      <c r="D112" s="16">
        <f>B112-C112</f>
        <v/>
      </c>
      <c r="E112" s="16" t="n">
        <v>1e-06</v>
      </c>
      <c r="F112">
        <f>IF(ABS(D112)&lt;=E112,"OK","CHECK")</f>
        <v/>
      </c>
    </row>
    <row r="113">
      <c r="A113" t="inlineStr">
        <is>
          <t>RAW_H2: diff_ci_low (ci_lo)</t>
        </is>
      </c>
      <c r="B113" s="16">
        <f>H2!J74</f>
        <v/>
      </c>
      <c r="C113" s="16" t="n">
        <v>-0.1050300768639601</v>
      </c>
      <c r="D113" s="16">
        <f>B113-C113</f>
        <v/>
      </c>
      <c r="E113" s="16" t="n">
        <v>0.0005</v>
      </c>
      <c r="F113">
        <f>IF(ABS(D113)&lt;=E113,"OK","CHECK")</f>
        <v/>
      </c>
      <c r="G113" s="7" t="inlineStr">
        <is>
          <t>Welch CI: the spreadsheet critical t may use a whole number df</t>
        </is>
      </c>
    </row>
    <row r="114">
      <c r="A114" t="inlineStr">
        <is>
          <t>RAW_H2: diff_ci_high (ci_hi)</t>
        </is>
      </c>
      <c r="B114" s="16">
        <f>H2!J75</f>
        <v/>
      </c>
      <c r="C114" s="16" t="n">
        <v>0.06325853536198379</v>
      </c>
      <c r="D114" s="16">
        <f>B114-C114</f>
        <v/>
      </c>
      <c r="E114" s="16" t="n">
        <v>0.0005</v>
      </c>
      <c r="F114">
        <f>IF(ABS(D114)&lt;=E114,"OK","CHECK")</f>
        <v/>
      </c>
      <c r="G114" s="7" t="inlineStr">
        <is>
          <t>Welch CI: the spreadsheet critical t may use a whole number df</t>
        </is>
      </c>
    </row>
    <row r="115">
      <c r="A115" t="inlineStr">
        <is>
          <t>RAW_H2: sd_pooled (sp)</t>
        </is>
      </c>
      <c r="B115" s="16">
        <f>H2!J76</f>
        <v/>
      </c>
      <c r="C115" s="16" t="n">
        <v>0.1406008923293097</v>
      </c>
      <c r="D115" s="16">
        <f>B115-C115</f>
        <v/>
      </c>
      <c r="E115" s="16" t="n">
        <v>1e-06</v>
      </c>
      <c r="F115">
        <f>IF(ABS(D115)&lt;=E115,"OK","CHECK")</f>
        <v/>
      </c>
    </row>
    <row r="116">
      <c r="A116" t="inlineStr">
        <is>
          <t>RAW_H2: es (d)</t>
        </is>
      </c>
      <c r="B116" s="16">
        <f>H2!J77</f>
        <v/>
      </c>
      <c r="C116" s="16" t="n">
        <v>-0.1485465021236873</v>
      </c>
      <c r="D116" s="16">
        <f>B116-C116</f>
        <v/>
      </c>
      <c r="E116" s="16" t="n">
        <v>1e-05</v>
      </c>
      <c r="F116">
        <f>IF(ABS(D116)&lt;=E116,"OK","CHECK")</f>
        <v/>
      </c>
    </row>
    <row r="117">
      <c r="A117" t="inlineStr">
        <is>
          <t>RAW_H2: g (g)</t>
        </is>
      </c>
      <c r="B117" s="16">
        <f>H2!J79</f>
        <v/>
      </c>
      <c r="C117" s="16" t="n">
        <v>-0.1459404231390612</v>
      </c>
      <c r="D117" s="16">
        <f>B117-C117</f>
        <v/>
      </c>
      <c r="E117" s="16" t="n">
        <v>1e-05</v>
      </c>
      <c r="F117">
        <f>IF(ABS(D117)&lt;=E117,"OK","CHECK")</f>
        <v/>
      </c>
    </row>
    <row r="118">
      <c r="A118" t="inlineStr">
        <is>
          <t>RAW_H2: g_ci_low_approx (g_lo)</t>
        </is>
      </c>
      <c r="B118" s="16">
        <f>H2!J81</f>
        <v/>
      </c>
      <c r="C118" s="16" t="n">
        <v>-0.7312210293327605</v>
      </c>
      <c r="D118" s="16">
        <f>B118-C118</f>
        <v/>
      </c>
      <c r="E118" s="16" t="n">
        <v>1e-05</v>
      </c>
      <c r="F118">
        <f>IF(ABS(D118)&lt;=E118,"OK","CHECK")</f>
        <v/>
      </c>
    </row>
    <row r="119">
      <c r="A119" t="inlineStr">
        <is>
          <t>RAW_H2: g_ci_high_approx (g_hi)</t>
        </is>
      </c>
      <c r="B119" s="16">
        <f>H2!J82</f>
        <v/>
      </c>
      <c r="C119" s="16" t="n">
        <v>0.4393401830546381</v>
      </c>
      <c r="D119" s="16">
        <f>B119-C119</f>
        <v/>
      </c>
      <c r="E119" s="16" t="n">
        <v>1e-05</v>
      </c>
      <c r="F119">
        <f>IF(ABS(D119)&lt;=E119,"OK","CHECK")</f>
        <v/>
      </c>
    </row>
    <row r="120">
      <c r="A120" t="inlineStr">
        <is>
          <t>RAW_H1: n (n)</t>
        </is>
      </c>
      <c r="B120" s="16">
        <f>H1!L58</f>
        <v/>
      </c>
      <c r="C120" s="16" t="n">
        <v>22</v>
      </c>
      <c r="D120" s="16">
        <f>B120-C120</f>
        <v/>
      </c>
      <c r="E120" s="16" t="n">
        <v>1e-09</v>
      </c>
      <c r="F120">
        <f>IF(ABS(D120)&lt;=E120,"OK","CHECK")</f>
        <v/>
      </c>
    </row>
    <row r="121">
      <c r="A121" t="inlineStr">
        <is>
          <t>RAW_H1: m2 (m)</t>
        </is>
      </c>
      <c r="B121" s="16">
        <f>H1!L59</f>
        <v/>
      </c>
      <c r="C121" s="16" t="n">
        <v>0.007736363636363638</v>
      </c>
      <c r="D121" s="16">
        <f>B121-C121</f>
        <v/>
      </c>
      <c r="E121" s="16" t="n">
        <v>1e-06</v>
      </c>
      <c r="F121">
        <f>IF(ABS(D121)&lt;=E121,"OK","CHECK")</f>
        <v/>
      </c>
    </row>
    <row r="122">
      <c r="A122" t="inlineStr">
        <is>
          <t>RAW_H1: sd2 (s)</t>
        </is>
      </c>
      <c r="B122" s="16">
        <f>H1!L60</f>
        <v/>
      </c>
      <c r="C122" s="16" t="n">
        <v>0.1565760869215699</v>
      </c>
      <c r="D122" s="16">
        <f>B122-C122</f>
        <v/>
      </c>
      <c r="E122" s="16" t="n">
        <v>1e-06</v>
      </c>
      <c r="F122">
        <f>IF(ABS(D122)&lt;=E122,"OK","CHECK")</f>
        <v/>
      </c>
    </row>
    <row r="123">
      <c r="A123" t="inlineStr">
        <is>
          <t>RAW_H1: t (t)</t>
        </is>
      </c>
      <c r="B123" s="16">
        <f>H1!L62</f>
        <v/>
      </c>
      <c r="C123" s="16" t="n">
        <v>0.2317516208072131</v>
      </c>
      <c r="D123" s="16">
        <f>B123-C123</f>
        <v/>
      </c>
      <c r="E123" s="16" t="n">
        <v>0.0001</v>
      </c>
      <c r="F123">
        <f>IF(ABS(D123)&lt;=E123,"OK","CHECK")</f>
        <v/>
      </c>
    </row>
    <row r="124">
      <c r="A124" t="inlineStr">
        <is>
          <t>RAW_H1: p (p)</t>
        </is>
      </c>
      <c r="B124" s="16">
        <f>H1!L64</f>
        <v/>
      </c>
      <c r="C124" s="16" t="n">
        <v>0.8189742901064235</v>
      </c>
      <c r="D124" s="16">
        <f>B124-C124</f>
        <v/>
      </c>
      <c r="E124" s="16" t="n">
        <v>1e-06</v>
      </c>
      <c r="F124">
        <f>IF(ABS(D124)&lt;=E124,"OK","CHECK")</f>
        <v/>
      </c>
    </row>
    <row r="125">
      <c r="A125" t="inlineStr">
        <is>
          <t>RAW_H1: es (d)</t>
        </is>
      </c>
      <c r="B125" s="16">
        <f>H1!L65</f>
        <v/>
      </c>
      <c r="C125" s="16" t="n">
        <v>0.04940961157267164</v>
      </c>
      <c r="D125" s="16">
        <f>B125-C125</f>
        <v/>
      </c>
      <c r="E125" s="16" t="n">
        <v>1e-05</v>
      </c>
      <c r="F125">
        <f>IF(ABS(D125)&lt;=E125,"OK","CHECK")</f>
        <v/>
      </c>
    </row>
    <row r="126">
      <c r="A126" t="inlineStr">
        <is>
          <t>H3 Simple position estimate ((C1first - C2first) / 2)</t>
        </is>
      </c>
      <c r="B126" s="16">
        <f>H3!O34</f>
        <v/>
      </c>
      <c r="C126" s="16" t="n">
        <v>0.001108201581027663</v>
      </c>
      <c r="D126" s="16">
        <f>B126-C126</f>
        <v/>
      </c>
      <c r="E126" s="16" t="n">
        <v>1e-06</v>
      </c>
      <c r="F126">
        <f>IF(ABS(D126)&lt;=E126,"OK","CHECK")</f>
        <v/>
      </c>
    </row>
    <row r="127">
      <c r="A127" t="inlineStr">
        <is>
          <t>H3 Simple commercial estimate ((C1first + C2first) / 2)</t>
        </is>
      </c>
      <c r="B127" s="16">
        <f>H3!O35</f>
        <v/>
      </c>
      <c r="C127" s="16" t="n">
        <v>0.03283092885375494</v>
      </c>
      <c r="D127" s="16">
        <f>B127-C127</f>
        <v/>
      </c>
      <c r="E127" s="16" t="n">
        <v>1e-06</v>
      </c>
      <c r="F127">
        <f>IF(ABS(D127)&lt;=E127,"OK","CHECK")</f>
        <v/>
      </c>
    </row>
    <row r="128">
      <c r="A128" t="inlineStr">
        <is>
          <t>H3 Simple commercial x version estimate (A - B)</t>
        </is>
      </c>
      <c r="B128" s="16">
        <f>H3!O38</f>
        <v/>
      </c>
      <c r="C128" s="16" t="n">
        <v>-0.04503754940711463</v>
      </c>
      <c r="D128" s="16">
        <f>B128-C128</f>
        <v/>
      </c>
      <c r="E128" s="16" t="n">
        <v>1e-06</v>
      </c>
      <c r="F128">
        <f>IF(ABS(D128)&lt;=E128,"OK","CHECK")</f>
        <v/>
      </c>
    </row>
    <row r="129">
      <c r="A129" t="inlineStr">
        <is>
          <t>r Commercial_1: estimate</t>
        </is>
      </c>
      <c r="B129" s="16">
        <f>H3!O44</f>
        <v/>
      </c>
      <c r="C129" s="16" t="n">
        <v>0.1712518288862106</v>
      </c>
      <c r="D129" s="16">
        <f>B129-C129</f>
        <v/>
      </c>
      <c r="E129" s="16" t="n">
        <v>1e-06</v>
      </c>
      <c r="F129">
        <f>IF(ABS(D129)&lt;=E129,"OK","CHECK")</f>
        <v/>
      </c>
    </row>
    <row r="130">
      <c r="A130" t="inlineStr">
        <is>
          <t>r Commercial_1: statistic</t>
        </is>
      </c>
      <c r="B130" s="16">
        <f>H3!O45</f>
        <v/>
      </c>
      <c r="C130" s="16" t="n">
        <v>1.139811445103344</v>
      </c>
      <c r="D130" s="16">
        <f>B130-C130</f>
        <v/>
      </c>
      <c r="E130" s="16" t="n">
        <v>0.0001</v>
      </c>
      <c r="F130">
        <f>IF(ABS(D130)&lt;=E130,"OK","CHECK")</f>
        <v/>
      </c>
    </row>
    <row r="131">
      <c r="A131" t="inlineStr">
        <is>
          <t>r Commercial_1: p</t>
        </is>
      </c>
      <c r="B131" s="16">
        <f>H3!O46</f>
        <v/>
      </c>
      <c r="C131" s="16" t="n">
        <v>0.260674343608445</v>
      </c>
      <c r="D131" s="16">
        <f>B131-C131</f>
        <v/>
      </c>
      <c r="E131" s="16" t="n">
        <v>1e-06</v>
      </c>
      <c r="F131">
        <f>IF(ABS(D131)&lt;=E131,"OK","CHECK")</f>
        <v/>
      </c>
    </row>
    <row r="132">
      <c r="A132" t="inlineStr">
        <is>
          <t>r Commercial_1: ci_low</t>
        </is>
      </c>
      <c r="B132" s="16">
        <f>H3!O47</f>
        <v/>
      </c>
      <c r="C132" s="16" t="n">
        <v>-0.1287543340654476</v>
      </c>
      <c r="D132" s="16">
        <f>B132-C132</f>
        <v/>
      </c>
      <c r="E132" s="16" t="n">
        <v>1e-06</v>
      </c>
      <c r="F132">
        <f>IF(ABS(D132)&lt;=E132,"OK","CHECK")</f>
        <v/>
      </c>
    </row>
    <row r="133">
      <c r="A133" t="inlineStr">
        <is>
          <t>r Commercial_1: ci_high</t>
        </is>
      </c>
      <c r="B133" s="16">
        <f>H3!O48</f>
        <v/>
      </c>
      <c r="C133" s="16" t="n">
        <v>0.4425400409411409</v>
      </c>
      <c r="D133" s="16">
        <f>B133-C133</f>
        <v/>
      </c>
      <c r="E133" s="16" t="n">
        <v>1e-06</v>
      </c>
      <c r="F133">
        <f>IF(ABS(D133)&lt;=E133,"OK","CHECK")</f>
        <v/>
      </c>
    </row>
    <row r="134">
      <c r="A134" t="inlineStr">
        <is>
          <t>r Commercial_2: estimate</t>
        </is>
      </c>
      <c r="B134" s="16">
        <f>H3!O54</f>
        <v/>
      </c>
      <c r="C134" s="16" t="n">
        <v>0.2927081750337289</v>
      </c>
      <c r="D134" s="16">
        <f>B134-C134</f>
        <v/>
      </c>
      <c r="E134" s="16" t="n">
        <v>1e-06</v>
      </c>
      <c r="F134">
        <f>IF(ABS(D134)&lt;=E134,"OK","CHECK")</f>
        <v/>
      </c>
    </row>
    <row r="135">
      <c r="A135" t="inlineStr">
        <is>
          <t>r Commercial_2: statistic</t>
        </is>
      </c>
      <c r="B135" s="16">
        <f>H3!O55</f>
        <v/>
      </c>
      <c r="C135" s="16" t="n">
        <v>2.007333409450815</v>
      </c>
      <c r="D135" s="16">
        <f>B135-C135</f>
        <v/>
      </c>
      <c r="E135" s="16" t="n">
        <v>0.0001</v>
      </c>
      <c r="F135">
        <f>IF(ABS(D135)&lt;=E135,"OK","CHECK")</f>
        <v/>
      </c>
    </row>
    <row r="136">
      <c r="A136" t="inlineStr">
        <is>
          <t>r Commercial_2: p</t>
        </is>
      </c>
      <c r="B136" s="16">
        <f>H3!O56</f>
        <v/>
      </c>
      <c r="C136" s="16" t="n">
        <v>0.05102565205046433</v>
      </c>
      <c r="D136" s="16">
        <f>B136-C136</f>
        <v/>
      </c>
      <c r="E136" s="16" t="n">
        <v>1e-06</v>
      </c>
      <c r="F136">
        <f>IF(ABS(D136)&lt;=E136,"OK","CHECK")</f>
        <v/>
      </c>
    </row>
    <row r="137">
      <c r="A137" t="inlineStr">
        <is>
          <t>r Commercial_2: ci_low</t>
        </is>
      </c>
      <c r="B137" s="16">
        <f>H3!O57</f>
        <v/>
      </c>
      <c r="C137" s="16" t="n">
        <v>-0.000903352684242758</v>
      </c>
      <c r="D137" s="16">
        <f>B137-C137</f>
        <v/>
      </c>
      <c r="E137" s="16" t="n">
        <v>1e-06</v>
      </c>
      <c r="F137">
        <f>IF(ABS(D137)&lt;=E137,"OK","CHECK")</f>
        <v/>
      </c>
    </row>
    <row r="138">
      <c r="A138" t="inlineStr">
        <is>
          <t>r Commercial_2: ci_high</t>
        </is>
      </c>
      <c r="B138" s="16">
        <f>H3!O58</f>
        <v/>
      </c>
      <c r="C138" s="16" t="n">
        <v>0.5398576396129967</v>
      </c>
      <c r="D138" s="16">
        <f>B138-C138</f>
        <v/>
      </c>
      <c r="E138" s="16" t="n">
        <v>1e-06</v>
      </c>
      <c r="F138">
        <f>IF(ABS(D138)&lt;=E138,"OK","CHECK")</f>
        <v/>
      </c>
    </row>
    <row r="139">
      <c r="A139" t="inlineStr">
        <is>
          <t>Summary Baseline_1 A: n</t>
        </is>
      </c>
      <c r="B139" s="16">
        <f>Summary!C5</f>
        <v/>
      </c>
      <c r="C139" s="16" t="n">
        <v>22</v>
      </c>
      <c r="D139" s="16">
        <f>B139-C139</f>
        <v/>
      </c>
      <c r="E139" s="16" t="n">
        <v>1e-09</v>
      </c>
      <c r="F139">
        <f>IF(ABS(D139)&lt;=E139,"OK","CHECK")</f>
        <v/>
      </c>
    </row>
    <row r="140">
      <c r="A140" t="inlineStr">
        <is>
          <t>Summary Baseline_1 A: mean</t>
        </is>
      </c>
      <c r="B140" s="16">
        <f>Summary!D5</f>
        <v/>
      </c>
      <c r="C140" s="16" t="n">
        <v>-0.08132727272727272</v>
      </c>
      <c r="D140" s="16">
        <f>B140-C140</f>
        <v/>
      </c>
      <c r="E140" s="16" t="n">
        <v>1e-06</v>
      </c>
      <c r="F140">
        <f>IF(ABS(D140)&lt;=E140,"OK","CHECK")</f>
        <v/>
      </c>
    </row>
    <row r="141">
      <c r="A141" t="inlineStr">
        <is>
          <t>Summary Baseline_1 A: SD</t>
        </is>
      </c>
      <c r="B141" s="16">
        <f>Summary!E5</f>
        <v/>
      </c>
      <c r="C141" s="16" t="n">
        <v>0.09921912825284956</v>
      </c>
      <c r="D141" s="16">
        <f>B141-C141</f>
        <v/>
      </c>
      <c r="E141" s="16" t="n">
        <v>1e-06</v>
      </c>
      <c r="F141">
        <f>IF(ABS(D141)&lt;=E141,"OK","CHECK")</f>
        <v/>
      </c>
    </row>
    <row r="142">
      <c r="A142" t="inlineStr">
        <is>
          <t>Summary Baseline_1 B: n</t>
        </is>
      </c>
      <c r="B142" s="16">
        <f>Summary!C6</f>
        <v/>
      </c>
      <c r="C142" s="16" t="n">
        <v>23</v>
      </c>
      <c r="D142" s="16">
        <f>B142-C142</f>
        <v/>
      </c>
      <c r="E142" s="16" t="n">
        <v>1e-09</v>
      </c>
      <c r="F142">
        <f>IF(ABS(D142)&lt;=E142,"OK","CHECK")</f>
        <v/>
      </c>
    </row>
    <row r="143">
      <c r="A143" t="inlineStr">
        <is>
          <t>Summary Baseline_1 B: mean</t>
        </is>
      </c>
      <c r="B143" s="16">
        <f>Summary!D6</f>
        <v/>
      </c>
      <c r="C143" s="16" t="n">
        <v>-0.02316521739130435</v>
      </c>
      <c r="D143" s="16">
        <f>B143-C143</f>
        <v/>
      </c>
      <c r="E143" s="16" t="n">
        <v>1e-06</v>
      </c>
      <c r="F143">
        <f>IF(ABS(D143)&lt;=E143,"OK","CHECK")</f>
        <v/>
      </c>
    </row>
    <row r="144">
      <c r="A144" t="inlineStr">
        <is>
          <t>Summary Baseline_1 B: SD</t>
        </is>
      </c>
      <c r="B144" s="16">
        <f>Summary!E6</f>
        <v/>
      </c>
      <c r="C144" s="16" t="n">
        <v>0.150952306160515</v>
      </c>
      <c r="D144" s="16">
        <f>B144-C144</f>
        <v/>
      </c>
      <c r="E144" s="16" t="n">
        <v>1e-06</v>
      </c>
      <c r="F144">
        <f>IF(ABS(D144)&lt;=E144,"OK","CHECK")</f>
        <v/>
      </c>
    </row>
    <row r="145">
      <c r="A145" t="inlineStr">
        <is>
          <t>Summary Baseline_1 All: n</t>
        </is>
      </c>
      <c r="B145" s="16">
        <f>Summary!C7</f>
        <v/>
      </c>
      <c r="C145" s="16" t="n">
        <v>45</v>
      </c>
      <c r="D145" s="16">
        <f>B145-C145</f>
        <v/>
      </c>
      <c r="E145" s="16" t="n">
        <v>1e-09</v>
      </c>
      <c r="F145">
        <f>IF(ABS(D145)&lt;=E145,"OK","CHECK")</f>
        <v/>
      </c>
    </row>
    <row r="146">
      <c r="A146" t="inlineStr">
        <is>
          <t>Summary Baseline_1 All: mean</t>
        </is>
      </c>
      <c r="B146" s="16">
        <f>Summary!D7</f>
        <v/>
      </c>
      <c r="C146" s="16" t="n">
        <v>-0.0516</v>
      </c>
      <c r="D146" s="16">
        <f>B146-C146</f>
        <v/>
      </c>
      <c r="E146" s="16" t="n">
        <v>1e-06</v>
      </c>
      <c r="F146">
        <f>IF(ABS(D146)&lt;=E146,"OK","CHECK")</f>
        <v/>
      </c>
    </row>
    <row r="147">
      <c r="A147" t="inlineStr">
        <is>
          <t>Summary Baseline_1 All: SD</t>
        </is>
      </c>
      <c r="B147" s="16">
        <f>Summary!E7</f>
        <v/>
      </c>
      <c r="C147" s="16" t="n">
        <v>0.1302162798787254</v>
      </c>
      <c r="D147" s="16">
        <f>B147-C147</f>
        <v/>
      </c>
      <c r="E147" s="16" t="n">
        <v>1e-06</v>
      </c>
      <c r="F147">
        <f>IF(ABS(D147)&lt;=E147,"OK","CHECK")</f>
        <v/>
      </c>
    </row>
    <row r="148">
      <c r="A148" t="inlineStr">
        <is>
          <t>Summary Baseline_2 A: n</t>
        </is>
      </c>
      <c r="B148" s="16">
        <f>Summary!C8</f>
        <v/>
      </c>
      <c r="C148" s="16" t="n">
        <v>22</v>
      </c>
      <c r="D148" s="16">
        <f>B148-C148</f>
        <v/>
      </c>
      <c r="E148" s="16" t="n">
        <v>1e-09</v>
      </c>
      <c r="F148">
        <f>IF(ABS(D148)&lt;=E148,"OK","CHECK")</f>
        <v/>
      </c>
    </row>
    <row r="149">
      <c r="A149" t="inlineStr">
        <is>
          <t>Summary Baseline_2 A: mean</t>
        </is>
      </c>
      <c r="B149" s="16">
        <f>Summary!D8</f>
        <v/>
      </c>
      <c r="C149" s="16" t="n">
        <v>-0.08988181818181819</v>
      </c>
      <c r="D149" s="16">
        <f>B149-C149</f>
        <v/>
      </c>
      <c r="E149" s="16" t="n">
        <v>1e-06</v>
      </c>
      <c r="F149">
        <f>IF(ABS(D149)&lt;=E149,"OK","CHECK")</f>
        <v/>
      </c>
    </row>
    <row r="150">
      <c r="A150" t="inlineStr">
        <is>
          <t>Summary Baseline_2 A: SD</t>
        </is>
      </c>
      <c r="B150" s="16">
        <f>Summary!E8</f>
        <v/>
      </c>
      <c r="C150" s="16" t="n">
        <v>0.1107761605622697</v>
      </c>
      <c r="D150" s="16">
        <f>B150-C150</f>
        <v/>
      </c>
      <c r="E150" s="16" t="n">
        <v>1e-06</v>
      </c>
      <c r="F150">
        <f>IF(ABS(D150)&lt;=E150,"OK","CHECK")</f>
        <v/>
      </c>
    </row>
    <row r="151">
      <c r="A151" t="inlineStr">
        <is>
          <t>Summary Baseline_2 B: n</t>
        </is>
      </c>
      <c r="B151" s="16">
        <f>Summary!C9</f>
        <v/>
      </c>
      <c r="C151" s="16" t="n">
        <v>23</v>
      </c>
      <c r="D151" s="16">
        <f>B151-C151</f>
        <v/>
      </c>
      <c r="E151" s="16" t="n">
        <v>1e-09</v>
      </c>
      <c r="F151">
        <f>IF(ABS(D151)&lt;=E151,"OK","CHECK")</f>
        <v/>
      </c>
    </row>
    <row r="152">
      <c r="A152" t="inlineStr">
        <is>
          <t>Summary Baseline_2 B: mean</t>
        </is>
      </c>
      <c r="B152" s="16">
        <f>Summary!D9</f>
        <v/>
      </c>
      <c r="C152" s="16" t="n">
        <v>-0.01973478260869565</v>
      </c>
      <c r="D152" s="16">
        <f>B152-C152</f>
        <v/>
      </c>
      <c r="E152" s="16" t="n">
        <v>1e-06</v>
      </c>
      <c r="F152">
        <f>IF(ABS(D152)&lt;=E152,"OK","CHECK")</f>
        <v/>
      </c>
    </row>
    <row r="153">
      <c r="A153" t="inlineStr">
        <is>
          <t>Summary Baseline_2 B: SD</t>
        </is>
      </c>
      <c r="B153" s="16">
        <f>Summary!E9</f>
        <v/>
      </c>
      <c r="C153" s="16" t="n">
        <v>0.1356099607788845</v>
      </c>
      <c r="D153" s="16">
        <f>B153-C153</f>
        <v/>
      </c>
      <c r="E153" s="16" t="n">
        <v>1e-06</v>
      </c>
      <c r="F153">
        <f>IF(ABS(D153)&lt;=E153,"OK","CHECK")</f>
        <v/>
      </c>
    </row>
    <row r="154">
      <c r="A154" t="inlineStr">
        <is>
          <t>Summary Baseline_2 All: n</t>
        </is>
      </c>
      <c r="B154" s="16">
        <f>Summary!C10</f>
        <v/>
      </c>
      <c r="C154" s="16" t="n">
        <v>45</v>
      </c>
      <c r="D154" s="16">
        <f>B154-C154</f>
        <v/>
      </c>
      <c r="E154" s="16" t="n">
        <v>1e-09</v>
      </c>
      <c r="F154">
        <f>IF(ABS(D154)&lt;=E154,"OK","CHECK")</f>
        <v/>
      </c>
    </row>
    <row r="155">
      <c r="A155" t="inlineStr">
        <is>
          <t>Summary Baseline_2 All: mean</t>
        </is>
      </c>
      <c r="B155" s="16">
        <f>Summary!D10</f>
        <v/>
      </c>
      <c r="C155" s="16" t="n">
        <v>-0.05402888888888889</v>
      </c>
      <c r="D155" s="16">
        <f>B155-C155</f>
        <v/>
      </c>
      <c r="E155" s="16" t="n">
        <v>1e-06</v>
      </c>
      <c r="F155">
        <f>IF(ABS(D155)&lt;=E155,"OK","CHECK")</f>
        <v/>
      </c>
    </row>
    <row r="156">
      <c r="A156" t="inlineStr">
        <is>
          <t>Summary Baseline_2 All: SD</t>
        </is>
      </c>
      <c r="B156" s="16">
        <f>Summary!E10</f>
        <v/>
      </c>
      <c r="C156" s="16" t="n">
        <v>0.1277078833300688</v>
      </c>
      <c r="D156" s="16">
        <f>B156-C156</f>
        <v/>
      </c>
      <c r="E156" s="16" t="n">
        <v>1e-06</v>
      </c>
      <c r="F156">
        <f>IF(ABS(D156)&lt;=E156,"OK","CHECK")</f>
        <v/>
      </c>
    </row>
    <row r="157">
      <c r="A157" t="inlineStr">
        <is>
          <t>Summary C1 A: n</t>
        </is>
      </c>
      <c r="B157" s="16">
        <f>Summary!C11</f>
        <v/>
      </c>
      <c r="C157" s="16" t="n">
        <v>22</v>
      </c>
      <c r="D157" s="16">
        <f>B157-C157</f>
        <v/>
      </c>
      <c r="E157" s="16" t="n">
        <v>1e-09</v>
      </c>
      <c r="F157">
        <f>IF(ABS(D157)&lt;=E157,"OK","CHECK")</f>
        <v/>
      </c>
    </row>
    <row r="158">
      <c r="A158" t="inlineStr">
        <is>
          <t>Summary C1 A: mean</t>
        </is>
      </c>
      <c r="B158" s="16">
        <f>Summary!D11</f>
        <v/>
      </c>
      <c r="C158" s="16" t="n">
        <v>-0.1061136363636364</v>
      </c>
      <c r="D158" s="16">
        <f>B158-C158</f>
        <v/>
      </c>
      <c r="E158" s="16" t="n">
        <v>1e-06</v>
      </c>
      <c r="F158">
        <f>IF(ABS(D158)&lt;=E158,"OK","CHECK")</f>
        <v/>
      </c>
    </row>
    <row r="159">
      <c r="A159" t="inlineStr">
        <is>
          <t>Summary C1 A: SD</t>
        </is>
      </c>
      <c r="B159" s="16">
        <f>Summary!E11</f>
        <v/>
      </c>
      <c r="C159" s="16" t="n">
        <v>0.1209476679255263</v>
      </c>
      <c r="D159" s="16">
        <f>B159-C159</f>
        <v/>
      </c>
      <c r="E159" s="16" t="n">
        <v>1e-06</v>
      </c>
      <c r="F159">
        <f>IF(ABS(D159)&lt;=E159,"OK","CHECK")</f>
        <v/>
      </c>
    </row>
    <row r="160">
      <c r="A160" t="inlineStr">
        <is>
          <t>Summary C1 B: n</t>
        </is>
      </c>
      <c r="B160" s="16">
        <f>Summary!C12</f>
        <v/>
      </c>
      <c r="C160" s="16" t="n">
        <v>23</v>
      </c>
      <c r="D160" s="16">
        <f>B160-C160</f>
        <v/>
      </c>
      <c r="E160" s="16" t="n">
        <v>1e-09</v>
      </c>
      <c r="F160">
        <f>IF(ABS(D160)&lt;=E160,"OK","CHECK")</f>
        <v/>
      </c>
    </row>
    <row r="161">
      <c r="A161" t="inlineStr">
        <is>
          <t>Summary C1 B: mean</t>
        </is>
      </c>
      <c r="B161" s="16">
        <f>Summary!D12</f>
        <v/>
      </c>
      <c r="C161" s="16" t="n">
        <v>-0.06498260869565217</v>
      </c>
      <c r="D161" s="16">
        <f>B161-C161</f>
        <v/>
      </c>
      <c r="E161" s="16" t="n">
        <v>1e-06</v>
      </c>
      <c r="F161">
        <f>IF(ABS(D161)&lt;=E161,"OK","CHECK")</f>
        <v/>
      </c>
    </row>
    <row r="162">
      <c r="A162" t="inlineStr">
        <is>
          <t>Summary C1 B: SD</t>
        </is>
      </c>
      <c r="B162" s="16">
        <f>Summary!E12</f>
        <v/>
      </c>
      <c r="C162" s="16" t="n">
        <v>0.1397209838218945</v>
      </c>
      <c r="D162" s="16">
        <f>B162-C162</f>
        <v/>
      </c>
      <c r="E162" s="16" t="n">
        <v>1e-06</v>
      </c>
      <c r="F162">
        <f>IF(ABS(D162)&lt;=E162,"OK","CHECK")</f>
        <v/>
      </c>
    </row>
    <row r="163">
      <c r="A163" t="inlineStr">
        <is>
          <t>Summary C1 All: n</t>
        </is>
      </c>
      <c r="B163" s="16">
        <f>Summary!C13</f>
        <v/>
      </c>
      <c r="C163" s="16" t="n">
        <v>45</v>
      </c>
      <c r="D163" s="16">
        <f>B163-C163</f>
        <v/>
      </c>
      <c r="E163" s="16" t="n">
        <v>1e-09</v>
      </c>
      <c r="F163">
        <f>IF(ABS(D163)&lt;=E163,"OK","CHECK")</f>
        <v/>
      </c>
    </row>
    <row r="164">
      <c r="A164" t="inlineStr">
        <is>
          <t>Summary C1 All: mean</t>
        </is>
      </c>
      <c r="B164" s="16">
        <f>Summary!D13</f>
        <v/>
      </c>
      <c r="C164" s="16" t="n">
        <v>-0.08509111111111112</v>
      </c>
      <c r="D164" s="16">
        <f>B164-C164</f>
        <v/>
      </c>
      <c r="E164" s="16" t="n">
        <v>1e-06</v>
      </c>
      <c r="F164">
        <f>IF(ABS(D164)&lt;=E164,"OK","CHECK")</f>
        <v/>
      </c>
    </row>
    <row r="165">
      <c r="A165" t="inlineStr">
        <is>
          <t>Summary C1 All: SD</t>
        </is>
      </c>
      <c r="B165" s="16">
        <f>Summary!E13</f>
        <v/>
      </c>
      <c r="C165" s="16" t="n">
        <v>0.1310535106224349</v>
      </c>
      <c r="D165" s="16">
        <f>B165-C165</f>
        <v/>
      </c>
      <c r="E165" s="16" t="n">
        <v>1e-06</v>
      </c>
      <c r="F165">
        <f>IF(ABS(D165)&lt;=E165,"OK","CHECK")</f>
        <v/>
      </c>
    </row>
    <row r="166">
      <c r="A166" t="inlineStr">
        <is>
          <t>Summary C2 A: n</t>
        </is>
      </c>
      <c r="B166" s="16">
        <f>Summary!C14</f>
        <v/>
      </c>
      <c r="C166" s="16" t="n">
        <v>22</v>
      </c>
      <c r="D166" s="16">
        <f>B166-C166</f>
        <v/>
      </c>
      <c r="E166" s="16" t="n">
        <v>1e-09</v>
      </c>
      <c r="F166">
        <f>IF(ABS(D166)&lt;=E166,"OK","CHECK")</f>
        <v/>
      </c>
    </row>
    <row r="167">
      <c r="A167" t="inlineStr">
        <is>
          <t>Summary C2 A: mean</t>
        </is>
      </c>
      <c r="B167" s="16">
        <f>Summary!D14</f>
        <v/>
      </c>
      <c r="C167" s="16" t="n">
        <v>-0.08826818181818182</v>
      </c>
      <c r="D167" s="16">
        <f>B167-C167</f>
        <v/>
      </c>
      <c r="E167" s="16" t="n">
        <v>1e-06</v>
      </c>
      <c r="F167">
        <f>IF(ABS(D167)&lt;=E167,"OK","CHECK")</f>
        <v/>
      </c>
    </row>
    <row r="168">
      <c r="A168" t="inlineStr">
        <is>
          <t>Summary C2 A: SD</t>
        </is>
      </c>
      <c r="B168" s="16">
        <f>Summary!E14</f>
        <v/>
      </c>
      <c r="C168" s="16" t="n">
        <v>0.1075599207811235</v>
      </c>
      <c r="D168" s="16">
        <f>B168-C168</f>
        <v/>
      </c>
      <c r="E168" s="16" t="n">
        <v>1e-06</v>
      </c>
      <c r="F168">
        <f>IF(ABS(D168)&lt;=E168,"OK","CHECK")</f>
        <v/>
      </c>
    </row>
    <row r="169">
      <c r="A169" t="inlineStr">
        <is>
          <t>Summary C2 B: n</t>
        </is>
      </c>
      <c r="B169" s="16">
        <f>Summary!C15</f>
        <v/>
      </c>
      <c r="C169" s="16" t="n">
        <v>23</v>
      </c>
      <c r="D169" s="16">
        <f>B169-C169</f>
        <v/>
      </c>
      <c r="E169" s="16" t="n">
        <v>1e-09</v>
      </c>
      <c r="F169">
        <f>IF(ABS(D169)&lt;=E169,"OK","CHECK")</f>
        <v/>
      </c>
    </row>
    <row r="170">
      <c r="A170" t="inlineStr">
        <is>
          <t>Summary C2 B: mean</t>
        </is>
      </c>
      <c r="B170" s="16">
        <f>Summary!D15</f>
        <v/>
      </c>
      <c r="C170" s="16" t="n">
        <v>-0.005260869565217392</v>
      </c>
      <c r="D170" s="16">
        <f>B170-C170</f>
        <v/>
      </c>
      <c r="E170" s="16" t="n">
        <v>1e-06</v>
      </c>
      <c r="F170">
        <f>IF(ABS(D170)&lt;=E170,"OK","CHECK")</f>
        <v/>
      </c>
    </row>
    <row r="171">
      <c r="A171" t="inlineStr">
        <is>
          <t>Summary C2 B: SD</t>
        </is>
      </c>
      <c r="B171" s="16">
        <f>Summary!E15</f>
        <v/>
      </c>
      <c r="C171" s="16" t="n">
        <v>0.1712317853329235</v>
      </c>
      <c r="D171" s="16">
        <f>B171-C171</f>
        <v/>
      </c>
      <c r="E171" s="16" t="n">
        <v>1e-06</v>
      </c>
      <c r="F171">
        <f>IF(ABS(D171)&lt;=E171,"OK","CHECK")</f>
        <v/>
      </c>
    </row>
    <row r="172">
      <c r="A172" t="inlineStr">
        <is>
          <t>Summary C2 All: n</t>
        </is>
      </c>
      <c r="B172" s="16">
        <f>Summary!C16</f>
        <v/>
      </c>
      <c r="C172" s="16" t="n">
        <v>45</v>
      </c>
      <c r="D172" s="16">
        <f>B172-C172</f>
        <v/>
      </c>
      <c r="E172" s="16" t="n">
        <v>1e-09</v>
      </c>
      <c r="F172">
        <f>IF(ABS(D172)&lt;=E172,"OK","CHECK")</f>
        <v/>
      </c>
    </row>
    <row r="173">
      <c r="A173" t="inlineStr">
        <is>
          <t>Summary C2 All: mean</t>
        </is>
      </c>
      <c r="B173" s="16">
        <f>Summary!D16</f>
        <v/>
      </c>
      <c r="C173" s="16" t="n">
        <v>-0.04584222222222222</v>
      </c>
      <c r="D173" s="16">
        <f>B173-C173</f>
        <v/>
      </c>
      <c r="E173" s="16" t="n">
        <v>1e-06</v>
      </c>
      <c r="F173">
        <f>IF(ABS(D173)&lt;=E173,"OK","CHECK")</f>
        <v/>
      </c>
    </row>
    <row r="174">
      <c r="A174" t="inlineStr">
        <is>
          <t>Summary C2 All: SD</t>
        </is>
      </c>
      <c r="B174" s="16">
        <f>Summary!E16</f>
        <v/>
      </c>
      <c r="C174" s="16" t="n">
        <v>0.1481304423455724</v>
      </c>
      <c r="D174" s="16">
        <f>B174-C174</f>
        <v/>
      </c>
      <c r="E174" s="16" t="n">
        <v>1e-06</v>
      </c>
      <c r="F174">
        <f>IF(ABS(D174)&lt;=E174,"OK","CHECK")</f>
        <v/>
      </c>
    </row>
    <row r="175">
      <c r="A175" t="inlineStr">
        <is>
          <t>Summary KeyScene A: n</t>
        </is>
      </c>
      <c r="B175" s="16">
        <f>Summary!C17</f>
        <v/>
      </c>
      <c r="C175" s="16" t="n">
        <v>22</v>
      </c>
      <c r="D175" s="16">
        <f>B175-C175</f>
        <v/>
      </c>
      <c r="E175" s="16" t="n">
        <v>1e-09</v>
      </c>
      <c r="F175">
        <f>IF(ABS(D175)&lt;=E175,"OK","CHECK")</f>
        <v/>
      </c>
    </row>
    <row r="176">
      <c r="A176" t="inlineStr">
        <is>
          <t>Summary KeyScene A: mean</t>
        </is>
      </c>
      <c r="B176" s="16">
        <f>Summary!D17</f>
        <v/>
      </c>
      <c r="C176" s="16" t="n">
        <v>0.007736363636363638</v>
      </c>
      <c r="D176" s="16">
        <f>B176-C176</f>
        <v/>
      </c>
      <c r="E176" s="16" t="n">
        <v>1e-06</v>
      </c>
      <c r="F176">
        <f>IF(ABS(D176)&lt;=E176,"OK","CHECK")</f>
        <v/>
      </c>
    </row>
    <row r="177">
      <c r="A177" t="inlineStr">
        <is>
          <t>Summary KeyScene A: SD</t>
        </is>
      </c>
      <c r="B177" s="16">
        <f>Summary!E17</f>
        <v/>
      </c>
      <c r="C177" s="16" t="n">
        <v>0.1565760869215699</v>
      </c>
      <c r="D177" s="16">
        <f>B177-C177</f>
        <v/>
      </c>
      <c r="E177" s="16" t="n">
        <v>1e-06</v>
      </c>
      <c r="F177">
        <f>IF(ABS(D177)&lt;=E177,"OK","CHECK")</f>
        <v/>
      </c>
    </row>
    <row r="178">
      <c r="A178" t="inlineStr">
        <is>
          <t>Summary EndScene_C1 A: n</t>
        </is>
      </c>
      <c r="B178" s="16">
        <f>Summary!C18</f>
        <v/>
      </c>
      <c r="C178" s="16" t="n">
        <v>22</v>
      </c>
      <c r="D178" s="16">
        <f>B178-C178</f>
        <v/>
      </c>
      <c r="E178" s="16" t="n">
        <v>1e-09</v>
      </c>
      <c r="F178">
        <f>IF(ABS(D178)&lt;=E178,"OK","CHECK")</f>
        <v/>
      </c>
    </row>
    <row r="179">
      <c r="A179" t="inlineStr">
        <is>
          <t>Summary EndScene_C1 A: mean</t>
        </is>
      </c>
      <c r="B179" s="16">
        <f>Summary!D18</f>
        <v/>
      </c>
      <c r="C179" s="16" t="n">
        <v>-0.05697272727272727</v>
      </c>
      <c r="D179" s="16">
        <f>B179-C179</f>
        <v/>
      </c>
      <c r="E179" s="16" t="n">
        <v>1e-06</v>
      </c>
      <c r="F179">
        <f>IF(ABS(D179)&lt;=E179,"OK","CHECK")</f>
        <v/>
      </c>
    </row>
    <row r="180">
      <c r="A180" t="inlineStr">
        <is>
          <t>Summary EndScene_C1 A: SD</t>
        </is>
      </c>
      <c r="B180" s="16">
        <f>Summary!E18</f>
        <v/>
      </c>
      <c r="C180" s="16" t="n">
        <v>0.1172653287038301</v>
      </c>
      <c r="D180" s="16">
        <f>B180-C180</f>
        <v/>
      </c>
      <c r="E180" s="16" t="n">
        <v>1e-06</v>
      </c>
      <c r="F180">
        <f>IF(ABS(D180)&lt;=E180,"OK","CHECK")</f>
        <v/>
      </c>
    </row>
    <row r="181">
      <c r="A181" t="inlineStr">
        <is>
          <t>Summary EndScene_C1 B: n</t>
        </is>
      </c>
      <c r="B181" s="16">
        <f>Summary!C19</f>
        <v/>
      </c>
      <c r="C181" s="16" t="n">
        <v>23</v>
      </c>
      <c r="D181" s="16">
        <f>B181-C181</f>
        <v/>
      </c>
      <c r="E181" s="16" t="n">
        <v>1e-09</v>
      </c>
      <c r="F181">
        <f>IF(ABS(D181)&lt;=E181,"OK","CHECK")</f>
        <v/>
      </c>
    </row>
    <row r="182">
      <c r="A182" t="inlineStr">
        <is>
          <t>Summary EndScene_C1 B: mean</t>
        </is>
      </c>
      <c r="B182" s="16">
        <f>Summary!D19</f>
        <v/>
      </c>
      <c r="C182" s="16" t="n">
        <v>-0.03608695652173913</v>
      </c>
      <c r="D182" s="16">
        <f>B182-C182</f>
        <v/>
      </c>
      <c r="E182" s="16" t="n">
        <v>1e-06</v>
      </c>
      <c r="F182">
        <f>IF(ABS(D182)&lt;=E182,"OK","CHECK")</f>
        <v/>
      </c>
    </row>
    <row r="183">
      <c r="A183" t="inlineStr">
        <is>
          <t>Summary EndScene_C1 B: SD</t>
        </is>
      </c>
      <c r="B183" s="16">
        <f>Summary!E19</f>
        <v/>
      </c>
      <c r="C183" s="16" t="n">
        <v>0.1597264659129584</v>
      </c>
      <c r="D183" s="16">
        <f>B183-C183</f>
        <v/>
      </c>
      <c r="E183" s="16" t="n">
        <v>1e-06</v>
      </c>
      <c r="F183">
        <f>IF(ABS(D183)&lt;=E183,"OK","CHECK")</f>
        <v/>
      </c>
    </row>
    <row r="184">
      <c r="A184" t="inlineStr">
        <is>
          <t>Summary EndScene_C1 All: n</t>
        </is>
      </c>
      <c r="B184" s="16">
        <f>Summary!C20</f>
        <v/>
      </c>
      <c r="C184" s="16" t="n">
        <v>45</v>
      </c>
      <c r="D184" s="16">
        <f>B184-C184</f>
        <v/>
      </c>
      <c r="E184" s="16" t="n">
        <v>1e-09</v>
      </c>
      <c r="F184">
        <f>IF(ABS(D184)&lt;=E184,"OK","CHECK")</f>
        <v/>
      </c>
    </row>
    <row r="185">
      <c r="A185" t="inlineStr">
        <is>
          <t>Summary EndScene_C1 All: mean</t>
        </is>
      </c>
      <c r="B185" s="16">
        <f>Summary!D20</f>
        <v/>
      </c>
      <c r="C185" s="16" t="n">
        <v>-0.04629777777777778</v>
      </c>
      <c r="D185" s="16">
        <f>B185-C185</f>
        <v/>
      </c>
      <c r="E185" s="16" t="n">
        <v>1e-06</v>
      </c>
      <c r="F185">
        <f>IF(ABS(D185)&lt;=E185,"OK","CHECK")</f>
        <v/>
      </c>
    </row>
    <row r="186">
      <c r="A186" t="inlineStr">
        <is>
          <t>Summary EndScene_C1 All: SD</t>
        </is>
      </c>
      <c r="B186" s="16">
        <f>Summary!E20</f>
        <v/>
      </c>
      <c r="C186" s="16" t="n">
        <v>0.1393944101671892</v>
      </c>
      <c r="D186" s="16">
        <f>B186-C186</f>
        <v/>
      </c>
      <c r="E186" s="16" t="n">
        <v>1e-06</v>
      </c>
      <c r="F186">
        <f>IF(ABS(D186)&lt;=E186,"OK","CHECK")</f>
        <v/>
      </c>
    </row>
    <row r="187">
      <c r="A187" t="inlineStr">
        <is>
          <t>Summary EndScene_C2 A: n</t>
        </is>
      </c>
      <c r="B187" s="16">
        <f>Summary!C21</f>
        <v/>
      </c>
      <c r="C187" s="16" t="n">
        <v>22</v>
      </c>
      <c r="D187" s="16">
        <f>B187-C187</f>
        <v/>
      </c>
      <c r="E187" s="16" t="n">
        <v>1e-09</v>
      </c>
      <c r="F187">
        <f>IF(ABS(D187)&lt;=E187,"OK","CHECK")</f>
        <v/>
      </c>
    </row>
    <row r="188">
      <c r="A188" t="inlineStr">
        <is>
          <t>Summary EndScene_C2 A: mean</t>
        </is>
      </c>
      <c r="B188" s="16">
        <f>Summary!D21</f>
        <v/>
      </c>
      <c r="C188" s="16" t="n">
        <v>-0.1036863636363636</v>
      </c>
      <c r="D188" s="16">
        <f>B188-C188</f>
        <v/>
      </c>
      <c r="E188" s="16" t="n">
        <v>1e-06</v>
      </c>
      <c r="F188">
        <f>IF(ABS(D188)&lt;=E188,"OK","CHECK")</f>
        <v/>
      </c>
    </row>
    <row r="189">
      <c r="A189" t="inlineStr">
        <is>
          <t>Summary EndScene_C2 A: SD</t>
        </is>
      </c>
      <c r="B189" s="16">
        <f>Summary!E21</f>
        <v/>
      </c>
      <c r="C189" s="16" t="n">
        <v>0.1132780704009661</v>
      </c>
      <c r="D189" s="16">
        <f>B189-C189</f>
        <v/>
      </c>
      <c r="E189" s="16" t="n">
        <v>1e-06</v>
      </c>
      <c r="F189">
        <f>IF(ABS(D189)&lt;=E189,"OK","CHECK")</f>
        <v/>
      </c>
    </row>
    <row r="190">
      <c r="A190" t="inlineStr">
        <is>
          <t>Summary EndScene_C2 B: n</t>
        </is>
      </c>
      <c r="B190" s="16">
        <f>Summary!C22</f>
        <v/>
      </c>
      <c r="C190" s="16" t="n">
        <v>23</v>
      </c>
      <c r="D190" s="16">
        <f>B190-C190</f>
        <v/>
      </c>
      <c r="E190" s="16" t="n">
        <v>1e-09</v>
      </c>
      <c r="F190">
        <f>IF(ABS(D190)&lt;=E190,"OK","CHECK")</f>
        <v/>
      </c>
    </row>
    <row r="191">
      <c r="A191" t="inlineStr">
        <is>
          <t>Summary EndScene_C2 B: mean</t>
        </is>
      </c>
      <c r="B191" s="16">
        <f>Summary!D22</f>
        <v/>
      </c>
      <c r="C191" s="16" t="n">
        <v>-0.00871304347826087</v>
      </c>
      <c r="D191" s="16">
        <f>B191-C191</f>
        <v/>
      </c>
      <c r="E191" s="16" t="n">
        <v>1e-06</v>
      </c>
      <c r="F191">
        <f>IF(ABS(D191)&lt;=E191,"OK","CHECK")</f>
        <v/>
      </c>
    </row>
    <row r="192">
      <c r="A192" t="inlineStr">
        <is>
          <t>Summary EndScene_C2 B: SD</t>
        </is>
      </c>
      <c r="B192" s="16">
        <f>Summary!E22</f>
        <v/>
      </c>
      <c r="C192" s="16" t="n">
        <v>0.1881266070407901</v>
      </c>
      <c r="D192" s="16">
        <f>B192-C192</f>
        <v/>
      </c>
      <c r="E192" s="16" t="n">
        <v>1e-06</v>
      </c>
      <c r="F192">
        <f>IF(ABS(D192)&lt;=E192,"OK","CHECK")</f>
        <v/>
      </c>
    </row>
    <row r="193">
      <c r="A193" t="inlineStr">
        <is>
          <t>Summary EndScene_C2 All: n</t>
        </is>
      </c>
      <c r="B193" s="16">
        <f>Summary!C23</f>
        <v/>
      </c>
      <c r="C193" s="16" t="n">
        <v>45</v>
      </c>
      <c r="D193" s="16">
        <f>B193-C193</f>
        <v/>
      </c>
      <c r="E193" s="16" t="n">
        <v>1e-09</v>
      </c>
      <c r="F193">
        <f>IF(ABS(D193)&lt;=E193,"OK","CHECK")</f>
        <v/>
      </c>
    </row>
    <row r="194">
      <c r="A194" t="inlineStr">
        <is>
          <t>Summary EndScene_C2 All: mean</t>
        </is>
      </c>
      <c r="B194" s="16">
        <f>Summary!D23</f>
        <v/>
      </c>
      <c r="C194" s="16" t="n">
        <v>-0.05514444444444445</v>
      </c>
      <c r="D194" s="16">
        <f>B194-C194</f>
        <v/>
      </c>
      <c r="E194" s="16" t="n">
        <v>1e-06</v>
      </c>
      <c r="F194">
        <f>IF(ABS(D194)&lt;=E194,"OK","CHECK")</f>
        <v/>
      </c>
    </row>
    <row r="195">
      <c r="A195" t="inlineStr">
        <is>
          <t>Summary EndScene_C2 All: SD</t>
        </is>
      </c>
      <c r="B195" s="16">
        <f>Summary!E23</f>
        <v/>
      </c>
      <c r="C195" s="16" t="n">
        <v>0.161633009617404</v>
      </c>
      <c r="D195" s="16">
        <f>B195-C195</f>
        <v/>
      </c>
      <c r="E195" s="16" t="n">
        <v>1e-06</v>
      </c>
      <c r="F195">
        <f>IF(ABS(D195)&lt;=E195,"OK","CHECK")</f>
        <v/>
      </c>
    </row>
    <row r="196">
      <c r="A196" t="inlineStr">
        <is>
          <t>Screening Respondents excluded (25 percent rule)</t>
        </is>
      </c>
      <c r="B196" s="16">
        <f>Screening!E54</f>
        <v/>
      </c>
      <c r="C196" s="16" t="n">
        <v>3</v>
      </c>
      <c r="D196" s="16">
        <f>B196-C196</f>
        <v/>
      </c>
      <c r="E196" s="16" t="n">
        <v>1e-09</v>
      </c>
      <c r="F196">
        <f>IF(ABS(D196)&lt;=E196,"OK","CHECK")</f>
        <v/>
      </c>
      <c r="G196" s="7" t="inlineStr">
        <is>
          <t>counted from the CSV files by this script</t>
        </is>
      </c>
    </row>
    <row r="197">
      <c r="A197" t="inlineStr">
        <is>
          <t>Screening Respondents excluded (15 percent rule)</t>
        </is>
      </c>
      <c r="B197" s="16">
        <f>Screening!E55</f>
        <v/>
      </c>
      <c r="C197" s="16" t="n">
        <v>7</v>
      </c>
      <c r="D197" s="16">
        <f>B197-C197</f>
        <v/>
      </c>
      <c r="E197" s="16" t="n">
        <v>1e-09</v>
      </c>
      <c r="F197">
        <f>IF(ABS(D197)&lt;=E197,"OK","CHECK")</f>
        <v/>
      </c>
      <c r="G197" s="7" t="inlineStr">
        <is>
          <t>counted from the CSV files by this script</t>
        </is>
      </c>
    </row>
    <row r="198">
      <c r="A198" t="inlineStr">
        <is>
          <t>Screening Kept, Version A (25 percent rule)</t>
        </is>
      </c>
      <c r="B198" s="16">
        <f>Screening!E56</f>
        <v/>
      </c>
      <c r="C198" s="16" t="n">
        <v>22</v>
      </c>
      <c r="D198" s="16">
        <f>B198-C198</f>
        <v/>
      </c>
      <c r="E198" s="16" t="n">
        <v>1e-09</v>
      </c>
      <c r="F198">
        <f>IF(ABS(D198)&lt;=E198,"OK","CHECK")</f>
        <v/>
      </c>
      <c r="G198" s="7" t="inlineStr">
        <is>
          <t>counted from the CSV files by this script</t>
        </is>
      </c>
    </row>
    <row r="199">
      <c r="A199" t="inlineStr">
        <is>
          <t>Screening Kept, Version B (25 percent rule)</t>
        </is>
      </c>
      <c r="B199" s="16">
        <f>Screening!E57</f>
        <v/>
      </c>
      <c r="C199" s="16" t="n">
        <v>23</v>
      </c>
      <c r="D199" s="16">
        <f>B199-C199</f>
        <v/>
      </c>
      <c r="E199" s="16" t="n">
        <v>1e-09</v>
      </c>
      <c r="F199">
        <f>IF(ABS(D199)&lt;=E199,"OK","CHECK")</f>
        <v/>
      </c>
      <c r="G199" s="7" t="inlineStr">
        <is>
          <t>counted from the CSV files by this script</t>
        </is>
      </c>
    </row>
    <row r="200">
      <c r="A200" t="inlineStr">
        <is>
          <t>Screening Kept, Version A (15 percent rule)</t>
        </is>
      </c>
      <c r="B200" s="16">
        <f>Screening!E58</f>
        <v/>
      </c>
      <c r="C200" s="16" t="n">
        <v>20</v>
      </c>
      <c r="D200" s="16">
        <f>B200-C200</f>
        <v/>
      </c>
      <c r="E200" s="16" t="n">
        <v>1e-09</v>
      </c>
      <c r="F200">
        <f>IF(ABS(D200)&lt;=E200,"OK","CHECK")</f>
        <v/>
      </c>
      <c r="G200" s="7" t="inlineStr">
        <is>
          <t>counted from the CSV files by this script</t>
        </is>
      </c>
    </row>
    <row r="201">
      <c r="A201" t="inlineStr">
        <is>
          <t>Screening Kept, Version B (15 percent rule)</t>
        </is>
      </c>
      <c r="B201" s="16">
        <f>Screening!E59</f>
        <v/>
      </c>
      <c r="C201" s="16" t="n">
        <v>21</v>
      </c>
      <c r="D201" s="16">
        <f>B201-C201</f>
        <v/>
      </c>
      <c r="E201" s="16" t="n">
        <v>1e-09</v>
      </c>
      <c r="F201">
        <f>IF(ABS(D201)&lt;=E201,"OK","CHECK")</f>
        <v/>
      </c>
      <c r="G201" s="7" t="inlineStr">
        <is>
          <t>counted from the CSV files by this script</t>
        </is>
      </c>
    </row>
    <row r="202">
      <c r="A202" t="inlineStr">
        <is>
          <t>Data rows with Keep = No (R: rows of the excluded respondents)</t>
        </is>
      </c>
      <c r="B202" s="16">
        <f>COUNTIF(Data!$P$2:$P$313,"No")</f>
        <v/>
      </c>
      <c r="C202" s="16" t="n">
        <v>20</v>
      </c>
      <c r="D202" s="16">
        <f>B202-C202</f>
        <v/>
      </c>
      <c r="E202" s="16" t="n">
        <v>1e-09</v>
      </c>
      <c r="F202">
        <f>IF(ABS(D202)&lt;=E202,"OK","CHECK")</f>
        <v/>
      </c>
    </row>
    <row r="203"/>
    <row r="204">
      <c r="A204" s="10" t="inlineStr">
        <is>
          <t>Rows with status CHECK</t>
        </is>
      </c>
      <c r="B204">
        <f>COUNTIF(F4:F202,"CHECK")</f>
        <v/>
      </c>
    </row>
    <row r="205">
      <c r="A205" s="7" t="inlineStr">
        <is>
          <t>Not reproducible in Excel: the Wilcoxon signed rank and Mann Whitney tests, the Shapiro Wilk tests, the exact noncentral t intervals, the mixed model with its Satterthwaite tests and ICC, the power analysis, the Spearman correlations, and the theta descriptives from the PSD export. See analysis_output.txt.</t>
        </is>
      </c>
    </row>
    <row r="206"/>
    <row r="207">
      <c r="A207" s="10" t="inlineStr">
        <is>
          <t>analysis.R: tests (SIMULATED_test_results.csv)</t>
        </is>
      </c>
    </row>
    <row r="208">
      <c r="A208" s="2" t="inlineStr">
        <is>
          <t>id</t>
        </is>
      </c>
      <c r="B208" s="2" t="inlineStr">
        <is>
          <t>test</t>
        </is>
      </c>
      <c r="C208" s="2" t="inlineStr">
        <is>
          <t>comparison</t>
        </is>
      </c>
      <c r="D208" s="2" t="inlineStr">
        <is>
          <t>n</t>
        </is>
      </c>
      <c r="E208" s="2" t="inlineStr">
        <is>
          <t>n1</t>
        </is>
      </c>
      <c r="F208" s="2" t="inlineStr">
        <is>
          <t>n2</t>
        </is>
      </c>
      <c r="G208" s="2" t="inlineStr">
        <is>
          <t>m1</t>
        </is>
      </c>
      <c r="H208" s="2" t="inlineStr">
        <is>
          <t>m2</t>
        </is>
      </c>
      <c r="I208" s="2" t="inlineStr">
        <is>
          <t>sd1</t>
        </is>
      </c>
      <c r="J208" s="2" t="inlineStr">
        <is>
          <t>sd2</t>
        </is>
      </c>
      <c r="K208" s="2" t="inlineStr">
        <is>
          <t>mean_diff</t>
        </is>
      </c>
      <c r="L208" s="2" t="inlineStr">
        <is>
          <t>sd_diff</t>
        </is>
      </c>
      <c r="M208" s="2" t="inlineStr">
        <is>
          <t>sd_pooled</t>
        </is>
      </c>
      <c r="N208" s="2" t="inlineStr">
        <is>
          <t>diff_ci_low</t>
        </is>
      </c>
      <c r="O208" s="2" t="inlineStr">
        <is>
          <t>diff_ci_high</t>
        </is>
      </c>
      <c r="P208" s="2" t="inlineStr">
        <is>
          <t>t</t>
        </is>
      </c>
      <c r="Q208" s="2" t="inlineStr">
        <is>
          <t>df</t>
        </is>
      </c>
      <c r="R208" s="2" t="inlineStr">
        <is>
          <t>p</t>
        </is>
      </c>
      <c r="S208" s="2" t="inlineStr">
        <is>
          <t>p_one_tailed</t>
        </is>
      </c>
      <c r="T208" s="2" t="inlineStr">
        <is>
          <t>es_type</t>
        </is>
      </c>
      <c r="U208" s="2" t="inlineStr">
        <is>
          <t>es</t>
        </is>
      </c>
      <c r="V208" s="2" t="inlineStr">
        <is>
          <t>es_ci_low</t>
        </is>
      </c>
      <c r="W208" s="2" t="inlineStr">
        <is>
          <t>es_ci_high</t>
        </is>
      </c>
      <c r="X208" s="2" t="inlineStr">
        <is>
          <t>es_ci_low_approx</t>
        </is>
      </c>
      <c r="Y208" s="2" t="inlineStr">
        <is>
          <t>es_ci_high_approx</t>
        </is>
      </c>
      <c r="Z208" s="2" t="inlineStr">
        <is>
          <t>g</t>
        </is>
      </c>
      <c r="AA208" s="2" t="inlineStr">
        <is>
          <t>g_ci_low</t>
        </is>
      </c>
      <c r="AB208" s="2" t="inlineStr">
        <is>
          <t>g_ci_high</t>
        </is>
      </c>
      <c r="AC208" s="2" t="inlineStr">
        <is>
          <t>g_ci_low_approx</t>
        </is>
      </c>
      <c r="AD208" s="2" t="inlineStr">
        <is>
          <t>g_ci_high_approx</t>
        </is>
      </c>
      <c r="AE208" s="2" t="inlineStr">
        <is>
          <t>nonparam_stat</t>
        </is>
      </c>
      <c r="AF208" s="2" t="inlineStr">
        <is>
          <t>nonparam_p</t>
        </is>
      </c>
      <c r="AG208" s="2" t="inlineStr">
        <is>
          <t>shapiro_p</t>
        </is>
      </c>
    </row>
    <row r="209">
      <c r="A209" t="inlineStr">
        <is>
          <t>H1</t>
        </is>
      </c>
      <c r="B209" t="inlineStr">
        <is>
          <t>one sample t on the change (paired)</t>
        </is>
      </c>
      <c r="C209" t="inlineStr">
        <is>
          <t>H1: KeyScene minus the baseline before Commercial_1A (Version A); m1 = baseline, m2 = KeyScene</t>
        </is>
      </c>
      <c r="D209" t="n">
        <v>22</v>
      </c>
      <c r="E209" t="inlineStr">
        <is>
          <t>NA</t>
        </is>
      </c>
      <c r="F209" t="inlineStr">
        <is>
          <t>NA</t>
        </is>
      </c>
      <c r="G209" t="n">
        <v>-0.08960909090909092</v>
      </c>
      <c r="H209" t="n">
        <v>0.007736363636363638</v>
      </c>
      <c r="I209" t="n">
        <v>0.1041208314049957</v>
      </c>
      <c r="J209" t="n">
        <v>0.1565760869215699</v>
      </c>
      <c r="K209" t="n">
        <v>0.09734545454545455</v>
      </c>
      <c r="L209" t="n">
        <v>0.1422776418110286</v>
      </c>
      <c r="M209" t="inlineStr">
        <is>
          <t>NA</t>
        </is>
      </c>
      <c r="N209" t="n">
        <v>0.03426308213833143</v>
      </c>
      <c r="O209" t="n">
        <v>0.1604278269525777</v>
      </c>
      <c r="P209" t="n">
        <v>3.209152529767209</v>
      </c>
      <c r="Q209" t="n">
        <v>21</v>
      </c>
      <c r="R209" t="n">
        <v>0.004213062150467291</v>
      </c>
      <c r="S209" t="n">
        <v>0.002106531075233646</v>
      </c>
      <c r="T209" t="inlineStr">
        <is>
          <t>d_z</t>
        </is>
      </c>
      <c r="U209" t="n">
        <v>0.6841936182407885</v>
      </c>
      <c r="V209" t="n">
        <v>0.2119148409052271</v>
      </c>
      <c r="W209" t="n">
        <v>1.143367771672794</v>
      </c>
      <c r="X209" t="n">
        <v>0.2199852677504411</v>
      </c>
      <c r="Y209" t="n">
        <v>1.148401968731136</v>
      </c>
      <c r="Z209" t="inlineStr">
        <is>
          <t>NA</t>
        </is>
      </c>
      <c r="AA209" t="inlineStr">
        <is>
          <t>NA</t>
        </is>
      </c>
      <c r="AB209" t="inlineStr">
        <is>
          <t>NA</t>
        </is>
      </c>
      <c r="AC209" t="inlineStr">
        <is>
          <t>NA</t>
        </is>
      </c>
      <c r="AD209" t="inlineStr">
        <is>
          <t>NA</t>
        </is>
      </c>
      <c r="AE209" t="n">
        <v>210</v>
      </c>
      <c r="AF209" t="n">
        <v>0.00704628208611533</v>
      </c>
      <c r="AG209" t="n">
        <v>0.8210062619664396</v>
      </c>
    </row>
    <row r="210">
      <c r="A210" t="inlineStr">
        <is>
          <t>H2</t>
        </is>
      </c>
      <c r="B210" t="inlineStr">
        <is>
          <t>Welch t (two groups)</t>
        </is>
      </c>
      <c r="C210" t="inlineStr">
        <is>
          <t>H2: EndScene_C1 change, Version A minus Version B (Welch); m1 = A, m2 = B</t>
        </is>
      </c>
      <c r="D210" t="n">
        <v>45</v>
      </c>
      <c r="E210" t="n">
        <v>22</v>
      </c>
      <c r="F210" t="n">
        <v>23</v>
      </c>
      <c r="G210" t="n">
        <v>0.03263636363636364</v>
      </c>
      <c r="H210" t="n">
        <v>-0.01221304347826087</v>
      </c>
      <c r="I210" t="n">
        <v>0.1237097237794013</v>
      </c>
      <c r="J210" t="n">
        <v>0.12254264305779</v>
      </c>
      <c r="K210" t="n">
        <v>0.04484940711462451</v>
      </c>
      <c r="L210" t="inlineStr">
        <is>
          <t>NA</t>
        </is>
      </c>
      <c r="M210" t="n">
        <v>0.1231139949156639</v>
      </c>
      <c r="N210" t="n">
        <v>-0.02921500679211994</v>
      </c>
      <c r="O210" t="n">
        <v>0.118913821021369</v>
      </c>
      <c r="P210" t="n">
        <v>1.221306529322069</v>
      </c>
      <c r="Q210" t="n">
        <v>42.87048296652131</v>
      </c>
      <c r="R210" t="n">
        <v>0.2286440354180218</v>
      </c>
      <c r="S210" t="n">
        <v>0.1143220177090109</v>
      </c>
      <c r="T210" t="inlineStr">
        <is>
          <t>d (pooled SD)</t>
        </is>
      </c>
      <c r="U210" t="n">
        <v>0.3642917049791735</v>
      </c>
      <c r="V210" t="n">
        <v>-0.2272977737641744</v>
      </c>
      <c r="W210" t="n">
        <v>0.9517267247308466</v>
      </c>
      <c r="X210" t="n">
        <v>-0.2250374518413714</v>
      </c>
      <c r="Y210" t="n">
        <v>0.9536208617997184</v>
      </c>
      <c r="Z210" t="n">
        <v>0.3579006224356792</v>
      </c>
      <c r="AA210" t="n">
        <v>-0.2233100935226977</v>
      </c>
      <c r="AB210" t="n">
        <v>0.9350297646478493</v>
      </c>
      <c r="AC210" t="n">
        <v>-0.2312613596632376</v>
      </c>
      <c r="AD210" t="n">
        <v>0.947062604534596</v>
      </c>
      <c r="AE210" t="n">
        <v>313</v>
      </c>
      <c r="AF210" t="n">
        <v>0.176697360440836</v>
      </c>
      <c r="AG210" t="n">
        <v>0.06142946377333704</v>
      </c>
    </row>
    <row r="211">
      <c r="A211" t="inlineStr">
        <is>
          <t>H3</t>
        </is>
      </c>
      <c r="B211" t="inlineStr">
        <is>
          <t>one sample t on the change (paired)</t>
        </is>
      </c>
      <c r="C211" t="inlineStr">
        <is>
          <t>H3: change Commercial_2 minus change Commercial_1 (paired); m1 = C1 change, m2 = C2 change</t>
        </is>
      </c>
      <c r="D211" t="n">
        <v>45</v>
      </c>
      <c r="E211" t="inlineStr">
        <is>
          <t>NA</t>
        </is>
      </c>
      <c r="F211" t="inlineStr">
        <is>
          <t>NA</t>
        </is>
      </c>
      <c r="G211" t="n">
        <v>-0.02908</v>
      </c>
      <c r="H211" t="n">
        <v>0.003775555555555554</v>
      </c>
      <c r="I211" t="n">
        <v>0.08131488066880389</v>
      </c>
      <c r="J211" t="n">
        <v>0.08502276474716948</v>
      </c>
      <c r="K211" t="n">
        <v>0.03285555555555555</v>
      </c>
      <c r="L211" t="n">
        <v>0.1115889016873899</v>
      </c>
      <c r="M211" t="inlineStr">
        <is>
          <t>NA</t>
        </is>
      </c>
      <c r="N211" t="n">
        <v>-0.0006694619292315106</v>
      </c>
      <c r="O211" t="n">
        <v>0.06638057304034262</v>
      </c>
      <c r="P211" t="n">
        <v>1.97512264794641</v>
      </c>
      <c r="Q211" t="n">
        <v>44</v>
      </c>
      <c r="R211" t="n">
        <v>0.05454871768279881</v>
      </c>
      <c r="S211" t="n">
        <v>0.02727435884139941</v>
      </c>
      <c r="T211" t="inlineStr">
        <is>
          <t>d_z</t>
        </is>
      </c>
      <c r="U211" t="n">
        <v>0.2944339003138373</v>
      </c>
      <c r="V211" t="n">
        <v>-0.005710165445040756</v>
      </c>
      <c r="W211" t="n">
        <v>0.5913772081768429</v>
      </c>
      <c r="X211" t="n">
        <v>-0.004010834590039591</v>
      </c>
      <c r="Y211" t="n">
        <v>0.5928786352177141</v>
      </c>
      <c r="Z211" t="inlineStr">
        <is>
          <t>NA</t>
        </is>
      </c>
      <c r="AA211" t="inlineStr">
        <is>
          <t>NA</t>
        </is>
      </c>
      <c r="AB211" t="inlineStr">
        <is>
          <t>NA</t>
        </is>
      </c>
      <c r="AC211" t="inlineStr">
        <is>
          <t>NA</t>
        </is>
      </c>
      <c r="AD211" t="inlineStr">
        <is>
          <t>NA</t>
        </is>
      </c>
      <c r="AE211" t="n">
        <v>703</v>
      </c>
      <c r="AF211" t="n">
        <v>0.03678006224752019</v>
      </c>
      <c r="AG211" t="n">
        <v>0.5579155928010242</v>
      </c>
    </row>
    <row r="212">
      <c r="A212" t="inlineStr">
        <is>
          <t>S15_H1</t>
        </is>
      </c>
      <c r="B212" t="inlineStr">
        <is>
          <t>one sample t on the change (paired)</t>
        </is>
      </c>
      <c r="C212" t="inlineStr">
        <is>
          <t>Sensitivity H1, 15 percent threshold</t>
        </is>
      </c>
      <c r="D212" t="n">
        <v>20</v>
      </c>
      <c r="E212" t="inlineStr">
        <is>
          <t>NA</t>
        </is>
      </c>
      <c r="F212" t="inlineStr">
        <is>
          <t>NA</t>
        </is>
      </c>
      <c r="G212" t="n">
        <v>-0.096355</v>
      </c>
      <c r="H212" t="n">
        <v>0.003675000000000001</v>
      </c>
      <c r="I212" t="n">
        <v>0.1069740867539523</v>
      </c>
      <c r="J212" t="n">
        <v>0.1618229405212604</v>
      </c>
      <c r="K212" t="n">
        <v>0.10003</v>
      </c>
      <c r="L212" t="n">
        <v>0.1474606070500829</v>
      </c>
      <c r="M212" t="inlineStr">
        <is>
          <t>NA</t>
        </is>
      </c>
      <c r="N212" t="n">
        <v>0.03101631152113444</v>
      </c>
      <c r="O212" t="n">
        <v>0.1690436884788656</v>
      </c>
      <c r="P212" t="n">
        <v>3.033676373152816</v>
      </c>
      <c r="Q212" t="n">
        <v>19</v>
      </c>
      <c r="R212" t="n">
        <v>0.00683216682951547</v>
      </c>
      <c r="S212" t="n">
        <v>0.003416083414757735</v>
      </c>
      <c r="T212" t="inlineStr">
        <is>
          <t>d_z</t>
        </is>
      </c>
      <c r="U212" t="n">
        <v>0.6783506592104714</v>
      </c>
      <c r="V212" t="n">
        <v>0.1833534246066552</v>
      </c>
      <c r="W212" t="n">
        <v>1.158971229484936</v>
      </c>
      <c r="X212" t="n">
        <v>0.1922706970618585</v>
      </c>
      <c r="Y212" t="n">
        <v>1.164430621359084</v>
      </c>
      <c r="Z212" t="inlineStr">
        <is>
          <t>NA</t>
        </is>
      </c>
      <c r="AA212" t="inlineStr">
        <is>
          <t>NA</t>
        </is>
      </c>
      <c r="AB212" t="inlineStr">
        <is>
          <t>NA</t>
        </is>
      </c>
      <c r="AC212" t="inlineStr">
        <is>
          <t>NA</t>
        </is>
      </c>
      <c r="AD212" t="inlineStr">
        <is>
          <t>NA</t>
        </is>
      </c>
      <c r="AE212" t="n">
        <v>174</v>
      </c>
      <c r="AF212" t="n">
        <v>0.01054918771234228</v>
      </c>
      <c r="AG212" t="n">
        <v>0.83573266788526</v>
      </c>
    </row>
    <row r="213">
      <c r="A213" t="inlineStr">
        <is>
          <t>S15_H2</t>
        </is>
      </c>
      <c r="B213" t="inlineStr">
        <is>
          <t>Welch t (two groups)</t>
        </is>
      </c>
      <c r="C213" t="inlineStr">
        <is>
          <t>Sensitivity H2, 15 percent threshold</t>
        </is>
      </c>
      <c r="D213" t="n">
        <v>41</v>
      </c>
      <c r="E213" t="n">
        <v>20</v>
      </c>
      <c r="F213" t="n">
        <v>21</v>
      </c>
      <c r="G213" t="n">
        <v>0.03578</v>
      </c>
      <c r="H213" t="n">
        <v>-0.004019047619047623</v>
      </c>
      <c r="I213" t="n">
        <v>0.1288747437589979</v>
      </c>
      <c r="J213" t="n">
        <v>0.1228182584921624</v>
      </c>
      <c r="K213" t="n">
        <v>0.03979904761904762</v>
      </c>
      <c r="L213" t="inlineStr">
        <is>
          <t>NA</t>
        </is>
      </c>
      <c r="M213" t="n">
        <v>0.1258052814085356</v>
      </c>
      <c r="N213" t="n">
        <v>-0.03982638916587937</v>
      </c>
      <c r="O213" t="n">
        <v>0.1194244844039746</v>
      </c>
      <c r="P213" t="n">
        <v>1.011309208323253</v>
      </c>
      <c r="Q213" t="n">
        <v>38.62843160721366</v>
      </c>
      <c r="R213" t="n">
        <v>0.3181614850555259</v>
      </c>
      <c r="S213" t="n">
        <v>0.1590807425277629</v>
      </c>
      <c r="T213" t="inlineStr">
        <is>
          <t>d (pooled SD)</t>
        </is>
      </c>
      <c r="U213" t="n">
        <v>0.3163543467607343</v>
      </c>
      <c r="V213" t="n">
        <v>-0.3019991887802876</v>
      </c>
      <c r="W213" t="n">
        <v>0.9307156189438632</v>
      </c>
      <c r="X213" t="n">
        <v>-0.2998452659388635</v>
      </c>
      <c r="Y213" t="n">
        <v>0.932553959460332</v>
      </c>
      <c r="Z213" t="n">
        <v>0.3102313594040749</v>
      </c>
      <c r="AA213" t="n">
        <v>-0.2961540431909917</v>
      </c>
      <c r="AB213" t="n">
        <v>0.9127017682546271</v>
      </c>
      <c r="AC213" t="n">
        <v>-0.3058223913089405</v>
      </c>
      <c r="AD213" t="n">
        <v>0.9262851101170902</v>
      </c>
      <c r="AE213" t="n">
        <v>255</v>
      </c>
      <c r="AF213" t="n">
        <v>0.2457841892699286</v>
      </c>
      <c r="AG213" t="n">
        <v>0.06958156568573302</v>
      </c>
    </row>
    <row r="214">
      <c r="A214" t="inlineStr">
        <is>
          <t>RAW_H1</t>
        </is>
      </c>
      <c r="B214" t="inlineStr">
        <is>
          <t>one sample t against zero</t>
        </is>
      </c>
      <c r="C214" t="inlineStr">
        <is>
          <t>Sensitivity H1 without baseline correction (raw KeyScene FA against 0)</t>
        </is>
      </c>
      <c r="D214" t="n">
        <v>22</v>
      </c>
      <c r="E214" t="inlineStr">
        <is>
          <t>NA</t>
        </is>
      </c>
      <c r="F214" t="inlineStr">
        <is>
          <t>NA</t>
        </is>
      </c>
      <c r="G214" t="inlineStr">
        <is>
          <t>NA</t>
        </is>
      </c>
      <c r="H214" t="n">
        <v>0.007736363636363638</v>
      </c>
      <c r="I214" t="inlineStr">
        <is>
          <t>NA</t>
        </is>
      </c>
      <c r="J214" t="n">
        <v>0.1565760869215699</v>
      </c>
      <c r="K214" t="n">
        <v>0.007736363636363638</v>
      </c>
      <c r="L214" t="n">
        <v>0.1565760869215699</v>
      </c>
      <c r="M214" t="inlineStr">
        <is>
          <t>NA</t>
        </is>
      </c>
      <c r="N214" t="n">
        <v>-0.06168558417997218</v>
      </c>
      <c r="O214" t="n">
        <v>0.07715831145269947</v>
      </c>
      <c r="P214" t="n">
        <v>0.2317516208072131</v>
      </c>
      <c r="Q214" t="n">
        <v>21</v>
      </c>
      <c r="R214" t="n">
        <v>0.8189742901064235</v>
      </c>
      <c r="S214" t="n">
        <v>0.4094871450532118</v>
      </c>
      <c r="T214" t="inlineStr">
        <is>
          <t>d (one sample)</t>
        </is>
      </c>
      <c r="U214" t="n">
        <v>0.04940961157267164</v>
      </c>
      <c r="V214" t="n">
        <v>-0.3693037400636226</v>
      </c>
      <c r="W214" t="n">
        <v>0.4669553954721687</v>
      </c>
      <c r="X214" t="n">
        <v>-0.3687187543032787</v>
      </c>
      <c r="Y214" t="n">
        <v>0.467537977448622</v>
      </c>
      <c r="Z214" t="inlineStr">
        <is>
          <t>NA</t>
        </is>
      </c>
      <c r="AA214" t="inlineStr">
        <is>
          <t>NA</t>
        </is>
      </c>
      <c r="AB214" t="inlineStr">
        <is>
          <t>NA</t>
        </is>
      </c>
      <c r="AC214" t="inlineStr">
        <is>
          <t>NA</t>
        </is>
      </c>
      <c r="AD214" t="inlineStr">
        <is>
          <t>NA</t>
        </is>
      </c>
      <c r="AE214" t="n">
        <v>147</v>
      </c>
      <c r="AF214" t="n">
        <v>0.5161360816297076</v>
      </c>
      <c r="AG214" t="n">
        <v>0.174133268330449</v>
      </c>
    </row>
    <row r="215">
      <c r="A215" t="inlineStr">
        <is>
          <t>RAW_H2</t>
        </is>
      </c>
      <c r="B215" t="inlineStr">
        <is>
          <t>Welch t (two groups)</t>
        </is>
      </c>
      <c r="C215" t="inlineStr">
        <is>
          <t>Sensitivity H2 without baseline correction (raw EndScene_C1 FA)</t>
        </is>
      </c>
      <c r="D215" t="n">
        <v>45</v>
      </c>
      <c r="E215" t="n">
        <v>22</v>
      </c>
      <c r="F215" t="n">
        <v>23</v>
      </c>
      <c r="G215" t="n">
        <v>-0.05697272727272727</v>
      </c>
      <c r="H215" t="n">
        <v>-0.03608695652173913</v>
      </c>
      <c r="I215" t="n">
        <v>0.1172653287038301</v>
      </c>
      <c r="J215" t="n">
        <v>0.1597264659129584</v>
      </c>
      <c r="K215" t="n">
        <v>-0.02088577075098814</v>
      </c>
      <c r="L215" t="inlineStr">
        <is>
          <t>NA</t>
        </is>
      </c>
      <c r="M215" t="n">
        <v>0.1406008923293097</v>
      </c>
      <c r="N215" t="n">
        <v>-0.1050300768639601</v>
      </c>
      <c r="O215" t="n">
        <v>0.06325853536198379</v>
      </c>
      <c r="P215" t="n">
        <v>-0.5015210780653155</v>
      </c>
      <c r="Q215" t="n">
        <v>40.35531096746092</v>
      </c>
      <c r="R215" t="n">
        <v>0.6187295704557287</v>
      </c>
      <c r="S215" t="n">
        <v>0.6906352147721356</v>
      </c>
      <c r="T215" t="inlineStr">
        <is>
          <t>d (pooled SD)</t>
        </is>
      </c>
      <c r="U215" t="n">
        <v>-0.1485465021236873</v>
      </c>
      <c r="V215" t="n">
        <v>-0.7330181150333115</v>
      </c>
      <c r="W215" t="n">
        <v>0.4376424966312187</v>
      </c>
      <c r="X215" t="n">
        <v>-0.7338550928922229</v>
      </c>
      <c r="Y215" t="n">
        <v>0.4367620886448482</v>
      </c>
      <c r="Z215" t="n">
        <v>-0.1459404231390612</v>
      </c>
      <c r="AA215" t="n">
        <v>-0.7201581481029025</v>
      </c>
      <c r="AB215" t="n">
        <v>0.4299645580938289</v>
      </c>
      <c r="AC215" t="n">
        <v>-0.7312210293327605</v>
      </c>
      <c r="AD215" t="n">
        <v>0.4393401830546381</v>
      </c>
      <c r="AE215" t="n">
        <v>227</v>
      </c>
      <c r="AF215" t="n">
        <v>0.5625909134281959</v>
      </c>
      <c r="AG215" t="n">
        <v>0.2593091646665777</v>
      </c>
    </row>
    <row r="216">
      <c r="A216" t="inlineStr">
        <is>
          <t>DEFAULT_H1</t>
        </is>
      </c>
      <c r="B216" t="inlineStr">
        <is>
          <t>one sample t on the change (paired)</t>
        </is>
      </c>
      <c r="C216" t="inlineStr">
        <is>
          <t>Teaching contrast: H1 with the notebook default channels (Ch1 = Fz, Ch7 = P3)</t>
        </is>
      </c>
      <c r="D216" t="n">
        <v>22</v>
      </c>
      <c r="E216" t="inlineStr">
        <is>
          <t>NA</t>
        </is>
      </c>
      <c r="F216" t="inlineStr">
        <is>
          <t>NA</t>
        </is>
      </c>
      <c r="G216" t="n">
        <v>0.7444590909090909</v>
      </c>
      <c r="H216" t="n">
        <v>0.7338727272727272</v>
      </c>
      <c r="I216" t="n">
        <v>0.1921949076652853</v>
      </c>
      <c r="J216" t="n">
        <v>0.2368892873451108</v>
      </c>
      <c r="K216" t="n">
        <v>-0.01058636363636363</v>
      </c>
      <c r="L216" t="n">
        <v>0.1230755451143516</v>
      </c>
      <c r="M216" t="inlineStr">
        <is>
          <t>NA</t>
        </is>
      </c>
      <c r="N216" t="n">
        <v>-0.06515500332063057</v>
      </c>
      <c r="O216" t="n">
        <v>0.04398227604790331</v>
      </c>
      <c r="P216" t="n">
        <v>-0.4034468975383113</v>
      </c>
      <c r="Q216" t="n">
        <v>21</v>
      </c>
      <c r="R216" t="n">
        <v>0.690697970304168</v>
      </c>
      <c r="S216" t="n">
        <v>0.654651014847916</v>
      </c>
      <c r="T216" t="inlineStr">
        <is>
          <t>d_z</t>
        </is>
      </c>
      <c r="U216" t="n">
        <v>-0.08601516756661652</v>
      </c>
      <c r="V216" t="n">
        <v>-0.503666227105617</v>
      </c>
      <c r="W216" t="n">
        <v>0.333663396496036</v>
      </c>
      <c r="X216" t="n">
        <v>-0.5046607786130733</v>
      </c>
      <c r="Y216" t="n">
        <v>0.3326304434798403</v>
      </c>
      <c r="Z216" t="inlineStr">
        <is>
          <t>NA</t>
        </is>
      </c>
      <c r="AA216" t="inlineStr">
        <is>
          <t>NA</t>
        </is>
      </c>
      <c r="AB216" t="inlineStr">
        <is>
          <t>NA</t>
        </is>
      </c>
      <c r="AC216" t="inlineStr">
        <is>
          <t>NA</t>
        </is>
      </c>
      <c r="AD216" t="inlineStr">
        <is>
          <t>NA</t>
        </is>
      </c>
      <c r="AE216" t="n">
        <v>118</v>
      </c>
      <c r="AF216" t="n">
        <v>0.795075751282456</v>
      </c>
      <c r="AG216" t="n">
        <v>0.8934869661497614</v>
      </c>
    </row>
    <row r="217"/>
    <row r="218">
      <c r="A218" s="10" t="inlineStr">
        <is>
          <t>analysis.R: mixed model, correlations, power note (SIMULATED_model_results.csv)</t>
        </is>
      </c>
    </row>
    <row r="219">
      <c r="A219" s="2" t="inlineStr">
        <is>
          <t>analysis</t>
        </is>
      </c>
      <c r="B219" s="2" t="inlineStr">
        <is>
          <t>term</t>
        </is>
      </c>
      <c r="C219" s="2" t="inlineStr">
        <is>
          <t>estimate</t>
        </is>
      </c>
      <c r="D219" s="2" t="inlineStr">
        <is>
          <t>se</t>
        </is>
      </c>
      <c r="E219" s="2" t="inlineStr">
        <is>
          <t>df</t>
        </is>
      </c>
      <c r="F219" s="2" t="inlineStr">
        <is>
          <t>statistic</t>
        </is>
      </c>
      <c r="G219" s="2" t="inlineStr">
        <is>
          <t>p</t>
        </is>
      </c>
      <c r="H219" s="2" t="inlineStr">
        <is>
          <t>ci_low</t>
        </is>
      </c>
      <c r="I219" s="2" t="inlineStr">
        <is>
          <t>ci_high</t>
        </is>
      </c>
    </row>
    <row r="220">
      <c r="A220" t="inlineStr">
        <is>
          <t>Mixed model FA change ~ commercial * version + position + (1 | respondent)</t>
        </is>
      </c>
      <c r="B220" t="inlineStr">
        <is>
          <t>Intercept (grand mean change)</t>
        </is>
      </c>
      <c r="C220" t="n">
        <v>-0.0126290513833992</v>
      </c>
      <c r="D220" t="n">
        <v>0.009305676116328087</v>
      </c>
      <c r="E220" t="n">
        <v>42.99999992094779</v>
      </c>
      <c r="F220" t="n">
        <v>-1.357134207716492</v>
      </c>
      <c r="G220" t="n">
        <v>0.1818198845417587</v>
      </c>
      <c r="H220" t="n">
        <v>-0.03139573581673646</v>
      </c>
      <c r="I220" t="n">
        <v>0.006137633049938055</v>
      </c>
    </row>
    <row r="221">
      <c r="A221" t="inlineStr">
        <is>
          <t>Mixed model FA change ~ commercial * version + position + (1 | respondent)</t>
        </is>
      </c>
      <c r="B221" t="inlineStr">
        <is>
          <t>Commercial (Commercial_2 minus Commercial_1)</t>
        </is>
      </c>
      <c r="C221" t="n">
        <v>0.03234168278529981</v>
      </c>
      <c r="D221" t="n">
        <v>0.0166757786988644</v>
      </c>
      <c r="E221" t="n">
        <v>41.99999966745128</v>
      </c>
      <c r="F221" t="n">
        <v>1.939440632388713</v>
      </c>
      <c r="G221" t="n">
        <v>0.05918411150953007</v>
      </c>
      <c r="H221" t="n">
        <v>-0.001311401095022209</v>
      </c>
      <c r="I221" t="n">
        <v>0.06599476666562182</v>
      </c>
    </row>
    <row r="222">
      <c r="A222" t="inlineStr">
        <is>
          <t>Mixed model FA change ~ commercial * version + position + (1 | respondent)</t>
        </is>
      </c>
      <c r="B222" t="inlineStr">
        <is>
          <t>Version (A minus B)</t>
        </is>
      </c>
      <c r="C222" t="n">
        <v>0.002085375494071153</v>
      </c>
      <c r="D222" t="n">
        <v>0.01861135223265617</v>
      </c>
      <c r="E222" t="n">
        <v>42.99999992582353</v>
      </c>
      <c r="F222" t="n">
        <v>0.112048574869916</v>
      </c>
      <c r="G222" t="n">
        <v>0.9113063252388858</v>
      </c>
      <c r="H222" t="n">
        <v>-0.03544799337248029</v>
      </c>
      <c r="I222" t="n">
        <v>0.03961874436062259</v>
      </c>
    </row>
    <row r="223">
      <c r="A223" t="inlineStr">
        <is>
          <t>Mixed model FA change ~ commercial * version + position + (1 | respondent)</t>
        </is>
      </c>
      <c r="B223" t="inlineStr">
        <is>
          <t>Position (second minus first)</t>
        </is>
      </c>
      <c r="C223" t="n">
        <v>0.0006189555125725274</v>
      </c>
      <c r="D223" t="n">
        <v>0.0166757786988644</v>
      </c>
      <c r="E223" t="n">
        <v>41.99999966745128</v>
      </c>
      <c r="F223" t="n">
        <v>0.03711703805560082</v>
      </c>
      <c r="G223" t="n">
        <v>0.9705675477275079</v>
      </c>
      <c r="H223" t="n">
        <v>-0.03303412836774949</v>
      </c>
      <c r="I223" t="n">
        <v>0.03427203939289455</v>
      </c>
    </row>
    <row r="224">
      <c r="A224" t="inlineStr">
        <is>
          <t>Mixed model FA change ~ commercial * version + position + (1 | respondent)</t>
        </is>
      </c>
      <c r="B224" t="inlineStr">
        <is>
          <t>Commercial x version</t>
        </is>
      </c>
      <c r="C224" t="n">
        <v>-0.04501063829787233</v>
      </c>
      <c r="D224" t="n">
        <v>0.0333515573977288</v>
      </c>
      <c r="E224" t="n">
        <v>41.99999966745128</v>
      </c>
      <c r="F224" t="n">
        <v>-1.349581303238856</v>
      </c>
      <c r="G224" t="n">
        <v>0.1843802607494963</v>
      </c>
      <c r="H224" t="n">
        <v>-0.1123168060585164</v>
      </c>
      <c r="I224" t="n">
        <v>0.0222955294627717</v>
      </c>
    </row>
    <row r="225">
      <c r="A225" t="inlineStr">
        <is>
          <t>Mixed model FA change ~ commercial * version + position + (1 | respondent)</t>
        </is>
      </c>
      <c r="B225" t="inlineStr">
        <is>
          <t>Respondent variance</t>
        </is>
      </c>
      <c r="C225" t="n">
        <v>0.0007694826922289683</v>
      </c>
      <c r="D225" t="inlineStr">
        <is>
          <t>NA</t>
        </is>
      </c>
      <c r="E225" t="inlineStr">
        <is>
          <t>NA</t>
        </is>
      </c>
      <c r="F225" t="inlineStr">
        <is>
          <t>NA</t>
        </is>
      </c>
      <c r="G225" t="inlineStr">
        <is>
          <t>NA</t>
        </is>
      </c>
      <c r="H225" t="inlineStr">
        <is>
          <t>NA</t>
        </is>
      </c>
      <c r="I225" t="inlineStr">
        <is>
          <t>NA</t>
        </is>
      </c>
    </row>
    <row r="226">
      <c r="A226" t="inlineStr">
        <is>
          <t>Mixed model FA change ~ commercial * version + position + (1 | respondent)</t>
        </is>
      </c>
      <c r="B226" t="inlineStr">
        <is>
          <t>Residual variance</t>
        </is>
      </c>
      <c r="C226" t="n">
        <v>0.006250790640233883</v>
      </c>
      <c r="D226" t="inlineStr">
        <is>
          <t>NA</t>
        </is>
      </c>
      <c r="E226" t="inlineStr">
        <is>
          <t>NA</t>
        </is>
      </c>
      <c r="F226" t="inlineStr">
        <is>
          <t>NA</t>
        </is>
      </c>
      <c r="G226" t="inlineStr">
        <is>
          <t>NA</t>
        </is>
      </c>
      <c r="H226" t="inlineStr">
        <is>
          <t>NA</t>
        </is>
      </c>
      <c r="I226" t="inlineStr">
        <is>
          <t>NA</t>
        </is>
      </c>
    </row>
    <row r="227">
      <c r="A227" t="inlineStr">
        <is>
          <t>Mixed model FA change ~ commercial * version + position + (1 | respondent)</t>
        </is>
      </c>
      <c r="B227" t="inlineStr">
        <is>
          <t>ICC adjusted (fitted model)</t>
        </is>
      </c>
      <c r="C227" t="n">
        <v>0.1096086513712734</v>
      </c>
      <c r="D227" t="inlineStr">
        <is>
          <t>NA</t>
        </is>
      </c>
      <c r="E227" t="inlineStr">
        <is>
          <t>NA</t>
        </is>
      </c>
      <c r="F227" t="inlineStr">
        <is>
          <t>NA</t>
        </is>
      </c>
      <c r="G227" t="inlineStr">
        <is>
          <t>NA</t>
        </is>
      </c>
      <c r="H227" t="inlineStr">
        <is>
          <t>NA</t>
        </is>
      </c>
      <c r="I227" t="inlineStr">
        <is>
          <t>NA</t>
        </is>
      </c>
    </row>
    <row r="228">
      <c r="A228" t="inlineStr">
        <is>
          <t>Mixed model FA change ~ commercial * version + position + (1 | respondent)</t>
        </is>
      </c>
      <c r="B228" t="inlineStr">
        <is>
          <t>ICC unconditional (intercept only)</t>
        </is>
      </c>
      <c r="C228" t="n">
        <v>0.0693360666952967</v>
      </c>
      <c r="D228" t="inlineStr">
        <is>
          <t>NA</t>
        </is>
      </c>
      <c r="E228" t="inlineStr">
        <is>
          <t>NA</t>
        </is>
      </c>
      <c r="F228" t="inlineStr">
        <is>
          <t>NA</t>
        </is>
      </c>
      <c r="G228" t="inlineStr">
        <is>
          <t>NA</t>
        </is>
      </c>
      <c r="H228" t="inlineStr">
        <is>
          <t>NA</t>
        </is>
      </c>
      <c r="I228" t="inlineStr">
        <is>
          <t>NA</t>
        </is>
      </c>
    </row>
    <row r="229">
      <c r="A229" t="inlineStr">
        <is>
          <t>Mixed model FA change ~ commercial * version + position + (1 | respondent)</t>
        </is>
      </c>
      <c r="B229" t="inlineStr">
        <is>
          <t>Simple position estimate ((C1first - C2first) / 2)</t>
        </is>
      </c>
      <c r="C229" t="n">
        <v>0.001108201581027663</v>
      </c>
      <c r="D229" t="inlineStr">
        <is>
          <t>NA</t>
        </is>
      </c>
      <c r="E229" t="inlineStr">
        <is>
          <t>NA</t>
        </is>
      </c>
      <c r="F229" t="inlineStr">
        <is>
          <t>NA</t>
        </is>
      </c>
      <c r="G229" t="inlineStr">
        <is>
          <t>NA</t>
        </is>
      </c>
      <c r="H229" t="inlineStr">
        <is>
          <t>NA</t>
        </is>
      </c>
      <c r="I229" t="inlineStr">
        <is>
          <t>NA</t>
        </is>
      </c>
    </row>
    <row r="230">
      <c r="A230" t="inlineStr">
        <is>
          <t>Mixed model FA change ~ commercial * version + position + (1 | respondent)</t>
        </is>
      </c>
      <c r="B230" t="inlineStr">
        <is>
          <t>Simple commercial estimate ((C1first + C2first) / 2)</t>
        </is>
      </c>
      <c r="C230" t="n">
        <v>0.03283092885375494</v>
      </c>
      <c r="D230" t="inlineStr">
        <is>
          <t>NA</t>
        </is>
      </c>
      <c r="E230" t="inlineStr">
        <is>
          <t>NA</t>
        </is>
      </c>
      <c r="F230" t="inlineStr">
        <is>
          <t>NA</t>
        </is>
      </c>
      <c r="G230" t="inlineStr">
        <is>
          <t>NA</t>
        </is>
      </c>
      <c r="H230" t="inlineStr">
        <is>
          <t>NA</t>
        </is>
      </c>
      <c r="I230" t="inlineStr">
        <is>
          <t>NA</t>
        </is>
      </c>
    </row>
    <row r="231">
      <c r="A231" t="inlineStr">
        <is>
          <t>Mixed model FA change ~ commercial * version + position + (1 | respondent)</t>
        </is>
      </c>
      <c r="B231" t="inlineStr">
        <is>
          <t>Simple commercial x version estimate (A - B)</t>
        </is>
      </c>
      <c r="C231" t="n">
        <v>-0.04503754940711463</v>
      </c>
      <c r="D231" t="inlineStr">
        <is>
          <t>NA</t>
        </is>
      </c>
      <c r="E231" t="inlineStr">
        <is>
          <t>NA</t>
        </is>
      </c>
      <c r="F231" t="inlineStr">
        <is>
          <t>NA</t>
        </is>
      </c>
      <c r="G231" t="inlineStr">
        <is>
          <t>NA</t>
        </is>
      </c>
      <c r="H231" t="inlineStr">
        <is>
          <t>NA</t>
        </is>
      </c>
      <c r="I231" t="inlineStr">
        <is>
          <t>NA</t>
        </is>
      </c>
    </row>
    <row r="232">
      <c r="A232" t="inlineStr">
        <is>
          <t>Exploratory: whole commercial FA change with liking</t>
        </is>
      </c>
      <c r="B232" t="inlineStr">
        <is>
          <t>r Commercial_1</t>
        </is>
      </c>
      <c r="C232" t="n">
        <v>0.1712518288862106</v>
      </c>
      <c r="D232" t="inlineStr">
        <is>
          <t>NA</t>
        </is>
      </c>
      <c r="E232" t="n">
        <v>43</v>
      </c>
      <c r="F232" t="n">
        <v>1.139811445103344</v>
      </c>
      <c r="G232" t="n">
        <v>0.260674343608445</v>
      </c>
      <c r="H232" t="n">
        <v>-0.1287543340654476</v>
      </c>
      <c r="I232" t="n">
        <v>0.4425400409411409</v>
      </c>
    </row>
    <row r="233">
      <c r="A233" t="inlineStr">
        <is>
          <t>Exploratory: whole commercial FA change with liking</t>
        </is>
      </c>
      <c r="B233" t="inlineStr">
        <is>
          <t>r Commercial_2</t>
        </is>
      </c>
      <c r="C233" t="n">
        <v>0.2927081750337289</v>
      </c>
      <c r="D233" t="inlineStr">
        <is>
          <t>NA</t>
        </is>
      </c>
      <c r="E233" t="n">
        <v>43</v>
      </c>
      <c r="F233" t="n">
        <v>2.007333409450815</v>
      </c>
      <c r="G233" t="n">
        <v>0.05102565205046433</v>
      </c>
      <c r="H233" t="n">
        <v>-0.000903352684242758</v>
      </c>
      <c r="I233" t="n">
        <v>0.5398576396129967</v>
      </c>
    </row>
    <row r="234">
      <c r="A234" t="inlineStr">
        <is>
          <t>Exploratory: whole commercial FA change with liking</t>
        </is>
      </c>
      <c r="B234" t="inlineStr">
        <is>
          <t>Spearman rho Commercial_1</t>
        </is>
      </c>
      <c r="C234" t="n">
        <v>0.2291778162080749</v>
      </c>
      <c r="D234" t="inlineStr">
        <is>
          <t>NA</t>
        </is>
      </c>
      <c r="E234" t="inlineStr">
        <is>
          <t>NA</t>
        </is>
      </c>
      <c r="F234" t="inlineStr">
        <is>
          <t>NA</t>
        </is>
      </c>
      <c r="G234" t="n">
        <v>0.1299382270705634</v>
      </c>
      <c r="H234" t="inlineStr">
        <is>
          <t>NA</t>
        </is>
      </c>
      <c r="I234" t="inlineStr">
        <is>
          <t>NA</t>
        </is>
      </c>
    </row>
    <row r="235">
      <c r="A235" t="inlineStr">
        <is>
          <t>Exploratory: whole commercial FA change with liking</t>
        </is>
      </c>
      <c r="B235" t="inlineStr">
        <is>
          <t>Spearman rho Commercial_2</t>
        </is>
      </c>
      <c r="C235" t="n">
        <v>0.2874704962395739</v>
      </c>
      <c r="D235" t="inlineStr">
        <is>
          <t>NA</t>
        </is>
      </c>
      <c r="E235" t="inlineStr">
        <is>
          <t>NA</t>
        </is>
      </c>
      <c r="F235" t="inlineStr">
        <is>
          <t>NA</t>
        </is>
      </c>
      <c r="G235" t="n">
        <v>0.0555206269385539</v>
      </c>
      <c r="H235" t="inlineStr">
        <is>
          <t>NA</t>
        </is>
      </c>
      <c r="I235" t="inlineStr">
        <is>
          <t>NA</t>
        </is>
      </c>
    </row>
    <row r="236">
      <c r="A236" t="inlineStr">
        <is>
          <t>Power note for H2</t>
        </is>
      </c>
      <c r="B236" t="inlineStr">
        <is>
          <t>Observed d (pooled SD)</t>
        </is>
      </c>
      <c r="C236" t="n">
        <v>0.3642917049791735</v>
      </c>
      <c r="D236" t="inlineStr">
        <is>
          <t>NA</t>
        </is>
      </c>
      <c r="E236" t="inlineStr">
        <is>
          <t>NA</t>
        </is>
      </c>
      <c r="F236" t="inlineStr">
        <is>
          <t>NA</t>
        </is>
      </c>
      <c r="G236" t="inlineStr">
        <is>
          <t>NA</t>
        </is>
      </c>
      <c r="H236" t="inlineStr">
        <is>
          <t>NA</t>
        </is>
      </c>
      <c r="I236" t="inlineStr">
        <is>
          <t>NA</t>
        </is>
      </c>
    </row>
    <row r="237">
      <c r="A237" t="inlineStr">
        <is>
          <t>Power note for H2</t>
        </is>
      </c>
      <c r="B237" t="inlineStr">
        <is>
          <t>n per version for 80 percent power (power.t.test, rounded up)</t>
        </is>
      </c>
      <c r="C237" t="n">
        <v>120</v>
      </c>
      <c r="D237" t="inlineStr">
        <is>
          <t>NA</t>
        </is>
      </c>
      <c r="E237" t="inlineStr">
        <is>
          <t>NA</t>
        </is>
      </c>
      <c r="F237" t="inlineStr">
        <is>
          <t>NA</t>
        </is>
      </c>
      <c r="G237" t="inlineStr">
        <is>
          <t>NA</t>
        </is>
      </c>
      <c r="H237" t="inlineStr">
        <is>
          <t>NA</t>
        </is>
      </c>
      <c r="I237" t="inlineStr">
        <is>
          <t>NA</t>
        </is>
      </c>
    </row>
    <row r="238">
      <c r="A238" t="inlineStr">
        <is>
          <t>Power note for H2</t>
        </is>
      </c>
      <c r="B238" t="inlineStr">
        <is>
          <t>Power achieved with the kept sample</t>
        </is>
      </c>
      <c r="C238" t="n">
        <v>0.2219620010537894</v>
      </c>
      <c r="D238" t="inlineStr">
        <is>
          <t>NA</t>
        </is>
      </c>
      <c r="E238" t="inlineStr">
        <is>
          <t>NA</t>
        </is>
      </c>
      <c r="F238" t="inlineStr">
        <is>
          <t>NA</t>
        </is>
      </c>
      <c r="G238" t="inlineStr">
        <is>
          <t>NA</t>
        </is>
      </c>
      <c r="H238" t="inlineStr">
        <is>
          <t>NA</t>
        </is>
      </c>
      <c r="I238" t="inlineStr">
        <is>
          <t>NA</t>
        </is>
      </c>
    </row>
    <row r="239">
      <c r="A239" t="inlineStr">
        <is>
          <t>Exploratory: frontal midline theta (Ch1, dB)</t>
        </is>
      </c>
      <c r="B239" t="inlineStr">
        <is>
          <t>Change Commercial_1 (mean)</t>
        </is>
      </c>
      <c r="C239" t="n">
        <v>0.4408</v>
      </c>
      <c r="D239" t="inlineStr">
        <is>
          <t>NA</t>
        </is>
      </c>
      <c r="E239" t="inlineStr">
        <is>
          <t>NA</t>
        </is>
      </c>
      <c r="F239" t="inlineStr">
        <is>
          <t>NA</t>
        </is>
      </c>
      <c r="G239" t="inlineStr">
        <is>
          <t>NA</t>
        </is>
      </c>
      <c r="H239" t="n">
        <v>0.2184153002945654</v>
      </c>
      <c r="I239" t="n">
        <v>0.6631846997054346</v>
      </c>
    </row>
    <row r="240">
      <c r="A240" t="inlineStr">
        <is>
          <t>Exploratory: frontal midline theta (Ch1, dB)</t>
        </is>
      </c>
      <c r="B240" t="inlineStr">
        <is>
          <t>Change Commercial_2 (mean)</t>
        </is>
      </c>
      <c r="C240" t="n">
        <v>0.3507555555555557</v>
      </c>
      <c r="D240" t="inlineStr">
        <is>
          <t>NA</t>
        </is>
      </c>
      <c r="E240" t="inlineStr">
        <is>
          <t>NA</t>
        </is>
      </c>
      <c r="F240" t="inlineStr">
        <is>
          <t>NA</t>
        </is>
      </c>
      <c r="G240" t="inlineStr">
        <is>
          <t>NA</t>
        </is>
      </c>
      <c r="H240" t="n">
        <v>0.1723204876740649</v>
      </c>
      <c r="I240" t="n">
        <v>0.5291906234370465</v>
      </c>
    </row>
    <row r="241">
      <c r="A241" t="inlineStr">
        <is>
          <t>Baselines</t>
        </is>
      </c>
      <c r="B241" t="inlineStr">
        <is>
          <t>Baseline_2 minus Baseline_1 (paired)</t>
        </is>
      </c>
      <c r="C241" t="n">
        <v>-0.002428888888888888</v>
      </c>
      <c r="D241" t="inlineStr">
        <is>
          <t>NA</t>
        </is>
      </c>
      <c r="E241" t="n">
        <v>44</v>
      </c>
      <c r="F241" t="n">
        <v>-0.2102936402050652</v>
      </c>
      <c r="G241" t="n">
        <v>0.8344093092189524</v>
      </c>
      <c r="H241" t="n">
        <v>-0.0257063589246922</v>
      </c>
      <c r="I241" t="n">
        <v>0.02084858114691442</v>
      </c>
    </row>
    <row r="242">
      <c r="A242" t="inlineStr">
        <is>
          <t>Baselines</t>
        </is>
      </c>
      <c r="B242" t="inlineStr">
        <is>
          <t>r Baseline_1 with Baseline_2</t>
        </is>
      </c>
      <c r="C242" t="n">
        <v>0.8196952746746411</v>
      </c>
      <c r="D242" t="inlineStr">
        <is>
          <t>NA</t>
        </is>
      </c>
      <c r="E242" t="inlineStr">
        <is>
          <t>NA</t>
        </is>
      </c>
      <c r="F242" t="inlineStr">
        <is>
          <t>NA</t>
        </is>
      </c>
      <c r="G242" t="inlineStr">
        <is>
          <t>NA</t>
        </is>
      </c>
      <c r="H242" t="inlineStr">
        <is>
          <t>NA</t>
        </is>
      </c>
      <c r="I242" t="inlineStr">
        <is>
          <t>NA</t>
        </is>
      </c>
    </row>
    <row r="243">
      <c r="A243" t="inlineStr">
        <is>
          <t>Consistency</t>
        </is>
      </c>
      <c r="B243" t="inlineStr">
        <is>
          <t>r exported FA with (Ch6 - Ch5 alpha dB) / 4.343</t>
        </is>
      </c>
      <c r="C243" t="n">
        <v>0.9940916384797109</v>
      </c>
      <c r="D243" t="inlineStr">
        <is>
          <t>NA</t>
        </is>
      </c>
      <c r="E243" t="inlineStr">
        <is>
          <t>NA</t>
        </is>
      </c>
      <c r="F243" t="inlineStr">
        <is>
          <t>NA</t>
        </is>
      </c>
      <c r="G243" t="inlineStr">
        <is>
          <t>NA</t>
        </is>
      </c>
      <c r="H243" t="inlineStr">
        <is>
          <t>NA</t>
        </is>
      </c>
      <c r="I243"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2026-10-10T20:22:21Z</dcterms:created>
  <dcterms:modified xmlns:dcterms="http://purl.org/dc/terms/" xmlns:xsi="http://www.w3.org/2001/XMLSchema-instance" xsi:type="dcterms:W3CDTF">2026-10-10T20:22:21Z</dcterms:modified>
</cp:coreProperties>
</file>