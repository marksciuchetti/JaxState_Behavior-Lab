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OI_long" sheetId="3" state="visible" r:id="rId3"/>
    <sheet xmlns:r="http://schemas.openxmlformats.org/officeDocument/2006/relationships" name="Descriptives" sheetId="4" state="visible" r:id="rId4"/>
    <sheet xmlns:r="http://schemas.openxmlformats.org/officeDocument/2006/relationships" name="Pivot" sheetId="5" state="visible" r:id="rId5"/>
    <sheet xmlns:r="http://schemas.openxmlformats.org/officeDocument/2006/relationships" name="Q5" sheetId="6" state="visible" r:id="rId6"/>
    <sheet xmlns:r="http://schemas.openxmlformats.org/officeDocument/2006/relationships" name="Holm" sheetId="7" state="visible" r:id="rId7"/>
    <sheet xmlns:r="http://schemas.openxmlformats.org/officeDocument/2006/relationships" name="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"/>
    <numFmt numFmtId="167" formatCode="0.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72B2"/>
      </patternFill>
    </fill>
    <fill>
      <patternFill patternType="solid">
        <fgColor rgb="00E69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SIMULATED ANALYSIS REPORT WORKBOOK (Workshop 8)</t>
        </is>
      </c>
    </row>
    <row r="2">
      <c r="A2" t="inlineStr">
        <is>
          <t>SIMULATED DATA for teaching (seed 20271231). No real person was recorded; ALTAVO and BRENLOW are invented brands. Built by make_excel_workbook.py from analysis_ready_long.csv (Workshop 7) and checked against analysis_full.R (Workshop 8).</t>
        </is>
      </c>
    </row>
    <row r="3">
      <c r="A3" t="inlineStr">
        <is>
          <t>Study: SIMULATED Multimodal Ad Study. 24 participants (P01 to P24), analysis sample 22 (include = 1). Baseline (60 s), Ad_A (ALTAVO) and Ad_B (BRENLOW), 30 s each, counterbalanced; AOIs Logo, Product, Headline; AFFDEX; Shimmer GSR; survey.</t>
        </is>
      </c>
    </row>
    <row r="4">
      <c r="A4" t="inlineStr">
        <is>
          <t>This workbook is the Excel route through the descriptive statistics, the Q5 paired tests, and the Holm correction of analysis_full.R.</t>
        </is>
      </c>
    </row>
    <row r="5">
      <c r="A5" t="inlineStr"/>
    </row>
    <row r="6">
      <c r="A6" s="1" t="inlineStr">
        <is>
          <t>Sheets</t>
        </is>
      </c>
    </row>
    <row r="7">
      <c r="A7" t="inlineStr">
        <is>
          <t>Data          analysis_ready_long.csv as the Text Import leaves it (header in row 1, 72 rows), plus the key column AD (orange)</t>
        </is>
      </c>
    </row>
    <row r="8">
      <c r="A8" t="inlineStr">
        <is>
          <t>AOI_long      one row per participant, ad, and AOI (144 rows): the dwell values stacked into ONE column with INDEX and MATCH</t>
        </is>
      </c>
    </row>
    <row r="9">
      <c r="A9" t="inlineStr">
        <is>
          <t>Descriptives  n, mean, SD, median, quartiles, IQR, and percent at zero by ad and AOI (and by stimulus for FEA, GSR, liking)</t>
        </is>
      </c>
    </row>
    <row r="10">
      <c r="A10" t="inlineStr">
        <is>
          <t>Pivot         the summary a PivotTable gives (Average of dwell by AOI and ad), built with AVERAGEIFS and COUNTIFS so that it can be checked</t>
        </is>
      </c>
    </row>
    <row r="11">
      <c r="A11" t="inlineStr">
        <is>
          <t>Q5            Joy, Engagement, and Brow Furrow, Ad_A versus Ad_B: paired T.TEST, d_z, and its approximate 95% CI</t>
        </is>
      </c>
    </row>
    <row r="12">
      <c r="A12" t="inlineStr">
        <is>
          <t>Holm          the Holm correction of the three Q5 p values, step by step, next to the Bonferroni correction</t>
        </is>
      </c>
    </row>
    <row r="13">
      <c r="A13" t="inlineStr">
        <is>
          <t>Check         every Excel result next to the value R produced, with OK or CHECK</t>
        </is>
      </c>
    </row>
    <row r="14">
      <c r="A14" t="inlineStr"/>
    </row>
    <row r="15">
      <c r="A15" t="inlineStr">
        <is>
          <t>Colors: blue headers = data as exported; orange headers = columns you add; yellow cells are typed by you (the grid and the rosters).</t>
        </is>
      </c>
    </row>
    <row r="16">
      <c r="A16" t="inlineStr">
        <is>
          <t>Cells with braces in the formula bar ({=STDEV.S(IF(...))}) are array formulas: in Excel 365 press Enter; in Excel 2019 or older press Ctrl+Shift+Enter.</t>
        </is>
      </c>
    </row>
    <row r="17">
      <c r="A17" t="inlineStr">
        <is>
          <t>The walkthrough excel_walkthrough.md explains every formula with its cell address.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8" customWidth="1" min="30" max="30"/>
  </cols>
  <sheetData>
    <row r="1">
      <c r="A1" s="2" t="inlineStr">
        <is>
          <t>participant_id</t>
        </is>
      </c>
      <c r="B1" s="2" t="inlineStr">
        <is>
          <t>stimulus</t>
        </is>
      </c>
      <c r="C1" s="2" t="inlineStr">
        <is>
          <t>ad_position</t>
        </is>
      </c>
      <c r="D1" s="2" t="inlineStr">
        <is>
          <t>order</t>
        </is>
      </c>
      <c r="E1" s="2" t="inlineStr">
        <is>
          <t>gender</t>
        </is>
      </c>
      <c r="F1" s="2" t="inlineStr">
        <is>
          <t>age</t>
        </is>
      </c>
      <c r="G1" s="2" t="inlineStr">
        <is>
          <t>include</t>
        </is>
      </c>
      <c r="H1" s="2" t="inlineStr">
        <is>
          <t>exclusion_reason</t>
        </is>
      </c>
      <c r="I1" s="2" t="inlineStr">
        <is>
          <t>et_quality_pct</t>
        </is>
      </c>
      <c r="J1" s="2" t="inlineStr">
        <is>
          <t>face_quality_pct</t>
        </is>
      </c>
      <c r="K1" s="2" t="inlineStr">
        <is>
          <t>gsr_quality_pct</t>
        </is>
      </c>
      <c r="L1" s="2" t="inlineStr">
        <is>
          <t>gsr_signal_pct</t>
        </is>
      </c>
      <c r="M1" s="2" t="inlineStr">
        <is>
          <t>gsr_valid</t>
        </is>
      </c>
      <c r="N1" s="2" t="inlineStr">
        <is>
          <t>gsr_peaks_per_min</t>
        </is>
      </c>
      <c r="O1" s="2" t="inlineStr">
        <is>
          <t>gsr_peak_count</t>
        </is>
      </c>
      <c r="P1" s="2" t="inlineStr">
        <is>
          <t>gsr_avg_amp_us</t>
        </is>
      </c>
      <c r="Q1" s="2" t="inlineStr">
        <is>
          <t>joy_pct</t>
        </is>
      </c>
      <c r="R1" s="2" t="inlineStr">
        <is>
          <t>engagement_pct</t>
        </is>
      </c>
      <c r="S1" s="2" t="inlineStr">
        <is>
          <t>browfurrow_pct</t>
        </is>
      </c>
      <c r="T1" s="2" t="inlineStr">
        <is>
          <t>logo_fixated</t>
        </is>
      </c>
      <c r="U1" s="2" t="inlineStr">
        <is>
          <t>logo_ttff_ms</t>
        </is>
      </c>
      <c r="V1" s="2" t="inlineStr">
        <is>
          <t>logo_fix_count</t>
        </is>
      </c>
      <c r="W1" s="2" t="inlineStr">
        <is>
          <t>logo_revisits</t>
        </is>
      </c>
      <c r="X1" s="2" t="inlineStr">
        <is>
          <t>logo_gaze_dwell_ms</t>
        </is>
      </c>
      <c r="Y1" s="2" t="inlineStr">
        <is>
          <t>logo_gaze_dwell_pct</t>
        </is>
      </c>
      <c r="Z1" s="2" t="inlineStr">
        <is>
          <t>product_gaze_dwell_pct</t>
        </is>
      </c>
      <c r="AA1" s="2" t="inlineStr">
        <is>
          <t>headline_gaze_dwell_pct</t>
        </is>
      </c>
      <c r="AB1" s="2" t="inlineStr">
        <is>
          <t>liking</t>
        </is>
      </c>
      <c r="AC1" s="2" t="inlineStr">
        <is>
          <t>recall_correct</t>
        </is>
      </c>
      <c r="AD1" s="3" t="inlineStr">
        <is>
          <t>key = participant|stimulus</t>
        </is>
      </c>
    </row>
    <row r="2">
      <c r="A2" t="inlineStr">
        <is>
          <t>P01</t>
        </is>
      </c>
      <c r="B2" t="inlineStr">
        <is>
          <t>Baseline</t>
        </is>
      </c>
      <c r="C2" t="inlineStr">
        <is>
          <t>NA</t>
        </is>
      </c>
      <c r="D2" t="inlineStr">
        <is>
          <t>AB</t>
        </is>
      </c>
      <c r="E2" t="inlineStr">
        <is>
          <t>Male</t>
        </is>
      </c>
      <c r="F2" t="n">
        <v>20</v>
      </c>
      <c r="G2" t="n">
        <v>1</v>
      </c>
      <c r="I2" t="n">
        <v>92</v>
      </c>
      <c r="J2" t="n">
        <v>93</v>
      </c>
      <c r="K2" t="n">
        <v>100</v>
      </c>
      <c r="L2" t="n">
        <v>100</v>
      </c>
      <c r="M2" t="n">
        <v>1</v>
      </c>
      <c r="N2" t="n">
        <v>1</v>
      </c>
      <c r="O2" t="n">
        <v>1</v>
      </c>
      <c r="P2" t="n">
        <v>0.0698</v>
      </c>
      <c r="Q2" t="n">
        <v>0</v>
      </c>
      <c r="R2" t="n">
        <v>0</v>
      </c>
      <c r="S2" t="n">
        <v>0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>
        <f>A2&amp;"|"&amp;B2</f>
        <v/>
      </c>
    </row>
    <row r="3">
      <c r="A3" t="inlineStr">
        <is>
          <t>P01</t>
        </is>
      </c>
      <c r="B3" t="inlineStr">
        <is>
          <t>Ad_A</t>
        </is>
      </c>
      <c r="C3" t="n">
        <v>1</v>
      </c>
      <c r="D3" t="inlineStr">
        <is>
          <t>AB</t>
        </is>
      </c>
      <c r="E3" t="inlineStr">
        <is>
          <t>Male</t>
        </is>
      </c>
      <c r="F3" t="n">
        <v>20</v>
      </c>
      <c r="G3" t="n">
        <v>1</v>
      </c>
      <c r="I3" t="n">
        <v>95</v>
      </c>
      <c r="J3" t="n">
        <v>93</v>
      </c>
      <c r="K3" t="n">
        <v>100</v>
      </c>
      <c r="L3" t="n">
        <v>100</v>
      </c>
      <c r="M3" t="n">
        <v>1</v>
      </c>
      <c r="N3" t="n">
        <v>6</v>
      </c>
      <c r="O3" t="n">
        <v>3</v>
      </c>
      <c r="P3" t="n">
        <v>0.2082</v>
      </c>
      <c r="Q3" t="n">
        <v>0</v>
      </c>
      <c r="R3" t="n">
        <v>0</v>
      </c>
      <c r="S3" t="n">
        <v>0</v>
      </c>
      <c r="T3" t="n">
        <v>0</v>
      </c>
      <c r="U3" t="inlineStr">
        <is>
          <t>NA</t>
        </is>
      </c>
      <c r="V3" t="n">
        <v>0</v>
      </c>
      <c r="W3" t="n">
        <v>0</v>
      </c>
      <c r="X3" t="n">
        <v>0</v>
      </c>
      <c r="Y3" t="n">
        <v>0</v>
      </c>
      <c r="Z3" t="n">
        <v>41.33</v>
      </c>
      <c r="AA3" t="n">
        <v>9.220000000000001</v>
      </c>
      <c r="AB3" t="n">
        <v>4</v>
      </c>
      <c r="AC3" t="n">
        <v>0</v>
      </c>
      <c r="AD3">
        <f>A3&amp;"|"&amp;B3</f>
        <v/>
      </c>
    </row>
    <row r="4">
      <c r="A4" t="inlineStr">
        <is>
          <t>P01</t>
        </is>
      </c>
      <c r="B4" t="inlineStr">
        <is>
          <t>Ad_B</t>
        </is>
      </c>
      <c r="C4" t="n">
        <v>2</v>
      </c>
      <c r="D4" t="inlineStr">
        <is>
          <t>AB</t>
        </is>
      </c>
      <c r="E4" t="inlineStr">
        <is>
          <t>Male</t>
        </is>
      </c>
      <c r="F4" t="n">
        <v>20</v>
      </c>
      <c r="G4" t="n">
        <v>1</v>
      </c>
      <c r="I4" t="n">
        <v>95</v>
      </c>
      <c r="J4" t="n">
        <v>91</v>
      </c>
      <c r="K4" t="n">
        <v>100</v>
      </c>
      <c r="L4" t="n">
        <v>100</v>
      </c>
      <c r="M4" t="n">
        <v>1</v>
      </c>
      <c r="N4" t="n">
        <v>6</v>
      </c>
      <c r="O4" t="n">
        <v>3</v>
      </c>
      <c r="P4" t="n">
        <v>0.1469</v>
      </c>
      <c r="Q4" t="n">
        <v>0</v>
      </c>
      <c r="R4" t="n">
        <v>0</v>
      </c>
      <c r="S4" t="n">
        <v>0</v>
      </c>
      <c r="T4" t="n">
        <v>1</v>
      </c>
      <c r="U4" t="n">
        <v>21102</v>
      </c>
      <c r="V4" t="n">
        <v>1</v>
      </c>
      <c r="W4" t="n">
        <v>0</v>
      </c>
      <c r="X4" t="n">
        <v>217</v>
      </c>
      <c r="Y4" t="n">
        <v>0.72</v>
      </c>
      <c r="Z4" t="n">
        <v>43.83</v>
      </c>
      <c r="AA4" t="n">
        <v>7.44</v>
      </c>
      <c r="AB4" t="n">
        <v>5</v>
      </c>
      <c r="AC4" t="n">
        <v>1</v>
      </c>
      <c r="AD4">
        <f>A4&amp;"|"&amp;B4</f>
        <v/>
      </c>
    </row>
    <row r="5">
      <c r="A5" t="inlineStr">
        <is>
          <t>P02</t>
        </is>
      </c>
      <c r="B5" t="inlineStr">
        <is>
          <t>Baseline</t>
        </is>
      </c>
      <c r="C5" t="inlineStr">
        <is>
          <t>NA</t>
        </is>
      </c>
      <c r="D5" t="inlineStr">
        <is>
          <t>BA</t>
        </is>
      </c>
      <c r="E5" t="inlineStr">
        <is>
          <t>Female</t>
        </is>
      </c>
      <c r="F5" t="n">
        <v>21</v>
      </c>
      <c r="G5" t="n">
        <v>1</v>
      </c>
      <c r="I5" t="n">
        <v>96</v>
      </c>
      <c r="J5" t="n">
        <v>99</v>
      </c>
      <c r="K5" t="n">
        <v>100</v>
      </c>
      <c r="L5" t="n">
        <v>100</v>
      </c>
      <c r="M5" t="n">
        <v>1</v>
      </c>
      <c r="N5" t="n">
        <v>0</v>
      </c>
      <c r="O5" t="n">
        <v>0</v>
      </c>
      <c r="P5" t="inlineStr">
        <is>
          <t>NA</t>
        </is>
      </c>
      <c r="Q5" t="n">
        <v>1.83</v>
      </c>
      <c r="R5" t="n">
        <v>4.83</v>
      </c>
      <c r="S5" t="n">
        <v>0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>
        <f>A5&amp;"|"&amp;B5</f>
        <v/>
      </c>
    </row>
    <row r="6">
      <c r="A6" t="inlineStr">
        <is>
          <t>P02</t>
        </is>
      </c>
      <c r="B6" t="inlineStr">
        <is>
          <t>Ad_A</t>
        </is>
      </c>
      <c r="C6" t="n">
        <v>2</v>
      </c>
      <c r="D6" t="inlineStr">
        <is>
          <t>BA</t>
        </is>
      </c>
      <c r="E6" t="inlineStr">
        <is>
          <t>Female</t>
        </is>
      </c>
      <c r="F6" t="n">
        <v>21</v>
      </c>
      <c r="G6" t="n">
        <v>1</v>
      </c>
      <c r="I6" t="n">
        <v>94</v>
      </c>
      <c r="J6" t="n">
        <v>97</v>
      </c>
      <c r="K6" t="n">
        <v>100</v>
      </c>
      <c r="L6" t="n">
        <v>100</v>
      </c>
      <c r="M6" t="n">
        <v>1</v>
      </c>
      <c r="N6" t="n">
        <v>4</v>
      </c>
      <c r="O6" t="n">
        <v>2</v>
      </c>
      <c r="P6" t="n">
        <v>0.1116</v>
      </c>
      <c r="Q6" t="n">
        <v>3.44</v>
      </c>
      <c r="R6" t="n">
        <v>3.44</v>
      </c>
      <c r="S6" t="n">
        <v>0</v>
      </c>
      <c r="T6" t="n">
        <v>0</v>
      </c>
      <c r="U6" t="inlineStr">
        <is>
          <t>NA</t>
        </is>
      </c>
      <c r="V6" t="n">
        <v>0</v>
      </c>
      <c r="W6" t="n">
        <v>0</v>
      </c>
      <c r="X6" t="n">
        <v>0</v>
      </c>
      <c r="Y6" t="n">
        <v>0</v>
      </c>
      <c r="Z6" t="n">
        <v>40.44</v>
      </c>
      <c r="AA6" t="n">
        <v>30.39</v>
      </c>
      <c r="AB6" t="n">
        <v>5</v>
      </c>
      <c r="AC6" t="n">
        <v>0</v>
      </c>
      <c r="AD6">
        <f>A6&amp;"|"&amp;B6</f>
        <v/>
      </c>
    </row>
    <row r="7">
      <c r="A7" t="inlineStr">
        <is>
          <t>P02</t>
        </is>
      </c>
      <c r="B7" t="inlineStr">
        <is>
          <t>Ad_B</t>
        </is>
      </c>
      <c r="C7" t="n">
        <v>1</v>
      </c>
      <c r="D7" t="inlineStr">
        <is>
          <t>BA</t>
        </is>
      </c>
      <c r="E7" t="inlineStr">
        <is>
          <t>Female</t>
        </is>
      </c>
      <c r="F7" t="n">
        <v>21</v>
      </c>
      <c r="G7" t="n">
        <v>1</v>
      </c>
      <c r="I7" t="n">
        <v>94</v>
      </c>
      <c r="J7" t="n">
        <v>98</v>
      </c>
      <c r="K7" t="n">
        <v>99</v>
      </c>
      <c r="L7" t="n">
        <v>100</v>
      </c>
      <c r="M7" t="n">
        <v>1</v>
      </c>
      <c r="N7" t="n">
        <v>0</v>
      </c>
      <c r="O7" t="n">
        <v>0</v>
      </c>
      <c r="P7" t="inlineStr">
        <is>
          <t>NA</t>
        </is>
      </c>
      <c r="Q7" t="n">
        <v>13.22</v>
      </c>
      <c r="R7" t="n">
        <v>13.56</v>
      </c>
      <c r="S7" t="n">
        <v>0</v>
      </c>
      <c r="T7" t="n">
        <v>1</v>
      </c>
      <c r="U7" t="n">
        <v>14270</v>
      </c>
      <c r="V7" t="n">
        <v>3</v>
      </c>
      <c r="W7" t="n">
        <v>0</v>
      </c>
      <c r="X7" t="n">
        <v>733</v>
      </c>
      <c r="Y7" t="n">
        <v>2.44</v>
      </c>
      <c r="Z7" t="n">
        <v>48.78</v>
      </c>
      <c r="AA7" t="n">
        <v>18.61</v>
      </c>
      <c r="AB7" t="n">
        <v>6</v>
      </c>
      <c r="AC7" t="n">
        <v>0</v>
      </c>
      <c r="AD7">
        <f>A7&amp;"|"&amp;B7</f>
        <v/>
      </c>
    </row>
    <row r="8">
      <c r="A8" t="inlineStr">
        <is>
          <t>P03</t>
        </is>
      </c>
      <c r="B8" t="inlineStr">
        <is>
          <t>Baseline</t>
        </is>
      </c>
      <c r="C8" t="inlineStr">
        <is>
          <t>NA</t>
        </is>
      </c>
      <c r="D8" t="inlineStr">
        <is>
          <t>AB</t>
        </is>
      </c>
      <c r="E8" t="inlineStr">
        <is>
          <t>Male</t>
        </is>
      </c>
      <c r="F8" t="n">
        <v>21</v>
      </c>
      <c r="G8" t="n">
        <v>1</v>
      </c>
      <c r="I8" t="n">
        <v>96</v>
      </c>
      <c r="J8" t="n">
        <v>98</v>
      </c>
      <c r="K8" t="n">
        <v>100</v>
      </c>
      <c r="L8" t="n">
        <v>100</v>
      </c>
      <c r="M8" t="n">
        <v>1</v>
      </c>
      <c r="N8" t="n">
        <v>2</v>
      </c>
      <c r="O8" t="n">
        <v>2</v>
      </c>
      <c r="P8" t="n">
        <v>0.0599</v>
      </c>
      <c r="Q8" t="n">
        <v>0</v>
      </c>
      <c r="R8" t="n">
        <v>3.06</v>
      </c>
      <c r="S8" t="n">
        <v>0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>
        <f>A8&amp;"|"&amp;B8</f>
        <v/>
      </c>
    </row>
    <row r="9">
      <c r="A9" t="inlineStr">
        <is>
          <t>P03</t>
        </is>
      </c>
      <c r="B9" t="inlineStr">
        <is>
          <t>Ad_A</t>
        </is>
      </c>
      <c r="C9" t="n">
        <v>1</v>
      </c>
      <c r="D9" t="inlineStr">
        <is>
          <t>AB</t>
        </is>
      </c>
      <c r="E9" t="inlineStr">
        <is>
          <t>Male</t>
        </is>
      </c>
      <c r="F9" t="n">
        <v>21</v>
      </c>
      <c r="G9" t="n">
        <v>1</v>
      </c>
      <c r="I9" t="n">
        <v>96</v>
      </c>
      <c r="J9" t="n">
        <v>97</v>
      </c>
      <c r="K9" t="n">
        <v>100</v>
      </c>
      <c r="L9" t="n">
        <v>100</v>
      </c>
      <c r="M9" t="n">
        <v>1</v>
      </c>
      <c r="N9" t="n">
        <v>22</v>
      </c>
      <c r="O9" t="n">
        <v>11</v>
      </c>
      <c r="P9" t="n">
        <v>0.158</v>
      </c>
      <c r="Q9" t="n">
        <v>26.44</v>
      </c>
      <c r="R9" t="n">
        <v>27</v>
      </c>
      <c r="S9" t="n">
        <v>0</v>
      </c>
      <c r="T9" t="n">
        <v>1</v>
      </c>
      <c r="U9" t="n">
        <v>24871</v>
      </c>
      <c r="V9" t="n">
        <v>4</v>
      </c>
      <c r="W9" t="n">
        <v>0</v>
      </c>
      <c r="X9" t="n">
        <v>1450</v>
      </c>
      <c r="Y9" t="n">
        <v>4.83</v>
      </c>
      <c r="Z9" t="n">
        <v>53.33</v>
      </c>
      <c r="AA9" t="n">
        <v>8</v>
      </c>
      <c r="AB9" t="n">
        <v>5</v>
      </c>
      <c r="AC9" t="n">
        <v>1</v>
      </c>
      <c r="AD9">
        <f>A9&amp;"|"&amp;B9</f>
        <v/>
      </c>
    </row>
    <row r="10">
      <c r="A10" t="inlineStr">
        <is>
          <t>P03</t>
        </is>
      </c>
      <c r="B10" t="inlineStr">
        <is>
          <t>Ad_B</t>
        </is>
      </c>
      <c r="C10" t="n">
        <v>2</v>
      </c>
      <c r="D10" t="inlineStr">
        <is>
          <t>AB</t>
        </is>
      </c>
      <c r="E10" t="inlineStr">
        <is>
          <t>Male</t>
        </is>
      </c>
      <c r="F10" t="n">
        <v>21</v>
      </c>
      <c r="G10" t="n">
        <v>1</v>
      </c>
      <c r="I10" t="n">
        <v>95</v>
      </c>
      <c r="J10" t="n">
        <v>98</v>
      </c>
      <c r="K10" t="n">
        <v>100</v>
      </c>
      <c r="L10" t="n">
        <v>100</v>
      </c>
      <c r="M10" t="n">
        <v>1</v>
      </c>
      <c r="N10" t="n">
        <v>16</v>
      </c>
      <c r="O10" t="n">
        <v>8</v>
      </c>
      <c r="P10" t="n">
        <v>0.1617</v>
      </c>
      <c r="Q10" t="n">
        <v>3.44</v>
      </c>
      <c r="R10" t="n">
        <v>3.89</v>
      </c>
      <c r="S10" t="n">
        <v>0</v>
      </c>
      <c r="T10" t="n">
        <v>0</v>
      </c>
      <c r="U10" t="inlineStr">
        <is>
          <t>NA</t>
        </is>
      </c>
      <c r="V10" t="n">
        <v>0</v>
      </c>
      <c r="W10" t="n">
        <v>0</v>
      </c>
      <c r="X10" t="n">
        <v>0</v>
      </c>
      <c r="Y10" t="n">
        <v>0</v>
      </c>
      <c r="Z10" t="n">
        <v>33.06</v>
      </c>
      <c r="AA10" t="n">
        <v>16.89</v>
      </c>
      <c r="AB10" t="n">
        <v>6</v>
      </c>
      <c r="AC10" t="n">
        <v>0</v>
      </c>
      <c r="AD10">
        <f>A10&amp;"|"&amp;B10</f>
        <v/>
      </c>
    </row>
    <row r="11">
      <c r="A11" t="inlineStr">
        <is>
          <t>P04</t>
        </is>
      </c>
      <c r="B11" t="inlineStr">
        <is>
          <t>Baseline</t>
        </is>
      </c>
      <c r="C11" t="inlineStr">
        <is>
          <t>NA</t>
        </is>
      </c>
      <c r="D11" t="inlineStr">
        <is>
          <t>BA</t>
        </is>
      </c>
      <c r="E11" t="inlineStr">
        <is>
          <t>Female</t>
        </is>
      </c>
      <c r="F11" t="n">
        <v>22</v>
      </c>
      <c r="G11" t="n">
        <v>1</v>
      </c>
      <c r="I11" t="n">
        <v>95</v>
      </c>
      <c r="J11" t="n">
        <v>90</v>
      </c>
      <c r="K11" t="n">
        <v>100</v>
      </c>
      <c r="L11" t="n">
        <v>100</v>
      </c>
      <c r="M11" t="n">
        <v>1</v>
      </c>
      <c r="N11" t="n">
        <v>5</v>
      </c>
      <c r="O11" t="n">
        <v>5</v>
      </c>
      <c r="P11" t="n">
        <v>0.17</v>
      </c>
      <c r="Q11" t="n">
        <v>0</v>
      </c>
      <c r="R11" t="n">
        <v>1.11</v>
      </c>
      <c r="S11" t="n">
        <v>0.78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>
        <f>A11&amp;"|"&amp;B11</f>
        <v/>
      </c>
    </row>
    <row r="12">
      <c r="A12" t="inlineStr">
        <is>
          <t>P04</t>
        </is>
      </c>
      <c r="B12" t="inlineStr">
        <is>
          <t>Ad_A</t>
        </is>
      </c>
      <c r="C12" t="n">
        <v>2</v>
      </c>
      <c r="D12" t="inlineStr">
        <is>
          <t>BA</t>
        </is>
      </c>
      <c r="E12" t="inlineStr">
        <is>
          <t>Female</t>
        </is>
      </c>
      <c r="F12" t="n">
        <v>22</v>
      </c>
      <c r="G12" t="n">
        <v>1</v>
      </c>
      <c r="I12" t="n">
        <v>94</v>
      </c>
      <c r="J12" t="n">
        <v>90</v>
      </c>
      <c r="K12" t="n">
        <v>100</v>
      </c>
      <c r="L12" t="n">
        <v>100</v>
      </c>
      <c r="M12" t="n">
        <v>1</v>
      </c>
      <c r="N12" t="n">
        <v>0</v>
      </c>
      <c r="O12" t="n">
        <v>0</v>
      </c>
      <c r="P12" t="inlineStr">
        <is>
          <t>NA</t>
        </is>
      </c>
      <c r="Q12" t="n">
        <v>17.22</v>
      </c>
      <c r="R12" t="n">
        <v>17.33</v>
      </c>
      <c r="S12" t="n">
        <v>0</v>
      </c>
      <c r="T12" t="n">
        <v>0</v>
      </c>
      <c r="U12" t="inlineStr">
        <is>
          <t>NA</t>
        </is>
      </c>
      <c r="V12" t="n">
        <v>0</v>
      </c>
      <c r="W12" t="n">
        <v>0</v>
      </c>
      <c r="X12" t="n">
        <v>0</v>
      </c>
      <c r="Y12" t="n">
        <v>0</v>
      </c>
      <c r="Z12" t="n">
        <v>48.39</v>
      </c>
      <c r="AA12" t="n">
        <v>14.06</v>
      </c>
      <c r="AB12" t="n">
        <v>6</v>
      </c>
      <c r="AC12" t="n">
        <v>1</v>
      </c>
      <c r="AD12">
        <f>A12&amp;"|"&amp;B12</f>
        <v/>
      </c>
    </row>
    <row r="13">
      <c r="A13" t="inlineStr">
        <is>
          <t>P04</t>
        </is>
      </c>
      <c r="B13" t="inlineStr">
        <is>
          <t>Ad_B</t>
        </is>
      </c>
      <c r="C13" t="n">
        <v>1</v>
      </c>
      <c r="D13" t="inlineStr">
        <is>
          <t>BA</t>
        </is>
      </c>
      <c r="E13" t="inlineStr">
        <is>
          <t>Female</t>
        </is>
      </c>
      <c r="F13" t="n">
        <v>22</v>
      </c>
      <c r="G13" t="n">
        <v>1</v>
      </c>
      <c r="I13" t="n">
        <v>94</v>
      </c>
      <c r="J13" t="n">
        <v>90</v>
      </c>
      <c r="K13" t="n">
        <v>99</v>
      </c>
      <c r="L13" t="n">
        <v>100</v>
      </c>
      <c r="M13" t="n">
        <v>1</v>
      </c>
      <c r="N13" t="n">
        <v>8</v>
      </c>
      <c r="O13" t="n">
        <v>4</v>
      </c>
      <c r="P13" t="n">
        <v>0.2299</v>
      </c>
      <c r="Q13" t="n">
        <v>0</v>
      </c>
      <c r="R13" t="n">
        <v>6.33</v>
      </c>
      <c r="S13" t="n">
        <v>0</v>
      </c>
      <c r="T13" t="n">
        <v>1</v>
      </c>
      <c r="U13" t="n">
        <v>19900</v>
      </c>
      <c r="V13" t="n">
        <v>2</v>
      </c>
      <c r="W13" t="n">
        <v>1</v>
      </c>
      <c r="X13" t="n">
        <v>317</v>
      </c>
      <c r="Y13" t="n">
        <v>1.06</v>
      </c>
      <c r="Z13" t="n">
        <v>45.61</v>
      </c>
      <c r="AA13" t="n">
        <v>22.17</v>
      </c>
      <c r="AB13" t="n">
        <v>4</v>
      </c>
      <c r="AC13" t="n">
        <v>1</v>
      </c>
      <c r="AD13">
        <f>A13&amp;"|"&amp;B13</f>
        <v/>
      </c>
    </row>
    <row r="14">
      <c r="A14" t="inlineStr">
        <is>
          <t>P05</t>
        </is>
      </c>
      <c r="B14" t="inlineStr">
        <is>
          <t>Baseline</t>
        </is>
      </c>
      <c r="C14" t="inlineStr">
        <is>
          <t>NA</t>
        </is>
      </c>
      <c r="D14" t="inlineStr">
        <is>
          <t>AB</t>
        </is>
      </c>
      <c r="E14" t="inlineStr">
        <is>
          <t>Female</t>
        </is>
      </c>
      <c r="F14" t="n">
        <v>20</v>
      </c>
      <c r="G14" t="n">
        <v>1</v>
      </c>
      <c r="I14" t="n">
        <v>94</v>
      </c>
      <c r="J14" t="n">
        <v>96</v>
      </c>
      <c r="K14" t="n">
        <v>100</v>
      </c>
      <c r="L14" t="n">
        <v>100</v>
      </c>
      <c r="M14" t="n">
        <v>1</v>
      </c>
      <c r="N14" t="n">
        <v>6</v>
      </c>
      <c r="O14" t="n">
        <v>6</v>
      </c>
      <c r="P14" t="n">
        <v>0.3076</v>
      </c>
      <c r="Q14" t="n">
        <v>0</v>
      </c>
      <c r="R14" t="n">
        <v>0</v>
      </c>
      <c r="S14" t="n">
        <v>0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>
        <f>A14&amp;"|"&amp;B14</f>
        <v/>
      </c>
    </row>
    <row r="15">
      <c r="A15" t="inlineStr">
        <is>
          <t>P05</t>
        </is>
      </c>
      <c r="B15" t="inlineStr">
        <is>
          <t>Ad_A</t>
        </is>
      </c>
      <c r="C15" t="n">
        <v>1</v>
      </c>
      <c r="D15" t="inlineStr">
        <is>
          <t>AB</t>
        </is>
      </c>
      <c r="E15" t="inlineStr">
        <is>
          <t>Female</t>
        </is>
      </c>
      <c r="F15" t="n">
        <v>20</v>
      </c>
      <c r="G15" t="n">
        <v>1</v>
      </c>
      <c r="I15" t="n">
        <v>94</v>
      </c>
      <c r="J15" t="n">
        <v>95</v>
      </c>
      <c r="K15" t="n">
        <v>100</v>
      </c>
      <c r="L15" t="n">
        <v>100</v>
      </c>
      <c r="M15" t="n">
        <v>1</v>
      </c>
      <c r="N15" t="n">
        <v>12</v>
      </c>
      <c r="O15" t="n">
        <v>6</v>
      </c>
      <c r="P15" t="n">
        <v>0.082</v>
      </c>
      <c r="Q15" t="n">
        <v>9.109999999999999</v>
      </c>
      <c r="R15" t="n">
        <v>9.779999999999999</v>
      </c>
      <c r="S15" t="n">
        <v>0</v>
      </c>
      <c r="T15" t="n">
        <v>1</v>
      </c>
      <c r="U15" t="n">
        <v>9729</v>
      </c>
      <c r="V15" t="n">
        <v>3</v>
      </c>
      <c r="W15" t="n">
        <v>1</v>
      </c>
      <c r="X15" t="n">
        <v>1183</v>
      </c>
      <c r="Y15" t="n">
        <v>3.94</v>
      </c>
      <c r="Z15" t="n">
        <v>28.83</v>
      </c>
      <c r="AA15" t="n">
        <v>20.22</v>
      </c>
      <c r="AB15" t="n">
        <v>5</v>
      </c>
      <c r="AC15" t="n">
        <v>0</v>
      </c>
      <c r="AD15">
        <f>A15&amp;"|"&amp;B15</f>
        <v/>
      </c>
    </row>
    <row r="16">
      <c r="A16" t="inlineStr">
        <is>
          <t>P05</t>
        </is>
      </c>
      <c r="B16" t="inlineStr">
        <is>
          <t>Ad_B</t>
        </is>
      </c>
      <c r="C16" t="n">
        <v>2</v>
      </c>
      <c r="D16" t="inlineStr">
        <is>
          <t>AB</t>
        </is>
      </c>
      <c r="E16" t="inlineStr">
        <is>
          <t>Female</t>
        </is>
      </c>
      <c r="F16" t="n">
        <v>20</v>
      </c>
      <c r="G16" t="n">
        <v>1</v>
      </c>
      <c r="I16" t="n">
        <v>94</v>
      </c>
      <c r="J16" t="n">
        <v>95</v>
      </c>
      <c r="K16" t="n">
        <v>26</v>
      </c>
      <c r="L16" t="n">
        <v>26.04</v>
      </c>
      <c r="M16" t="n">
        <v>0</v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n">
        <v>21.67</v>
      </c>
      <c r="R16" t="n">
        <v>22.33</v>
      </c>
      <c r="S16" t="n">
        <v>0</v>
      </c>
      <c r="T16" t="n">
        <v>1</v>
      </c>
      <c r="U16" t="n">
        <v>19927</v>
      </c>
      <c r="V16" t="n">
        <v>2</v>
      </c>
      <c r="W16" t="n">
        <v>0</v>
      </c>
      <c r="X16" t="n">
        <v>550</v>
      </c>
      <c r="Y16" t="n">
        <v>1.83</v>
      </c>
      <c r="Z16" t="n">
        <v>41.89</v>
      </c>
      <c r="AA16" t="n">
        <v>23.83</v>
      </c>
      <c r="AB16" t="n">
        <v>3</v>
      </c>
      <c r="AC16" t="n">
        <v>1</v>
      </c>
      <c r="AD16">
        <f>A16&amp;"|"&amp;B16</f>
        <v/>
      </c>
    </row>
    <row r="17">
      <c r="A17" t="inlineStr">
        <is>
          <t>P06</t>
        </is>
      </c>
      <c r="B17" t="inlineStr">
        <is>
          <t>Baseline</t>
        </is>
      </c>
      <c r="C17" t="inlineStr">
        <is>
          <t>NA</t>
        </is>
      </c>
      <c r="D17" t="inlineStr">
        <is>
          <t>BA</t>
        </is>
      </c>
      <c r="E17" t="inlineStr">
        <is>
          <t>Female</t>
        </is>
      </c>
      <c r="F17" t="n">
        <v>26</v>
      </c>
      <c r="G17" t="n">
        <v>1</v>
      </c>
      <c r="I17" t="n">
        <v>96</v>
      </c>
      <c r="J17" t="n">
        <v>98</v>
      </c>
      <c r="K17" t="n">
        <v>100</v>
      </c>
      <c r="L17" t="n">
        <v>100</v>
      </c>
      <c r="M17" t="n">
        <v>1</v>
      </c>
      <c r="N17" t="n">
        <v>1</v>
      </c>
      <c r="O17" t="n">
        <v>1</v>
      </c>
      <c r="P17" t="n">
        <v>0.0616</v>
      </c>
      <c r="Q17" t="n">
        <v>0</v>
      </c>
      <c r="R17" t="n">
        <v>4.22</v>
      </c>
      <c r="S17" t="n">
        <v>0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>
        <f>A17&amp;"|"&amp;B17</f>
        <v/>
      </c>
    </row>
    <row r="18">
      <c r="A18" t="inlineStr">
        <is>
          <t>P06</t>
        </is>
      </c>
      <c r="B18" t="inlineStr">
        <is>
          <t>Ad_A</t>
        </is>
      </c>
      <c r="C18" t="n">
        <v>2</v>
      </c>
      <c r="D18" t="inlineStr">
        <is>
          <t>BA</t>
        </is>
      </c>
      <c r="E18" t="inlineStr">
        <is>
          <t>Female</t>
        </is>
      </c>
      <c r="F18" t="n">
        <v>26</v>
      </c>
      <c r="G18" t="n">
        <v>1</v>
      </c>
      <c r="I18" t="n">
        <v>95</v>
      </c>
      <c r="J18" t="n">
        <v>96</v>
      </c>
      <c r="K18" t="n">
        <v>100</v>
      </c>
      <c r="L18" t="n">
        <v>100</v>
      </c>
      <c r="M18" t="n">
        <v>1</v>
      </c>
      <c r="N18" t="n">
        <v>4</v>
      </c>
      <c r="O18" t="n">
        <v>2</v>
      </c>
      <c r="P18" t="n">
        <v>0.091</v>
      </c>
      <c r="Q18" t="n">
        <v>10.22</v>
      </c>
      <c r="R18" t="n">
        <v>13.11</v>
      </c>
      <c r="S18" t="n">
        <v>0</v>
      </c>
      <c r="T18" t="n">
        <v>0</v>
      </c>
      <c r="U18" t="inlineStr">
        <is>
          <t>NA</t>
        </is>
      </c>
      <c r="V18" t="n">
        <v>0</v>
      </c>
      <c r="W18" t="n">
        <v>0</v>
      </c>
      <c r="X18" t="n">
        <v>0</v>
      </c>
      <c r="Y18" t="n">
        <v>0</v>
      </c>
      <c r="Z18" t="n">
        <v>52.22</v>
      </c>
      <c r="AA18" t="n">
        <v>17</v>
      </c>
      <c r="AB18" t="n">
        <v>4</v>
      </c>
      <c r="AC18" t="n">
        <v>0</v>
      </c>
      <c r="AD18">
        <f>A18&amp;"|"&amp;B18</f>
        <v/>
      </c>
    </row>
    <row r="19">
      <c r="A19" t="inlineStr">
        <is>
          <t>P06</t>
        </is>
      </c>
      <c r="B19" t="inlineStr">
        <is>
          <t>Ad_B</t>
        </is>
      </c>
      <c r="C19" t="n">
        <v>1</v>
      </c>
      <c r="D19" t="inlineStr">
        <is>
          <t>BA</t>
        </is>
      </c>
      <c r="E19" t="inlineStr">
        <is>
          <t>Female</t>
        </is>
      </c>
      <c r="F19" t="n">
        <v>26</v>
      </c>
      <c r="G19" t="n">
        <v>1</v>
      </c>
      <c r="I19" t="n">
        <v>95</v>
      </c>
      <c r="J19" t="n">
        <v>97</v>
      </c>
      <c r="K19" t="n">
        <v>100</v>
      </c>
      <c r="L19" t="n">
        <v>100</v>
      </c>
      <c r="M19" t="n">
        <v>1</v>
      </c>
      <c r="N19" t="n">
        <v>2</v>
      </c>
      <c r="O19" t="n">
        <v>1</v>
      </c>
      <c r="P19" t="n">
        <v>0.1239</v>
      </c>
      <c r="Q19" t="n">
        <v>17.56</v>
      </c>
      <c r="R19" t="n">
        <v>19.44</v>
      </c>
      <c r="S19" t="n">
        <v>0</v>
      </c>
      <c r="T19" t="n">
        <v>1</v>
      </c>
      <c r="U19" t="n">
        <v>18355</v>
      </c>
      <c r="V19" t="n">
        <v>2</v>
      </c>
      <c r="W19" t="n">
        <v>1</v>
      </c>
      <c r="X19" t="n">
        <v>633</v>
      </c>
      <c r="Y19" t="n">
        <v>2.11</v>
      </c>
      <c r="Z19" t="n">
        <v>50.28</v>
      </c>
      <c r="AA19" t="n">
        <v>24</v>
      </c>
      <c r="AB19" t="n">
        <v>6</v>
      </c>
      <c r="AC19" t="n">
        <v>0</v>
      </c>
      <c r="AD19">
        <f>A19&amp;"|"&amp;B19</f>
        <v/>
      </c>
    </row>
    <row r="20">
      <c r="A20" t="inlineStr">
        <is>
          <t>P07</t>
        </is>
      </c>
      <c r="B20" t="inlineStr">
        <is>
          <t>Baseline</t>
        </is>
      </c>
      <c r="C20" t="inlineStr">
        <is>
          <t>NA</t>
        </is>
      </c>
      <c r="D20" t="inlineStr">
        <is>
          <t>AB</t>
        </is>
      </c>
      <c r="E20" t="inlineStr">
        <is>
          <t>Female</t>
        </is>
      </c>
      <c r="F20" t="n">
        <v>23</v>
      </c>
      <c r="G20" t="n">
        <v>1</v>
      </c>
      <c r="I20" t="n">
        <v>97</v>
      </c>
      <c r="J20" t="n">
        <v>94</v>
      </c>
      <c r="K20" t="n">
        <v>100</v>
      </c>
      <c r="L20" t="n">
        <v>100</v>
      </c>
      <c r="M20" t="n">
        <v>1</v>
      </c>
      <c r="N20" t="n">
        <v>2</v>
      </c>
      <c r="O20" t="n">
        <v>2</v>
      </c>
      <c r="P20" t="n">
        <v>0.2542</v>
      </c>
      <c r="Q20" t="n">
        <v>0</v>
      </c>
      <c r="R20" t="n">
        <v>0.9399999999999999</v>
      </c>
      <c r="S20" t="n">
        <v>0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>
        <f>A20&amp;"|"&amp;B20</f>
        <v/>
      </c>
    </row>
    <row r="21">
      <c r="A21" t="inlineStr">
        <is>
          <t>P07</t>
        </is>
      </c>
      <c r="B21" t="inlineStr">
        <is>
          <t>Ad_A</t>
        </is>
      </c>
      <c r="C21" t="n">
        <v>1</v>
      </c>
      <c r="D21" t="inlineStr">
        <is>
          <t>AB</t>
        </is>
      </c>
      <c r="E21" t="inlineStr">
        <is>
          <t>Female</t>
        </is>
      </c>
      <c r="F21" t="n">
        <v>23</v>
      </c>
      <c r="G21" t="n">
        <v>1</v>
      </c>
      <c r="I21" t="n">
        <v>97</v>
      </c>
      <c r="J21" t="n">
        <v>93</v>
      </c>
      <c r="K21" t="n">
        <v>100</v>
      </c>
      <c r="L21" t="n">
        <v>100</v>
      </c>
      <c r="M21" t="n">
        <v>1</v>
      </c>
      <c r="N21" t="n">
        <v>6</v>
      </c>
      <c r="O21" t="n">
        <v>3</v>
      </c>
      <c r="P21" t="n">
        <v>0.2421</v>
      </c>
      <c r="Q21" t="n">
        <v>7</v>
      </c>
      <c r="R21" t="n">
        <v>8.890000000000001</v>
      </c>
      <c r="S21" t="n">
        <v>0</v>
      </c>
      <c r="T21" t="n">
        <v>1</v>
      </c>
      <c r="U21" t="n">
        <v>5573</v>
      </c>
      <c r="V21" t="n">
        <v>6</v>
      </c>
      <c r="W21" t="n">
        <v>2</v>
      </c>
      <c r="X21" t="n">
        <v>1383</v>
      </c>
      <c r="Y21" t="n">
        <v>4.61</v>
      </c>
      <c r="Z21" t="n">
        <v>22.83</v>
      </c>
      <c r="AA21" t="n">
        <v>19.17</v>
      </c>
      <c r="AB21" t="n">
        <v>6</v>
      </c>
      <c r="AC21" t="n">
        <v>1</v>
      </c>
      <c r="AD21">
        <f>A21&amp;"|"&amp;B21</f>
        <v/>
      </c>
    </row>
    <row r="22">
      <c r="A22" t="inlineStr">
        <is>
          <t>P07</t>
        </is>
      </c>
      <c r="B22" t="inlineStr">
        <is>
          <t>Ad_B</t>
        </is>
      </c>
      <c r="C22" t="n">
        <v>2</v>
      </c>
      <c r="D22" t="inlineStr">
        <is>
          <t>AB</t>
        </is>
      </c>
      <c r="E22" t="inlineStr">
        <is>
          <t>Female</t>
        </is>
      </c>
      <c r="F22" t="n">
        <v>23</v>
      </c>
      <c r="G22" t="n">
        <v>1</v>
      </c>
      <c r="I22" t="n">
        <v>96</v>
      </c>
      <c r="J22" t="n">
        <v>93</v>
      </c>
      <c r="K22" t="n">
        <v>100</v>
      </c>
      <c r="L22" t="n">
        <v>100</v>
      </c>
      <c r="M22" t="n">
        <v>1</v>
      </c>
      <c r="N22" t="n">
        <v>2</v>
      </c>
      <c r="O22" t="n">
        <v>1</v>
      </c>
      <c r="P22" t="n">
        <v>0.1754</v>
      </c>
      <c r="Q22" t="n">
        <v>0</v>
      </c>
      <c r="R22" t="n">
        <v>0</v>
      </c>
      <c r="S22" t="n">
        <v>0</v>
      </c>
      <c r="T22" t="n">
        <v>1</v>
      </c>
      <c r="U22" t="n">
        <v>29792</v>
      </c>
      <c r="V22" t="n">
        <v>1</v>
      </c>
      <c r="W22" t="n">
        <v>0</v>
      </c>
      <c r="X22" t="n">
        <v>233</v>
      </c>
      <c r="Y22" t="n">
        <v>0.78</v>
      </c>
      <c r="Z22" t="n">
        <v>38.89</v>
      </c>
      <c r="AA22" t="n">
        <v>26.28</v>
      </c>
      <c r="AB22" t="n">
        <v>4</v>
      </c>
      <c r="AC22" t="n">
        <v>1</v>
      </c>
      <c r="AD22">
        <f>A22&amp;"|"&amp;B22</f>
        <v/>
      </c>
    </row>
    <row r="23">
      <c r="A23" t="inlineStr">
        <is>
          <t>P08</t>
        </is>
      </c>
      <c r="B23" t="inlineStr">
        <is>
          <t>Baseline</t>
        </is>
      </c>
      <c r="C23" t="inlineStr">
        <is>
          <t>NA</t>
        </is>
      </c>
      <c r="D23" t="inlineStr">
        <is>
          <t>BA</t>
        </is>
      </c>
      <c r="E23" t="inlineStr">
        <is>
          <t>Female</t>
        </is>
      </c>
      <c r="F23" t="n">
        <v>21</v>
      </c>
      <c r="G23" t="n">
        <v>1</v>
      </c>
      <c r="I23" t="n">
        <v>96</v>
      </c>
      <c r="J23" t="n">
        <v>95</v>
      </c>
      <c r="K23" t="n">
        <v>100</v>
      </c>
      <c r="L23" t="n">
        <v>100</v>
      </c>
      <c r="M23" t="n">
        <v>1</v>
      </c>
      <c r="N23" t="n">
        <v>0</v>
      </c>
      <c r="O23" t="n">
        <v>0</v>
      </c>
      <c r="P23" t="inlineStr">
        <is>
          <t>NA</t>
        </is>
      </c>
      <c r="Q23" t="n">
        <v>0</v>
      </c>
      <c r="R23" t="n">
        <v>0</v>
      </c>
      <c r="S23" t="n">
        <v>0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>
        <f>A23&amp;"|"&amp;B23</f>
        <v/>
      </c>
    </row>
    <row r="24">
      <c r="A24" t="inlineStr">
        <is>
          <t>P08</t>
        </is>
      </c>
      <c r="B24" t="inlineStr">
        <is>
          <t>Ad_A</t>
        </is>
      </c>
      <c r="C24" t="n">
        <v>2</v>
      </c>
      <c r="D24" t="inlineStr">
        <is>
          <t>BA</t>
        </is>
      </c>
      <c r="E24" t="inlineStr">
        <is>
          <t>Female</t>
        </is>
      </c>
      <c r="F24" t="n">
        <v>21</v>
      </c>
      <c r="G24" t="n">
        <v>1</v>
      </c>
      <c r="I24" t="n">
        <v>96</v>
      </c>
      <c r="J24" t="n">
        <v>96</v>
      </c>
      <c r="K24" t="n">
        <v>100</v>
      </c>
      <c r="L24" t="n">
        <v>100</v>
      </c>
      <c r="M24" t="n">
        <v>1</v>
      </c>
      <c r="N24" t="n">
        <v>6</v>
      </c>
      <c r="O24" t="n">
        <v>3</v>
      </c>
      <c r="P24" t="n">
        <v>0.1088</v>
      </c>
      <c r="Q24" t="n">
        <v>0</v>
      </c>
      <c r="R24" t="n">
        <v>2.56</v>
      </c>
      <c r="S24" t="n">
        <v>0</v>
      </c>
      <c r="T24" t="n">
        <v>1</v>
      </c>
      <c r="U24" t="n">
        <v>7869</v>
      </c>
      <c r="V24" t="n">
        <v>1</v>
      </c>
      <c r="W24" t="n">
        <v>0</v>
      </c>
      <c r="X24" t="n">
        <v>200</v>
      </c>
      <c r="Y24" t="n">
        <v>0.67</v>
      </c>
      <c r="Z24" t="n">
        <v>55.44</v>
      </c>
      <c r="AA24" t="n">
        <v>23.89</v>
      </c>
      <c r="AB24" t="n">
        <v>3</v>
      </c>
      <c r="AC24" t="n">
        <v>1</v>
      </c>
      <c r="AD24">
        <f>A24&amp;"|"&amp;B24</f>
        <v/>
      </c>
    </row>
    <row r="25">
      <c r="A25" t="inlineStr">
        <is>
          <t>P08</t>
        </is>
      </c>
      <c r="B25" t="inlineStr">
        <is>
          <t>Ad_B</t>
        </is>
      </c>
      <c r="C25" t="n">
        <v>1</v>
      </c>
      <c r="D25" t="inlineStr">
        <is>
          <t>BA</t>
        </is>
      </c>
      <c r="E25" t="inlineStr">
        <is>
          <t>Female</t>
        </is>
      </c>
      <c r="F25" t="n">
        <v>21</v>
      </c>
      <c r="G25" t="n">
        <v>1</v>
      </c>
      <c r="I25" t="n">
        <v>96</v>
      </c>
      <c r="J25" t="n">
        <v>95</v>
      </c>
      <c r="K25" t="n">
        <v>100</v>
      </c>
      <c r="L25" t="n">
        <v>100</v>
      </c>
      <c r="M25" t="n">
        <v>1</v>
      </c>
      <c r="N25" t="n">
        <v>10</v>
      </c>
      <c r="O25" t="n">
        <v>5</v>
      </c>
      <c r="P25" t="n">
        <v>0.1343</v>
      </c>
      <c r="Q25" t="n">
        <v>0</v>
      </c>
      <c r="R25" t="n">
        <v>0</v>
      </c>
      <c r="S25" t="n">
        <v>0</v>
      </c>
      <c r="T25" t="n">
        <v>1</v>
      </c>
      <c r="U25" t="n">
        <v>1093</v>
      </c>
      <c r="V25" t="n">
        <v>4</v>
      </c>
      <c r="W25" t="n">
        <v>0</v>
      </c>
      <c r="X25" t="n">
        <v>1100</v>
      </c>
      <c r="Y25" t="n">
        <v>3.67</v>
      </c>
      <c r="Z25" t="n">
        <v>50.39</v>
      </c>
      <c r="AA25" t="n">
        <v>23.33</v>
      </c>
      <c r="AB25" t="n">
        <v>5</v>
      </c>
      <c r="AC25" t="n">
        <v>0</v>
      </c>
      <c r="AD25">
        <f>A25&amp;"|"&amp;B25</f>
        <v/>
      </c>
    </row>
    <row r="26">
      <c r="A26" t="inlineStr">
        <is>
          <t>P09</t>
        </is>
      </c>
      <c r="B26" t="inlineStr">
        <is>
          <t>Baseline</t>
        </is>
      </c>
      <c r="C26" t="inlineStr">
        <is>
          <t>NA</t>
        </is>
      </c>
      <c r="D26" t="inlineStr">
        <is>
          <t>AB</t>
        </is>
      </c>
      <c r="E26" t="inlineStr">
        <is>
          <t>Female</t>
        </is>
      </c>
      <c r="F26" t="n">
        <v>20</v>
      </c>
      <c r="G26" t="n">
        <v>1</v>
      </c>
      <c r="I26" t="n">
        <v>95</v>
      </c>
      <c r="J26" t="n">
        <v>93</v>
      </c>
      <c r="K26" t="n">
        <v>100</v>
      </c>
      <c r="L26" t="n">
        <v>100</v>
      </c>
      <c r="M26" t="n">
        <v>1</v>
      </c>
      <c r="N26" t="n">
        <v>3</v>
      </c>
      <c r="O26" t="n">
        <v>3</v>
      </c>
      <c r="P26" t="n">
        <v>0.1238</v>
      </c>
      <c r="Q26" t="n">
        <v>0</v>
      </c>
      <c r="R26" t="n">
        <v>2.33</v>
      </c>
      <c r="S26" t="n">
        <v>0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>
        <f>A26&amp;"|"&amp;B26</f>
        <v/>
      </c>
    </row>
    <row r="27">
      <c r="A27" t="inlineStr">
        <is>
          <t>P09</t>
        </is>
      </c>
      <c r="B27" t="inlineStr">
        <is>
          <t>Ad_A</t>
        </is>
      </c>
      <c r="C27" t="n">
        <v>1</v>
      </c>
      <c r="D27" t="inlineStr">
        <is>
          <t>AB</t>
        </is>
      </c>
      <c r="E27" t="inlineStr">
        <is>
          <t>Female</t>
        </is>
      </c>
      <c r="F27" t="n">
        <v>20</v>
      </c>
      <c r="G27" t="n">
        <v>1</v>
      </c>
      <c r="I27" t="n">
        <v>97</v>
      </c>
      <c r="J27" t="n">
        <v>93</v>
      </c>
      <c r="K27" t="n">
        <v>100</v>
      </c>
      <c r="L27" t="n">
        <v>100</v>
      </c>
      <c r="M27" t="n">
        <v>1</v>
      </c>
      <c r="N27" t="n">
        <v>4</v>
      </c>
      <c r="O27" t="n">
        <v>2</v>
      </c>
      <c r="P27" t="n">
        <v>0.1443</v>
      </c>
      <c r="Q27" t="n">
        <v>2.56</v>
      </c>
      <c r="R27" t="n">
        <v>2.56</v>
      </c>
      <c r="S27" t="n">
        <v>0</v>
      </c>
      <c r="T27" t="n">
        <v>0</v>
      </c>
      <c r="U27" t="inlineStr">
        <is>
          <t>NA</t>
        </is>
      </c>
      <c r="V27" t="n">
        <v>0</v>
      </c>
      <c r="W27" t="n">
        <v>0</v>
      </c>
      <c r="X27" t="n">
        <v>0</v>
      </c>
      <c r="Y27" t="n">
        <v>0</v>
      </c>
      <c r="Z27" t="n">
        <v>44.44</v>
      </c>
      <c r="AA27" t="n">
        <v>16.78</v>
      </c>
      <c r="AB27" t="n">
        <v>5</v>
      </c>
      <c r="AC27" t="n">
        <v>1</v>
      </c>
      <c r="AD27">
        <f>A27&amp;"|"&amp;B27</f>
        <v/>
      </c>
    </row>
    <row r="28">
      <c r="A28" t="inlineStr">
        <is>
          <t>P09</t>
        </is>
      </c>
      <c r="B28" t="inlineStr">
        <is>
          <t>Ad_B</t>
        </is>
      </c>
      <c r="C28" t="n">
        <v>2</v>
      </c>
      <c r="D28" t="inlineStr">
        <is>
          <t>AB</t>
        </is>
      </c>
      <c r="E28" t="inlineStr">
        <is>
          <t>Female</t>
        </is>
      </c>
      <c r="F28" t="n">
        <v>20</v>
      </c>
      <c r="G28" t="n">
        <v>1</v>
      </c>
      <c r="I28" t="n">
        <v>95</v>
      </c>
      <c r="J28" t="n">
        <v>92</v>
      </c>
      <c r="K28" t="n">
        <v>100</v>
      </c>
      <c r="L28" t="n">
        <v>100</v>
      </c>
      <c r="M28" t="n">
        <v>1</v>
      </c>
      <c r="N28" t="n">
        <v>10</v>
      </c>
      <c r="O28" t="n">
        <v>5</v>
      </c>
      <c r="P28" t="n">
        <v>0.1693</v>
      </c>
      <c r="Q28" t="n">
        <v>13.11</v>
      </c>
      <c r="R28" t="n">
        <v>18.22</v>
      </c>
      <c r="S28" t="n">
        <v>0</v>
      </c>
      <c r="T28" t="n">
        <v>1</v>
      </c>
      <c r="U28" t="n">
        <v>20136</v>
      </c>
      <c r="V28" t="n">
        <v>1</v>
      </c>
      <c r="W28" t="n">
        <v>0</v>
      </c>
      <c r="X28" t="n">
        <v>533</v>
      </c>
      <c r="Y28" t="n">
        <v>1.78</v>
      </c>
      <c r="Z28" t="n">
        <v>43.61</v>
      </c>
      <c r="AA28" t="n">
        <v>9.17</v>
      </c>
      <c r="AB28" t="n">
        <v>3</v>
      </c>
      <c r="AC28" t="n">
        <v>0</v>
      </c>
      <c r="AD28">
        <f>A28&amp;"|"&amp;B28</f>
        <v/>
      </c>
    </row>
    <row r="29">
      <c r="A29" t="inlineStr">
        <is>
          <t>P10</t>
        </is>
      </c>
      <c r="B29" t="inlineStr">
        <is>
          <t>Baseline</t>
        </is>
      </c>
      <c r="C29" t="inlineStr">
        <is>
          <t>NA</t>
        </is>
      </c>
      <c r="D29" t="inlineStr">
        <is>
          <t>BA</t>
        </is>
      </c>
      <c r="E29" t="inlineStr">
        <is>
          <t>Male</t>
        </is>
      </c>
      <c r="F29" t="n">
        <v>23</v>
      </c>
      <c r="G29" t="n">
        <v>1</v>
      </c>
      <c r="I29" t="n">
        <v>96</v>
      </c>
      <c r="J29" t="n">
        <v>97</v>
      </c>
      <c r="K29" t="n">
        <v>100</v>
      </c>
      <c r="L29" t="n">
        <v>100</v>
      </c>
      <c r="M29" t="n">
        <v>1</v>
      </c>
      <c r="N29" t="n">
        <v>2</v>
      </c>
      <c r="O29" t="n">
        <v>2</v>
      </c>
      <c r="P29" t="n">
        <v>0.1483</v>
      </c>
      <c r="Q29" t="n">
        <v>0</v>
      </c>
      <c r="R29" t="n">
        <v>4.83</v>
      </c>
      <c r="S29" t="n">
        <v>0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>
        <f>A29&amp;"|"&amp;B29</f>
        <v/>
      </c>
    </row>
    <row r="30">
      <c r="A30" t="inlineStr">
        <is>
          <t>P10</t>
        </is>
      </c>
      <c r="B30" t="inlineStr">
        <is>
          <t>Ad_A</t>
        </is>
      </c>
      <c r="C30" t="n">
        <v>2</v>
      </c>
      <c r="D30" t="inlineStr">
        <is>
          <t>BA</t>
        </is>
      </c>
      <c r="E30" t="inlineStr">
        <is>
          <t>Male</t>
        </is>
      </c>
      <c r="F30" t="n">
        <v>23</v>
      </c>
      <c r="G30" t="n">
        <v>1</v>
      </c>
      <c r="I30" t="n">
        <v>95</v>
      </c>
      <c r="J30" t="n">
        <v>98</v>
      </c>
      <c r="K30" t="n">
        <v>100</v>
      </c>
      <c r="L30" t="n">
        <v>100</v>
      </c>
      <c r="M30" t="n">
        <v>1</v>
      </c>
      <c r="N30" t="n">
        <v>6</v>
      </c>
      <c r="O30" t="n">
        <v>3</v>
      </c>
      <c r="P30" t="n">
        <v>0.0945</v>
      </c>
      <c r="Q30" t="n">
        <v>0</v>
      </c>
      <c r="R30" t="n">
        <v>3.56</v>
      </c>
      <c r="S30" t="n">
        <v>0</v>
      </c>
      <c r="T30" t="n">
        <v>1</v>
      </c>
      <c r="U30" t="n">
        <v>16492</v>
      </c>
      <c r="V30" t="n">
        <v>5</v>
      </c>
      <c r="W30" t="n">
        <v>2</v>
      </c>
      <c r="X30" t="n">
        <v>1917</v>
      </c>
      <c r="Y30" t="n">
        <v>6.39</v>
      </c>
      <c r="Z30" t="n">
        <v>47.39</v>
      </c>
      <c r="AA30" t="n">
        <v>13.17</v>
      </c>
      <c r="AB30" t="n">
        <v>5</v>
      </c>
      <c r="AC30" t="n">
        <v>1</v>
      </c>
      <c r="AD30">
        <f>A30&amp;"|"&amp;B30</f>
        <v/>
      </c>
    </row>
    <row r="31">
      <c r="A31" t="inlineStr">
        <is>
          <t>P10</t>
        </is>
      </c>
      <c r="B31" t="inlineStr">
        <is>
          <t>Ad_B</t>
        </is>
      </c>
      <c r="C31" t="n">
        <v>1</v>
      </c>
      <c r="D31" t="inlineStr">
        <is>
          <t>BA</t>
        </is>
      </c>
      <c r="E31" t="inlineStr">
        <is>
          <t>Male</t>
        </is>
      </c>
      <c r="F31" t="n">
        <v>23</v>
      </c>
      <c r="G31" t="n">
        <v>1</v>
      </c>
      <c r="I31" t="n">
        <v>95</v>
      </c>
      <c r="J31" t="n">
        <v>97</v>
      </c>
      <c r="K31" t="n">
        <v>100</v>
      </c>
      <c r="L31" t="n">
        <v>100</v>
      </c>
      <c r="M31" t="n">
        <v>1</v>
      </c>
      <c r="N31" t="n">
        <v>8</v>
      </c>
      <c r="O31" t="n">
        <v>4</v>
      </c>
      <c r="P31" t="n">
        <v>0.1322</v>
      </c>
      <c r="Q31" t="n">
        <v>0</v>
      </c>
      <c r="R31" t="n">
        <v>2.56</v>
      </c>
      <c r="S31" t="n">
        <v>0</v>
      </c>
      <c r="T31" t="n">
        <v>0</v>
      </c>
      <c r="U31" t="inlineStr">
        <is>
          <t>NA</t>
        </is>
      </c>
      <c r="V31" t="n">
        <v>0</v>
      </c>
      <c r="W31" t="n">
        <v>0</v>
      </c>
      <c r="X31" t="n">
        <v>0</v>
      </c>
      <c r="Y31" t="n">
        <v>0</v>
      </c>
      <c r="Z31" t="n">
        <v>42.67</v>
      </c>
      <c r="AA31" t="n">
        <v>20.44</v>
      </c>
      <c r="AB31" t="n">
        <v>4</v>
      </c>
      <c r="AC31" t="n">
        <v>1</v>
      </c>
      <c r="AD31">
        <f>A31&amp;"|"&amp;B31</f>
        <v/>
      </c>
    </row>
    <row r="32">
      <c r="A32" t="inlineStr">
        <is>
          <t>P11</t>
        </is>
      </c>
      <c r="B32" t="inlineStr">
        <is>
          <t>Baseline</t>
        </is>
      </c>
      <c r="C32" t="inlineStr">
        <is>
          <t>NA</t>
        </is>
      </c>
      <c r="D32" t="inlineStr">
        <is>
          <t>AB</t>
        </is>
      </c>
      <c r="E32" t="inlineStr">
        <is>
          <t>Female</t>
        </is>
      </c>
      <c r="F32" t="n">
        <v>24</v>
      </c>
      <c r="G32" t="n">
        <v>1</v>
      </c>
      <c r="I32" t="n">
        <v>96</v>
      </c>
      <c r="J32" t="n">
        <v>98</v>
      </c>
      <c r="K32" t="n">
        <v>100</v>
      </c>
      <c r="L32" t="n">
        <v>100</v>
      </c>
      <c r="M32" t="n">
        <v>1</v>
      </c>
      <c r="N32" t="n">
        <v>5</v>
      </c>
      <c r="O32" t="n">
        <v>5</v>
      </c>
      <c r="P32" t="n">
        <v>0.1853</v>
      </c>
      <c r="Q32" t="n">
        <v>0</v>
      </c>
      <c r="R32" t="n">
        <v>1.44</v>
      </c>
      <c r="S32" t="n">
        <v>1.67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>
        <f>A32&amp;"|"&amp;B32</f>
        <v/>
      </c>
    </row>
    <row r="33">
      <c r="A33" t="inlineStr">
        <is>
          <t>P11</t>
        </is>
      </c>
      <c r="B33" t="inlineStr">
        <is>
          <t>Ad_A</t>
        </is>
      </c>
      <c r="C33" t="n">
        <v>1</v>
      </c>
      <c r="D33" t="inlineStr">
        <is>
          <t>AB</t>
        </is>
      </c>
      <c r="E33" t="inlineStr">
        <is>
          <t>Female</t>
        </is>
      </c>
      <c r="F33" t="n">
        <v>24</v>
      </c>
      <c r="G33" t="n">
        <v>1</v>
      </c>
      <c r="I33" t="n">
        <v>95</v>
      </c>
      <c r="J33" t="n">
        <v>98</v>
      </c>
      <c r="K33" t="n">
        <v>100</v>
      </c>
      <c r="L33" t="n">
        <v>100</v>
      </c>
      <c r="M33" t="n">
        <v>1</v>
      </c>
      <c r="N33" t="n">
        <v>26</v>
      </c>
      <c r="O33" t="n">
        <v>13</v>
      </c>
      <c r="P33" t="n">
        <v>0.1987</v>
      </c>
      <c r="Q33" t="n">
        <v>19.89</v>
      </c>
      <c r="R33" t="n">
        <v>20.67</v>
      </c>
      <c r="S33" t="n">
        <v>0</v>
      </c>
      <c r="T33" t="n">
        <v>1</v>
      </c>
      <c r="U33" t="n">
        <v>1591</v>
      </c>
      <c r="V33" t="n">
        <v>1</v>
      </c>
      <c r="W33" t="n">
        <v>0</v>
      </c>
      <c r="X33" t="n">
        <v>133</v>
      </c>
      <c r="Y33" t="n">
        <v>0.44</v>
      </c>
      <c r="Z33" t="n">
        <v>48.11</v>
      </c>
      <c r="AA33" t="n">
        <v>25.72</v>
      </c>
      <c r="AB33" t="n">
        <v>5</v>
      </c>
      <c r="AC33" t="n">
        <v>1</v>
      </c>
      <c r="AD33">
        <f>A33&amp;"|"&amp;B33</f>
        <v/>
      </c>
    </row>
    <row r="34">
      <c r="A34" t="inlineStr">
        <is>
          <t>P11</t>
        </is>
      </c>
      <c r="B34" t="inlineStr">
        <is>
          <t>Ad_B</t>
        </is>
      </c>
      <c r="C34" t="n">
        <v>2</v>
      </c>
      <c r="D34" t="inlineStr">
        <is>
          <t>AB</t>
        </is>
      </c>
      <c r="E34" t="inlineStr">
        <is>
          <t>Female</t>
        </is>
      </c>
      <c r="F34" t="n">
        <v>24</v>
      </c>
      <c r="G34" t="n">
        <v>1</v>
      </c>
      <c r="I34" t="n">
        <v>96</v>
      </c>
      <c r="J34" t="n">
        <v>98</v>
      </c>
      <c r="K34" t="n">
        <v>100</v>
      </c>
      <c r="L34" t="n">
        <v>100</v>
      </c>
      <c r="M34" t="n">
        <v>1</v>
      </c>
      <c r="N34" t="n">
        <v>18</v>
      </c>
      <c r="O34" t="n">
        <v>9</v>
      </c>
      <c r="P34" t="n">
        <v>0.2315</v>
      </c>
      <c r="Q34" t="n">
        <v>27</v>
      </c>
      <c r="R34" t="n">
        <v>28.44</v>
      </c>
      <c r="S34" t="n">
        <v>0</v>
      </c>
      <c r="T34" t="n">
        <v>1</v>
      </c>
      <c r="U34" t="n">
        <v>1629</v>
      </c>
      <c r="V34" t="n">
        <v>4</v>
      </c>
      <c r="W34" t="n">
        <v>3</v>
      </c>
      <c r="X34" t="n">
        <v>1083</v>
      </c>
      <c r="Y34" t="n">
        <v>3.61</v>
      </c>
      <c r="Z34" t="n">
        <v>46.78</v>
      </c>
      <c r="AA34" t="n">
        <v>11.44</v>
      </c>
      <c r="AB34" t="n">
        <v>4</v>
      </c>
      <c r="AC34" t="n">
        <v>1</v>
      </c>
      <c r="AD34">
        <f>A34&amp;"|"&amp;B34</f>
        <v/>
      </c>
    </row>
    <row r="35">
      <c r="A35" t="inlineStr">
        <is>
          <t>P12</t>
        </is>
      </c>
      <c r="B35" t="inlineStr">
        <is>
          <t>Baseline</t>
        </is>
      </c>
      <c r="C35" t="inlineStr">
        <is>
          <t>NA</t>
        </is>
      </c>
      <c r="D35" t="inlineStr">
        <is>
          <t>BA</t>
        </is>
      </c>
      <c r="E35" t="inlineStr">
        <is>
          <t>Male</t>
        </is>
      </c>
      <c r="F35" t="n">
        <v>23</v>
      </c>
      <c r="G35" t="n">
        <v>1</v>
      </c>
      <c r="I35" t="n">
        <v>95</v>
      </c>
      <c r="J35" t="n">
        <v>96</v>
      </c>
      <c r="K35" t="n">
        <v>91</v>
      </c>
      <c r="L35" t="n">
        <v>91.3283</v>
      </c>
      <c r="M35" t="n">
        <v>1</v>
      </c>
      <c r="N35" t="n">
        <v>4.38</v>
      </c>
      <c r="O35" t="n">
        <v>4</v>
      </c>
      <c r="P35" t="n">
        <v>0.1796</v>
      </c>
      <c r="Q35" t="n">
        <v>0</v>
      </c>
      <c r="R35" t="n">
        <v>1.33</v>
      </c>
      <c r="S35" t="n">
        <v>0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>
        <f>A35&amp;"|"&amp;B35</f>
        <v/>
      </c>
    </row>
    <row r="36">
      <c r="A36" t="inlineStr">
        <is>
          <t>P12</t>
        </is>
      </c>
      <c r="B36" t="inlineStr">
        <is>
          <t>Ad_A</t>
        </is>
      </c>
      <c r="C36" t="n">
        <v>2</v>
      </c>
      <c r="D36" t="inlineStr">
        <is>
          <t>BA</t>
        </is>
      </c>
      <c r="E36" t="inlineStr">
        <is>
          <t>Male</t>
        </is>
      </c>
      <c r="F36" t="n">
        <v>23</v>
      </c>
      <c r="G36" t="n">
        <v>1</v>
      </c>
      <c r="I36" t="n">
        <v>97</v>
      </c>
      <c r="J36" t="n">
        <v>96</v>
      </c>
      <c r="K36" t="n">
        <v>100</v>
      </c>
      <c r="L36" t="n">
        <v>100</v>
      </c>
      <c r="M36" t="n">
        <v>1</v>
      </c>
      <c r="N36" t="n">
        <v>2</v>
      </c>
      <c r="O36" t="n">
        <v>1</v>
      </c>
      <c r="P36" t="n">
        <v>0.1769</v>
      </c>
      <c r="Q36" t="n">
        <v>26.89</v>
      </c>
      <c r="R36" t="n">
        <v>34.67</v>
      </c>
      <c r="S36" t="n">
        <v>0</v>
      </c>
      <c r="T36" t="n">
        <v>0</v>
      </c>
      <c r="U36" t="inlineStr">
        <is>
          <t>NA</t>
        </is>
      </c>
      <c r="V36" t="n">
        <v>0</v>
      </c>
      <c r="W36" t="n">
        <v>0</v>
      </c>
      <c r="X36" t="n">
        <v>0</v>
      </c>
      <c r="Y36" t="n">
        <v>0</v>
      </c>
      <c r="Z36" t="n">
        <v>42.06</v>
      </c>
      <c r="AA36" t="n">
        <v>23.56</v>
      </c>
      <c r="AB36" t="n">
        <v>5</v>
      </c>
      <c r="AC36" t="n">
        <v>0</v>
      </c>
      <c r="AD36">
        <f>A36&amp;"|"&amp;B36</f>
        <v/>
      </c>
    </row>
    <row r="37">
      <c r="A37" t="inlineStr">
        <is>
          <t>P12</t>
        </is>
      </c>
      <c r="B37" t="inlineStr">
        <is>
          <t>Ad_B</t>
        </is>
      </c>
      <c r="C37" t="n">
        <v>1</v>
      </c>
      <c r="D37" t="inlineStr">
        <is>
          <t>BA</t>
        </is>
      </c>
      <c r="E37" t="inlineStr">
        <is>
          <t>Male</t>
        </is>
      </c>
      <c r="F37" t="n">
        <v>23</v>
      </c>
      <c r="G37" t="n">
        <v>1</v>
      </c>
      <c r="I37" t="n">
        <v>94</v>
      </c>
      <c r="J37" t="n">
        <v>96</v>
      </c>
      <c r="K37" t="n">
        <v>100</v>
      </c>
      <c r="L37" t="n">
        <v>100</v>
      </c>
      <c r="M37" t="n">
        <v>1</v>
      </c>
      <c r="N37" t="n">
        <v>4</v>
      </c>
      <c r="O37" t="n">
        <v>2</v>
      </c>
      <c r="P37" t="n">
        <v>0.1921</v>
      </c>
      <c r="Q37" t="n">
        <v>20.11</v>
      </c>
      <c r="R37" t="n">
        <v>25.56</v>
      </c>
      <c r="S37" t="n">
        <v>2.89</v>
      </c>
      <c r="T37" t="n">
        <v>1</v>
      </c>
      <c r="U37" t="n">
        <v>7245</v>
      </c>
      <c r="V37" t="n">
        <v>2</v>
      </c>
      <c r="W37" t="n">
        <v>0</v>
      </c>
      <c r="X37" t="n">
        <v>450</v>
      </c>
      <c r="Y37" t="n">
        <v>1.5</v>
      </c>
      <c r="Z37" t="n">
        <v>31.11</v>
      </c>
      <c r="AA37" t="n">
        <v>15.61</v>
      </c>
      <c r="AB37" t="n">
        <v>5</v>
      </c>
      <c r="AC37" t="n">
        <v>1</v>
      </c>
      <c r="AD37">
        <f>A37&amp;"|"&amp;B37</f>
        <v/>
      </c>
    </row>
    <row r="38">
      <c r="A38" t="inlineStr">
        <is>
          <t>P13</t>
        </is>
      </c>
      <c r="B38" t="inlineStr">
        <is>
          <t>Baseline</t>
        </is>
      </c>
      <c r="C38" t="inlineStr">
        <is>
          <t>NA</t>
        </is>
      </c>
      <c r="D38" t="inlineStr">
        <is>
          <t>AB</t>
        </is>
      </c>
      <c r="E38" t="inlineStr">
        <is>
          <t>Male</t>
        </is>
      </c>
      <c r="F38" t="n">
        <v>20</v>
      </c>
      <c r="G38" t="n">
        <v>1</v>
      </c>
      <c r="I38" t="n">
        <v>97</v>
      </c>
      <c r="J38" t="n">
        <v>94</v>
      </c>
      <c r="K38" t="n">
        <v>100</v>
      </c>
      <c r="L38" t="n">
        <v>100</v>
      </c>
      <c r="M38" t="n">
        <v>1</v>
      </c>
      <c r="N38" t="n">
        <v>0</v>
      </c>
      <c r="O38" t="n">
        <v>0</v>
      </c>
      <c r="P38" t="inlineStr">
        <is>
          <t>NA</t>
        </is>
      </c>
      <c r="Q38" t="n">
        <v>0</v>
      </c>
      <c r="R38" t="n">
        <v>2.06</v>
      </c>
      <c r="S38" t="n">
        <v>0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>
        <f>A38&amp;"|"&amp;B38</f>
        <v/>
      </c>
    </row>
    <row r="39">
      <c r="A39" t="inlineStr">
        <is>
          <t>P13</t>
        </is>
      </c>
      <c r="B39" t="inlineStr">
        <is>
          <t>Ad_A</t>
        </is>
      </c>
      <c r="C39" t="n">
        <v>1</v>
      </c>
      <c r="D39" t="inlineStr">
        <is>
          <t>AB</t>
        </is>
      </c>
      <c r="E39" t="inlineStr">
        <is>
          <t>Male</t>
        </is>
      </c>
      <c r="F39" t="n">
        <v>20</v>
      </c>
      <c r="G39" t="n">
        <v>1</v>
      </c>
      <c r="I39" t="n">
        <v>95</v>
      </c>
      <c r="J39" t="n">
        <v>92</v>
      </c>
      <c r="K39" t="n">
        <v>100</v>
      </c>
      <c r="L39" t="n">
        <v>100</v>
      </c>
      <c r="M39" t="n">
        <v>1</v>
      </c>
      <c r="N39" t="n">
        <v>2</v>
      </c>
      <c r="O39" t="n">
        <v>1</v>
      </c>
      <c r="P39" t="n">
        <v>0.2273</v>
      </c>
      <c r="Q39" t="n">
        <v>14.56</v>
      </c>
      <c r="R39" t="n">
        <v>18.67</v>
      </c>
      <c r="S39" t="n">
        <v>0</v>
      </c>
      <c r="T39" t="n">
        <v>1</v>
      </c>
      <c r="U39" t="n">
        <v>9338</v>
      </c>
      <c r="V39" t="n">
        <v>12</v>
      </c>
      <c r="W39" t="n">
        <v>2</v>
      </c>
      <c r="X39" t="n">
        <v>3333</v>
      </c>
      <c r="Y39" t="n">
        <v>11.11</v>
      </c>
      <c r="Z39" t="n">
        <v>44.5</v>
      </c>
      <c r="AA39" t="n">
        <v>10.06</v>
      </c>
      <c r="AB39" t="n">
        <v>2</v>
      </c>
      <c r="AC39" t="n">
        <v>1</v>
      </c>
      <c r="AD39">
        <f>A39&amp;"|"&amp;B39</f>
        <v/>
      </c>
    </row>
    <row r="40">
      <c r="A40" t="inlineStr">
        <is>
          <t>P13</t>
        </is>
      </c>
      <c r="B40" t="inlineStr">
        <is>
          <t>Ad_B</t>
        </is>
      </c>
      <c r="C40" t="n">
        <v>2</v>
      </c>
      <c r="D40" t="inlineStr">
        <is>
          <t>AB</t>
        </is>
      </c>
      <c r="E40" t="inlineStr">
        <is>
          <t>Male</t>
        </is>
      </c>
      <c r="F40" t="n">
        <v>20</v>
      </c>
      <c r="G40" t="n">
        <v>1</v>
      </c>
      <c r="I40" t="n">
        <v>97</v>
      </c>
      <c r="J40" t="n">
        <v>93</v>
      </c>
      <c r="K40" t="n">
        <v>100</v>
      </c>
      <c r="L40" t="n">
        <v>100</v>
      </c>
      <c r="M40" t="n">
        <v>1</v>
      </c>
      <c r="N40" t="n">
        <v>0</v>
      </c>
      <c r="O40" t="n">
        <v>0</v>
      </c>
      <c r="P40" t="inlineStr">
        <is>
          <t>NA</t>
        </is>
      </c>
      <c r="Q40" t="n">
        <v>1.33</v>
      </c>
      <c r="R40" t="n">
        <v>1.44</v>
      </c>
      <c r="S40" t="n">
        <v>0</v>
      </c>
      <c r="T40" t="n">
        <v>0</v>
      </c>
      <c r="U40" t="inlineStr">
        <is>
          <t>NA</t>
        </is>
      </c>
      <c r="V40" t="n">
        <v>0</v>
      </c>
      <c r="W40" t="n">
        <v>0</v>
      </c>
      <c r="X40" t="n">
        <v>0</v>
      </c>
      <c r="Y40" t="n">
        <v>0</v>
      </c>
      <c r="Z40" t="n">
        <v>33.72</v>
      </c>
      <c r="AA40" t="n">
        <v>21.33</v>
      </c>
      <c r="AB40" t="n">
        <v>1</v>
      </c>
      <c r="AC40" t="n">
        <v>0</v>
      </c>
      <c r="AD40">
        <f>A40&amp;"|"&amp;B40</f>
        <v/>
      </c>
    </row>
    <row r="41">
      <c r="A41" t="inlineStr">
        <is>
          <t>P14</t>
        </is>
      </c>
      <c r="B41" t="inlineStr">
        <is>
          <t>Baseline</t>
        </is>
      </c>
      <c r="C41" t="inlineStr">
        <is>
          <t>NA</t>
        </is>
      </c>
      <c r="D41" t="inlineStr">
        <is>
          <t>BA</t>
        </is>
      </c>
      <c r="E41" t="inlineStr">
        <is>
          <t>Female</t>
        </is>
      </c>
      <c r="F41" t="n">
        <v>21</v>
      </c>
      <c r="G41" t="n">
        <v>1</v>
      </c>
      <c r="I41" t="n">
        <v>95</v>
      </c>
      <c r="J41" t="n">
        <v>92</v>
      </c>
      <c r="K41" t="n">
        <v>100</v>
      </c>
      <c r="L41" t="n">
        <v>100</v>
      </c>
      <c r="M41" t="n">
        <v>1</v>
      </c>
      <c r="N41" t="n">
        <v>0</v>
      </c>
      <c r="O41" t="n">
        <v>0</v>
      </c>
      <c r="P41" t="inlineStr">
        <is>
          <t>NA</t>
        </is>
      </c>
      <c r="Q41" t="n">
        <v>0</v>
      </c>
      <c r="R41" t="n">
        <v>0</v>
      </c>
      <c r="S41" t="n">
        <v>0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>
        <f>A41&amp;"|"&amp;B41</f>
        <v/>
      </c>
    </row>
    <row r="42">
      <c r="A42" t="inlineStr">
        <is>
          <t>P14</t>
        </is>
      </c>
      <c r="B42" t="inlineStr">
        <is>
          <t>Ad_A</t>
        </is>
      </c>
      <c r="C42" t="n">
        <v>2</v>
      </c>
      <c r="D42" t="inlineStr">
        <is>
          <t>BA</t>
        </is>
      </c>
      <c r="E42" t="inlineStr">
        <is>
          <t>Female</t>
        </is>
      </c>
      <c r="F42" t="n">
        <v>21</v>
      </c>
      <c r="G42" t="n">
        <v>1</v>
      </c>
      <c r="I42" t="n">
        <v>95</v>
      </c>
      <c r="J42" t="n">
        <v>92</v>
      </c>
      <c r="K42" t="n">
        <v>100</v>
      </c>
      <c r="L42" t="n">
        <v>100</v>
      </c>
      <c r="M42" t="n">
        <v>1</v>
      </c>
      <c r="N42" t="n">
        <v>2</v>
      </c>
      <c r="O42" t="n">
        <v>1</v>
      </c>
      <c r="P42" t="n">
        <v>0.1081</v>
      </c>
      <c r="Q42" t="n">
        <v>1.22</v>
      </c>
      <c r="R42" t="n">
        <v>1.22</v>
      </c>
      <c r="S42" t="n">
        <v>0</v>
      </c>
      <c r="T42" t="n">
        <v>0</v>
      </c>
      <c r="U42" t="inlineStr">
        <is>
          <t>NA</t>
        </is>
      </c>
      <c r="V42" t="n">
        <v>0</v>
      </c>
      <c r="W42" t="n">
        <v>0</v>
      </c>
      <c r="X42" t="n">
        <v>0</v>
      </c>
      <c r="Y42" t="n">
        <v>0</v>
      </c>
      <c r="Z42" t="n">
        <v>51.72</v>
      </c>
      <c r="AA42" t="n">
        <v>14.17</v>
      </c>
      <c r="AB42" t="n">
        <v>5</v>
      </c>
      <c r="AC42" t="n">
        <v>1</v>
      </c>
      <c r="AD42">
        <f>A42&amp;"|"&amp;B42</f>
        <v/>
      </c>
    </row>
    <row r="43">
      <c r="A43" t="inlineStr">
        <is>
          <t>P14</t>
        </is>
      </c>
      <c r="B43" t="inlineStr">
        <is>
          <t>Ad_B</t>
        </is>
      </c>
      <c r="C43" t="n">
        <v>1</v>
      </c>
      <c r="D43" t="inlineStr">
        <is>
          <t>BA</t>
        </is>
      </c>
      <c r="E43" t="inlineStr">
        <is>
          <t>Female</t>
        </is>
      </c>
      <c r="F43" t="n">
        <v>21</v>
      </c>
      <c r="G43" t="n">
        <v>1</v>
      </c>
      <c r="I43" t="n">
        <v>96</v>
      </c>
      <c r="J43" t="n">
        <v>91</v>
      </c>
      <c r="K43" t="n">
        <v>100</v>
      </c>
      <c r="L43" t="n">
        <v>100</v>
      </c>
      <c r="M43" t="n">
        <v>1</v>
      </c>
      <c r="N43" t="n">
        <v>2</v>
      </c>
      <c r="O43" t="n">
        <v>1</v>
      </c>
      <c r="P43" t="n">
        <v>0.2255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NA</t>
        </is>
      </c>
      <c r="V43" t="n">
        <v>0</v>
      </c>
      <c r="W43" t="n">
        <v>0</v>
      </c>
      <c r="X43" t="n">
        <v>0</v>
      </c>
      <c r="Y43" t="n">
        <v>0</v>
      </c>
      <c r="Z43" t="n">
        <v>39.78</v>
      </c>
      <c r="AA43" t="n">
        <v>20.17</v>
      </c>
      <c r="AB43" t="n">
        <v>4</v>
      </c>
      <c r="AC43" t="n">
        <v>0</v>
      </c>
      <c r="AD43">
        <f>A43&amp;"|"&amp;B43</f>
        <v/>
      </c>
    </row>
    <row r="44">
      <c r="A44" t="inlineStr">
        <is>
          <t>P15</t>
        </is>
      </c>
      <c r="B44" t="inlineStr">
        <is>
          <t>Baseline</t>
        </is>
      </c>
      <c r="C44" t="inlineStr">
        <is>
          <t>NA</t>
        </is>
      </c>
      <c r="D44" t="inlineStr">
        <is>
          <t>AB</t>
        </is>
      </c>
      <c r="E44" t="inlineStr">
        <is>
          <t>Male</t>
        </is>
      </c>
      <c r="F44" t="n">
        <v>20</v>
      </c>
      <c r="G44" t="n">
        <v>1</v>
      </c>
      <c r="I44" t="n">
        <v>96</v>
      </c>
      <c r="J44" t="n">
        <v>94</v>
      </c>
      <c r="K44" t="n">
        <v>100</v>
      </c>
      <c r="L44" t="n">
        <v>100</v>
      </c>
      <c r="M44" t="n">
        <v>1</v>
      </c>
      <c r="N44" t="n">
        <v>2</v>
      </c>
      <c r="O44" t="n">
        <v>2</v>
      </c>
      <c r="P44" t="n">
        <v>0.1271</v>
      </c>
      <c r="Q44" t="n">
        <v>0</v>
      </c>
      <c r="R44" t="n">
        <v>0</v>
      </c>
      <c r="S44" t="n">
        <v>0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>
        <f>A44&amp;"|"&amp;B44</f>
        <v/>
      </c>
    </row>
    <row r="45">
      <c r="A45" t="inlineStr">
        <is>
          <t>P15</t>
        </is>
      </c>
      <c r="B45" t="inlineStr">
        <is>
          <t>Ad_A</t>
        </is>
      </c>
      <c r="C45" t="n">
        <v>1</v>
      </c>
      <c r="D45" t="inlineStr">
        <is>
          <t>AB</t>
        </is>
      </c>
      <c r="E45" t="inlineStr">
        <is>
          <t>Male</t>
        </is>
      </c>
      <c r="F45" t="n">
        <v>20</v>
      </c>
      <c r="G45" t="n">
        <v>1</v>
      </c>
      <c r="I45" t="n">
        <v>95</v>
      </c>
      <c r="J45" t="n">
        <v>95</v>
      </c>
      <c r="K45" t="n">
        <v>100</v>
      </c>
      <c r="L45" t="n">
        <v>100</v>
      </c>
      <c r="M45" t="n">
        <v>1</v>
      </c>
      <c r="N45" t="n">
        <v>8</v>
      </c>
      <c r="O45" t="n">
        <v>4</v>
      </c>
      <c r="P45" t="n">
        <v>0.1752</v>
      </c>
      <c r="Q45" t="n">
        <v>3.11</v>
      </c>
      <c r="R45" t="n">
        <v>8.220000000000001</v>
      </c>
      <c r="S45" t="n">
        <v>5.22</v>
      </c>
      <c r="T45" t="n">
        <v>0</v>
      </c>
      <c r="U45" t="inlineStr">
        <is>
          <t>NA</t>
        </is>
      </c>
      <c r="V45" t="n">
        <v>0</v>
      </c>
      <c r="W45" t="n">
        <v>0</v>
      </c>
      <c r="X45" t="n">
        <v>0</v>
      </c>
      <c r="Y45" t="n">
        <v>0</v>
      </c>
      <c r="Z45" t="n">
        <v>48.17</v>
      </c>
      <c r="AA45" t="n">
        <v>3.22</v>
      </c>
      <c r="AB45" t="n">
        <v>3</v>
      </c>
      <c r="AC45" t="n">
        <v>0</v>
      </c>
      <c r="AD45">
        <f>A45&amp;"|"&amp;B45</f>
        <v/>
      </c>
    </row>
    <row r="46">
      <c r="A46" t="inlineStr">
        <is>
          <t>P15</t>
        </is>
      </c>
      <c r="B46" t="inlineStr">
        <is>
          <t>Ad_B</t>
        </is>
      </c>
      <c r="C46" t="n">
        <v>2</v>
      </c>
      <c r="D46" t="inlineStr">
        <is>
          <t>AB</t>
        </is>
      </c>
      <c r="E46" t="inlineStr">
        <is>
          <t>Male</t>
        </is>
      </c>
      <c r="F46" t="n">
        <v>20</v>
      </c>
      <c r="G46" t="n">
        <v>1</v>
      </c>
      <c r="I46" t="n">
        <v>95</v>
      </c>
      <c r="J46" t="n">
        <v>94</v>
      </c>
      <c r="K46" t="n">
        <v>100</v>
      </c>
      <c r="L46" t="n">
        <v>100</v>
      </c>
      <c r="M46" t="n">
        <v>1</v>
      </c>
      <c r="N46" t="n">
        <v>4</v>
      </c>
      <c r="O46" t="n">
        <v>2</v>
      </c>
      <c r="P46" t="n">
        <v>0.0868</v>
      </c>
      <c r="Q46" t="n">
        <v>7.78</v>
      </c>
      <c r="R46" t="n">
        <v>8</v>
      </c>
      <c r="S46" t="n">
        <v>0</v>
      </c>
      <c r="T46" t="n">
        <v>0</v>
      </c>
      <c r="U46" t="inlineStr">
        <is>
          <t>NA</t>
        </is>
      </c>
      <c r="V46" t="n">
        <v>0</v>
      </c>
      <c r="W46" t="n">
        <v>0</v>
      </c>
      <c r="X46" t="n">
        <v>0</v>
      </c>
      <c r="Y46" t="n">
        <v>0</v>
      </c>
      <c r="Z46" t="n">
        <v>35.89</v>
      </c>
      <c r="AA46" t="n">
        <v>13.39</v>
      </c>
      <c r="AB46" t="n">
        <v>4</v>
      </c>
      <c r="AC46" t="n">
        <v>0</v>
      </c>
      <c r="AD46">
        <f>A46&amp;"|"&amp;B46</f>
        <v/>
      </c>
    </row>
    <row r="47">
      <c r="A47" t="inlineStr">
        <is>
          <t>P16</t>
        </is>
      </c>
      <c r="B47" t="inlineStr">
        <is>
          <t>Baseline</t>
        </is>
      </c>
      <c r="C47" t="inlineStr">
        <is>
          <t>NA</t>
        </is>
      </c>
      <c r="D47" t="inlineStr">
        <is>
          <t>BA</t>
        </is>
      </c>
      <c r="E47" t="inlineStr">
        <is>
          <t>Male</t>
        </is>
      </c>
      <c r="F47" t="n">
        <v>23</v>
      </c>
      <c r="G47" t="n">
        <v>1</v>
      </c>
      <c r="I47" t="n">
        <v>96</v>
      </c>
      <c r="J47" t="n">
        <v>91</v>
      </c>
      <c r="K47" t="n">
        <v>100</v>
      </c>
      <c r="L47" t="n">
        <v>100</v>
      </c>
      <c r="M47" t="n">
        <v>1</v>
      </c>
      <c r="N47" t="n">
        <v>4</v>
      </c>
      <c r="O47" t="n">
        <v>4</v>
      </c>
      <c r="P47" t="n">
        <v>0.1297</v>
      </c>
      <c r="Q47" t="n">
        <v>0</v>
      </c>
      <c r="R47" t="n">
        <v>7.33</v>
      </c>
      <c r="S47" t="n">
        <v>5.06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>
        <f>A47&amp;"|"&amp;B47</f>
        <v/>
      </c>
    </row>
    <row r="48">
      <c r="A48" t="inlineStr">
        <is>
          <t>P16</t>
        </is>
      </c>
      <c r="B48" t="inlineStr">
        <is>
          <t>Ad_A</t>
        </is>
      </c>
      <c r="C48" t="n">
        <v>2</v>
      </c>
      <c r="D48" t="inlineStr">
        <is>
          <t>BA</t>
        </is>
      </c>
      <c r="E48" t="inlineStr">
        <is>
          <t>Male</t>
        </is>
      </c>
      <c r="F48" t="n">
        <v>23</v>
      </c>
      <c r="G48" t="n">
        <v>1</v>
      </c>
      <c r="I48" t="n">
        <v>95</v>
      </c>
      <c r="J48" t="n">
        <v>90</v>
      </c>
      <c r="K48" t="n">
        <v>100</v>
      </c>
      <c r="L48" t="n">
        <v>100</v>
      </c>
      <c r="M48" t="n">
        <v>1</v>
      </c>
      <c r="N48" t="n">
        <v>16</v>
      </c>
      <c r="O48" t="n">
        <v>8</v>
      </c>
      <c r="P48" t="n">
        <v>0.1632</v>
      </c>
      <c r="Q48" t="n">
        <v>4.67</v>
      </c>
      <c r="R48" t="n">
        <v>8.56</v>
      </c>
      <c r="S48" t="n">
        <v>4</v>
      </c>
      <c r="T48" t="n">
        <v>1</v>
      </c>
      <c r="U48" t="n">
        <v>2168</v>
      </c>
      <c r="V48" t="n">
        <v>1</v>
      </c>
      <c r="W48" t="n">
        <v>0</v>
      </c>
      <c r="X48" t="n">
        <v>467</v>
      </c>
      <c r="Y48" t="n">
        <v>1.56</v>
      </c>
      <c r="Z48" t="n">
        <v>43.33</v>
      </c>
      <c r="AA48" t="n">
        <v>19.94</v>
      </c>
      <c r="AB48" t="n">
        <v>1</v>
      </c>
      <c r="AC48" t="n">
        <v>0</v>
      </c>
      <c r="AD48">
        <f>A48&amp;"|"&amp;B48</f>
        <v/>
      </c>
    </row>
    <row r="49">
      <c r="A49" t="inlineStr">
        <is>
          <t>P16</t>
        </is>
      </c>
      <c r="B49" t="inlineStr">
        <is>
          <t>Ad_B</t>
        </is>
      </c>
      <c r="C49" t="n">
        <v>1</v>
      </c>
      <c r="D49" t="inlineStr">
        <is>
          <t>BA</t>
        </is>
      </c>
      <c r="E49" t="inlineStr">
        <is>
          <t>Male</t>
        </is>
      </c>
      <c r="F49" t="n">
        <v>23</v>
      </c>
      <c r="G49" t="n">
        <v>1</v>
      </c>
      <c r="I49" t="n">
        <v>96</v>
      </c>
      <c r="J49" t="n">
        <v>92</v>
      </c>
      <c r="K49" t="n">
        <v>100</v>
      </c>
      <c r="L49" t="n">
        <v>100</v>
      </c>
      <c r="M49" t="n">
        <v>1</v>
      </c>
      <c r="N49" t="n">
        <v>6</v>
      </c>
      <c r="O49" t="n">
        <v>3</v>
      </c>
      <c r="P49" t="n">
        <v>0.2298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NA</t>
        </is>
      </c>
      <c r="V49" t="n">
        <v>0</v>
      </c>
      <c r="W49" t="n">
        <v>0</v>
      </c>
      <c r="X49" t="n">
        <v>0</v>
      </c>
      <c r="Y49" t="n">
        <v>0</v>
      </c>
      <c r="Z49" t="n">
        <v>49.11</v>
      </c>
      <c r="AA49" t="n">
        <v>23.17</v>
      </c>
      <c r="AB49" t="n">
        <v>2</v>
      </c>
      <c r="AC49" t="n">
        <v>0</v>
      </c>
      <c r="AD49">
        <f>A49&amp;"|"&amp;B49</f>
        <v/>
      </c>
    </row>
    <row r="50">
      <c r="A50" t="inlineStr">
        <is>
          <t>P17</t>
        </is>
      </c>
      <c r="B50" t="inlineStr">
        <is>
          <t>Baseline</t>
        </is>
      </c>
      <c r="C50" t="inlineStr">
        <is>
          <t>NA</t>
        </is>
      </c>
      <c r="D50" t="inlineStr">
        <is>
          <t>AB</t>
        </is>
      </c>
      <c r="E50" t="inlineStr">
        <is>
          <t>Female</t>
        </is>
      </c>
      <c r="F50" t="n">
        <v>19</v>
      </c>
      <c r="G50" t="n">
        <v>1</v>
      </c>
      <c r="I50" t="n">
        <v>97</v>
      </c>
      <c r="J50" t="n">
        <v>95</v>
      </c>
      <c r="K50" t="n">
        <v>100</v>
      </c>
      <c r="L50" t="n">
        <v>100</v>
      </c>
      <c r="M50" t="n">
        <v>1</v>
      </c>
      <c r="N50" t="n">
        <v>3</v>
      </c>
      <c r="O50" t="n">
        <v>3</v>
      </c>
      <c r="P50" t="n">
        <v>0.1222</v>
      </c>
      <c r="Q50" t="n">
        <v>0</v>
      </c>
      <c r="R50" t="n">
        <v>0</v>
      </c>
      <c r="S50" t="n">
        <v>0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>
        <f>A50&amp;"|"&amp;B50</f>
        <v/>
      </c>
    </row>
    <row r="51">
      <c r="A51" t="inlineStr">
        <is>
          <t>P17</t>
        </is>
      </c>
      <c r="B51" t="inlineStr">
        <is>
          <t>Ad_A</t>
        </is>
      </c>
      <c r="C51" t="n">
        <v>1</v>
      </c>
      <c r="D51" t="inlineStr">
        <is>
          <t>AB</t>
        </is>
      </c>
      <c r="E51" t="inlineStr">
        <is>
          <t>Female</t>
        </is>
      </c>
      <c r="F51" t="n">
        <v>19</v>
      </c>
      <c r="G51" t="n">
        <v>1</v>
      </c>
      <c r="I51" t="n">
        <v>98</v>
      </c>
      <c r="J51" t="n">
        <v>96</v>
      </c>
      <c r="K51" t="n">
        <v>99</v>
      </c>
      <c r="L51" t="n">
        <v>100</v>
      </c>
      <c r="M51" t="n">
        <v>1</v>
      </c>
      <c r="N51" t="n">
        <v>8</v>
      </c>
      <c r="O51" t="n">
        <v>4</v>
      </c>
      <c r="P51" t="n">
        <v>0.1278</v>
      </c>
      <c r="Q51" t="n">
        <v>39.33</v>
      </c>
      <c r="R51" t="n">
        <v>41.67</v>
      </c>
      <c r="S51" t="n">
        <v>0</v>
      </c>
      <c r="T51" t="n">
        <v>0</v>
      </c>
      <c r="U51" t="inlineStr">
        <is>
          <t>NA</t>
        </is>
      </c>
      <c r="V51" t="n">
        <v>0</v>
      </c>
      <c r="W51" t="n">
        <v>0</v>
      </c>
      <c r="X51" t="n">
        <v>0</v>
      </c>
      <c r="Y51" t="n">
        <v>0</v>
      </c>
      <c r="Z51" t="n">
        <v>45.94</v>
      </c>
      <c r="AA51" t="n">
        <v>9.390000000000001</v>
      </c>
      <c r="AB51" t="n">
        <v>4</v>
      </c>
      <c r="AC51" t="n">
        <v>0</v>
      </c>
      <c r="AD51">
        <f>A51&amp;"|"&amp;B51</f>
        <v/>
      </c>
    </row>
    <row r="52">
      <c r="A52" t="inlineStr">
        <is>
          <t>P17</t>
        </is>
      </c>
      <c r="B52" t="inlineStr">
        <is>
          <t>Ad_B</t>
        </is>
      </c>
      <c r="C52" t="n">
        <v>2</v>
      </c>
      <c r="D52" t="inlineStr">
        <is>
          <t>AB</t>
        </is>
      </c>
      <c r="E52" t="inlineStr">
        <is>
          <t>Female</t>
        </is>
      </c>
      <c r="F52" t="n">
        <v>19</v>
      </c>
      <c r="G52" t="n">
        <v>1</v>
      </c>
      <c r="I52" t="n">
        <v>96</v>
      </c>
      <c r="J52" t="n">
        <v>95</v>
      </c>
      <c r="K52" t="n">
        <v>100</v>
      </c>
      <c r="L52" t="n">
        <v>100</v>
      </c>
      <c r="M52" t="n">
        <v>1</v>
      </c>
      <c r="N52" t="n">
        <v>8</v>
      </c>
      <c r="O52" t="n">
        <v>4</v>
      </c>
      <c r="P52" t="n">
        <v>0.1807</v>
      </c>
      <c r="Q52" t="n">
        <v>20</v>
      </c>
      <c r="R52" t="n">
        <v>20.78</v>
      </c>
      <c r="S52" t="n">
        <v>0</v>
      </c>
      <c r="T52" t="n">
        <v>0</v>
      </c>
      <c r="U52" t="inlineStr">
        <is>
          <t>NA</t>
        </is>
      </c>
      <c r="V52" t="n">
        <v>0</v>
      </c>
      <c r="W52" t="n">
        <v>0</v>
      </c>
      <c r="X52" t="n">
        <v>0</v>
      </c>
      <c r="Y52" t="n">
        <v>0</v>
      </c>
      <c r="Z52" t="n">
        <v>38.39</v>
      </c>
      <c r="AA52" t="n">
        <v>14.44</v>
      </c>
      <c r="AB52" t="n">
        <v>3</v>
      </c>
      <c r="AC52" t="n">
        <v>0</v>
      </c>
      <c r="AD52">
        <f>A52&amp;"|"&amp;B52</f>
        <v/>
      </c>
    </row>
    <row r="53">
      <c r="A53" t="inlineStr">
        <is>
          <t>P18</t>
        </is>
      </c>
      <c r="B53" t="inlineStr">
        <is>
          <t>Baseline</t>
        </is>
      </c>
      <c r="C53" t="inlineStr">
        <is>
          <t>NA</t>
        </is>
      </c>
      <c r="D53" t="inlineStr">
        <is>
          <t>BA</t>
        </is>
      </c>
      <c r="E53" t="inlineStr">
        <is>
          <t>Female</t>
        </is>
      </c>
      <c r="F53" t="n">
        <v>20</v>
      </c>
      <c r="G53" t="n">
        <v>0</v>
      </c>
      <c r="H53" t="inlineStr">
        <is>
          <t>eye tracking quality below 90 percent on an ad</t>
        </is>
      </c>
      <c r="I53" t="n">
        <v>94</v>
      </c>
      <c r="J53" t="n">
        <v>98</v>
      </c>
      <c r="K53" t="n">
        <v>100</v>
      </c>
      <c r="L53" t="n">
        <v>100</v>
      </c>
      <c r="M53" t="n">
        <v>1</v>
      </c>
      <c r="N53" t="n">
        <v>4</v>
      </c>
      <c r="O53" t="n">
        <v>4</v>
      </c>
      <c r="P53" t="n">
        <v>0.1441</v>
      </c>
      <c r="Q53" t="n">
        <v>0</v>
      </c>
      <c r="R53" t="n">
        <v>3.39</v>
      </c>
      <c r="S53" t="n">
        <v>0</v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>
        <f>A53&amp;"|"&amp;B53</f>
        <v/>
      </c>
    </row>
    <row r="54">
      <c r="A54" t="inlineStr">
        <is>
          <t>P18</t>
        </is>
      </c>
      <c r="B54" t="inlineStr">
        <is>
          <t>Ad_A</t>
        </is>
      </c>
      <c r="C54" t="n">
        <v>2</v>
      </c>
      <c r="D54" t="inlineStr">
        <is>
          <t>BA</t>
        </is>
      </c>
      <c r="E54" t="inlineStr">
        <is>
          <t>Female</t>
        </is>
      </c>
      <c r="F54" t="n">
        <v>20</v>
      </c>
      <c r="G54" t="n">
        <v>0</v>
      </c>
      <c r="H54" t="inlineStr">
        <is>
          <t>eye tracking quality below 90 percent on an ad</t>
        </is>
      </c>
      <c r="I54" t="n">
        <v>90</v>
      </c>
      <c r="J54" t="n">
        <v>97</v>
      </c>
      <c r="K54" t="n">
        <v>100</v>
      </c>
      <c r="L54" t="n">
        <v>100</v>
      </c>
      <c r="M54" t="n">
        <v>1</v>
      </c>
      <c r="N54" t="n">
        <v>8</v>
      </c>
      <c r="O54" t="n">
        <v>4</v>
      </c>
      <c r="P54" t="n">
        <v>0.2281</v>
      </c>
      <c r="Q54" t="n">
        <v>9.67</v>
      </c>
      <c r="R54" t="n">
        <v>10.56</v>
      </c>
      <c r="S54" t="n">
        <v>0</v>
      </c>
      <c r="T54" t="n">
        <v>0</v>
      </c>
      <c r="U54" t="inlineStr">
        <is>
          <t>NA</t>
        </is>
      </c>
      <c r="V54" t="n">
        <v>0</v>
      </c>
      <c r="W54" t="n">
        <v>0</v>
      </c>
      <c r="X54" t="n">
        <v>0</v>
      </c>
      <c r="Y54" t="n">
        <v>0</v>
      </c>
      <c r="Z54" t="n">
        <v>47.11</v>
      </c>
      <c r="AA54" t="n">
        <v>10.11</v>
      </c>
      <c r="AB54" t="n">
        <v>5</v>
      </c>
      <c r="AC54" t="n">
        <v>0</v>
      </c>
      <c r="AD54">
        <f>A54&amp;"|"&amp;B54</f>
        <v/>
      </c>
    </row>
    <row r="55">
      <c r="A55" t="inlineStr">
        <is>
          <t>P18</t>
        </is>
      </c>
      <c r="B55" t="inlineStr">
        <is>
          <t>Ad_B</t>
        </is>
      </c>
      <c r="C55" t="n">
        <v>1</v>
      </c>
      <c r="D55" t="inlineStr">
        <is>
          <t>BA</t>
        </is>
      </c>
      <c r="E55" t="inlineStr">
        <is>
          <t>Female</t>
        </is>
      </c>
      <c r="F55" t="n">
        <v>20</v>
      </c>
      <c r="G55" t="n">
        <v>0</v>
      </c>
      <c r="H55" t="inlineStr">
        <is>
          <t>eye tracking quality below 90 percent on an ad</t>
        </is>
      </c>
      <c r="I55" t="n">
        <v>77</v>
      </c>
      <c r="J55" t="n">
        <v>98</v>
      </c>
      <c r="K55" t="n">
        <v>100</v>
      </c>
      <c r="L55" t="n">
        <v>100</v>
      </c>
      <c r="M55" t="n">
        <v>1</v>
      </c>
      <c r="N55" t="n">
        <v>6</v>
      </c>
      <c r="O55" t="n">
        <v>3</v>
      </c>
      <c r="P55" t="n">
        <v>0.1359</v>
      </c>
      <c r="Q55" t="n">
        <v>4.78</v>
      </c>
      <c r="R55" t="n">
        <v>4.89</v>
      </c>
      <c r="S55" t="n">
        <v>0</v>
      </c>
      <c r="T55" t="n">
        <v>1</v>
      </c>
      <c r="U55" t="n">
        <v>22255</v>
      </c>
      <c r="V55" t="n">
        <v>2</v>
      </c>
      <c r="W55" t="n">
        <v>0</v>
      </c>
      <c r="X55" t="n">
        <v>450</v>
      </c>
      <c r="Y55" t="n">
        <v>1.5</v>
      </c>
      <c r="Z55" t="n">
        <v>34.89</v>
      </c>
      <c r="AA55" t="n">
        <v>14.89</v>
      </c>
      <c r="AB55" t="n">
        <v>5</v>
      </c>
      <c r="AC55" t="n">
        <v>0</v>
      </c>
      <c r="AD55">
        <f>A55&amp;"|"&amp;B55</f>
        <v/>
      </c>
    </row>
    <row r="56">
      <c r="A56" t="inlineStr">
        <is>
          <t>P19</t>
        </is>
      </c>
      <c r="B56" t="inlineStr">
        <is>
          <t>Baseline</t>
        </is>
      </c>
      <c r="C56" t="inlineStr">
        <is>
          <t>NA</t>
        </is>
      </c>
      <c r="D56" t="inlineStr">
        <is>
          <t>AB</t>
        </is>
      </c>
      <c r="E56" t="inlineStr">
        <is>
          <t>Male</t>
        </is>
      </c>
      <c r="F56" t="n">
        <v>23</v>
      </c>
      <c r="G56" t="n">
        <v>1</v>
      </c>
      <c r="I56" t="n">
        <v>95</v>
      </c>
      <c r="J56" t="n">
        <v>96</v>
      </c>
      <c r="K56" t="n">
        <v>100</v>
      </c>
      <c r="L56" t="n">
        <v>100</v>
      </c>
      <c r="M56" t="n">
        <v>1</v>
      </c>
      <c r="N56" t="n">
        <v>1</v>
      </c>
      <c r="O56" t="n">
        <v>1</v>
      </c>
      <c r="P56" t="n">
        <v>0.1566</v>
      </c>
      <c r="Q56" t="n">
        <v>0</v>
      </c>
      <c r="R56" t="n">
        <v>5.44</v>
      </c>
      <c r="S56" t="n">
        <v>2.11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>
        <f>A56&amp;"|"&amp;B56</f>
        <v/>
      </c>
    </row>
    <row r="57">
      <c r="A57" t="inlineStr">
        <is>
          <t>P19</t>
        </is>
      </c>
      <c r="B57" t="inlineStr">
        <is>
          <t>Ad_A</t>
        </is>
      </c>
      <c r="C57" t="n">
        <v>1</v>
      </c>
      <c r="D57" t="inlineStr">
        <is>
          <t>AB</t>
        </is>
      </c>
      <c r="E57" t="inlineStr">
        <is>
          <t>Male</t>
        </is>
      </c>
      <c r="F57" t="n">
        <v>23</v>
      </c>
      <c r="G57" t="n">
        <v>1</v>
      </c>
      <c r="I57" t="n">
        <v>97</v>
      </c>
      <c r="J57" t="n">
        <v>96</v>
      </c>
      <c r="K57" t="n">
        <v>100</v>
      </c>
      <c r="L57" t="n">
        <v>100</v>
      </c>
      <c r="M57" t="n">
        <v>1</v>
      </c>
      <c r="N57" t="n">
        <v>14</v>
      </c>
      <c r="O57" t="n">
        <v>7</v>
      </c>
      <c r="P57" t="n">
        <v>0.1762</v>
      </c>
      <c r="Q57" t="n">
        <v>19.56</v>
      </c>
      <c r="R57" t="n">
        <v>26.44</v>
      </c>
      <c r="S57" t="n">
        <v>1.56</v>
      </c>
      <c r="T57" t="n">
        <v>1</v>
      </c>
      <c r="U57" t="n">
        <v>3859</v>
      </c>
      <c r="V57" t="n">
        <v>2</v>
      </c>
      <c r="W57" t="n">
        <v>1</v>
      </c>
      <c r="X57" t="n">
        <v>667</v>
      </c>
      <c r="Y57" t="n">
        <v>2.22</v>
      </c>
      <c r="Z57" t="n">
        <v>40.5</v>
      </c>
      <c r="AA57" t="n">
        <v>22.06</v>
      </c>
      <c r="AB57" t="n">
        <v>7</v>
      </c>
      <c r="AC57" t="n">
        <v>1</v>
      </c>
      <c r="AD57">
        <f>A57&amp;"|"&amp;B57</f>
        <v/>
      </c>
    </row>
    <row r="58">
      <c r="A58" t="inlineStr">
        <is>
          <t>P19</t>
        </is>
      </c>
      <c r="B58" t="inlineStr">
        <is>
          <t>Ad_B</t>
        </is>
      </c>
      <c r="C58" t="n">
        <v>2</v>
      </c>
      <c r="D58" t="inlineStr">
        <is>
          <t>AB</t>
        </is>
      </c>
      <c r="E58" t="inlineStr">
        <is>
          <t>Male</t>
        </is>
      </c>
      <c r="F58" t="n">
        <v>23</v>
      </c>
      <c r="G58" t="n">
        <v>1</v>
      </c>
      <c r="I58" t="n">
        <v>95</v>
      </c>
      <c r="J58" t="n">
        <v>94</v>
      </c>
      <c r="K58" t="n">
        <v>100</v>
      </c>
      <c r="L58" t="n">
        <v>100</v>
      </c>
      <c r="M58" t="n">
        <v>1</v>
      </c>
      <c r="N58" t="n">
        <v>6</v>
      </c>
      <c r="O58" t="n">
        <v>3</v>
      </c>
      <c r="P58" t="n">
        <v>0.1146</v>
      </c>
      <c r="Q58" t="n">
        <v>0</v>
      </c>
      <c r="R58" t="n">
        <v>0</v>
      </c>
      <c r="S58" t="n">
        <v>0</v>
      </c>
      <c r="T58" t="n">
        <v>1</v>
      </c>
      <c r="U58" t="n">
        <v>16238</v>
      </c>
      <c r="V58" t="n">
        <v>4</v>
      </c>
      <c r="W58" t="n">
        <v>1</v>
      </c>
      <c r="X58" t="n">
        <v>1117</v>
      </c>
      <c r="Y58" t="n">
        <v>3.72</v>
      </c>
      <c r="Z58" t="n">
        <v>39.22</v>
      </c>
      <c r="AA58" t="n">
        <v>23.67</v>
      </c>
      <c r="AB58" t="n">
        <v>3</v>
      </c>
      <c r="AC58" t="n">
        <v>1</v>
      </c>
      <c r="AD58">
        <f>A58&amp;"|"&amp;B58</f>
        <v/>
      </c>
    </row>
    <row r="59">
      <c r="A59" t="inlineStr">
        <is>
          <t>P20</t>
        </is>
      </c>
      <c r="B59" t="inlineStr">
        <is>
          <t>Baseline</t>
        </is>
      </c>
      <c r="C59" t="inlineStr">
        <is>
          <t>NA</t>
        </is>
      </c>
      <c r="D59" t="inlineStr">
        <is>
          <t>BA</t>
        </is>
      </c>
      <c r="E59" t="inlineStr">
        <is>
          <t>Female</t>
        </is>
      </c>
      <c r="F59" t="n">
        <v>19</v>
      </c>
      <c r="G59" t="n">
        <v>1</v>
      </c>
      <c r="I59" t="n">
        <v>96</v>
      </c>
      <c r="J59" t="n">
        <v>99</v>
      </c>
      <c r="K59" t="n">
        <v>100</v>
      </c>
      <c r="L59" t="n">
        <v>100</v>
      </c>
      <c r="M59" t="n">
        <v>1</v>
      </c>
      <c r="N59" t="n">
        <v>2</v>
      </c>
      <c r="O59" t="n">
        <v>2</v>
      </c>
      <c r="P59" t="n">
        <v>0.0827</v>
      </c>
      <c r="Q59" t="n">
        <v>0</v>
      </c>
      <c r="R59" t="n">
        <v>0.5600000000000001</v>
      </c>
      <c r="S59" t="n">
        <v>0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>
        <f>A59&amp;"|"&amp;B59</f>
        <v/>
      </c>
    </row>
    <row r="60">
      <c r="A60" t="inlineStr">
        <is>
          <t>P20</t>
        </is>
      </c>
      <c r="B60" t="inlineStr">
        <is>
          <t>Ad_A</t>
        </is>
      </c>
      <c r="C60" t="n">
        <v>2</v>
      </c>
      <c r="D60" t="inlineStr">
        <is>
          <t>BA</t>
        </is>
      </c>
      <c r="E60" t="inlineStr">
        <is>
          <t>Female</t>
        </is>
      </c>
      <c r="F60" t="n">
        <v>19</v>
      </c>
      <c r="G60" t="n">
        <v>1</v>
      </c>
      <c r="I60" t="n">
        <v>94</v>
      </c>
      <c r="J60" t="n">
        <v>97</v>
      </c>
      <c r="K60" t="n">
        <v>100</v>
      </c>
      <c r="L60" t="n">
        <v>100</v>
      </c>
      <c r="M60" t="n">
        <v>1</v>
      </c>
      <c r="N60" t="n">
        <v>6</v>
      </c>
      <c r="O60" t="n">
        <v>3</v>
      </c>
      <c r="P60" t="n">
        <v>0.1091</v>
      </c>
      <c r="Q60" t="n">
        <v>6.67</v>
      </c>
      <c r="R60" t="n">
        <v>6.89</v>
      </c>
      <c r="S60" t="n">
        <v>0</v>
      </c>
      <c r="T60" t="n">
        <v>1</v>
      </c>
      <c r="U60" t="n">
        <v>8266</v>
      </c>
      <c r="V60" t="n">
        <v>1</v>
      </c>
      <c r="W60" t="n">
        <v>0</v>
      </c>
      <c r="X60" t="n">
        <v>333</v>
      </c>
      <c r="Y60" t="n">
        <v>1.11</v>
      </c>
      <c r="Z60" t="n">
        <v>35.33</v>
      </c>
      <c r="AA60" t="n">
        <v>20.44</v>
      </c>
      <c r="AB60" t="n">
        <v>5</v>
      </c>
      <c r="AC60" t="n">
        <v>1</v>
      </c>
      <c r="AD60">
        <f>A60&amp;"|"&amp;B60</f>
        <v/>
      </c>
    </row>
    <row r="61">
      <c r="A61" t="inlineStr">
        <is>
          <t>P20</t>
        </is>
      </c>
      <c r="B61" t="inlineStr">
        <is>
          <t>Ad_B</t>
        </is>
      </c>
      <c r="C61" t="n">
        <v>1</v>
      </c>
      <c r="D61" t="inlineStr">
        <is>
          <t>BA</t>
        </is>
      </c>
      <c r="E61" t="inlineStr">
        <is>
          <t>Female</t>
        </is>
      </c>
      <c r="F61" t="n">
        <v>19</v>
      </c>
      <c r="G61" t="n">
        <v>1</v>
      </c>
      <c r="I61" t="n">
        <v>95</v>
      </c>
      <c r="J61" t="n">
        <v>98</v>
      </c>
      <c r="K61" t="n">
        <v>100</v>
      </c>
      <c r="L61" t="n">
        <v>100</v>
      </c>
      <c r="M61" t="n">
        <v>1</v>
      </c>
      <c r="N61" t="n">
        <v>10</v>
      </c>
      <c r="O61" t="n">
        <v>5</v>
      </c>
      <c r="P61" t="n">
        <v>0.0873</v>
      </c>
      <c r="Q61" t="n">
        <v>24.78</v>
      </c>
      <c r="R61" t="n">
        <v>26</v>
      </c>
      <c r="S61" t="n">
        <v>0</v>
      </c>
      <c r="T61" t="n">
        <v>0</v>
      </c>
      <c r="U61" t="inlineStr">
        <is>
          <t>NA</t>
        </is>
      </c>
      <c r="V61" t="n">
        <v>0</v>
      </c>
      <c r="W61" t="n">
        <v>0</v>
      </c>
      <c r="X61" t="n">
        <v>0</v>
      </c>
      <c r="Y61" t="n">
        <v>0</v>
      </c>
      <c r="Z61" t="n">
        <v>45.61</v>
      </c>
      <c r="AA61" t="n">
        <v>33.67</v>
      </c>
      <c r="AB61" t="n">
        <v>5</v>
      </c>
      <c r="AC61" t="n">
        <v>1</v>
      </c>
      <c r="AD61">
        <f>A61&amp;"|"&amp;B61</f>
        <v/>
      </c>
    </row>
    <row r="62">
      <c r="A62" t="inlineStr">
        <is>
          <t>P21</t>
        </is>
      </c>
      <c r="B62" t="inlineStr">
        <is>
          <t>Baseline</t>
        </is>
      </c>
      <c r="C62" t="inlineStr">
        <is>
          <t>NA</t>
        </is>
      </c>
      <c r="D62" t="inlineStr">
        <is>
          <t>AB</t>
        </is>
      </c>
      <c r="E62" t="inlineStr">
        <is>
          <t>Male</t>
        </is>
      </c>
      <c r="F62" t="n">
        <v>20</v>
      </c>
      <c r="G62" t="n">
        <v>0</v>
      </c>
      <c r="H62" t="inlineStr">
        <is>
          <t>face found below 80 percent on an ad</t>
        </is>
      </c>
      <c r="I62" t="n">
        <v>95</v>
      </c>
      <c r="J62" t="n">
        <v>98</v>
      </c>
      <c r="K62" t="n">
        <v>100</v>
      </c>
      <c r="L62" t="n">
        <v>100</v>
      </c>
      <c r="M62" t="n">
        <v>1</v>
      </c>
      <c r="N62" t="n">
        <v>9</v>
      </c>
      <c r="O62" t="n">
        <v>9</v>
      </c>
      <c r="P62" t="n">
        <v>0.194</v>
      </c>
      <c r="Q62" t="n">
        <v>0</v>
      </c>
      <c r="R62" t="n">
        <v>1.06</v>
      </c>
      <c r="S62" t="n">
        <v>0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>
        <f>A62&amp;"|"&amp;B62</f>
        <v/>
      </c>
    </row>
    <row r="63">
      <c r="A63" t="inlineStr">
        <is>
          <t>P21</t>
        </is>
      </c>
      <c r="B63" t="inlineStr">
        <is>
          <t>Ad_A</t>
        </is>
      </c>
      <c r="C63" t="n">
        <v>1</v>
      </c>
      <c r="D63" t="inlineStr">
        <is>
          <t>AB</t>
        </is>
      </c>
      <c r="E63" t="inlineStr">
        <is>
          <t>Male</t>
        </is>
      </c>
      <c r="F63" t="n">
        <v>20</v>
      </c>
      <c r="G63" t="n">
        <v>0</v>
      </c>
      <c r="H63" t="inlineStr">
        <is>
          <t>face found below 80 percent on an ad</t>
        </is>
      </c>
      <c r="I63" t="n">
        <v>94</v>
      </c>
      <c r="J63" t="n">
        <v>66</v>
      </c>
      <c r="K63" t="n">
        <v>100</v>
      </c>
      <c r="L63" t="n">
        <v>100</v>
      </c>
      <c r="M63" t="n">
        <v>1</v>
      </c>
      <c r="N63" t="n">
        <v>16</v>
      </c>
      <c r="O63" t="n">
        <v>8</v>
      </c>
      <c r="P63" t="n">
        <v>0.2175</v>
      </c>
      <c r="Q63" t="n">
        <v>9.779999999999999</v>
      </c>
      <c r="R63" t="n">
        <v>16.67</v>
      </c>
      <c r="S63" t="n">
        <v>0</v>
      </c>
      <c r="T63" t="n">
        <v>1</v>
      </c>
      <c r="U63" t="n">
        <v>2341</v>
      </c>
      <c r="V63" t="n">
        <v>4</v>
      </c>
      <c r="W63" t="n">
        <v>1</v>
      </c>
      <c r="X63" t="n">
        <v>1117</v>
      </c>
      <c r="Y63" t="n">
        <v>3.72</v>
      </c>
      <c r="Z63" t="n">
        <v>47.67</v>
      </c>
      <c r="AA63" t="n">
        <v>8.67</v>
      </c>
      <c r="AB63" t="n">
        <v>4</v>
      </c>
      <c r="AC63" t="n">
        <v>1</v>
      </c>
      <c r="AD63">
        <f>A63&amp;"|"&amp;B63</f>
        <v/>
      </c>
    </row>
    <row r="64">
      <c r="A64" t="inlineStr">
        <is>
          <t>P21</t>
        </is>
      </c>
      <c r="B64" t="inlineStr">
        <is>
          <t>Ad_B</t>
        </is>
      </c>
      <c r="C64" t="n">
        <v>2</v>
      </c>
      <c r="D64" t="inlineStr">
        <is>
          <t>AB</t>
        </is>
      </c>
      <c r="E64" t="inlineStr">
        <is>
          <t>Male</t>
        </is>
      </c>
      <c r="F64" t="n">
        <v>20</v>
      </c>
      <c r="G64" t="n">
        <v>0</v>
      </c>
      <c r="H64" t="inlineStr">
        <is>
          <t>face found below 80 percent on an ad</t>
        </is>
      </c>
      <c r="I64" t="n">
        <v>96</v>
      </c>
      <c r="J64" t="n">
        <v>65</v>
      </c>
      <c r="K64" t="n">
        <v>100</v>
      </c>
      <c r="L64" t="n">
        <v>100</v>
      </c>
      <c r="M64" t="n">
        <v>1</v>
      </c>
      <c r="N64" t="n">
        <v>8</v>
      </c>
      <c r="O64" t="n">
        <v>4</v>
      </c>
      <c r="P64" t="n">
        <v>0.1095</v>
      </c>
      <c r="Q64" t="n">
        <v>5.89</v>
      </c>
      <c r="R64" t="n">
        <v>6.56</v>
      </c>
      <c r="S64" t="n">
        <v>0</v>
      </c>
      <c r="T64" t="n">
        <v>1</v>
      </c>
      <c r="U64" t="n">
        <v>18806</v>
      </c>
      <c r="V64" t="n">
        <v>9</v>
      </c>
      <c r="W64" t="n">
        <v>0</v>
      </c>
      <c r="X64" t="n">
        <v>2500</v>
      </c>
      <c r="Y64" t="n">
        <v>8.33</v>
      </c>
      <c r="Z64" t="n">
        <v>44.61</v>
      </c>
      <c r="AA64" t="n">
        <v>13.83</v>
      </c>
      <c r="AB64" t="n">
        <v>6</v>
      </c>
      <c r="AC64" t="n">
        <v>1</v>
      </c>
      <c r="AD64">
        <f>A64&amp;"|"&amp;B64</f>
        <v/>
      </c>
    </row>
    <row r="65">
      <c r="A65" t="inlineStr">
        <is>
          <t>P22</t>
        </is>
      </c>
      <c r="B65" t="inlineStr">
        <is>
          <t>Baseline</t>
        </is>
      </c>
      <c r="C65" t="inlineStr">
        <is>
          <t>NA</t>
        </is>
      </c>
      <c r="D65" t="inlineStr">
        <is>
          <t>BA</t>
        </is>
      </c>
      <c r="E65" t="inlineStr">
        <is>
          <t>NA</t>
        </is>
      </c>
      <c r="F65" t="inlineStr">
        <is>
          <t>NA</t>
        </is>
      </c>
      <c r="G65" t="n">
        <v>1</v>
      </c>
      <c r="I65" t="n">
        <v>95</v>
      </c>
      <c r="J65" t="n">
        <v>96</v>
      </c>
      <c r="K65" t="n">
        <v>100</v>
      </c>
      <c r="L65" t="n">
        <v>100</v>
      </c>
      <c r="M65" t="n">
        <v>1</v>
      </c>
      <c r="N65" t="n">
        <v>0</v>
      </c>
      <c r="O65" t="n">
        <v>0</v>
      </c>
      <c r="P65" t="inlineStr">
        <is>
          <t>NA</t>
        </is>
      </c>
      <c r="Q65" t="n">
        <v>0</v>
      </c>
      <c r="R65" t="n">
        <v>1.06</v>
      </c>
      <c r="S65" t="n">
        <v>0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>
        <f>A65&amp;"|"&amp;B65</f>
        <v/>
      </c>
    </row>
    <row r="66">
      <c r="A66" t="inlineStr">
        <is>
          <t>P22</t>
        </is>
      </c>
      <c r="B66" t="inlineStr">
        <is>
          <t>Ad_A</t>
        </is>
      </c>
      <c r="C66" t="n">
        <v>2</v>
      </c>
      <c r="D66" t="inlineStr">
        <is>
          <t>BA</t>
        </is>
      </c>
      <c r="E66" t="inlineStr">
        <is>
          <t>NA</t>
        </is>
      </c>
      <c r="F66" t="inlineStr">
        <is>
          <t>NA</t>
        </is>
      </c>
      <c r="G66" t="n">
        <v>1</v>
      </c>
      <c r="I66" t="n">
        <v>93</v>
      </c>
      <c r="J66" t="n">
        <v>96</v>
      </c>
      <c r="K66" t="n">
        <v>100</v>
      </c>
      <c r="L66" t="n">
        <v>100</v>
      </c>
      <c r="M66" t="n">
        <v>1</v>
      </c>
      <c r="N66" t="n">
        <v>2</v>
      </c>
      <c r="O66" t="n">
        <v>1</v>
      </c>
      <c r="P66" t="n">
        <v>0.1053</v>
      </c>
      <c r="Q66" t="n">
        <v>16.67</v>
      </c>
      <c r="R66" t="n">
        <v>17.11</v>
      </c>
      <c r="S66" t="n">
        <v>0</v>
      </c>
      <c r="T66" t="n">
        <v>0</v>
      </c>
      <c r="U66" t="inlineStr">
        <is>
          <t>NA</t>
        </is>
      </c>
      <c r="V66" t="n">
        <v>0</v>
      </c>
      <c r="W66" t="n">
        <v>0</v>
      </c>
      <c r="X66" t="n">
        <v>0</v>
      </c>
      <c r="Y66" t="n">
        <v>0</v>
      </c>
      <c r="Z66" t="n">
        <v>35.72</v>
      </c>
      <c r="AA66" t="n">
        <v>29.67</v>
      </c>
      <c r="AB66" t="n">
        <v>6</v>
      </c>
      <c r="AC66" t="n">
        <v>0</v>
      </c>
      <c r="AD66">
        <f>A66&amp;"|"&amp;B66</f>
        <v/>
      </c>
    </row>
    <row r="67">
      <c r="A67" t="inlineStr">
        <is>
          <t>P22</t>
        </is>
      </c>
      <c r="B67" t="inlineStr">
        <is>
          <t>Ad_B</t>
        </is>
      </c>
      <c r="C67" t="n">
        <v>1</v>
      </c>
      <c r="D67" t="inlineStr">
        <is>
          <t>BA</t>
        </is>
      </c>
      <c r="E67" t="inlineStr">
        <is>
          <t>NA</t>
        </is>
      </c>
      <c r="F67" t="inlineStr">
        <is>
          <t>NA</t>
        </is>
      </c>
      <c r="G67" t="n">
        <v>1</v>
      </c>
      <c r="I67" t="n">
        <v>94</v>
      </c>
      <c r="J67" t="n">
        <v>96</v>
      </c>
      <c r="K67" t="n">
        <v>100</v>
      </c>
      <c r="L67" t="n">
        <v>100</v>
      </c>
      <c r="M67" t="n">
        <v>1</v>
      </c>
      <c r="N67" t="n">
        <v>2</v>
      </c>
      <c r="O67" t="n">
        <v>1</v>
      </c>
      <c r="P67" t="n">
        <v>0.1901</v>
      </c>
      <c r="Q67" t="n">
        <v>5.67</v>
      </c>
      <c r="R67" t="n">
        <v>5.89</v>
      </c>
      <c r="S67" t="n">
        <v>0</v>
      </c>
      <c r="T67" t="n">
        <v>0</v>
      </c>
      <c r="U67" t="inlineStr">
        <is>
          <t>NA</t>
        </is>
      </c>
      <c r="V67" t="n">
        <v>0</v>
      </c>
      <c r="W67" t="n">
        <v>0</v>
      </c>
      <c r="X67" t="n">
        <v>0</v>
      </c>
      <c r="Y67" t="n">
        <v>0</v>
      </c>
      <c r="Z67" t="n">
        <v>41.06</v>
      </c>
      <c r="AA67" t="n">
        <v>22.5</v>
      </c>
      <c r="AB67" t="n">
        <v>4</v>
      </c>
      <c r="AC67" t="n">
        <v>1</v>
      </c>
      <c r="AD67">
        <f>A67&amp;"|"&amp;B67</f>
        <v/>
      </c>
    </row>
    <row r="68">
      <c r="A68" t="inlineStr">
        <is>
          <t>P23</t>
        </is>
      </c>
      <c r="B68" t="inlineStr">
        <is>
          <t>Baseline</t>
        </is>
      </c>
      <c r="C68" t="inlineStr">
        <is>
          <t>NA</t>
        </is>
      </c>
      <c r="D68" t="inlineStr">
        <is>
          <t>AB</t>
        </is>
      </c>
      <c r="E68" t="inlineStr">
        <is>
          <t>Male</t>
        </is>
      </c>
      <c r="F68" t="n">
        <v>20</v>
      </c>
      <c r="G68" t="n">
        <v>1</v>
      </c>
      <c r="I68" t="n">
        <v>96</v>
      </c>
      <c r="J68" t="n">
        <v>93</v>
      </c>
      <c r="K68" t="n">
        <v>100</v>
      </c>
      <c r="L68" t="n">
        <v>100</v>
      </c>
      <c r="M68" t="n">
        <v>1</v>
      </c>
      <c r="N68" t="n">
        <v>0</v>
      </c>
      <c r="O68" t="n">
        <v>0</v>
      </c>
      <c r="P68" t="inlineStr">
        <is>
          <t>NA</t>
        </is>
      </c>
      <c r="Q68" t="n">
        <v>0</v>
      </c>
      <c r="R68" t="n">
        <v>3.83</v>
      </c>
      <c r="S68" t="n">
        <v>0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>
        <f>A68&amp;"|"&amp;B68</f>
        <v/>
      </c>
    </row>
    <row r="69">
      <c r="A69" t="inlineStr">
        <is>
          <t>P23</t>
        </is>
      </c>
      <c r="B69" t="inlineStr">
        <is>
          <t>Ad_A</t>
        </is>
      </c>
      <c r="C69" t="n">
        <v>1</v>
      </c>
      <c r="D69" t="inlineStr">
        <is>
          <t>AB</t>
        </is>
      </c>
      <c r="E69" t="inlineStr">
        <is>
          <t>Male</t>
        </is>
      </c>
      <c r="F69" t="n">
        <v>20</v>
      </c>
      <c r="G69" t="n">
        <v>1</v>
      </c>
      <c r="I69" t="n">
        <v>95</v>
      </c>
      <c r="J69" t="n">
        <v>93</v>
      </c>
      <c r="K69" t="n">
        <v>100</v>
      </c>
      <c r="L69" t="n">
        <v>100</v>
      </c>
      <c r="M69" t="n">
        <v>1</v>
      </c>
      <c r="N69" t="n">
        <v>2</v>
      </c>
      <c r="O69" t="n">
        <v>1</v>
      </c>
      <c r="P69" t="n">
        <v>0.1294</v>
      </c>
      <c r="Q69" t="n">
        <v>12.44</v>
      </c>
      <c r="R69" t="n">
        <v>16.22</v>
      </c>
      <c r="S69" t="n">
        <v>0</v>
      </c>
      <c r="T69" t="n">
        <v>1</v>
      </c>
      <c r="U69" t="n">
        <v>23199</v>
      </c>
      <c r="V69" t="n">
        <v>1</v>
      </c>
      <c r="W69" t="n">
        <v>0</v>
      </c>
      <c r="X69" t="n">
        <v>183</v>
      </c>
      <c r="Y69" t="n">
        <v>0.61</v>
      </c>
      <c r="Z69" t="n">
        <v>37.72</v>
      </c>
      <c r="AA69" t="n">
        <v>19.22</v>
      </c>
      <c r="AB69" t="n">
        <v>4</v>
      </c>
      <c r="AC69" t="n">
        <v>0</v>
      </c>
      <c r="AD69">
        <f>A69&amp;"|"&amp;B69</f>
        <v/>
      </c>
    </row>
    <row r="70">
      <c r="A70" t="inlineStr">
        <is>
          <t>P23</t>
        </is>
      </c>
      <c r="B70" t="inlineStr">
        <is>
          <t>Ad_B</t>
        </is>
      </c>
      <c r="C70" t="n">
        <v>2</v>
      </c>
      <c r="D70" t="inlineStr">
        <is>
          <t>AB</t>
        </is>
      </c>
      <c r="E70" t="inlineStr">
        <is>
          <t>Male</t>
        </is>
      </c>
      <c r="F70" t="n">
        <v>20</v>
      </c>
      <c r="G70" t="n">
        <v>1</v>
      </c>
      <c r="I70" t="n">
        <v>96</v>
      </c>
      <c r="J70" t="n">
        <v>93</v>
      </c>
      <c r="K70" t="n">
        <v>100</v>
      </c>
      <c r="L70" t="n">
        <v>100</v>
      </c>
      <c r="M70" t="n">
        <v>1</v>
      </c>
      <c r="N70" t="n">
        <v>4</v>
      </c>
      <c r="O70" t="n">
        <v>2</v>
      </c>
      <c r="P70" t="n">
        <v>0.1774</v>
      </c>
      <c r="Q70" t="n">
        <v>3.89</v>
      </c>
      <c r="R70" t="n">
        <v>4.78</v>
      </c>
      <c r="S70" t="n">
        <v>0</v>
      </c>
      <c r="T70" t="n">
        <v>0</v>
      </c>
      <c r="U70" t="inlineStr">
        <is>
          <t>NA</t>
        </is>
      </c>
      <c r="V70" t="n">
        <v>0</v>
      </c>
      <c r="W70" t="n">
        <v>0</v>
      </c>
      <c r="X70" t="n">
        <v>0</v>
      </c>
      <c r="Y70" t="n">
        <v>0</v>
      </c>
      <c r="Z70" t="n">
        <v>41.17</v>
      </c>
      <c r="AA70" t="n">
        <v>29.61</v>
      </c>
      <c r="AB70" t="n">
        <v>3</v>
      </c>
      <c r="AC70" t="n">
        <v>1</v>
      </c>
      <c r="AD70">
        <f>A70&amp;"|"&amp;B70</f>
        <v/>
      </c>
    </row>
    <row r="71">
      <c r="A71" t="inlineStr">
        <is>
          <t>P24</t>
        </is>
      </c>
      <c r="B71" t="inlineStr">
        <is>
          <t>Baseline</t>
        </is>
      </c>
      <c r="C71" t="inlineStr">
        <is>
          <t>NA</t>
        </is>
      </c>
      <c r="D71" t="inlineStr">
        <is>
          <t>BA</t>
        </is>
      </c>
      <c r="E71" t="inlineStr">
        <is>
          <t>Female</t>
        </is>
      </c>
      <c r="F71" t="n">
        <v>19</v>
      </c>
      <c r="G71" t="n">
        <v>1</v>
      </c>
      <c r="I71" t="n">
        <v>95</v>
      </c>
      <c r="J71" t="n">
        <v>93</v>
      </c>
      <c r="K71" t="n">
        <v>100</v>
      </c>
      <c r="L71" t="n">
        <v>100</v>
      </c>
      <c r="M71" t="n">
        <v>1</v>
      </c>
      <c r="N71" t="n">
        <v>2</v>
      </c>
      <c r="O71" t="n">
        <v>2</v>
      </c>
      <c r="P71" t="n">
        <v>0.0663</v>
      </c>
      <c r="Q71" t="n">
        <v>6.5</v>
      </c>
      <c r="R71" t="n">
        <v>6.89</v>
      </c>
      <c r="S71" t="n">
        <v>0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>
        <f>A71&amp;"|"&amp;B71</f>
        <v/>
      </c>
    </row>
    <row r="72">
      <c r="A72" t="inlineStr">
        <is>
          <t>P24</t>
        </is>
      </c>
      <c r="B72" t="inlineStr">
        <is>
          <t>Ad_A</t>
        </is>
      </c>
      <c r="C72" t="n">
        <v>2</v>
      </c>
      <c r="D72" t="inlineStr">
        <is>
          <t>BA</t>
        </is>
      </c>
      <c r="E72" t="inlineStr">
        <is>
          <t>Female</t>
        </is>
      </c>
      <c r="F72" t="n">
        <v>19</v>
      </c>
      <c r="G72" t="n">
        <v>1</v>
      </c>
      <c r="I72" t="n">
        <v>95</v>
      </c>
      <c r="J72" t="n">
        <v>93</v>
      </c>
      <c r="K72" t="n">
        <v>100</v>
      </c>
      <c r="L72" t="n">
        <v>100</v>
      </c>
      <c r="M72" t="n">
        <v>1</v>
      </c>
      <c r="N72" t="n">
        <v>2</v>
      </c>
      <c r="O72" t="n">
        <v>1</v>
      </c>
      <c r="P72" t="n">
        <v>0.1122</v>
      </c>
      <c r="Q72" t="n">
        <v>25.89</v>
      </c>
      <c r="R72" t="n">
        <v>30.78</v>
      </c>
      <c r="S72" t="n">
        <v>3.44</v>
      </c>
      <c r="T72" t="n">
        <v>1</v>
      </c>
      <c r="U72" t="n">
        <v>29236</v>
      </c>
      <c r="V72" t="n">
        <v>2</v>
      </c>
      <c r="W72" t="n">
        <v>0</v>
      </c>
      <c r="X72" t="n">
        <v>517</v>
      </c>
      <c r="Y72" t="n">
        <v>1.72</v>
      </c>
      <c r="Z72" t="n">
        <v>29.11</v>
      </c>
      <c r="AA72" t="n">
        <v>23.22</v>
      </c>
      <c r="AB72" t="n">
        <v>6</v>
      </c>
      <c r="AC72" t="n">
        <v>1</v>
      </c>
      <c r="AD72">
        <f>A72&amp;"|"&amp;B72</f>
        <v/>
      </c>
    </row>
    <row r="73">
      <c r="A73" t="inlineStr">
        <is>
          <t>P24</t>
        </is>
      </c>
      <c r="B73" t="inlineStr">
        <is>
          <t>Ad_B</t>
        </is>
      </c>
      <c r="C73" t="n">
        <v>1</v>
      </c>
      <c r="D73" t="inlineStr">
        <is>
          <t>BA</t>
        </is>
      </c>
      <c r="E73" t="inlineStr">
        <is>
          <t>Female</t>
        </is>
      </c>
      <c r="F73" t="n">
        <v>19</v>
      </c>
      <c r="G73" t="n">
        <v>1</v>
      </c>
      <c r="I73" t="n">
        <v>94</v>
      </c>
      <c r="J73" t="n">
        <v>93</v>
      </c>
      <c r="K73" t="n">
        <v>100</v>
      </c>
      <c r="L73" t="n">
        <v>100</v>
      </c>
      <c r="M73" t="n">
        <v>1</v>
      </c>
      <c r="N73" t="n">
        <v>0</v>
      </c>
      <c r="O73" t="n">
        <v>0</v>
      </c>
      <c r="P73" t="inlineStr">
        <is>
          <t>NA</t>
        </is>
      </c>
      <c r="Q73" t="n">
        <v>3.67</v>
      </c>
      <c r="R73" t="n">
        <v>11.67</v>
      </c>
      <c r="S73" t="n">
        <v>5.56</v>
      </c>
      <c r="T73" t="n">
        <v>1</v>
      </c>
      <c r="U73" t="n">
        <v>9379</v>
      </c>
      <c r="V73" t="n">
        <v>7</v>
      </c>
      <c r="W73" t="n">
        <v>2</v>
      </c>
      <c r="X73" t="n">
        <v>2250</v>
      </c>
      <c r="Y73" t="n">
        <v>7.5</v>
      </c>
      <c r="Z73" t="n">
        <v>28.72</v>
      </c>
      <c r="AA73" t="n">
        <v>24.72</v>
      </c>
      <c r="AB73" t="n">
        <v>5</v>
      </c>
      <c r="AC73" t="n">
        <v>1</v>
      </c>
      <c r="AD73">
        <f>A73&amp;"|"&amp;B73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4" customWidth="1" min="5" max="5"/>
    <col width="40" customWidth="1" min="7" max="7"/>
    <col width="8" customWidth="1" min="8" max="8"/>
  </cols>
  <sheetData>
    <row r="1">
      <c r="A1" s="2" t="inlineStr">
        <is>
          <t>participant_id</t>
        </is>
      </c>
      <c r="B1" s="2" t="inlineStr">
        <is>
          <t>ad</t>
        </is>
      </c>
      <c r="C1" s="2" t="inlineStr">
        <is>
          <t>AOI</t>
        </is>
      </c>
      <c r="D1" s="3" t="inlineStr">
        <is>
          <t>include (from Data)</t>
        </is>
      </c>
      <c r="E1" s="3" t="inlineStr">
        <is>
          <t>gaze dwell (% of ad)</t>
        </is>
      </c>
    </row>
    <row r="2">
      <c r="A2" s="4" t="inlineStr">
        <is>
          <t>P01</t>
        </is>
      </c>
      <c r="B2" s="4" t="inlineStr">
        <is>
          <t>Ad_A</t>
        </is>
      </c>
      <c r="C2" s="4" t="inlineStr">
        <is>
          <t>Logo</t>
        </is>
      </c>
      <c r="D2">
        <f>INDEX(Data!$G$2:$G$73,MATCH(A2&amp;"|"&amp;B2,Data!$AD$2:$AD$73,0))</f>
        <v/>
      </c>
      <c r="E2" s="5">
        <f>IF(C2="Logo",INDEX(Data!$Y$2:$Y$73,MATCH(A2&amp;"|"&amp;B2,Data!$AD$2:$AD$73,0)),IF(C2="Product",INDEX(Data!$Z$2:$Z$73,MATCH(A2&amp;"|"&amp;B2,Data!$AD$2:$AD$73,0)),INDEX(Data!$AA$2:$AA$73,MATCH(A2&amp;"|"&amp;B2,Data!$AD$2:$AD$73,0))))</f>
        <v/>
      </c>
      <c r="G2" s="1" t="inlineStr">
        <is>
          <t>Checks</t>
        </is>
      </c>
    </row>
    <row r="3">
      <c r="A3" s="4" t="inlineStr">
        <is>
          <t>P01</t>
        </is>
      </c>
      <c r="B3" s="4" t="inlineStr">
        <is>
          <t>Ad_A</t>
        </is>
      </c>
      <c r="C3" s="4" t="inlineStr">
        <is>
          <t>Product</t>
        </is>
      </c>
      <c r="D3">
        <f>INDEX(Data!$G$2:$G$73,MATCH(A3&amp;"|"&amp;B3,Data!$AD$2:$AD$73,0))</f>
        <v/>
      </c>
      <c r="E3" s="5">
        <f>IF(C3="Logo",INDEX(Data!$Y$2:$Y$73,MATCH(A3&amp;"|"&amp;B3,Data!$AD$2:$AD$73,0)),IF(C3="Product",INDEX(Data!$Z$2:$Z$73,MATCH(A3&amp;"|"&amp;B3,Data!$AD$2:$AD$73,0)),INDEX(Data!$AA$2:$AA$73,MATCH(A3&amp;"|"&amp;B3,Data!$AD$2:$AD$73,0))))</f>
        <v/>
      </c>
      <c r="G3" t="inlineStr">
        <is>
          <t>Rows (24 participants x 2 ads x 3 AOIs)</t>
        </is>
      </c>
      <c r="H3" s="6">
        <f>COUNTA(A2:A145)</f>
        <v/>
      </c>
    </row>
    <row r="4">
      <c r="A4" s="4" t="inlineStr">
        <is>
          <t>P01</t>
        </is>
      </c>
      <c r="B4" s="4" t="inlineStr">
        <is>
          <t>Ad_A</t>
        </is>
      </c>
      <c r="C4" s="4" t="inlineStr">
        <is>
          <t>Headline</t>
        </is>
      </c>
      <c r="D4">
        <f>INDEX(Data!$G$2:$G$73,MATCH(A4&amp;"|"&amp;B4,Data!$AD$2:$AD$73,0))</f>
        <v/>
      </c>
      <c r="E4" s="5">
        <f>IF(C4="Logo",INDEX(Data!$Y$2:$Y$73,MATCH(A4&amp;"|"&amp;B4,Data!$AD$2:$AD$73,0)),IF(C4="Product",INDEX(Data!$Z$2:$Z$73,MATCH(A4&amp;"|"&amp;B4,Data!$AD$2:$AD$73,0)),INDEX(Data!$AA$2:$AA$73,MATCH(A4&amp;"|"&amp;B4,Data!$AD$2:$AD$73,0))))</f>
        <v/>
      </c>
      <c r="G4" t="inlineStr">
        <is>
          <t>Lookups that failed (#N/A)</t>
        </is>
      </c>
      <c r="H4" s="6">
        <f>SUMPRODUCT(--ISNA(D2:E145))</f>
        <v/>
      </c>
    </row>
    <row r="5">
      <c r="A5" s="4" t="inlineStr">
        <is>
          <t>P01</t>
        </is>
      </c>
      <c r="B5" s="4" t="inlineStr">
        <is>
          <t>Ad_B</t>
        </is>
      </c>
      <c r="C5" s="4" t="inlineStr">
        <is>
          <t>Logo</t>
        </is>
      </c>
      <c r="D5">
        <f>INDEX(Data!$G$2:$G$73,MATCH(A5&amp;"|"&amp;B5,Data!$AD$2:$AD$73,0))</f>
        <v/>
      </c>
      <c r="E5" s="5">
        <f>IF(C5="Logo",INDEX(Data!$Y$2:$Y$73,MATCH(A5&amp;"|"&amp;B5,Data!$AD$2:$AD$73,0)),IF(C5="Product",INDEX(Data!$Z$2:$Z$73,MATCH(A5&amp;"|"&amp;B5,Data!$AD$2:$AD$73,0)),INDEX(Data!$AA$2:$AA$73,MATCH(A5&amp;"|"&amp;B5,Data!$AD$2:$AD$73,0))))</f>
        <v/>
      </c>
      <c r="G5" t="inlineStr">
        <is>
          <t>Rows with include = 1 (22 x 6)</t>
        </is>
      </c>
      <c r="H5" s="6">
        <f>COUNTIF(D2:D145,1)</f>
        <v/>
      </c>
    </row>
    <row r="6">
      <c r="A6" s="4" t="inlineStr">
        <is>
          <t>P01</t>
        </is>
      </c>
      <c r="B6" s="4" t="inlineStr">
        <is>
          <t>Ad_B</t>
        </is>
      </c>
      <c r="C6" s="4" t="inlineStr">
        <is>
          <t>Product</t>
        </is>
      </c>
      <c r="D6">
        <f>INDEX(Data!$G$2:$G$73,MATCH(A6&amp;"|"&amp;B6,Data!$AD$2:$AD$73,0))</f>
        <v/>
      </c>
      <c r="E6" s="5">
        <f>IF(C6="Logo",INDEX(Data!$Y$2:$Y$73,MATCH(A6&amp;"|"&amp;B6,Data!$AD$2:$AD$73,0)),IF(C6="Product",INDEX(Data!$Z$2:$Z$73,MATCH(A6&amp;"|"&amp;B6,Data!$AD$2:$AD$73,0)),INDEX(Data!$AA$2:$AA$73,MATCH(A6&amp;"|"&amp;B6,Data!$AD$2:$AD$73,0))))</f>
        <v/>
      </c>
    </row>
    <row r="7">
      <c r="A7" s="4" t="inlineStr">
        <is>
          <t>P01</t>
        </is>
      </c>
      <c r="B7" s="4" t="inlineStr">
        <is>
          <t>Ad_B</t>
        </is>
      </c>
      <c r="C7" s="4" t="inlineStr">
        <is>
          <t>Headline</t>
        </is>
      </c>
      <c r="D7">
        <f>INDEX(Data!$G$2:$G$73,MATCH(A7&amp;"|"&amp;B7,Data!$AD$2:$AD$73,0))</f>
        <v/>
      </c>
      <c r="E7" s="5">
        <f>IF(C7="Logo",INDEX(Data!$Y$2:$Y$73,MATCH(A7&amp;"|"&amp;B7,Data!$AD$2:$AD$73,0)),IF(C7="Product",INDEX(Data!$Z$2:$Z$73,MATCH(A7&amp;"|"&amp;B7,Data!$AD$2:$AD$73,0)),INDEX(Data!$AA$2:$AA$73,MATCH(A7&amp;"|"&amp;B7,Data!$AD$2:$AD$73,0))))</f>
        <v/>
      </c>
    </row>
    <row r="8">
      <c r="A8" s="4" t="inlineStr">
        <is>
          <t>P02</t>
        </is>
      </c>
      <c r="B8" s="4" t="inlineStr">
        <is>
          <t>Ad_A</t>
        </is>
      </c>
      <c r="C8" s="4" t="inlineStr">
        <is>
          <t>Logo</t>
        </is>
      </c>
      <c r="D8">
        <f>INDEX(Data!$G$2:$G$73,MATCH(A8&amp;"|"&amp;B8,Data!$AD$2:$AD$73,0))</f>
        <v/>
      </c>
      <c r="E8" s="5">
        <f>IF(C8="Logo",INDEX(Data!$Y$2:$Y$73,MATCH(A8&amp;"|"&amp;B8,Data!$AD$2:$AD$73,0)),IF(C8="Product",INDEX(Data!$Z$2:$Z$73,MATCH(A8&amp;"|"&amp;B8,Data!$AD$2:$AD$73,0)),INDEX(Data!$AA$2:$AA$73,MATCH(A8&amp;"|"&amp;B8,Data!$AD$2:$AD$73,0))))</f>
        <v/>
      </c>
    </row>
    <row r="9">
      <c r="A9" s="4" t="inlineStr">
        <is>
          <t>P02</t>
        </is>
      </c>
      <c r="B9" s="4" t="inlineStr">
        <is>
          <t>Ad_A</t>
        </is>
      </c>
      <c r="C9" s="4" t="inlineStr">
        <is>
          <t>Product</t>
        </is>
      </c>
      <c r="D9">
        <f>INDEX(Data!$G$2:$G$73,MATCH(A9&amp;"|"&amp;B9,Data!$AD$2:$AD$73,0))</f>
        <v/>
      </c>
      <c r="E9" s="5">
        <f>IF(C9="Logo",INDEX(Data!$Y$2:$Y$73,MATCH(A9&amp;"|"&amp;B9,Data!$AD$2:$AD$73,0)),IF(C9="Product",INDEX(Data!$Z$2:$Z$73,MATCH(A9&amp;"|"&amp;B9,Data!$AD$2:$AD$73,0)),INDEX(Data!$AA$2:$AA$73,MATCH(A9&amp;"|"&amp;B9,Data!$AD$2:$AD$73,0))))</f>
        <v/>
      </c>
    </row>
    <row r="10">
      <c r="A10" s="4" t="inlineStr">
        <is>
          <t>P02</t>
        </is>
      </c>
      <c r="B10" s="4" t="inlineStr">
        <is>
          <t>Ad_A</t>
        </is>
      </c>
      <c r="C10" s="4" t="inlineStr">
        <is>
          <t>Headline</t>
        </is>
      </c>
      <c r="D10">
        <f>INDEX(Data!$G$2:$G$73,MATCH(A10&amp;"|"&amp;B10,Data!$AD$2:$AD$73,0))</f>
        <v/>
      </c>
      <c r="E10" s="5">
        <f>IF(C10="Logo",INDEX(Data!$Y$2:$Y$73,MATCH(A10&amp;"|"&amp;B10,Data!$AD$2:$AD$73,0)),IF(C10="Product",INDEX(Data!$Z$2:$Z$73,MATCH(A10&amp;"|"&amp;B10,Data!$AD$2:$AD$73,0)),INDEX(Data!$AA$2:$AA$73,MATCH(A10&amp;"|"&amp;B10,Data!$AD$2:$AD$73,0))))</f>
        <v/>
      </c>
    </row>
    <row r="11">
      <c r="A11" s="4" t="inlineStr">
        <is>
          <t>P02</t>
        </is>
      </c>
      <c r="B11" s="4" t="inlineStr">
        <is>
          <t>Ad_B</t>
        </is>
      </c>
      <c r="C11" s="4" t="inlineStr">
        <is>
          <t>Logo</t>
        </is>
      </c>
      <c r="D11">
        <f>INDEX(Data!$G$2:$G$73,MATCH(A11&amp;"|"&amp;B11,Data!$AD$2:$AD$73,0))</f>
        <v/>
      </c>
      <c r="E11" s="5">
        <f>IF(C11="Logo",INDEX(Data!$Y$2:$Y$73,MATCH(A11&amp;"|"&amp;B11,Data!$AD$2:$AD$73,0)),IF(C11="Product",INDEX(Data!$Z$2:$Z$73,MATCH(A11&amp;"|"&amp;B11,Data!$AD$2:$AD$73,0)),INDEX(Data!$AA$2:$AA$73,MATCH(A11&amp;"|"&amp;B11,Data!$AD$2:$AD$73,0))))</f>
        <v/>
      </c>
    </row>
    <row r="12">
      <c r="A12" s="4" t="inlineStr">
        <is>
          <t>P02</t>
        </is>
      </c>
      <c r="B12" s="4" t="inlineStr">
        <is>
          <t>Ad_B</t>
        </is>
      </c>
      <c r="C12" s="4" t="inlineStr">
        <is>
          <t>Product</t>
        </is>
      </c>
      <c r="D12">
        <f>INDEX(Data!$G$2:$G$73,MATCH(A12&amp;"|"&amp;B12,Data!$AD$2:$AD$73,0))</f>
        <v/>
      </c>
      <c r="E12" s="5">
        <f>IF(C12="Logo",INDEX(Data!$Y$2:$Y$73,MATCH(A12&amp;"|"&amp;B12,Data!$AD$2:$AD$73,0)),IF(C12="Product",INDEX(Data!$Z$2:$Z$73,MATCH(A12&amp;"|"&amp;B12,Data!$AD$2:$AD$73,0)),INDEX(Data!$AA$2:$AA$73,MATCH(A12&amp;"|"&amp;B12,Data!$AD$2:$AD$73,0))))</f>
        <v/>
      </c>
    </row>
    <row r="13">
      <c r="A13" s="4" t="inlineStr">
        <is>
          <t>P02</t>
        </is>
      </c>
      <c r="B13" s="4" t="inlineStr">
        <is>
          <t>Ad_B</t>
        </is>
      </c>
      <c r="C13" s="4" t="inlineStr">
        <is>
          <t>Headline</t>
        </is>
      </c>
      <c r="D13">
        <f>INDEX(Data!$G$2:$G$73,MATCH(A13&amp;"|"&amp;B13,Data!$AD$2:$AD$73,0))</f>
        <v/>
      </c>
      <c r="E13" s="5">
        <f>IF(C13="Logo",INDEX(Data!$Y$2:$Y$73,MATCH(A13&amp;"|"&amp;B13,Data!$AD$2:$AD$73,0)),IF(C13="Product",INDEX(Data!$Z$2:$Z$73,MATCH(A13&amp;"|"&amp;B13,Data!$AD$2:$AD$73,0)),INDEX(Data!$AA$2:$AA$73,MATCH(A13&amp;"|"&amp;B13,Data!$AD$2:$AD$73,0))))</f>
        <v/>
      </c>
    </row>
    <row r="14">
      <c r="A14" s="4" t="inlineStr">
        <is>
          <t>P03</t>
        </is>
      </c>
      <c r="B14" s="4" t="inlineStr">
        <is>
          <t>Ad_A</t>
        </is>
      </c>
      <c r="C14" s="4" t="inlineStr">
        <is>
          <t>Logo</t>
        </is>
      </c>
      <c r="D14">
        <f>INDEX(Data!$G$2:$G$73,MATCH(A14&amp;"|"&amp;B14,Data!$AD$2:$AD$73,0))</f>
        <v/>
      </c>
      <c r="E14" s="5">
        <f>IF(C14="Logo",INDEX(Data!$Y$2:$Y$73,MATCH(A14&amp;"|"&amp;B14,Data!$AD$2:$AD$73,0)),IF(C14="Product",INDEX(Data!$Z$2:$Z$73,MATCH(A14&amp;"|"&amp;B14,Data!$AD$2:$AD$73,0)),INDEX(Data!$AA$2:$AA$73,MATCH(A14&amp;"|"&amp;B14,Data!$AD$2:$AD$73,0))))</f>
        <v/>
      </c>
    </row>
    <row r="15">
      <c r="A15" s="4" t="inlineStr">
        <is>
          <t>P03</t>
        </is>
      </c>
      <c r="B15" s="4" t="inlineStr">
        <is>
          <t>Ad_A</t>
        </is>
      </c>
      <c r="C15" s="4" t="inlineStr">
        <is>
          <t>Product</t>
        </is>
      </c>
      <c r="D15">
        <f>INDEX(Data!$G$2:$G$73,MATCH(A15&amp;"|"&amp;B15,Data!$AD$2:$AD$73,0))</f>
        <v/>
      </c>
      <c r="E15" s="5">
        <f>IF(C15="Logo",INDEX(Data!$Y$2:$Y$73,MATCH(A15&amp;"|"&amp;B15,Data!$AD$2:$AD$73,0)),IF(C15="Product",INDEX(Data!$Z$2:$Z$73,MATCH(A15&amp;"|"&amp;B15,Data!$AD$2:$AD$73,0)),INDEX(Data!$AA$2:$AA$73,MATCH(A15&amp;"|"&amp;B15,Data!$AD$2:$AD$73,0))))</f>
        <v/>
      </c>
    </row>
    <row r="16">
      <c r="A16" s="4" t="inlineStr">
        <is>
          <t>P03</t>
        </is>
      </c>
      <c r="B16" s="4" t="inlineStr">
        <is>
          <t>Ad_A</t>
        </is>
      </c>
      <c r="C16" s="4" t="inlineStr">
        <is>
          <t>Headline</t>
        </is>
      </c>
      <c r="D16">
        <f>INDEX(Data!$G$2:$G$73,MATCH(A16&amp;"|"&amp;B16,Data!$AD$2:$AD$73,0))</f>
        <v/>
      </c>
      <c r="E16" s="5">
        <f>IF(C16="Logo",INDEX(Data!$Y$2:$Y$73,MATCH(A16&amp;"|"&amp;B16,Data!$AD$2:$AD$73,0)),IF(C16="Product",INDEX(Data!$Z$2:$Z$73,MATCH(A16&amp;"|"&amp;B16,Data!$AD$2:$AD$73,0)),INDEX(Data!$AA$2:$AA$73,MATCH(A16&amp;"|"&amp;B16,Data!$AD$2:$AD$73,0))))</f>
        <v/>
      </c>
    </row>
    <row r="17">
      <c r="A17" s="4" t="inlineStr">
        <is>
          <t>P03</t>
        </is>
      </c>
      <c r="B17" s="4" t="inlineStr">
        <is>
          <t>Ad_B</t>
        </is>
      </c>
      <c r="C17" s="4" t="inlineStr">
        <is>
          <t>Logo</t>
        </is>
      </c>
      <c r="D17">
        <f>INDEX(Data!$G$2:$G$73,MATCH(A17&amp;"|"&amp;B17,Data!$AD$2:$AD$73,0))</f>
        <v/>
      </c>
      <c r="E17" s="5">
        <f>IF(C17="Logo",INDEX(Data!$Y$2:$Y$73,MATCH(A17&amp;"|"&amp;B17,Data!$AD$2:$AD$73,0)),IF(C17="Product",INDEX(Data!$Z$2:$Z$73,MATCH(A17&amp;"|"&amp;B17,Data!$AD$2:$AD$73,0)),INDEX(Data!$AA$2:$AA$73,MATCH(A17&amp;"|"&amp;B17,Data!$AD$2:$AD$73,0))))</f>
        <v/>
      </c>
    </row>
    <row r="18">
      <c r="A18" s="4" t="inlineStr">
        <is>
          <t>P03</t>
        </is>
      </c>
      <c r="B18" s="4" t="inlineStr">
        <is>
          <t>Ad_B</t>
        </is>
      </c>
      <c r="C18" s="4" t="inlineStr">
        <is>
          <t>Product</t>
        </is>
      </c>
      <c r="D18">
        <f>INDEX(Data!$G$2:$G$73,MATCH(A18&amp;"|"&amp;B18,Data!$AD$2:$AD$73,0))</f>
        <v/>
      </c>
      <c r="E18" s="5">
        <f>IF(C18="Logo",INDEX(Data!$Y$2:$Y$73,MATCH(A18&amp;"|"&amp;B18,Data!$AD$2:$AD$73,0)),IF(C18="Product",INDEX(Data!$Z$2:$Z$73,MATCH(A18&amp;"|"&amp;B18,Data!$AD$2:$AD$73,0)),INDEX(Data!$AA$2:$AA$73,MATCH(A18&amp;"|"&amp;B18,Data!$AD$2:$AD$73,0))))</f>
        <v/>
      </c>
    </row>
    <row r="19">
      <c r="A19" s="4" t="inlineStr">
        <is>
          <t>P03</t>
        </is>
      </c>
      <c r="B19" s="4" t="inlineStr">
        <is>
          <t>Ad_B</t>
        </is>
      </c>
      <c r="C19" s="4" t="inlineStr">
        <is>
          <t>Headline</t>
        </is>
      </c>
      <c r="D19">
        <f>INDEX(Data!$G$2:$G$73,MATCH(A19&amp;"|"&amp;B19,Data!$AD$2:$AD$73,0))</f>
        <v/>
      </c>
      <c r="E19" s="5">
        <f>IF(C19="Logo",INDEX(Data!$Y$2:$Y$73,MATCH(A19&amp;"|"&amp;B19,Data!$AD$2:$AD$73,0)),IF(C19="Product",INDEX(Data!$Z$2:$Z$73,MATCH(A19&amp;"|"&amp;B19,Data!$AD$2:$AD$73,0)),INDEX(Data!$AA$2:$AA$73,MATCH(A19&amp;"|"&amp;B19,Data!$AD$2:$AD$73,0))))</f>
        <v/>
      </c>
    </row>
    <row r="20">
      <c r="A20" s="4" t="inlineStr">
        <is>
          <t>P04</t>
        </is>
      </c>
      <c r="B20" s="4" t="inlineStr">
        <is>
          <t>Ad_A</t>
        </is>
      </c>
      <c r="C20" s="4" t="inlineStr">
        <is>
          <t>Logo</t>
        </is>
      </c>
      <c r="D20">
        <f>INDEX(Data!$G$2:$G$73,MATCH(A20&amp;"|"&amp;B20,Data!$AD$2:$AD$73,0))</f>
        <v/>
      </c>
      <c r="E20" s="5">
        <f>IF(C20="Logo",INDEX(Data!$Y$2:$Y$73,MATCH(A20&amp;"|"&amp;B20,Data!$AD$2:$AD$73,0)),IF(C20="Product",INDEX(Data!$Z$2:$Z$73,MATCH(A20&amp;"|"&amp;B20,Data!$AD$2:$AD$73,0)),INDEX(Data!$AA$2:$AA$73,MATCH(A20&amp;"|"&amp;B20,Data!$AD$2:$AD$73,0))))</f>
        <v/>
      </c>
    </row>
    <row r="21">
      <c r="A21" s="4" t="inlineStr">
        <is>
          <t>P04</t>
        </is>
      </c>
      <c r="B21" s="4" t="inlineStr">
        <is>
          <t>Ad_A</t>
        </is>
      </c>
      <c r="C21" s="4" t="inlineStr">
        <is>
          <t>Product</t>
        </is>
      </c>
      <c r="D21">
        <f>INDEX(Data!$G$2:$G$73,MATCH(A21&amp;"|"&amp;B21,Data!$AD$2:$AD$73,0))</f>
        <v/>
      </c>
      <c r="E21" s="5">
        <f>IF(C21="Logo",INDEX(Data!$Y$2:$Y$73,MATCH(A21&amp;"|"&amp;B21,Data!$AD$2:$AD$73,0)),IF(C21="Product",INDEX(Data!$Z$2:$Z$73,MATCH(A21&amp;"|"&amp;B21,Data!$AD$2:$AD$73,0)),INDEX(Data!$AA$2:$AA$73,MATCH(A21&amp;"|"&amp;B21,Data!$AD$2:$AD$73,0))))</f>
        <v/>
      </c>
    </row>
    <row r="22">
      <c r="A22" s="4" t="inlineStr">
        <is>
          <t>P04</t>
        </is>
      </c>
      <c r="B22" s="4" t="inlineStr">
        <is>
          <t>Ad_A</t>
        </is>
      </c>
      <c r="C22" s="4" t="inlineStr">
        <is>
          <t>Headline</t>
        </is>
      </c>
      <c r="D22">
        <f>INDEX(Data!$G$2:$G$73,MATCH(A22&amp;"|"&amp;B22,Data!$AD$2:$AD$73,0))</f>
        <v/>
      </c>
      <c r="E22" s="5">
        <f>IF(C22="Logo",INDEX(Data!$Y$2:$Y$73,MATCH(A22&amp;"|"&amp;B22,Data!$AD$2:$AD$73,0)),IF(C22="Product",INDEX(Data!$Z$2:$Z$73,MATCH(A22&amp;"|"&amp;B22,Data!$AD$2:$AD$73,0)),INDEX(Data!$AA$2:$AA$73,MATCH(A22&amp;"|"&amp;B22,Data!$AD$2:$AD$73,0))))</f>
        <v/>
      </c>
    </row>
    <row r="23">
      <c r="A23" s="4" t="inlineStr">
        <is>
          <t>P04</t>
        </is>
      </c>
      <c r="B23" s="4" t="inlineStr">
        <is>
          <t>Ad_B</t>
        </is>
      </c>
      <c r="C23" s="4" t="inlineStr">
        <is>
          <t>Logo</t>
        </is>
      </c>
      <c r="D23">
        <f>INDEX(Data!$G$2:$G$73,MATCH(A23&amp;"|"&amp;B23,Data!$AD$2:$AD$73,0))</f>
        <v/>
      </c>
      <c r="E23" s="5">
        <f>IF(C23="Logo",INDEX(Data!$Y$2:$Y$73,MATCH(A23&amp;"|"&amp;B23,Data!$AD$2:$AD$73,0)),IF(C23="Product",INDEX(Data!$Z$2:$Z$73,MATCH(A23&amp;"|"&amp;B23,Data!$AD$2:$AD$73,0)),INDEX(Data!$AA$2:$AA$73,MATCH(A23&amp;"|"&amp;B23,Data!$AD$2:$AD$73,0))))</f>
        <v/>
      </c>
    </row>
    <row r="24">
      <c r="A24" s="4" t="inlineStr">
        <is>
          <t>P04</t>
        </is>
      </c>
      <c r="B24" s="4" t="inlineStr">
        <is>
          <t>Ad_B</t>
        </is>
      </c>
      <c r="C24" s="4" t="inlineStr">
        <is>
          <t>Product</t>
        </is>
      </c>
      <c r="D24">
        <f>INDEX(Data!$G$2:$G$73,MATCH(A24&amp;"|"&amp;B24,Data!$AD$2:$AD$73,0))</f>
        <v/>
      </c>
      <c r="E24" s="5">
        <f>IF(C24="Logo",INDEX(Data!$Y$2:$Y$73,MATCH(A24&amp;"|"&amp;B24,Data!$AD$2:$AD$73,0)),IF(C24="Product",INDEX(Data!$Z$2:$Z$73,MATCH(A24&amp;"|"&amp;B24,Data!$AD$2:$AD$73,0)),INDEX(Data!$AA$2:$AA$73,MATCH(A24&amp;"|"&amp;B24,Data!$AD$2:$AD$73,0))))</f>
        <v/>
      </c>
    </row>
    <row r="25">
      <c r="A25" s="4" t="inlineStr">
        <is>
          <t>P04</t>
        </is>
      </c>
      <c r="B25" s="4" t="inlineStr">
        <is>
          <t>Ad_B</t>
        </is>
      </c>
      <c r="C25" s="4" t="inlineStr">
        <is>
          <t>Headline</t>
        </is>
      </c>
      <c r="D25">
        <f>INDEX(Data!$G$2:$G$73,MATCH(A25&amp;"|"&amp;B25,Data!$AD$2:$AD$73,0))</f>
        <v/>
      </c>
      <c r="E25" s="5">
        <f>IF(C25="Logo",INDEX(Data!$Y$2:$Y$73,MATCH(A25&amp;"|"&amp;B25,Data!$AD$2:$AD$73,0)),IF(C25="Product",INDEX(Data!$Z$2:$Z$73,MATCH(A25&amp;"|"&amp;B25,Data!$AD$2:$AD$73,0)),INDEX(Data!$AA$2:$AA$73,MATCH(A25&amp;"|"&amp;B25,Data!$AD$2:$AD$73,0))))</f>
        <v/>
      </c>
    </row>
    <row r="26">
      <c r="A26" s="4" t="inlineStr">
        <is>
          <t>P05</t>
        </is>
      </c>
      <c r="B26" s="4" t="inlineStr">
        <is>
          <t>Ad_A</t>
        </is>
      </c>
      <c r="C26" s="4" t="inlineStr">
        <is>
          <t>Logo</t>
        </is>
      </c>
      <c r="D26">
        <f>INDEX(Data!$G$2:$G$73,MATCH(A26&amp;"|"&amp;B26,Data!$AD$2:$AD$73,0))</f>
        <v/>
      </c>
      <c r="E26" s="5">
        <f>IF(C26="Logo",INDEX(Data!$Y$2:$Y$73,MATCH(A26&amp;"|"&amp;B26,Data!$AD$2:$AD$73,0)),IF(C26="Product",INDEX(Data!$Z$2:$Z$73,MATCH(A26&amp;"|"&amp;B26,Data!$AD$2:$AD$73,0)),INDEX(Data!$AA$2:$AA$73,MATCH(A26&amp;"|"&amp;B26,Data!$AD$2:$AD$73,0))))</f>
        <v/>
      </c>
    </row>
    <row r="27">
      <c r="A27" s="4" t="inlineStr">
        <is>
          <t>P05</t>
        </is>
      </c>
      <c r="B27" s="4" t="inlineStr">
        <is>
          <t>Ad_A</t>
        </is>
      </c>
      <c r="C27" s="4" t="inlineStr">
        <is>
          <t>Product</t>
        </is>
      </c>
      <c r="D27">
        <f>INDEX(Data!$G$2:$G$73,MATCH(A27&amp;"|"&amp;B27,Data!$AD$2:$AD$73,0))</f>
        <v/>
      </c>
      <c r="E27" s="5">
        <f>IF(C27="Logo",INDEX(Data!$Y$2:$Y$73,MATCH(A27&amp;"|"&amp;B27,Data!$AD$2:$AD$73,0)),IF(C27="Product",INDEX(Data!$Z$2:$Z$73,MATCH(A27&amp;"|"&amp;B27,Data!$AD$2:$AD$73,0)),INDEX(Data!$AA$2:$AA$73,MATCH(A27&amp;"|"&amp;B27,Data!$AD$2:$AD$73,0))))</f>
        <v/>
      </c>
    </row>
    <row r="28">
      <c r="A28" s="4" t="inlineStr">
        <is>
          <t>P05</t>
        </is>
      </c>
      <c r="B28" s="4" t="inlineStr">
        <is>
          <t>Ad_A</t>
        </is>
      </c>
      <c r="C28" s="4" t="inlineStr">
        <is>
          <t>Headline</t>
        </is>
      </c>
      <c r="D28">
        <f>INDEX(Data!$G$2:$G$73,MATCH(A28&amp;"|"&amp;B28,Data!$AD$2:$AD$73,0))</f>
        <v/>
      </c>
      <c r="E28" s="5">
        <f>IF(C28="Logo",INDEX(Data!$Y$2:$Y$73,MATCH(A28&amp;"|"&amp;B28,Data!$AD$2:$AD$73,0)),IF(C28="Product",INDEX(Data!$Z$2:$Z$73,MATCH(A28&amp;"|"&amp;B28,Data!$AD$2:$AD$73,0)),INDEX(Data!$AA$2:$AA$73,MATCH(A28&amp;"|"&amp;B28,Data!$AD$2:$AD$73,0))))</f>
        <v/>
      </c>
    </row>
    <row r="29">
      <c r="A29" s="4" t="inlineStr">
        <is>
          <t>P05</t>
        </is>
      </c>
      <c r="B29" s="4" t="inlineStr">
        <is>
          <t>Ad_B</t>
        </is>
      </c>
      <c r="C29" s="4" t="inlineStr">
        <is>
          <t>Logo</t>
        </is>
      </c>
      <c r="D29">
        <f>INDEX(Data!$G$2:$G$73,MATCH(A29&amp;"|"&amp;B29,Data!$AD$2:$AD$73,0))</f>
        <v/>
      </c>
      <c r="E29" s="5">
        <f>IF(C29="Logo",INDEX(Data!$Y$2:$Y$73,MATCH(A29&amp;"|"&amp;B29,Data!$AD$2:$AD$73,0)),IF(C29="Product",INDEX(Data!$Z$2:$Z$73,MATCH(A29&amp;"|"&amp;B29,Data!$AD$2:$AD$73,0)),INDEX(Data!$AA$2:$AA$73,MATCH(A29&amp;"|"&amp;B29,Data!$AD$2:$AD$73,0))))</f>
        <v/>
      </c>
    </row>
    <row r="30">
      <c r="A30" s="4" t="inlineStr">
        <is>
          <t>P05</t>
        </is>
      </c>
      <c r="B30" s="4" t="inlineStr">
        <is>
          <t>Ad_B</t>
        </is>
      </c>
      <c r="C30" s="4" t="inlineStr">
        <is>
          <t>Product</t>
        </is>
      </c>
      <c r="D30">
        <f>INDEX(Data!$G$2:$G$73,MATCH(A30&amp;"|"&amp;B30,Data!$AD$2:$AD$73,0))</f>
        <v/>
      </c>
      <c r="E30" s="5">
        <f>IF(C30="Logo",INDEX(Data!$Y$2:$Y$73,MATCH(A30&amp;"|"&amp;B30,Data!$AD$2:$AD$73,0)),IF(C30="Product",INDEX(Data!$Z$2:$Z$73,MATCH(A30&amp;"|"&amp;B30,Data!$AD$2:$AD$73,0)),INDEX(Data!$AA$2:$AA$73,MATCH(A30&amp;"|"&amp;B30,Data!$AD$2:$AD$73,0))))</f>
        <v/>
      </c>
    </row>
    <row r="31">
      <c r="A31" s="4" t="inlineStr">
        <is>
          <t>P05</t>
        </is>
      </c>
      <c r="B31" s="4" t="inlineStr">
        <is>
          <t>Ad_B</t>
        </is>
      </c>
      <c r="C31" s="4" t="inlineStr">
        <is>
          <t>Headline</t>
        </is>
      </c>
      <c r="D31">
        <f>INDEX(Data!$G$2:$G$73,MATCH(A31&amp;"|"&amp;B31,Data!$AD$2:$AD$73,0))</f>
        <v/>
      </c>
      <c r="E31" s="5">
        <f>IF(C31="Logo",INDEX(Data!$Y$2:$Y$73,MATCH(A31&amp;"|"&amp;B31,Data!$AD$2:$AD$73,0)),IF(C31="Product",INDEX(Data!$Z$2:$Z$73,MATCH(A31&amp;"|"&amp;B31,Data!$AD$2:$AD$73,0)),INDEX(Data!$AA$2:$AA$73,MATCH(A31&amp;"|"&amp;B31,Data!$AD$2:$AD$73,0))))</f>
        <v/>
      </c>
    </row>
    <row r="32">
      <c r="A32" s="4" t="inlineStr">
        <is>
          <t>P06</t>
        </is>
      </c>
      <c r="B32" s="4" t="inlineStr">
        <is>
          <t>Ad_A</t>
        </is>
      </c>
      <c r="C32" s="4" t="inlineStr">
        <is>
          <t>Logo</t>
        </is>
      </c>
      <c r="D32">
        <f>INDEX(Data!$G$2:$G$73,MATCH(A32&amp;"|"&amp;B32,Data!$AD$2:$AD$73,0))</f>
        <v/>
      </c>
      <c r="E32" s="5">
        <f>IF(C32="Logo",INDEX(Data!$Y$2:$Y$73,MATCH(A32&amp;"|"&amp;B32,Data!$AD$2:$AD$73,0)),IF(C32="Product",INDEX(Data!$Z$2:$Z$73,MATCH(A32&amp;"|"&amp;B32,Data!$AD$2:$AD$73,0)),INDEX(Data!$AA$2:$AA$73,MATCH(A32&amp;"|"&amp;B32,Data!$AD$2:$AD$73,0))))</f>
        <v/>
      </c>
    </row>
    <row r="33">
      <c r="A33" s="4" t="inlineStr">
        <is>
          <t>P06</t>
        </is>
      </c>
      <c r="B33" s="4" t="inlineStr">
        <is>
          <t>Ad_A</t>
        </is>
      </c>
      <c r="C33" s="4" t="inlineStr">
        <is>
          <t>Product</t>
        </is>
      </c>
      <c r="D33">
        <f>INDEX(Data!$G$2:$G$73,MATCH(A33&amp;"|"&amp;B33,Data!$AD$2:$AD$73,0))</f>
        <v/>
      </c>
      <c r="E33" s="5">
        <f>IF(C33="Logo",INDEX(Data!$Y$2:$Y$73,MATCH(A33&amp;"|"&amp;B33,Data!$AD$2:$AD$73,0)),IF(C33="Product",INDEX(Data!$Z$2:$Z$73,MATCH(A33&amp;"|"&amp;B33,Data!$AD$2:$AD$73,0)),INDEX(Data!$AA$2:$AA$73,MATCH(A33&amp;"|"&amp;B33,Data!$AD$2:$AD$73,0))))</f>
        <v/>
      </c>
    </row>
    <row r="34">
      <c r="A34" s="4" t="inlineStr">
        <is>
          <t>P06</t>
        </is>
      </c>
      <c r="B34" s="4" t="inlineStr">
        <is>
          <t>Ad_A</t>
        </is>
      </c>
      <c r="C34" s="4" t="inlineStr">
        <is>
          <t>Headline</t>
        </is>
      </c>
      <c r="D34">
        <f>INDEX(Data!$G$2:$G$73,MATCH(A34&amp;"|"&amp;B34,Data!$AD$2:$AD$73,0))</f>
        <v/>
      </c>
      <c r="E34" s="5">
        <f>IF(C34="Logo",INDEX(Data!$Y$2:$Y$73,MATCH(A34&amp;"|"&amp;B34,Data!$AD$2:$AD$73,0)),IF(C34="Product",INDEX(Data!$Z$2:$Z$73,MATCH(A34&amp;"|"&amp;B34,Data!$AD$2:$AD$73,0)),INDEX(Data!$AA$2:$AA$73,MATCH(A34&amp;"|"&amp;B34,Data!$AD$2:$AD$73,0))))</f>
        <v/>
      </c>
    </row>
    <row r="35">
      <c r="A35" s="4" t="inlineStr">
        <is>
          <t>P06</t>
        </is>
      </c>
      <c r="B35" s="4" t="inlineStr">
        <is>
          <t>Ad_B</t>
        </is>
      </c>
      <c r="C35" s="4" t="inlineStr">
        <is>
          <t>Logo</t>
        </is>
      </c>
      <c r="D35">
        <f>INDEX(Data!$G$2:$G$73,MATCH(A35&amp;"|"&amp;B35,Data!$AD$2:$AD$73,0))</f>
        <v/>
      </c>
      <c r="E35" s="5">
        <f>IF(C35="Logo",INDEX(Data!$Y$2:$Y$73,MATCH(A35&amp;"|"&amp;B35,Data!$AD$2:$AD$73,0)),IF(C35="Product",INDEX(Data!$Z$2:$Z$73,MATCH(A35&amp;"|"&amp;B35,Data!$AD$2:$AD$73,0)),INDEX(Data!$AA$2:$AA$73,MATCH(A35&amp;"|"&amp;B35,Data!$AD$2:$AD$73,0))))</f>
        <v/>
      </c>
    </row>
    <row r="36">
      <c r="A36" s="4" t="inlineStr">
        <is>
          <t>P06</t>
        </is>
      </c>
      <c r="B36" s="4" t="inlineStr">
        <is>
          <t>Ad_B</t>
        </is>
      </c>
      <c r="C36" s="4" t="inlineStr">
        <is>
          <t>Product</t>
        </is>
      </c>
      <c r="D36">
        <f>INDEX(Data!$G$2:$G$73,MATCH(A36&amp;"|"&amp;B36,Data!$AD$2:$AD$73,0))</f>
        <v/>
      </c>
      <c r="E36" s="5">
        <f>IF(C36="Logo",INDEX(Data!$Y$2:$Y$73,MATCH(A36&amp;"|"&amp;B36,Data!$AD$2:$AD$73,0)),IF(C36="Product",INDEX(Data!$Z$2:$Z$73,MATCH(A36&amp;"|"&amp;B36,Data!$AD$2:$AD$73,0)),INDEX(Data!$AA$2:$AA$73,MATCH(A36&amp;"|"&amp;B36,Data!$AD$2:$AD$73,0))))</f>
        <v/>
      </c>
    </row>
    <row r="37">
      <c r="A37" s="4" t="inlineStr">
        <is>
          <t>P06</t>
        </is>
      </c>
      <c r="B37" s="4" t="inlineStr">
        <is>
          <t>Ad_B</t>
        </is>
      </c>
      <c r="C37" s="4" t="inlineStr">
        <is>
          <t>Headline</t>
        </is>
      </c>
      <c r="D37">
        <f>INDEX(Data!$G$2:$G$73,MATCH(A37&amp;"|"&amp;B37,Data!$AD$2:$AD$73,0))</f>
        <v/>
      </c>
      <c r="E37" s="5">
        <f>IF(C37="Logo",INDEX(Data!$Y$2:$Y$73,MATCH(A37&amp;"|"&amp;B37,Data!$AD$2:$AD$73,0)),IF(C37="Product",INDEX(Data!$Z$2:$Z$73,MATCH(A37&amp;"|"&amp;B37,Data!$AD$2:$AD$73,0)),INDEX(Data!$AA$2:$AA$73,MATCH(A37&amp;"|"&amp;B37,Data!$AD$2:$AD$73,0))))</f>
        <v/>
      </c>
    </row>
    <row r="38">
      <c r="A38" s="4" t="inlineStr">
        <is>
          <t>P07</t>
        </is>
      </c>
      <c r="B38" s="4" t="inlineStr">
        <is>
          <t>Ad_A</t>
        </is>
      </c>
      <c r="C38" s="4" t="inlineStr">
        <is>
          <t>Logo</t>
        </is>
      </c>
      <c r="D38">
        <f>INDEX(Data!$G$2:$G$73,MATCH(A38&amp;"|"&amp;B38,Data!$AD$2:$AD$73,0))</f>
        <v/>
      </c>
      <c r="E38" s="5">
        <f>IF(C38="Logo",INDEX(Data!$Y$2:$Y$73,MATCH(A38&amp;"|"&amp;B38,Data!$AD$2:$AD$73,0)),IF(C38="Product",INDEX(Data!$Z$2:$Z$73,MATCH(A38&amp;"|"&amp;B38,Data!$AD$2:$AD$73,0)),INDEX(Data!$AA$2:$AA$73,MATCH(A38&amp;"|"&amp;B38,Data!$AD$2:$AD$73,0))))</f>
        <v/>
      </c>
    </row>
    <row r="39">
      <c r="A39" s="4" t="inlineStr">
        <is>
          <t>P07</t>
        </is>
      </c>
      <c r="B39" s="4" t="inlineStr">
        <is>
          <t>Ad_A</t>
        </is>
      </c>
      <c r="C39" s="4" t="inlineStr">
        <is>
          <t>Product</t>
        </is>
      </c>
      <c r="D39">
        <f>INDEX(Data!$G$2:$G$73,MATCH(A39&amp;"|"&amp;B39,Data!$AD$2:$AD$73,0))</f>
        <v/>
      </c>
      <c r="E39" s="5">
        <f>IF(C39="Logo",INDEX(Data!$Y$2:$Y$73,MATCH(A39&amp;"|"&amp;B39,Data!$AD$2:$AD$73,0)),IF(C39="Product",INDEX(Data!$Z$2:$Z$73,MATCH(A39&amp;"|"&amp;B39,Data!$AD$2:$AD$73,0)),INDEX(Data!$AA$2:$AA$73,MATCH(A39&amp;"|"&amp;B39,Data!$AD$2:$AD$73,0))))</f>
        <v/>
      </c>
    </row>
    <row r="40">
      <c r="A40" s="4" t="inlineStr">
        <is>
          <t>P07</t>
        </is>
      </c>
      <c r="B40" s="4" t="inlineStr">
        <is>
          <t>Ad_A</t>
        </is>
      </c>
      <c r="C40" s="4" t="inlineStr">
        <is>
          <t>Headline</t>
        </is>
      </c>
      <c r="D40">
        <f>INDEX(Data!$G$2:$G$73,MATCH(A40&amp;"|"&amp;B40,Data!$AD$2:$AD$73,0))</f>
        <v/>
      </c>
      <c r="E40" s="5">
        <f>IF(C40="Logo",INDEX(Data!$Y$2:$Y$73,MATCH(A40&amp;"|"&amp;B40,Data!$AD$2:$AD$73,0)),IF(C40="Product",INDEX(Data!$Z$2:$Z$73,MATCH(A40&amp;"|"&amp;B40,Data!$AD$2:$AD$73,0)),INDEX(Data!$AA$2:$AA$73,MATCH(A40&amp;"|"&amp;B40,Data!$AD$2:$AD$73,0))))</f>
        <v/>
      </c>
    </row>
    <row r="41">
      <c r="A41" s="4" t="inlineStr">
        <is>
          <t>P07</t>
        </is>
      </c>
      <c r="B41" s="4" t="inlineStr">
        <is>
          <t>Ad_B</t>
        </is>
      </c>
      <c r="C41" s="4" t="inlineStr">
        <is>
          <t>Logo</t>
        </is>
      </c>
      <c r="D41">
        <f>INDEX(Data!$G$2:$G$73,MATCH(A41&amp;"|"&amp;B41,Data!$AD$2:$AD$73,0))</f>
        <v/>
      </c>
      <c r="E41" s="5">
        <f>IF(C41="Logo",INDEX(Data!$Y$2:$Y$73,MATCH(A41&amp;"|"&amp;B41,Data!$AD$2:$AD$73,0)),IF(C41="Product",INDEX(Data!$Z$2:$Z$73,MATCH(A41&amp;"|"&amp;B41,Data!$AD$2:$AD$73,0)),INDEX(Data!$AA$2:$AA$73,MATCH(A41&amp;"|"&amp;B41,Data!$AD$2:$AD$73,0))))</f>
        <v/>
      </c>
    </row>
    <row r="42">
      <c r="A42" s="4" t="inlineStr">
        <is>
          <t>P07</t>
        </is>
      </c>
      <c r="B42" s="4" t="inlineStr">
        <is>
          <t>Ad_B</t>
        </is>
      </c>
      <c r="C42" s="4" t="inlineStr">
        <is>
          <t>Product</t>
        </is>
      </c>
      <c r="D42">
        <f>INDEX(Data!$G$2:$G$73,MATCH(A42&amp;"|"&amp;B42,Data!$AD$2:$AD$73,0))</f>
        <v/>
      </c>
      <c r="E42" s="5">
        <f>IF(C42="Logo",INDEX(Data!$Y$2:$Y$73,MATCH(A42&amp;"|"&amp;B42,Data!$AD$2:$AD$73,0)),IF(C42="Product",INDEX(Data!$Z$2:$Z$73,MATCH(A42&amp;"|"&amp;B42,Data!$AD$2:$AD$73,0)),INDEX(Data!$AA$2:$AA$73,MATCH(A42&amp;"|"&amp;B42,Data!$AD$2:$AD$73,0))))</f>
        <v/>
      </c>
    </row>
    <row r="43">
      <c r="A43" s="4" t="inlineStr">
        <is>
          <t>P07</t>
        </is>
      </c>
      <c r="B43" s="4" t="inlineStr">
        <is>
          <t>Ad_B</t>
        </is>
      </c>
      <c r="C43" s="4" t="inlineStr">
        <is>
          <t>Headline</t>
        </is>
      </c>
      <c r="D43">
        <f>INDEX(Data!$G$2:$G$73,MATCH(A43&amp;"|"&amp;B43,Data!$AD$2:$AD$73,0))</f>
        <v/>
      </c>
      <c r="E43" s="5">
        <f>IF(C43="Logo",INDEX(Data!$Y$2:$Y$73,MATCH(A43&amp;"|"&amp;B43,Data!$AD$2:$AD$73,0)),IF(C43="Product",INDEX(Data!$Z$2:$Z$73,MATCH(A43&amp;"|"&amp;B43,Data!$AD$2:$AD$73,0)),INDEX(Data!$AA$2:$AA$73,MATCH(A43&amp;"|"&amp;B43,Data!$AD$2:$AD$73,0))))</f>
        <v/>
      </c>
    </row>
    <row r="44">
      <c r="A44" s="4" t="inlineStr">
        <is>
          <t>P08</t>
        </is>
      </c>
      <c r="B44" s="4" t="inlineStr">
        <is>
          <t>Ad_A</t>
        </is>
      </c>
      <c r="C44" s="4" t="inlineStr">
        <is>
          <t>Logo</t>
        </is>
      </c>
      <c r="D44">
        <f>INDEX(Data!$G$2:$G$73,MATCH(A44&amp;"|"&amp;B44,Data!$AD$2:$AD$73,0))</f>
        <v/>
      </c>
      <c r="E44" s="5">
        <f>IF(C44="Logo",INDEX(Data!$Y$2:$Y$73,MATCH(A44&amp;"|"&amp;B44,Data!$AD$2:$AD$73,0)),IF(C44="Product",INDEX(Data!$Z$2:$Z$73,MATCH(A44&amp;"|"&amp;B44,Data!$AD$2:$AD$73,0)),INDEX(Data!$AA$2:$AA$73,MATCH(A44&amp;"|"&amp;B44,Data!$AD$2:$AD$73,0))))</f>
        <v/>
      </c>
    </row>
    <row r="45">
      <c r="A45" s="4" t="inlineStr">
        <is>
          <t>P08</t>
        </is>
      </c>
      <c r="B45" s="4" t="inlineStr">
        <is>
          <t>Ad_A</t>
        </is>
      </c>
      <c r="C45" s="4" t="inlineStr">
        <is>
          <t>Product</t>
        </is>
      </c>
      <c r="D45">
        <f>INDEX(Data!$G$2:$G$73,MATCH(A45&amp;"|"&amp;B45,Data!$AD$2:$AD$73,0))</f>
        <v/>
      </c>
      <c r="E45" s="5">
        <f>IF(C45="Logo",INDEX(Data!$Y$2:$Y$73,MATCH(A45&amp;"|"&amp;B45,Data!$AD$2:$AD$73,0)),IF(C45="Product",INDEX(Data!$Z$2:$Z$73,MATCH(A45&amp;"|"&amp;B45,Data!$AD$2:$AD$73,0)),INDEX(Data!$AA$2:$AA$73,MATCH(A45&amp;"|"&amp;B45,Data!$AD$2:$AD$73,0))))</f>
        <v/>
      </c>
    </row>
    <row r="46">
      <c r="A46" s="4" t="inlineStr">
        <is>
          <t>P08</t>
        </is>
      </c>
      <c r="B46" s="4" t="inlineStr">
        <is>
          <t>Ad_A</t>
        </is>
      </c>
      <c r="C46" s="4" t="inlineStr">
        <is>
          <t>Headline</t>
        </is>
      </c>
      <c r="D46">
        <f>INDEX(Data!$G$2:$G$73,MATCH(A46&amp;"|"&amp;B46,Data!$AD$2:$AD$73,0))</f>
        <v/>
      </c>
      <c r="E46" s="5">
        <f>IF(C46="Logo",INDEX(Data!$Y$2:$Y$73,MATCH(A46&amp;"|"&amp;B46,Data!$AD$2:$AD$73,0)),IF(C46="Product",INDEX(Data!$Z$2:$Z$73,MATCH(A46&amp;"|"&amp;B46,Data!$AD$2:$AD$73,0)),INDEX(Data!$AA$2:$AA$73,MATCH(A46&amp;"|"&amp;B46,Data!$AD$2:$AD$73,0))))</f>
        <v/>
      </c>
    </row>
    <row r="47">
      <c r="A47" s="4" t="inlineStr">
        <is>
          <t>P08</t>
        </is>
      </c>
      <c r="B47" s="4" t="inlineStr">
        <is>
          <t>Ad_B</t>
        </is>
      </c>
      <c r="C47" s="4" t="inlineStr">
        <is>
          <t>Logo</t>
        </is>
      </c>
      <c r="D47">
        <f>INDEX(Data!$G$2:$G$73,MATCH(A47&amp;"|"&amp;B47,Data!$AD$2:$AD$73,0))</f>
        <v/>
      </c>
      <c r="E47" s="5">
        <f>IF(C47="Logo",INDEX(Data!$Y$2:$Y$73,MATCH(A47&amp;"|"&amp;B47,Data!$AD$2:$AD$73,0)),IF(C47="Product",INDEX(Data!$Z$2:$Z$73,MATCH(A47&amp;"|"&amp;B47,Data!$AD$2:$AD$73,0)),INDEX(Data!$AA$2:$AA$73,MATCH(A47&amp;"|"&amp;B47,Data!$AD$2:$AD$73,0))))</f>
        <v/>
      </c>
    </row>
    <row r="48">
      <c r="A48" s="4" t="inlineStr">
        <is>
          <t>P08</t>
        </is>
      </c>
      <c r="B48" s="4" t="inlineStr">
        <is>
          <t>Ad_B</t>
        </is>
      </c>
      <c r="C48" s="4" t="inlineStr">
        <is>
          <t>Product</t>
        </is>
      </c>
      <c r="D48">
        <f>INDEX(Data!$G$2:$G$73,MATCH(A48&amp;"|"&amp;B48,Data!$AD$2:$AD$73,0))</f>
        <v/>
      </c>
      <c r="E48" s="5">
        <f>IF(C48="Logo",INDEX(Data!$Y$2:$Y$73,MATCH(A48&amp;"|"&amp;B48,Data!$AD$2:$AD$73,0)),IF(C48="Product",INDEX(Data!$Z$2:$Z$73,MATCH(A48&amp;"|"&amp;B48,Data!$AD$2:$AD$73,0)),INDEX(Data!$AA$2:$AA$73,MATCH(A48&amp;"|"&amp;B48,Data!$AD$2:$AD$73,0))))</f>
        <v/>
      </c>
    </row>
    <row r="49">
      <c r="A49" s="4" t="inlineStr">
        <is>
          <t>P08</t>
        </is>
      </c>
      <c r="B49" s="4" t="inlineStr">
        <is>
          <t>Ad_B</t>
        </is>
      </c>
      <c r="C49" s="4" t="inlineStr">
        <is>
          <t>Headline</t>
        </is>
      </c>
      <c r="D49">
        <f>INDEX(Data!$G$2:$G$73,MATCH(A49&amp;"|"&amp;B49,Data!$AD$2:$AD$73,0))</f>
        <v/>
      </c>
      <c r="E49" s="5">
        <f>IF(C49="Logo",INDEX(Data!$Y$2:$Y$73,MATCH(A49&amp;"|"&amp;B49,Data!$AD$2:$AD$73,0)),IF(C49="Product",INDEX(Data!$Z$2:$Z$73,MATCH(A49&amp;"|"&amp;B49,Data!$AD$2:$AD$73,0)),INDEX(Data!$AA$2:$AA$73,MATCH(A49&amp;"|"&amp;B49,Data!$AD$2:$AD$73,0))))</f>
        <v/>
      </c>
    </row>
    <row r="50">
      <c r="A50" s="4" t="inlineStr">
        <is>
          <t>P09</t>
        </is>
      </c>
      <c r="B50" s="4" t="inlineStr">
        <is>
          <t>Ad_A</t>
        </is>
      </c>
      <c r="C50" s="4" t="inlineStr">
        <is>
          <t>Logo</t>
        </is>
      </c>
      <c r="D50">
        <f>INDEX(Data!$G$2:$G$73,MATCH(A50&amp;"|"&amp;B50,Data!$AD$2:$AD$73,0))</f>
        <v/>
      </c>
      <c r="E50" s="5">
        <f>IF(C50="Logo",INDEX(Data!$Y$2:$Y$73,MATCH(A50&amp;"|"&amp;B50,Data!$AD$2:$AD$73,0)),IF(C50="Product",INDEX(Data!$Z$2:$Z$73,MATCH(A50&amp;"|"&amp;B50,Data!$AD$2:$AD$73,0)),INDEX(Data!$AA$2:$AA$73,MATCH(A50&amp;"|"&amp;B50,Data!$AD$2:$AD$73,0))))</f>
        <v/>
      </c>
    </row>
    <row r="51">
      <c r="A51" s="4" t="inlineStr">
        <is>
          <t>P09</t>
        </is>
      </c>
      <c r="B51" s="4" t="inlineStr">
        <is>
          <t>Ad_A</t>
        </is>
      </c>
      <c r="C51" s="4" t="inlineStr">
        <is>
          <t>Product</t>
        </is>
      </c>
      <c r="D51">
        <f>INDEX(Data!$G$2:$G$73,MATCH(A51&amp;"|"&amp;B51,Data!$AD$2:$AD$73,0))</f>
        <v/>
      </c>
      <c r="E51" s="5">
        <f>IF(C51="Logo",INDEX(Data!$Y$2:$Y$73,MATCH(A51&amp;"|"&amp;B51,Data!$AD$2:$AD$73,0)),IF(C51="Product",INDEX(Data!$Z$2:$Z$73,MATCH(A51&amp;"|"&amp;B51,Data!$AD$2:$AD$73,0)),INDEX(Data!$AA$2:$AA$73,MATCH(A51&amp;"|"&amp;B51,Data!$AD$2:$AD$73,0))))</f>
        <v/>
      </c>
    </row>
    <row r="52">
      <c r="A52" s="4" t="inlineStr">
        <is>
          <t>P09</t>
        </is>
      </c>
      <c r="B52" s="4" t="inlineStr">
        <is>
          <t>Ad_A</t>
        </is>
      </c>
      <c r="C52" s="4" t="inlineStr">
        <is>
          <t>Headline</t>
        </is>
      </c>
      <c r="D52">
        <f>INDEX(Data!$G$2:$G$73,MATCH(A52&amp;"|"&amp;B52,Data!$AD$2:$AD$73,0))</f>
        <v/>
      </c>
      <c r="E52" s="5">
        <f>IF(C52="Logo",INDEX(Data!$Y$2:$Y$73,MATCH(A52&amp;"|"&amp;B52,Data!$AD$2:$AD$73,0)),IF(C52="Product",INDEX(Data!$Z$2:$Z$73,MATCH(A52&amp;"|"&amp;B52,Data!$AD$2:$AD$73,0)),INDEX(Data!$AA$2:$AA$73,MATCH(A52&amp;"|"&amp;B52,Data!$AD$2:$AD$73,0))))</f>
        <v/>
      </c>
    </row>
    <row r="53">
      <c r="A53" s="4" t="inlineStr">
        <is>
          <t>P09</t>
        </is>
      </c>
      <c r="B53" s="4" t="inlineStr">
        <is>
          <t>Ad_B</t>
        </is>
      </c>
      <c r="C53" s="4" t="inlineStr">
        <is>
          <t>Logo</t>
        </is>
      </c>
      <c r="D53">
        <f>INDEX(Data!$G$2:$G$73,MATCH(A53&amp;"|"&amp;B53,Data!$AD$2:$AD$73,0))</f>
        <v/>
      </c>
      <c r="E53" s="5">
        <f>IF(C53="Logo",INDEX(Data!$Y$2:$Y$73,MATCH(A53&amp;"|"&amp;B53,Data!$AD$2:$AD$73,0)),IF(C53="Product",INDEX(Data!$Z$2:$Z$73,MATCH(A53&amp;"|"&amp;B53,Data!$AD$2:$AD$73,0)),INDEX(Data!$AA$2:$AA$73,MATCH(A53&amp;"|"&amp;B53,Data!$AD$2:$AD$73,0))))</f>
        <v/>
      </c>
    </row>
    <row r="54">
      <c r="A54" s="4" t="inlineStr">
        <is>
          <t>P09</t>
        </is>
      </c>
      <c r="B54" s="4" t="inlineStr">
        <is>
          <t>Ad_B</t>
        </is>
      </c>
      <c r="C54" s="4" t="inlineStr">
        <is>
          <t>Product</t>
        </is>
      </c>
      <c r="D54">
        <f>INDEX(Data!$G$2:$G$73,MATCH(A54&amp;"|"&amp;B54,Data!$AD$2:$AD$73,0))</f>
        <v/>
      </c>
      <c r="E54" s="5">
        <f>IF(C54="Logo",INDEX(Data!$Y$2:$Y$73,MATCH(A54&amp;"|"&amp;B54,Data!$AD$2:$AD$73,0)),IF(C54="Product",INDEX(Data!$Z$2:$Z$73,MATCH(A54&amp;"|"&amp;B54,Data!$AD$2:$AD$73,0)),INDEX(Data!$AA$2:$AA$73,MATCH(A54&amp;"|"&amp;B54,Data!$AD$2:$AD$73,0))))</f>
        <v/>
      </c>
    </row>
    <row r="55">
      <c r="A55" s="4" t="inlineStr">
        <is>
          <t>P09</t>
        </is>
      </c>
      <c r="B55" s="4" t="inlineStr">
        <is>
          <t>Ad_B</t>
        </is>
      </c>
      <c r="C55" s="4" t="inlineStr">
        <is>
          <t>Headline</t>
        </is>
      </c>
      <c r="D55">
        <f>INDEX(Data!$G$2:$G$73,MATCH(A55&amp;"|"&amp;B55,Data!$AD$2:$AD$73,0))</f>
        <v/>
      </c>
      <c r="E55" s="5">
        <f>IF(C55="Logo",INDEX(Data!$Y$2:$Y$73,MATCH(A55&amp;"|"&amp;B55,Data!$AD$2:$AD$73,0)),IF(C55="Product",INDEX(Data!$Z$2:$Z$73,MATCH(A55&amp;"|"&amp;B55,Data!$AD$2:$AD$73,0)),INDEX(Data!$AA$2:$AA$73,MATCH(A55&amp;"|"&amp;B55,Data!$AD$2:$AD$73,0))))</f>
        <v/>
      </c>
    </row>
    <row r="56">
      <c r="A56" s="4" t="inlineStr">
        <is>
          <t>P10</t>
        </is>
      </c>
      <c r="B56" s="4" t="inlineStr">
        <is>
          <t>Ad_A</t>
        </is>
      </c>
      <c r="C56" s="4" t="inlineStr">
        <is>
          <t>Logo</t>
        </is>
      </c>
      <c r="D56">
        <f>INDEX(Data!$G$2:$G$73,MATCH(A56&amp;"|"&amp;B56,Data!$AD$2:$AD$73,0))</f>
        <v/>
      </c>
      <c r="E56" s="5">
        <f>IF(C56="Logo",INDEX(Data!$Y$2:$Y$73,MATCH(A56&amp;"|"&amp;B56,Data!$AD$2:$AD$73,0)),IF(C56="Product",INDEX(Data!$Z$2:$Z$73,MATCH(A56&amp;"|"&amp;B56,Data!$AD$2:$AD$73,0)),INDEX(Data!$AA$2:$AA$73,MATCH(A56&amp;"|"&amp;B56,Data!$AD$2:$AD$73,0))))</f>
        <v/>
      </c>
    </row>
    <row r="57">
      <c r="A57" s="4" t="inlineStr">
        <is>
          <t>P10</t>
        </is>
      </c>
      <c r="B57" s="4" t="inlineStr">
        <is>
          <t>Ad_A</t>
        </is>
      </c>
      <c r="C57" s="4" t="inlineStr">
        <is>
          <t>Product</t>
        </is>
      </c>
      <c r="D57">
        <f>INDEX(Data!$G$2:$G$73,MATCH(A57&amp;"|"&amp;B57,Data!$AD$2:$AD$73,0))</f>
        <v/>
      </c>
      <c r="E57" s="5">
        <f>IF(C57="Logo",INDEX(Data!$Y$2:$Y$73,MATCH(A57&amp;"|"&amp;B57,Data!$AD$2:$AD$73,0)),IF(C57="Product",INDEX(Data!$Z$2:$Z$73,MATCH(A57&amp;"|"&amp;B57,Data!$AD$2:$AD$73,0)),INDEX(Data!$AA$2:$AA$73,MATCH(A57&amp;"|"&amp;B57,Data!$AD$2:$AD$73,0))))</f>
        <v/>
      </c>
    </row>
    <row r="58">
      <c r="A58" s="4" t="inlineStr">
        <is>
          <t>P10</t>
        </is>
      </c>
      <c r="B58" s="4" t="inlineStr">
        <is>
          <t>Ad_A</t>
        </is>
      </c>
      <c r="C58" s="4" t="inlineStr">
        <is>
          <t>Headline</t>
        </is>
      </c>
      <c r="D58">
        <f>INDEX(Data!$G$2:$G$73,MATCH(A58&amp;"|"&amp;B58,Data!$AD$2:$AD$73,0))</f>
        <v/>
      </c>
      <c r="E58" s="5">
        <f>IF(C58="Logo",INDEX(Data!$Y$2:$Y$73,MATCH(A58&amp;"|"&amp;B58,Data!$AD$2:$AD$73,0)),IF(C58="Product",INDEX(Data!$Z$2:$Z$73,MATCH(A58&amp;"|"&amp;B58,Data!$AD$2:$AD$73,0)),INDEX(Data!$AA$2:$AA$73,MATCH(A58&amp;"|"&amp;B58,Data!$AD$2:$AD$73,0))))</f>
        <v/>
      </c>
    </row>
    <row r="59">
      <c r="A59" s="4" t="inlineStr">
        <is>
          <t>P10</t>
        </is>
      </c>
      <c r="B59" s="4" t="inlineStr">
        <is>
          <t>Ad_B</t>
        </is>
      </c>
      <c r="C59" s="4" t="inlineStr">
        <is>
          <t>Logo</t>
        </is>
      </c>
      <c r="D59">
        <f>INDEX(Data!$G$2:$G$73,MATCH(A59&amp;"|"&amp;B59,Data!$AD$2:$AD$73,0))</f>
        <v/>
      </c>
      <c r="E59" s="5">
        <f>IF(C59="Logo",INDEX(Data!$Y$2:$Y$73,MATCH(A59&amp;"|"&amp;B59,Data!$AD$2:$AD$73,0)),IF(C59="Product",INDEX(Data!$Z$2:$Z$73,MATCH(A59&amp;"|"&amp;B59,Data!$AD$2:$AD$73,0)),INDEX(Data!$AA$2:$AA$73,MATCH(A59&amp;"|"&amp;B59,Data!$AD$2:$AD$73,0))))</f>
        <v/>
      </c>
    </row>
    <row r="60">
      <c r="A60" s="4" t="inlineStr">
        <is>
          <t>P10</t>
        </is>
      </c>
      <c r="B60" s="4" t="inlineStr">
        <is>
          <t>Ad_B</t>
        </is>
      </c>
      <c r="C60" s="4" t="inlineStr">
        <is>
          <t>Product</t>
        </is>
      </c>
      <c r="D60">
        <f>INDEX(Data!$G$2:$G$73,MATCH(A60&amp;"|"&amp;B60,Data!$AD$2:$AD$73,0))</f>
        <v/>
      </c>
      <c r="E60" s="5">
        <f>IF(C60="Logo",INDEX(Data!$Y$2:$Y$73,MATCH(A60&amp;"|"&amp;B60,Data!$AD$2:$AD$73,0)),IF(C60="Product",INDEX(Data!$Z$2:$Z$73,MATCH(A60&amp;"|"&amp;B60,Data!$AD$2:$AD$73,0)),INDEX(Data!$AA$2:$AA$73,MATCH(A60&amp;"|"&amp;B60,Data!$AD$2:$AD$73,0))))</f>
        <v/>
      </c>
    </row>
    <row r="61">
      <c r="A61" s="4" t="inlineStr">
        <is>
          <t>P10</t>
        </is>
      </c>
      <c r="B61" s="4" t="inlineStr">
        <is>
          <t>Ad_B</t>
        </is>
      </c>
      <c r="C61" s="4" t="inlineStr">
        <is>
          <t>Headline</t>
        </is>
      </c>
      <c r="D61">
        <f>INDEX(Data!$G$2:$G$73,MATCH(A61&amp;"|"&amp;B61,Data!$AD$2:$AD$73,0))</f>
        <v/>
      </c>
      <c r="E61" s="5">
        <f>IF(C61="Logo",INDEX(Data!$Y$2:$Y$73,MATCH(A61&amp;"|"&amp;B61,Data!$AD$2:$AD$73,0)),IF(C61="Product",INDEX(Data!$Z$2:$Z$73,MATCH(A61&amp;"|"&amp;B61,Data!$AD$2:$AD$73,0)),INDEX(Data!$AA$2:$AA$73,MATCH(A61&amp;"|"&amp;B61,Data!$AD$2:$AD$73,0))))</f>
        <v/>
      </c>
    </row>
    <row r="62">
      <c r="A62" s="4" t="inlineStr">
        <is>
          <t>P11</t>
        </is>
      </c>
      <c r="B62" s="4" t="inlineStr">
        <is>
          <t>Ad_A</t>
        </is>
      </c>
      <c r="C62" s="4" t="inlineStr">
        <is>
          <t>Logo</t>
        </is>
      </c>
      <c r="D62">
        <f>INDEX(Data!$G$2:$G$73,MATCH(A62&amp;"|"&amp;B62,Data!$AD$2:$AD$73,0))</f>
        <v/>
      </c>
      <c r="E62" s="5">
        <f>IF(C62="Logo",INDEX(Data!$Y$2:$Y$73,MATCH(A62&amp;"|"&amp;B62,Data!$AD$2:$AD$73,0)),IF(C62="Product",INDEX(Data!$Z$2:$Z$73,MATCH(A62&amp;"|"&amp;B62,Data!$AD$2:$AD$73,0)),INDEX(Data!$AA$2:$AA$73,MATCH(A62&amp;"|"&amp;B62,Data!$AD$2:$AD$73,0))))</f>
        <v/>
      </c>
    </row>
    <row r="63">
      <c r="A63" s="4" t="inlineStr">
        <is>
          <t>P11</t>
        </is>
      </c>
      <c r="B63" s="4" t="inlineStr">
        <is>
          <t>Ad_A</t>
        </is>
      </c>
      <c r="C63" s="4" t="inlineStr">
        <is>
          <t>Product</t>
        </is>
      </c>
      <c r="D63">
        <f>INDEX(Data!$G$2:$G$73,MATCH(A63&amp;"|"&amp;B63,Data!$AD$2:$AD$73,0))</f>
        <v/>
      </c>
      <c r="E63" s="5">
        <f>IF(C63="Logo",INDEX(Data!$Y$2:$Y$73,MATCH(A63&amp;"|"&amp;B63,Data!$AD$2:$AD$73,0)),IF(C63="Product",INDEX(Data!$Z$2:$Z$73,MATCH(A63&amp;"|"&amp;B63,Data!$AD$2:$AD$73,0)),INDEX(Data!$AA$2:$AA$73,MATCH(A63&amp;"|"&amp;B63,Data!$AD$2:$AD$73,0))))</f>
        <v/>
      </c>
    </row>
    <row r="64">
      <c r="A64" s="4" t="inlineStr">
        <is>
          <t>P11</t>
        </is>
      </c>
      <c r="B64" s="4" t="inlineStr">
        <is>
          <t>Ad_A</t>
        </is>
      </c>
      <c r="C64" s="4" t="inlineStr">
        <is>
          <t>Headline</t>
        </is>
      </c>
      <c r="D64">
        <f>INDEX(Data!$G$2:$G$73,MATCH(A64&amp;"|"&amp;B64,Data!$AD$2:$AD$73,0))</f>
        <v/>
      </c>
      <c r="E64" s="5">
        <f>IF(C64="Logo",INDEX(Data!$Y$2:$Y$73,MATCH(A64&amp;"|"&amp;B64,Data!$AD$2:$AD$73,0)),IF(C64="Product",INDEX(Data!$Z$2:$Z$73,MATCH(A64&amp;"|"&amp;B64,Data!$AD$2:$AD$73,0)),INDEX(Data!$AA$2:$AA$73,MATCH(A64&amp;"|"&amp;B64,Data!$AD$2:$AD$73,0))))</f>
        <v/>
      </c>
    </row>
    <row r="65">
      <c r="A65" s="4" t="inlineStr">
        <is>
          <t>P11</t>
        </is>
      </c>
      <c r="B65" s="4" t="inlineStr">
        <is>
          <t>Ad_B</t>
        </is>
      </c>
      <c r="C65" s="4" t="inlineStr">
        <is>
          <t>Logo</t>
        </is>
      </c>
      <c r="D65">
        <f>INDEX(Data!$G$2:$G$73,MATCH(A65&amp;"|"&amp;B65,Data!$AD$2:$AD$73,0))</f>
        <v/>
      </c>
      <c r="E65" s="5">
        <f>IF(C65="Logo",INDEX(Data!$Y$2:$Y$73,MATCH(A65&amp;"|"&amp;B65,Data!$AD$2:$AD$73,0)),IF(C65="Product",INDEX(Data!$Z$2:$Z$73,MATCH(A65&amp;"|"&amp;B65,Data!$AD$2:$AD$73,0)),INDEX(Data!$AA$2:$AA$73,MATCH(A65&amp;"|"&amp;B65,Data!$AD$2:$AD$73,0))))</f>
        <v/>
      </c>
    </row>
    <row r="66">
      <c r="A66" s="4" t="inlineStr">
        <is>
          <t>P11</t>
        </is>
      </c>
      <c r="B66" s="4" t="inlineStr">
        <is>
          <t>Ad_B</t>
        </is>
      </c>
      <c r="C66" s="4" t="inlineStr">
        <is>
          <t>Product</t>
        </is>
      </c>
      <c r="D66">
        <f>INDEX(Data!$G$2:$G$73,MATCH(A66&amp;"|"&amp;B66,Data!$AD$2:$AD$73,0))</f>
        <v/>
      </c>
      <c r="E66" s="5">
        <f>IF(C66="Logo",INDEX(Data!$Y$2:$Y$73,MATCH(A66&amp;"|"&amp;B66,Data!$AD$2:$AD$73,0)),IF(C66="Product",INDEX(Data!$Z$2:$Z$73,MATCH(A66&amp;"|"&amp;B66,Data!$AD$2:$AD$73,0)),INDEX(Data!$AA$2:$AA$73,MATCH(A66&amp;"|"&amp;B66,Data!$AD$2:$AD$73,0))))</f>
        <v/>
      </c>
    </row>
    <row r="67">
      <c r="A67" s="4" t="inlineStr">
        <is>
          <t>P11</t>
        </is>
      </c>
      <c r="B67" s="4" t="inlineStr">
        <is>
          <t>Ad_B</t>
        </is>
      </c>
      <c r="C67" s="4" t="inlineStr">
        <is>
          <t>Headline</t>
        </is>
      </c>
      <c r="D67">
        <f>INDEX(Data!$G$2:$G$73,MATCH(A67&amp;"|"&amp;B67,Data!$AD$2:$AD$73,0))</f>
        <v/>
      </c>
      <c r="E67" s="5">
        <f>IF(C67="Logo",INDEX(Data!$Y$2:$Y$73,MATCH(A67&amp;"|"&amp;B67,Data!$AD$2:$AD$73,0)),IF(C67="Product",INDEX(Data!$Z$2:$Z$73,MATCH(A67&amp;"|"&amp;B67,Data!$AD$2:$AD$73,0)),INDEX(Data!$AA$2:$AA$73,MATCH(A67&amp;"|"&amp;B67,Data!$AD$2:$AD$73,0))))</f>
        <v/>
      </c>
    </row>
    <row r="68">
      <c r="A68" s="4" t="inlineStr">
        <is>
          <t>P12</t>
        </is>
      </c>
      <c r="B68" s="4" t="inlineStr">
        <is>
          <t>Ad_A</t>
        </is>
      </c>
      <c r="C68" s="4" t="inlineStr">
        <is>
          <t>Logo</t>
        </is>
      </c>
      <c r="D68">
        <f>INDEX(Data!$G$2:$G$73,MATCH(A68&amp;"|"&amp;B68,Data!$AD$2:$AD$73,0))</f>
        <v/>
      </c>
      <c r="E68" s="5">
        <f>IF(C68="Logo",INDEX(Data!$Y$2:$Y$73,MATCH(A68&amp;"|"&amp;B68,Data!$AD$2:$AD$73,0)),IF(C68="Product",INDEX(Data!$Z$2:$Z$73,MATCH(A68&amp;"|"&amp;B68,Data!$AD$2:$AD$73,0)),INDEX(Data!$AA$2:$AA$73,MATCH(A68&amp;"|"&amp;B68,Data!$AD$2:$AD$73,0))))</f>
        <v/>
      </c>
    </row>
    <row r="69">
      <c r="A69" s="4" t="inlineStr">
        <is>
          <t>P12</t>
        </is>
      </c>
      <c r="B69" s="4" t="inlineStr">
        <is>
          <t>Ad_A</t>
        </is>
      </c>
      <c r="C69" s="4" t="inlineStr">
        <is>
          <t>Product</t>
        </is>
      </c>
      <c r="D69">
        <f>INDEX(Data!$G$2:$G$73,MATCH(A69&amp;"|"&amp;B69,Data!$AD$2:$AD$73,0))</f>
        <v/>
      </c>
      <c r="E69" s="5">
        <f>IF(C69="Logo",INDEX(Data!$Y$2:$Y$73,MATCH(A69&amp;"|"&amp;B69,Data!$AD$2:$AD$73,0)),IF(C69="Product",INDEX(Data!$Z$2:$Z$73,MATCH(A69&amp;"|"&amp;B69,Data!$AD$2:$AD$73,0)),INDEX(Data!$AA$2:$AA$73,MATCH(A69&amp;"|"&amp;B69,Data!$AD$2:$AD$73,0))))</f>
        <v/>
      </c>
    </row>
    <row r="70">
      <c r="A70" s="4" t="inlineStr">
        <is>
          <t>P12</t>
        </is>
      </c>
      <c r="B70" s="4" t="inlineStr">
        <is>
          <t>Ad_A</t>
        </is>
      </c>
      <c r="C70" s="4" t="inlineStr">
        <is>
          <t>Headline</t>
        </is>
      </c>
      <c r="D70">
        <f>INDEX(Data!$G$2:$G$73,MATCH(A70&amp;"|"&amp;B70,Data!$AD$2:$AD$73,0))</f>
        <v/>
      </c>
      <c r="E70" s="5">
        <f>IF(C70="Logo",INDEX(Data!$Y$2:$Y$73,MATCH(A70&amp;"|"&amp;B70,Data!$AD$2:$AD$73,0)),IF(C70="Product",INDEX(Data!$Z$2:$Z$73,MATCH(A70&amp;"|"&amp;B70,Data!$AD$2:$AD$73,0)),INDEX(Data!$AA$2:$AA$73,MATCH(A70&amp;"|"&amp;B70,Data!$AD$2:$AD$73,0))))</f>
        <v/>
      </c>
    </row>
    <row r="71">
      <c r="A71" s="4" t="inlineStr">
        <is>
          <t>P12</t>
        </is>
      </c>
      <c r="B71" s="4" t="inlineStr">
        <is>
          <t>Ad_B</t>
        </is>
      </c>
      <c r="C71" s="4" t="inlineStr">
        <is>
          <t>Logo</t>
        </is>
      </c>
      <c r="D71">
        <f>INDEX(Data!$G$2:$G$73,MATCH(A71&amp;"|"&amp;B71,Data!$AD$2:$AD$73,0))</f>
        <v/>
      </c>
      <c r="E71" s="5">
        <f>IF(C71="Logo",INDEX(Data!$Y$2:$Y$73,MATCH(A71&amp;"|"&amp;B71,Data!$AD$2:$AD$73,0)),IF(C71="Product",INDEX(Data!$Z$2:$Z$73,MATCH(A71&amp;"|"&amp;B71,Data!$AD$2:$AD$73,0)),INDEX(Data!$AA$2:$AA$73,MATCH(A71&amp;"|"&amp;B71,Data!$AD$2:$AD$73,0))))</f>
        <v/>
      </c>
    </row>
    <row r="72">
      <c r="A72" s="4" t="inlineStr">
        <is>
          <t>P12</t>
        </is>
      </c>
      <c r="B72" s="4" t="inlineStr">
        <is>
          <t>Ad_B</t>
        </is>
      </c>
      <c r="C72" s="4" t="inlineStr">
        <is>
          <t>Product</t>
        </is>
      </c>
      <c r="D72">
        <f>INDEX(Data!$G$2:$G$73,MATCH(A72&amp;"|"&amp;B72,Data!$AD$2:$AD$73,0))</f>
        <v/>
      </c>
      <c r="E72" s="5">
        <f>IF(C72="Logo",INDEX(Data!$Y$2:$Y$73,MATCH(A72&amp;"|"&amp;B72,Data!$AD$2:$AD$73,0)),IF(C72="Product",INDEX(Data!$Z$2:$Z$73,MATCH(A72&amp;"|"&amp;B72,Data!$AD$2:$AD$73,0)),INDEX(Data!$AA$2:$AA$73,MATCH(A72&amp;"|"&amp;B72,Data!$AD$2:$AD$73,0))))</f>
        <v/>
      </c>
    </row>
    <row r="73">
      <c r="A73" s="4" t="inlineStr">
        <is>
          <t>P12</t>
        </is>
      </c>
      <c r="B73" s="4" t="inlineStr">
        <is>
          <t>Ad_B</t>
        </is>
      </c>
      <c r="C73" s="4" t="inlineStr">
        <is>
          <t>Headline</t>
        </is>
      </c>
      <c r="D73">
        <f>INDEX(Data!$G$2:$G$73,MATCH(A73&amp;"|"&amp;B73,Data!$AD$2:$AD$73,0))</f>
        <v/>
      </c>
      <c r="E73" s="5">
        <f>IF(C73="Logo",INDEX(Data!$Y$2:$Y$73,MATCH(A73&amp;"|"&amp;B73,Data!$AD$2:$AD$73,0)),IF(C73="Product",INDEX(Data!$Z$2:$Z$73,MATCH(A73&amp;"|"&amp;B73,Data!$AD$2:$AD$73,0)),INDEX(Data!$AA$2:$AA$73,MATCH(A73&amp;"|"&amp;B73,Data!$AD$2:$AD$73,0))))</f>
        <v/>
      </c>
    </row>
    <row r="74">
      <c r="A74" s="4" t="inlineStr">
        <is>
          <t>P13</t>
        </is>
      </c>
      <c r="B74" s="4" t="inlineStr">
        <is>
          <t>Ad_A</t>
        </is>
      </c>
      <c r="C74" s="4" t="inlineStr">
        <is>
          <t>Logo</t>
        </is>
      </c>
      <c r="D74">
        <f>INDEX(Data!$G$2:$G$73,MATCH(A74&amp;"|"&amp;B74,Data!$AD$2:$AD$73,0))</f>
        <v/>
      </c>
      <c r="E74" s="5">
        <f>IF(C74="Logo",INDEX(Data!$Y$2:$Y$73,MATCH(A74&amp;"|"&amp;B74,Data!$AD$2:$AD$73,0)),IF(C74="Product",INDEX(Data!$Z$2:$Z$73,MATCH(A74&amp;"|"&amp;B74,Data!$AD$2:$AD$73,0)),INDEX(Data!$AA$2:$AA$73,MATCH(A74&amp;"|"&amp;B74,Data!$AD$2:$AD$73,0))))</f>
        <v/>
      </c>
    </row>
    <row r="75">
      <c r="A75" s="4" t="inlineStr">
        <is>
          <t>P13</t>
        </is>
      </c>
      <c r="B75" s="4" t="inlineStr">
        <is>
          <t>Ad_A</t>
        </is>
      </c>
      <c r="C75" s="4" t="inlineStr">
        <is>
          <t>Product</t>
        </is>
      </c>
      <c r="D75">
        <f>INDEX(Data!$G$2:$G$73,MATCH(A75&amp;"|"&amp;B75,Data!$AD$2:$AD$73,0))</f>
        <v/>
      </c>
      <c r="E75" s="5">
        <f>IF(C75="Logo",INDEX(Data!$Y$2:$Y$73,MATCH(A75&amp;"|"&amp;B75,Data!$AD$2:$AD$73,0)),IF(C75="Product",INDEX(Data!$Z$2:$Z$73,MATCH(A75&amp;"|"&amp;B75,Data!$AD$2:$AD$73,0)),INDEX(Data!$AA$2:$AA$73,MATCH(A75&amp;"|"&amp;B75,Data!$AD$2:$AD$73,0))))</f>
        <v/>
      </c>
    </row>
    <row r="76">
      <c r="A76" s="4" t="inlineStr">
        <is>
          <t>P13</t>
        </is>
      </c>
      <c r="B76" s="4" t="inlineStr">
        <is>
          <t>Ad_A</t>
        </is>
      </c>
      <c r="C76" s="4" t="inlineStr">
        <is>
          <t>Headline</t>
        </is>
      </c>
      <c r="D76">
        <f>INDEX(Data!$G$2:$G$73,MATCH(A76&amp;"|"&amp;B76,Data!$AD$2:$AD$73,0))</f>
        <v/>
      </c>
      <c r="E76" s="5">
        <f>IF(C76="Logo",INDEX(Data!$Y$2:$Y$73,MATCH(A76&amp;"|"&amp;B76,Data!$AD$2:$AD$73,0)),IF(C76="Product",INDEX(Data!$Z$2:$Z$73,MATCH(A76&amp;"|"&amp;B76,Data!$AD$2:$AD$73,0)),INDEX(Data!$AA$2:$AA$73,MATCH(A76&amp;"|"&amp;B76,Data!$AD$2:$AD$73,0))))</f>
        <v/>
      </c>
    </row>
    <row r="77">
      <c r="A77" s="4" t="inlineStr">
        <is>
          <t>P13</t>
        </is>
      </c>
      <c r="B77" s="4" t="inlineStr">
        <is>
          <t>Ad_B</t>
        </is>
      </c>
      <c r="C77" s="4" t="inlineStr">
        <is>
          <t>Logo</t>
        </is>
      </c>
      <c r="D77">
        <f>INDEX(Data!$G$2:$G$73,MATCH(A77&amp;"|"&amp;B77,Data!$AD$2:$AD$73,0))</f>
        <v/>
      </c>
      <c r="E77" s="5">
        <f>IF(C77="Logo",INDEX(Data!$Y$2:$Y$73,MATCH(A77&amp;"|"&amp;B77,Data!$AD$2:$AD$73,0)),IF(C77="Product",INDEX(Data!$Z$2:$Z$73,MATCH(A77&amp;"|"&amp;B77,Data!$AD$2:$AD$73,0)),INDEX(Data!$AA$2:$AA$73,MATCH(A77&amp;"|"&amp;B77,Data!$AD$2:$AD$73,0))))</f>
        <v/>
      </c>
    </row>
    <row r="78">
      <c r="A78" s="4" t="inlineStr">
        <is>
          <t>P13</t>
        </is>
      </c>
      <c r="B78" s="4" t="inlineStr">
        <is>
          <t>Ad_B</t>
        </is>
      </c>
      <c r="C78" s="4" t="inlineStr">
        <is>
          <t>Product</t>
        </is>
      </c>
      <c r="D78">
        <f>INDEX(Data!$G$2:$G$73,MATCH(A78&amp;"|"&amp;B78,Data!$AD$2:$AD$73,0))</f>
        <v/>
      </c>
      <c r="E78" s="5">
        <f>IF(C78="Logo",INDEX(Data!$Y$2:$Y$73,MATCH(A78&amp;"|"&amp;B78,Data!$AD$2:$AD$73,0)),IF(C78="Product",INDEX(Data!$Z$2:$Z$73,MATCH(A78&amp;"|"&amp;B78,Data!$AD$2:$AD$73,0)),INDEX(Data!$AA$2:$AA$73,MATCH(A78&amp;"|"&amp;B78,Data!$AD$2:$AD$73,0))))</f>
        <v/>
      </c>
    </row>
    <row r="79">
      <c r="A79" s="4" t="inlineStr">
        <is>
          <t>P13</t>
        </is>
      </c>
      <c r="B79" s="4" t="inlineStr">
        <is>
          <t>Ad_B</t>
        </is>
      </c>
      <c r="C79" s="4" t="inlineStr">
        <is>
          <t>Headline</t>
        </is>
      </c>
      <c r="D79">
        <f>INDEX(Data!$G$2:$G$73,MATCH(A79&amp;"|"&amp;B79,Data!$AD$2:$AD$73,0))</f>
        <v/>
      </c>
      <c r="E79" s="5">
        <f>IF(C79="Logo",INDEX(Data!$Y$2:$Y$73,MATCH(A79&amp;"|"&amp;B79,Data!$AD$2:$AD$73,0)),IF(C79="Product",INDEX(Data!$Z$2:$Z$73,MATCH(A79&amp;"|"&amp;B79,Data!$AD$2:$AD$73,0)),INDEX(Data!$AA$2:$AA$73,MATCH(A79&amp;"|"&amp;B79,Data!$AD$2:$AD$73,0))))</f>
        <v/>
      </c>
    </row>
    <row r="80">
      <c r="A80" s="4" t="inlineStr">
        <is>
          <t>P14</t>
        </is>
      </c>
      <c r="B80" s="4" t="inlineStr">
        <is>
          <t>Ad_A</t>
        </is>
      </c>
      <c r="C80" s="4" t="inlineStr">
        <is>
          <t>Logo</t>
        </is>
      </c>
      <c r="D80">
        <f>INDEX(Data!$G$2:$G$73,MATCH(A80&amp;"|"&amp;B80,Data!$AD$2:$AD$73,0))</f>
        <v/>
      </c>
      <c r="E80" s="5">
        <f>IF(C80="Logo",INDEX(Data!$Y$2:$Y$73,MATCH(A80&amp;"|"&amp;B80,Data!$AD$2:$AD$73,0)),IF(C80="Product",INDEX(Data!$Z$2:$Z$73,MATCH(A80&amp;"|"&amp;B80,Data!$AD$2:$AD$73,0)),INDEX(Data!$AA$2:$AA$73,MATCH(A80&amp;"|"&amp;B80,Data!$AD$2:$AD$73,0))))</f>
        <v/>
      </c>
    </row>
    <row r="81">
      <c r="A81" s="4" t="inlineStr">
        <is>
          <t>P14</t>
        </is>
      </c>
      <c r="B81" s="4" t="inlineStr">
        <is>
          <t>Ad_A</t>
        </is>
      </c>
      <c r="C81" s="4" t="inlineStr">
        <is>
          <t>Product</t>
        </is>
      </c>
      <c r="D81">
        <f>INDEX(Data!$G$2:$G$73,MATCH(A81&amp;"|"&amp;B81,Data!$AD$2:$AD$73,0))</f>
        <v/>
      </c>
      <c r="E81" s="5">
        <f>IF(C81="Logo",INDEX(Data!$Y$2:$Y$73,MATCH(A81&amp;"|"&amp;B81,Data!$AD$2:$AD$73,0)),IF(C81="Product",INDEX(Data!$Z$2:$Z$73,MATCH(A81&amp;"|"&amp;B81,Data!$AD$2:$AD$73,0)),INDEX(Data!$AA$2:$AA$73,MATCH(A81&amp;"|"&amp;B81,Data!$AD$2:$AD$73,0))))</f>
        <v/>
      </c>
    </row>
    <row r="82">
      <c r="A82" s="4" t="inlineStr">
        <is>
          <t>P14</t>
        </is>
      </c>
      <c r="B82" s="4" t="inlineStr">
        <is>
          <t>Ad_A</t>
        </is>
      </c>
      <c r="C82" s="4" t="inlineStr">
        <is>
          <t>Headline</t>
        </is>
      </c>
      <c r="D82">
        <f>INDEX(Data!$G$2:$G$73,MATCH(A82&amp;"|"&amp;B82,Data!$AD$2:$AD$73,0))</f>
        <v/>
      </c>
      <c r="E82" s="5">
        <f>IF(C82="Logo",INDEX(Data!$Y$2:$Y$73,MATCH(A82&amp;"|"&amp;B82,Data!$AD$2:$AD$73,0)),IF(C82="Product",INDEX(Data!$Z$2:$Z$73,MATCH(A82&amp;"|"&amp;B82,Data!$AD$2:$AD$73,0)),INDEX(Data!$AA$2:$AA$73,MATCH(A82&amp;"|"&amp;B82,Data!$AD$2:$AD$73,0))))</f>
        <v/>
      </c>
    </row>
    <row r="83">
      <c r="A83" s="4" t="inlineStr">
        <is>
          <t>P14</t>
        </is>
      </c>
      <c r="B83" s="4" t="inlineStr">
        <is>
          <t>Ad_B</t>
        </is>
      </c>
      <c r="C83" s="4" t="inlineStr">
        <is>
          <t>Logo</t>
        </is>
      </c>
      <c r="D83">
        <f>INDEX(Data!$G$2:$G$73,MATCH(A83&amp;"|"&amp;B83,Data!$AD$2:$AD$73,0))</f>
        <v/>
      </c>
      <c r="E83" s="5">
        <f>IF(C83="Logo",INDEX(Data!$Y$2:$Y$73,MATCH(A83&amp;"|"&amp;B83,Data!$AD$2:$AD$73,0)),IF(C83="Product",INDEX(Data!$Z$2:$Z$73,MATCH(A83&amp;"|"&amp;B83,Data!$AD$2:$AD$73,0)),INDEX(Data!$AA$2:$AA$73,MATCH(A83&amp;"|"&amp;B83,Data!$AD$2:$AD$73,0))))</f>
        <v/>
      </c>
    </row>
    <row r="84">
      <c r="A84" s="4" t="inlineStr">
        <is>
          <t>P14</t>
        </is>
      </c>
      <c r="B84" s="4" t="inlineStr">
        <is>
          <t>Ad_B</t>
        </is>
      </c>
      <c r="C84" s="4" t="inlineStr">
        <is>
          <t>Product</t>
        </is>
      </c>
      <c r="D84">
        <f>INDEX(Data!$G$2:$G$73,MATCH(A84&amp;"|"&amp;B84,Data!$AD$2:$AD$73,0))</f>
        <v/>
      </c>
      <c r="E84" s="5">
        <f>IF(C84="Logo",INDEX(Data!$Y$2:$Y$73,MATCH(A84&amp;"|"&amp;B84,Data!$AD$2:$AD$73,0)),IF(C84="Product",INDEX(Data!$Z$2:$Z$73,MATCH(A84&amp;"|"&amp;B84,Data!$AD$2:$AD$73,0)),INDEX(Data!$AA$2:$AA$73,MATCH(A84&amp;"|"&amp;B84,Data!$AD$2:$AD$73,0))))</f>
        <v/>
      </c>
    </row>
    <row r="85">
      <c r="A85" s="4" t="inlineStr">
        <is>
          <t>P14</t>
        </is>
      </c>
      <c r="B85" s="4" t="inlineStr">
        <is>
          <t>Ad_B</t>
        </is>
      </c>
      <c r="C85" s="4" t="inlineStr">
        <is>
          <t>Headline</t>
        </is>
      </c>
      <c r="D85">
        <f>INDEX(Data!$G$2:$G$73,MATCH(A85&amp;"|"&amp;B85,Data!$AD$2:$AD$73,0))</f>
        <v/>
      </c>
      <c r="E85" s="5">
        <f>IF(C85="Logo",INDEX(Data!$Y$2:$Y$73,MATCH(A85&amp;"|"&amp;B85,Data!$AD$2:$AD$73,0)),IF(C85="Product",INDEX(Data!$Z$2:$Z$73,MATCH(A85&amp;"|"&amp;B85,Data!$AD$2:$AD$73,0)),INDEX(Data!$AA$2:$AA$73,MATCH(A85&amp;"|"&amp;B85,Data!$AD$2:$AD$73,0))))</f>
        <v/>
      </c>
    </row>
    <row r="86">
      <c r="A86" s="4" t="inlineStr">
        <is>
          <t>P15</t>
        </is>
      </c>
      <c r="B86" s="4" t="inlineStr">
        <is>
          <t>Ad_A</t>
        </is>
      </c>
      <c r="C86" s="4" t="inlineStr">
        <is>
          <t>Logo</t>
        </is>
      </c>
      <c r="D86">
        <f>INDEX(Data!$G$2:$G$73,MATCH(A86&amp;"|"&amp;B86,Data!$AD$2:$AD$73,0))</f>
        <v/>
      </c>
      <c r="E86" s="5">
        <f>IF(C86="Logo",INDEX(Data!$Y$2:$Y$73,MATCH(A86&amp;"|"&amp;B86,Data!$AD$2:$AD$73,0)),IF(C86="Product",INDEX(Data!$Z$2:$Z$73,MATCH(A86&amp;"|"&amp;B86,Data!$AD$2:$AD$73,0)),INDEX(Data!$AA$2:$AA$73,MATCH(A86&amp;"|"&amp;B86,Data!$AD$2:$AD$73,0))))</f>
        <v/>
      </c>
    </row>
    <row r="87">
      <c r="A87" s="4" t="inlineStr">
        <is>
          <t>P15</t>
        </is>
      </c>
      <c r="B87" s="4" t="inlineStr">
        <is>
          <t>Ad_A</t>
        </is>
      </c>
      <c r="C87" s="4" t="inlineStr">
        <is>
          <t>Product</t>
        </is>
      </c>
      <c r="D87">
        <f>INDEX(Data!$G$2:$G$73,MATCH(A87&amp;"|"&amp;B87,Data!$AD$2:$AD$73,0))</f>
        <v/>
      </c>
      <c r="E87" s="5">
        <f>IF(C87="Logo",INDEX(Data!$Y$2:$Y$73,MATCH(A87&amp;"|"&amp;B87,Data!$AD$2:$AD$73,0)),IF(C87="Product",INDEX(Data!$Z$2:$Z$73,MATCH(A87&amp;"|"&amp;B87,Data!$AD$2:$AD$73,0)),INDEX(Data!$AA$2:$AA$73,MATCH(A87&amp;"|"&amp;B87,Data!$AD$2:$AD$73,0))))</f>
        <v/>
      </c>
    </row>
    <row r="88">
      <c r="A88" s="4" t="inlineStr">
        <is>
          <t>P15</t>
        </is>
      </c>
      <c r="B88" s="4" t="inlineStr">
        <is>
          <t>Ad_A</t>
        </is>
      </c>
      <c r="C88" s="4" t="inlineStr">
        <is>
          <t>Headline</t>
        </is>
      </c>
      <c r="D88">
        <f>INDEX(Data!$G$2:$G$73,MATCH(A88&amp;"|"&amp;B88,Data!$AD$2:$AD$73,0))</f>
        <v/>
      </c>
      <c r="E88" s="5">
        <f>IF(C88="Logo",INDEX(Data!$Y$2:$Y$73,MATCH(A88&amp;"|"&amp;B88,Data!$AD$2:$AD$73,0)),IF(C88="Product",INDEX(Data!$Z$2:$Z$73,MATCH(A88&amp;"|"&amp;B88,Data!$AD$2:$AD$73,0)),INDEX(Data!$AA$2:$AA$73,MATCH(A88&amp;"|"&amp;B88,Data!$AD$2:$AD$73,0))))</f>
        <v/>
      </c>
    </row>
    <row r="89">
      <c r="A89" s="4" t="inlineStr">
        <is>
          <t>P15</t>
        </is>
      </c>
      <c r="B89" s="4" t="inlineStr">
        <is>
          <t>Ad_B</t>
        </is>
      </c>
      <c r="C89" s="4" t="inlineStr">
        <is>
          <t>Logo</t>
        </is>
      </c>
      <c r="D89">
        <f>INDEX(Data!$G$2:$G$73,MATCH(A89&amp;"|"&amp;B89,Data!$AD$2:$AD$73,0))</f>
        <v/>
      </c>
      <c r="E89" s="5">
        <f>IF(C89="Logo",INDEX(Data!$Y$2:$Y$73,MATCH(A89&amp;"|"&amp;B89,Data!$AD$2:$AD$73,0)),IF(C89="Product",INDEX(Data!$Z$2:$Z$73,MATCH(A89&amp;"|"&amp;B89,Data!$AD$2:$AD$73,0)),INDEX(Data!$AA$2:$AA$73,MATCH(A89&amp;"|"&amp;B89,Data!$AD$2:$AD$73,0))))</f>
        <v/>
      </c>
    </row>
    <row r="90">
      <c r="A90" s="4" t="inlineStr">
        <is>
          <t>P15</t>
        </is>
      </c>
      <c r="B90" s="4" t="inlineStr">
        <is>
          <t>Ad_B</t>
        </is>
      </c>
      <c r="C90" s="4" t="inlineStr">
        <is>
          <t>Product</t>
        </is>
      </c>
      <c r="D90">
        <f>INDEX(Data!$G$2:$G$73,MATCH(A90&amp;"|"&amp;B90,Data!$AD$2:$AD$73,0))</f>
        <v/>
      </c>
      <c r="E90" s="5">
        <f>IF(C90="Logo",INDEX(Data!$Y$2:$Y$73,MATCH(A90&amp;"|"&amp;B90,Data!$AD$2:$AD$73,0)),IF(C90="Product",INDEX(Data!$Z$2:$Z$73,MATCH(A90&amp;"|"&amp;B90,Data!$AD$2:$AD$73,0)),INDEX(Data!$AA$2:$AA$73,MATCH(A90&amp;"|"&amp;B90,Data!$AD$2:$AD$73,0))))</f>
        <v/>
      </c>
    </row>
    <row r="91">
      <c r="A91" s="4" t="inlineStr">
        <is>
          <t>P15</t>
        </is>
      </c>
      <c r="B91" s="4" t="inlineStr">
        <is>
          <t>Ad_B</t>
        </is>
      </c>
      <c r="C91" s="4" t="inlineStr">
        <is>
          <t>Headline</t>
        </is>
      </c>
      <c r="D91">
        <f>INDEX(Data!$G$2:$G$73,MATCH(A91&amp;"|"&amp;B91,Data!$AD$2:$AD$73,0))</f>
        <v/>
      </c>
      <c r="E91" s="5">
        <f>IF(C91="Logo",INDEX(Data!$Y$2:$Y$73,MATCH(A91&amp;"|"&amp;B91,Data!$AD$2:$AD$73,0)),IF(C91="Product",INDEX(Data!$Z$2:$Z$73,MATCH(A91&amp;"|"&amp;B91,Data!$AD$2:$AD$73,0)),INDEX(Data!$AA$2:$AA$73,MATCH(A91&amp;"|"&amp;B91,Data!$AD$2:$AD$73,0))))</f>
        <v/>
      </c>
    </row>
    <row r="92">
      <c r="A92" s="4" t="inlineStr">
        <is>
          <t>P16</t>
        </is>
      </c>
      <c r="B92" s="4" t="inlineStr">
        <is>
          <t>Ad_A</t>
        </is>
      </c>
      <c r="C92" s="4" t="inlineStr">
        <is>
          <t>Logo</t>
        </is>
      </c>
      <c r="D92">
        <f>INDEX(Data!$G$2:$G$73,MATCH(A92&amp;"|"&amp;B92,Data!$AD$2:$AD$73,0))</f>
        <v/>
      </c>
      <c r="E92" s="5">
        <f>IF(C92="Logo",INDEX(Data!$Y$2:$Y$73,MATCH(A92&amp;"|"&amp;B92,Data!$AD$2:$AD$73,0)),IF(C92="Product",INDEX(Data!$Z$2:$Z$73,MATCH(A92&amp;"|"&amp;B92,Data!$AD$2:$AD$73,0)),INDEX(Data!$AA$2:$AA$73,MATCH(A92&amp;"|"&amp;B92,Data!$AD$2:$AD$73,0))))</f>
        <v/>
      </c>
    </row>
    <row r="93">
      <c r="A93" s="4" t="inlineStr">
        <is>
          <t>P16</t>
        </is>
      </c>
      <c r="B93" s="4" t="inlineStr">
        <is>
          <t>Ad_A</t>
        </is>
      </c>
      <c r="C93" s="4" t="inlineStr">
        <is>
          <t>Product</t>
        </is>
      </c>
      <c r="D93">
        <f>INDEX(Data!$G$2:$G$73,MATCH(A93&amp;"|"&amp;B93,Data!$AD$2:$AD$73,0))</f>
        <v/>
      </c>
      <c r="E93" s="5">
        <f>IF(C93="Logo",INDEX(Data!$Y$2:$Y$73,MATCH(A93&amp;"|"&amp;B93,Data!$AD$2:$AD$73,0)),IF(C93="Product",INDEX(Data!$Z$2:$Z$73,MATCH(A93&amp;"|"&amp;B93,Data!$AD$2:$AD$73,0)),INDEX(Data!$AA$2:$AA$73,MATCH(A93&amp;"|"&amp;B93,Data!$AD$2:$AD$73,0))))</f>
        <v/>
      </c>
    </row>
    <row r="94">
      <c r="A94" s="4" t="inlineStr">
        <is>
          <t>P16</t>
        </is>
      </c>
      <c r="B94" s="4" t="inlineStr">
        <is>
          <t>Ad_A</t>
        </is>
      </c>
      <c r="C94" s="4" t="inlineStr">
        <is>
          <t>Headline</t>
        </is>
      </c>
      <c r="D94">
        <f>INDEX(Data!$G$2:$G$73,MATCH(A94&amp;"|"&amp;B94,Data!$AD$2:$AD$73,0))</f>
        <v/>
      </c>
      <c r="E94" s="5">
        <f>IF(C94="Logo",INDEX(Data!$Y$2:$Y$73,MATCH(A94&amp;"|"&amp;B94,Data!$AD$2:$AD$73,0)),IF(C94="Product",INDEX(Data!$Z$2:$Z$73,MATCH(A94&amp;"|"&amp;B94,Data!$AD$2:$AD$73,0)),INDEX(Data!$AA$2:$AA$73,MATCH(A94&amp;"|"&amp;B94,Data!$AD$2:$AD$73,0))))</f>
        <v/>
      </c>
    </row>
    <row r="95">
      <c r="A95" s="4" t="inlineStr">
        <is>
          <t>P16</t>
        </is>
      </c>
      <c r="B95" s="4" t="inlineStr">
        <is>
          <t>Ad_B</t>
        </is>
      </c>
      <c r="C95" s="4" t="inlineStr">
        <is>
          <t>Logo</t>
        </is>
      </c>
      <c r="D95">
        <f>INDEX(Data!$G$2:$G$73,MATCH(A95&amp;"|"&amp;B95,Data!$AD$2:$AD$73,0))</f>
        <v/>
      </c>
      <c r="E95" s="5">
        <f>IF(C95="Logo",INDEX(Data!$Y$2:$Y$73,MATCH(A95&amp;"|"&amp;B95,Data!$AD$2:$AD$73,0)),IF(C95="Product",INDEX(Data!$Z$2:$Z$73,MATCH(A95&amp;"|"&amp;B95,Data!$AD$2:$AD$73,0)),INDEX(Data!$AA$2:$AA$73,MATCH(A95&amp;"|"&amp;B95,Data!$AD$2:$AD$73,0))))</f>
        <v/>
      </c>
    </row>
    <row r="96">
      <c r="A96" s="4" t="inlineStr">
        <is>
          <t>P16</t>
        </is>
      </c>
      <c r="B96" s="4" t="inlineStr">
        <is>
          <t>Ad_B</t>
        </is>
      </c>
      <c r="C96" s="4" t="inlineStr">
        <is>
          <t>Product</t>
        </is>
      </c>
      <c r="D96">
        <f>INDEX(Data!$G$2:$G$73,MATCH(A96&amp;"|"&amp;B96,Data!$AD$2:$AD$73,0))</f>
        <v/>
      </c>
      <c r="E96" s="5">
        <f>IF(C96="Logo",INDEX(Data!$Y$2:$Y$73,MATCH(A96&amp;"|"&amp;B96,Data!$AD$2:$AD$73,0)),IF(C96="Product",INDEX(Data!$Z$2:$Z$73,MATCH(A96&amp;"|"&amp;B96,Data!$AD$2:$AD$73,0)),INDEX(Data!$AA$2:$AA$73,MATCH(A96&amp;"|"&amp;B96,Data!$AD$2:$AD$73,0))))</f>
        <v/>
      </c>
    </row>
    <row r="97">
      <c r="A97" s="4" t="inlineStr">
        <is>
          <t>P16</t>
        </is>
      </c>
      <c r="B97" s="4" t="inlineStr">
        <is>
          <t>Ad_B</t>
        </is>
      </c>
      <c r="C97" s="4" t="inlineStr">
        <is>
          <t>Headline</t>
        </is>
      </c>
      <c r="D97">
        <f>INDEX(Data!$G$2:$G$73,MATCH(A97&amp;"|"&amp;B97,Data!$AD$2:$AD$73,0))</f>
        <v/>
      </c>
      <c r="E97" s="5">
        <f>IF(C97="Logo",INDEX(Data!$Y$2:$Y$73,MATCH(A97&amp;"|"&amp;B97,Data!$AD$2:$AD$73,0)),IF(C97="Product",INDEX(Data!$Z$2:$Z$73,MATCH(A97&amp;"|"&amp;B97,Data!$AD$2:$AD$73,0)),INDEX(Data!$AA$2:$AA$73,MATCH(A97&amp;"|"&amp;B97,Data!$AD$2:$AD$73,0))))</f>
        <v/>
      </c>
    </row>
    <row r="98">
      <c r="A98" s="4" t="inlineStr">
        <is>
          <t>P17</t>
        </is>
      </c>
      <c r="B98" s="4" t="inlineStr">
        <is>
          <t>Ad_A</t>
        </is>
      </c>
      <c r="C98" s="4" t="inlineStr">
        <is>
          <t>Logo</t>
        </is>
      </c>
      <c r="D98">
        <f>INDEX(Data!$G$2:$G$73,MATCH(A98&amp;"|"&amp;B98,Data!$AD$2:$AD$73,0))</f>
        <v/>
      </c>
      <c r="E98" s="5">
        <f>IF(C98="Logo",INDEX(Data!$Y$2:$Y$73,MATCH(A98&amp;"|"&amp;B98,Data!$AD$2:$AD$73,0)),IF(C98="Product",INDEX(Data!$Z$2:$Z$73,MATCH(A98&amp;"|"&amp;B98,Data!$AD$2:$AD$73,0)),INDEX(Data!$AA$2:$AA$73,MATCH(A98&amp;"|"&amp;B98,Data!$AD$2:$AD$73,0))))</f>
        <v/>
      </c>
    </row>
    <row r="99">
      <c r="A99" s="4" t="inlineStr">
        <is>
          <t>P17</t>
        </is>
      </c>
      <c r="B99" s="4" t="inlineStr">
        <is>
          <t>Ad_A</t>
        </is>
      </c>
      <c r="C99" s="4" t="inlineStr">
        <is>
          <t>Product</t>
        </is>
      </c>
      <c r="D99">
        <f>INDEX(Data!$G$2:$G$73,MATCH(A99&amp;"|"&amp;B99,Data!$AD$2:$AD$73,0))</f>
        <v/>
      </c>
      <c r="E99" s="5">
        <f>IF(C99="Logo",INDEX(Data!$Y$2:$Y$73,MATCH(A99&amp;"|"&amp;B99,Data!$AD$2:$AD$73,0)),IF(C99="Product",INDEX(Data!$Z$2:$Z$73,MATCH(A99&amp;"|"&amp;B99,Data!$AD$2:$AD$73,0)),INDEX(Data!$AA$2:$AA$73,MATCH(A99&amp;"|"&amp;B99,Data!$AD$2:$AD$73,0))))</f>
        <v/>
      </c>
    </row>
    <row r="100">
      <c r="A100" s="4" t="inlineStr">
        <is>
          <t>P17</t>
        </is>
      </c>
      <c r="B100" s="4" t="inlineStr">
        <is>
          <t>Ad_A</t>
        </is>
      </c>
      <c r="C100" s="4" t="inlineStr">
        <is>
          <t>Headline</t>
        </is>
      </c>
      <c r="D100">
        <f>INDEX(Data!$G$2:$G$73,MATCH(A100&amp;"|"&amp;B100,Data!$AD$2:$AD$73,0))</f>
        <v/>
      </c>
      <c r="E100" s="5">
        <f>IF(C100="Logo",INDEX(Data!$Y$2:$Y$73,MATCH(A100&amp;"|"&amp;B100,Data!$AD$2:$AD$73,0)),IF(C100="Product",INDEX(Data!$Z$2:$Z$73,MATCH(A100&amp;"|"&amp;B100,Data!$AD$2:$AD$73,0)),INDEX(Data!$AA$2:$AA$73,MATCH(A100&amp;"|"&amp;B100,Data!$AD$2:$AD$73,0))))</f>
        <v/>
      </c>
    </row>
    <row r="101">
      <c r="A101" s="4" t="inlineStr">
        <is>
          <t>P17</t>
        </is>
      </c>
      <c r="B101" s="4" t="inlineStr">
        <is>
          <t>Ad_B</t>
        </is>
      </c>
      <c r="C101" s="4" t="inlineStr">
        <is>
          <t>Logo</t>
        </is>
      </c>
      <c r="D101">
        <f>INDEX(Data!$G$2:$G$73,MATCH(A101&amp;"|"&amp;B101,Data!$AD$2:$AD$73,0))</f>
        <v/>
      </c>
      <c r="E101" s="5">
        <f>IF(C101="Logo",INDEX(Data!$Y$2:$Y$73,MATCH(A101&amp;"|"&amp;B101,Data!$AD$2:$AD$73,0)),IF(C101="Product",INDEX(Data!$Z$2:$Z$73,MATCH(A101&amp;"|"&amp;B101,Data!$AD$2:$AD$73,0)),INDEX(Data!$AA$2:$AA$73,MATCH(A101&amp;"|"&amp;B101,Data!$AD$2:$AD$73,0))))</f>
        <v/>
      </c>
    </row>
    <row r="102">
      <c r="A102" s="4" t="inlineStr">
        <is>
          <t>P17</t>
        </is>
      </c>
      <c r="B102" s="4" t="inlineStr">
        <is>
          <t>Ad_B</t>
        </is>
      </c>
      <c r="C102" s="4" t="inlineStr">
        <is>
          <t>Product</t>
        </is>
      </c>
      <c r="D102">
        <f>INDEX(Data!$G$2:$G$73,MATCH(A102&amp;"|"&amp;B102,Data!$AD$2:$AD$73,0))</f>
        <v/>
      </c>
      <c r="E102" s="5">
        <f>IF(C102="Logo",INDEX(Data!$Y$2:$Y$73,MATCH(A102&amp;"|"&amp;B102,Data!$AD$2:$AD$73,0)),IF(C102="Product",INDEX(Data!$Z$2:$Z$73,MATCH(A102&amp;"|"&amp;B102,Data!$AD$2:$AD$73,0)),INDEX(Data!$AA$2:$AA$73,MATCH(A102&amp;"|"&amp;B102,Data!$AD$2:$AD$73,0))))</f>
        <v/>
      </c>
    </row>
    <row r="103">
      <c r="A103" s="4" t="inlineStr">
        <is>
          <t>P17</t>
        </is>
      </c>
      <c r="B103" s="4" t="inlineStr">
        <is>
          <t>Ad_B</t>
        </is>
      </c>
      <c r="C103" s="4" t="inlineStr">
        <is>
          <t>Headline</t>
        </is>
      </c>
      <c r="D103">
        <f>INDEX(Data!$G$2:$G$73,MATCH(A103&amp;"|"&amp;B103,Data!$AD$2:$AD$73,0))</f>
        <v/>
      </c>
      <c r="E103" s="5">
        <f>IF(C103="Logo",INDEX(Data!$Y$2:$Y$73,MATCH(A103&amp;"|"&amp;B103,Data!$AD$2:$AD$73,0)),IF(C103="Product",INDEX(Data!$Z$2:$Z$73,MATCH(A103&amp;"|"&amp;B103,Data!$AD$2:$AD$73,0)),INDEX(Data!$AA$2:$AA$73,MATCH(A103&amp;"|"&amp;B103,Data!$AD$2:$AD$73,0))))</f>
        <v/>
      </c>
    </row>
    <row r="104">
      <c r="A104" s="4" t="inlineStr">
        <is>
          <t>P18</t>
        </is>
      </c>
      <c r="B104" s="4" t="inlineStr">
        <is>
          <t>Ad_A</t>
        </is>
      </c>
      <c r="C104" s="4" t="inlineStr">
        <is>
          <t>Logo</t>
        </is>
      </c>
      <c r="D104">
        <f>INDEX(Data!$G$2:$G$73,MATCH(A104&amp;"|"&amp;B104,Data!$AD$2:$AD$73,0))</f>
        <v/>
      </c>
      <c r="E104" s="5">
        <f>IF(C104="Logo",INDEX(Data!$Y$2:$Y$73,MATCH(A104&amp;"|"&amp;B104,Data!$AD$2:$AD$73,0)),IF(C104="Product",INDEX(Data!$Z$2:$Z$73,MATCH(A104&amp;"|"&amp;B104,Data!$AD$2:$AD$73,0)),INDEX(Data!$AA$2:$AA$73,MATCH(A104&amp;"|"&amp;B104,Data!$AD$2:$AD$73,0))))</f>
        <v/>
      </c>
    </row>
    <row r="105">
      <c r="A105" s="4" t="inlineStr">
        <is>
          <t>P18</t>
        </is>
      </c>
      <c r="B105" s="4" t="inlineStr">
        <is>
          <t>Ad_A</t>
        </is>
      </c>
      <c r="C105" s="4" t="inlineStr">
        <is>
          <t>Product</t>
        </is>
      </c>
      <c r="D105">
        <f>INDEX(Data!$G$2:$G$73,MATCH(A105&amp;"|"&amp;B105,Data!$AD$2:$AD$73,0))</f>
        <v/>
      </c>
      <c r="E105" s="5">
        <f>IF(C105="Logo",INDEX(Data!$Y$2:$Y$73,MATCH(A105&amp;"|"&amp;B105,Data!$AD$2:$AD$73,0)),IF(C105="Product",INDEX(Data!$Z$2:$Z$73,MATCH(A105&amp;"|"&amp;B105,Data!$AD$2:$AD$73,0)),INDEX(Data!$AA$2:$AA$73,MATCH(A105&amp;"|"&amp;B105,Data!$AD$2:$AD$73,0))))</f>
        <v/>
      </c>
    </row>
    <row r="106">
      <c r="A106" s="4" t="inlineStr">
        <is>
          <t>P18</t>
        </is>
      </c>
      <c r="B106" s="4" t="inlineStr">
        <is>
          <t>Ad_A</t>
        </is>
      </c>
      <c r="C106" s="4" t="inlineStr">
        <is>
          <t>Headline</t>
        </is>
      </c>
      <c r="D106">
        <f>INDEX(Data!$G$2:$G$73,MATCH(A106&amp;"|"&amp;B106,Data!$AD$2:$AD$73,0))</f>
        <v/>
      </c>
      <c r="E106" s="5">
        <f>IF(C106="Logo",INDEX(Data!$Y$2:$Y$73,MATCH(A106&amp;"|"&amp;B106,Data!$AD$2:$AD$73,0)),IF(C106="Product",INDEX(Data!$Z$2:$Z$73,MATCH(A106&amp;"|"&amp;B106,Data!$AD$2:$AD$73,0)),INDEX(Data!$AA$2:$AA$73,MATCH(A106&amp;"|"&amp;B106,Data!$AD$2:$AD$73,0))))</f>
        <v/>
      </c>
    </row>
    <row r="107">
      <c r="A107" s="4" t="inlineStr">
        <is>
          <t>P18</t>
        </is>
      </c>
      <c r="B107" s="4" t="inlineStr">
        <is>
          <t>Ad_B</t>
        </is>
      </c>
      <c r="C107" s="4" t="inlineStr">
        <is>
          <t>Logo</t>
        </is>
      </c>
      <c r="D107">
        <f>INDEX(Data!$G$2:$G$73,MATCH(A107&amp;"|"&amp;B107,Data!$AD$2:$AD$73,0))</f>
        <v/>
      </c>
      <c r="E107" s="5">
        <f>IF(C107="Logo",INDEX(Data!$Y$2:$Y$73,MATCH(A107&amp;"|"&amp;B107,Data!$AD$2:$AD$73,0)),IF(C107="Product",INDEX(Data!$Z$2:$Z$73,MATCH(A107&amp;"|"&amp;B107,Data!$AD$2:$AD$73,0)),INDEX(Data!$AA$2:$AA$73,MATCH(A107&amp;"|"&amp;B107,Data!$AD$2:$AD$73,0))))</f>
        <v/>
      </c>
    </row>
    <row r="108">
      <c r="A108" s="4" t="inlineStr">
        <is>
          <t>P18</t>
        </is>
      </c>
      <c r="B108" s="4" t="inlineStr">
        <is>
          <t>Ad_B</t>
        </is>
      </c>
      <c r="C108" s="4" t="inlineStr">
        <is>
          <t>Product</t>
        </is>
      </c>
      <c r="D108">
        <f>INDEX(Data!$G$2:$G$73,MATCH(A108&amp;"|"&amp;B108,Data!$AD$2:$AD$73,0))</f>
        <v/>
      </c>
      <c r="E108" s="5">
        <f>IF(C108="Logo",INDEX(Data!$Y$2:$Y$73,MATCH(A108&amp;"|"&amp;B108,Data!$AD$2:$AD$73,0)),IF(C108="Product",INDEX(Data!$Z$2:$Z$73,MATCH(A108&amp;"|"&amp;B108,Data!$AD$2:$AD$73,0)),INDEX(Data!$AA$2:$AA$73,MATCH(A108&amp;"|"&amp;B108,Data!$AD$2:$AD$73,0))))</f>
        <v/>
      </c>
    </row>
    <row r="109">
      <c r="A109" s="4" t="inlineStr">
        <is>
          <t>P18</t>
        </is>
      </c>
      <c r="B109" s="4" t="inlineStr">
        <is>
          <t>Ad_B</t>
        </is>
      </c>
      <c r="C109" s="4" t="inlineStr">
        <is>
          <t>Headline</t>
        </is>
      </c>
      <c r="D109">
        <f>INDEX(Data!$G$2:$G$73,MATCH(A109&amp;"|"&amp;B109,Data!$AD$2:$AD$73,0))</f>
        <v/>
      </c>
      <c r="E109" s="5">
        <f>IF(C109="Logo",INDEX(Data!$Y$2:$Y$73,MATCH(A109&amp;"|"&amp;B109,Data!$AD$2:$AD$73,0)),IF(C109="Product",INDEX(Data!$Z$2:$Z$73,MATCH(A109&amp;"|"&amp;B109,Data!$AD$2:$AD$73,0)),INDEX(Data!$AA$2:$AA$73,MATCH(A109&amp;"|"&amp;B109,Data!$AD$2:$AD$73,0))))</f>
        <v/>
      </c>
    </row>
    <row r="110">
      <c r="A110" s="4" t="inlineStr">
        <is>
          <t>P19</t>
        </is>
      </c>
      <c r="B110" s="4" t="inlineStr">
        <is>
          <t>Ad_A</t>
        </is>
      </c>
      <c r="C110" s="4" t="inlineStr">
        <is>
          <t>Logo</t>
        </is>
      </c>
      <c r="D110">
        <f>INDEX(Data!$G$2:$G$73,MATCH(A110&amp;"|"&amp;B110,Data!$AD$2:$AD$73,0))</f>
        <v/>
      </c>
      <c r="E110" s="5">
        <f>IF(C110="Logo",INDEX(Data!$Y$2:$Y$73,MATCH(A110&amp;"|"&amp;B110,Data!$AD$2:$AD$73,0)),IF(C110="Product",INDEX(Data!$Z$2:$Z$73,MATCH(A110&amp;"|"&amp;B110,Data!$AD$2:$AD$73,0)),INDEX(Data!$AA$2:$AA$73,MATCH(A110&amp;"|"&amp;B110,Data!$AD$2:$AD$73,0))))</f>
        <v/>
      </c>
    </row>
    <row r="111">
      <c r="A111" s="4" t="inlineStr">
        <is>
          <t>P19</t>
        </is>
      </c>
      <c r="B111" s="4" t="inlineStr">
        <is>
          <t>Ad_A</t>
        </is>
      </c>
      <c r="C111" s="4" t="inlineStr">
        <is>
          <t>Product</t>
        </is>
      </c>
      <c r="D111">
        <f>INDEX(Data!$G$2:$G$73,MATCH(A111&amp;"|"&amp;B111,Data!$AD$2:$AD$73,0))</f>
        <v/>
      </c>
      <c r="E111" s="5">
        <f>IF(C111="Logo",INDEX(Data!$Y$2:$Y$73,MATCH(A111&amp;"|"&amp;B111,Data!$AD$2:$AD$73,0)),IF(C111="Product",INDEX(Data!$Z$2:$Z$73,MATCH(A111&amp;"|"&amp;B111,Data!$AD$2:$AD$73,0)),INDEX(Data!$AA$2:$AA$73,MATCH(A111&amp;"|"&amp;B111,Data!$AD$2:$AD$73,0))))</f>
        <v/>
      </c>
    </row>
    <row r="112">
      <c r="A112" s="4" t="inlineStr">
        <is>
          <t>P19</t>
        </is>
      </c>
      <c r="B112" s="4" t="inlineStr">
        <is>
          <t>Ad_A</t>
        </is>
      </c>
      <c r="C112" s="4" t="inlineStr">
        <is>
          <t>Headline</t>
        </is>
      </c>
      <c r="D112">
        <f>INDEX(Data!$G$2:$G$73,MATCH(A112&amp;"|"&amp;B112,Data!$AD$2:$AD$73,0))</f>
        <v/>
      </c>
      <c r="E112" s="5">
        <f>IF(C112="Logo",INDEX(Data!$Y$2:$Y$73,MATCH(A112&amp;"|"&amp;B112,Data!$AD$2:$AD$73,0)),IF(C112="Product",INDEX(Data!$Z$2:$Z$73,MATCH(A112&amp;"|"&amp;B112,Data!$AD$2:$AD$73,0)),INDEX(Data!$AA$2:$AA$73,MATCH(A112&amp;"|"&amp;B112,Data!$AD$2:$AD$73,0))))</f>
        <v/>
      </c>
    </row>
    <row r="113">
      <c r="A113" s="4" t="inlineStr">
        <is>
          <t>P19</t>
        </is>
      </c>
      <c r="B113" s="4" t="inlineStr">
        <is>
          <t>Ad_B</t>
        </is>
      </c>
      <c r="C113" s="4" t="inlineStr">
        <is>
          <t>Logo</t>
        </is>
      </c>
      <c r="D113">
        <f>INDEX(Data!$G$2:$G$73,MATCH(A113&amp;"|"&amp;B113,Data!$AD$2:$AD$73,0))</f>
        <v/>
      </c>
      <c r="E113" s="5">
        <f>IF(C113="Logo",INDEX(Data!$Y$2:$Y$73,MATCH(A113&amp;"|"&amp;B113,Data!$AD$2:$AD$73,0)),IF(C113="Product",INDEX(Data!$Z$2:$Z$73,MATCH(A113&amp;"|"&amp;B113,Data!$AD$2:$AD$73,0)),INDEX(Data!$AA$2:$AA$73,MATCH(A113&amp;"|"&amp;B113,Data!$AD$2:$AD$73,0))))</f>
        <v/>
      </c>
    </row>
    <row r="114">
      <c r="A114" s="4" t="inlineStr">
        <is>
          <t>P19</t>
        </is>
      </c>
      <c r="B114" s="4" t="inlineStr">
        <is>
          <t>Ad_B</t>
        </is>
      </c>
      <c r="C114" s="4" t="inlineStr">
        <is>
          <t>Product</t>
        </is>
      </c>
      <c r="D114">
        <f>INDEX(Data!$G$2:$G$73,MATCH(A114&amp;"|"&amp;B114,Data!$AD$2:$AD$73,0))</f>
        <v/>
      </c>
      <c r="E114" s="5">
        <f>IF(C114="Logo",INDEX(Data!$Y$2:$Y$73,MATCH(A114&amp;"|"&amp;B114,Data!$AD$2:$AD$73,0)),IF(C114="Product",INDEX(Data!$Z$2:$Z$73,MATCH(A114&amp;"|"&amp;B114,Data!$AD$2:$AD$73,0)),INDEX(Data!$AA$2:$AA$73,MATCH(A114&amp;"|"&amp;B114,Data!$AD$2:$AD$73,0))))</f>
        <v/>
      </c>
    </row>
    <row r="115">
      <c r="A115" s="4" t="inlineStr">
        <is>
          <t>P19</t>
        </is>
      </c>
      <c r="B115" s="4" t="inlineStr">
        <is>
          <t>Ad_B</t>
        </is>
      </c>
      <c r="C115" s="4" t="inlineStr">
        <is>
          <t>Headline</t>
        </is>
      </c>
      <c r="D115">
        <f>INDEX(Data!$G$2:$G$73,MATCH(A115&amp;"|"&amp;B115,Data!$AD$2:$AD$73,0))</f>
        <v/>
      </c>
      <c r="E115" s="5">
        <f>IF(C115="Logo",INDEX(Data!$Y$2:$Y$73,MATCH(A115&amp;"|"&amp;B115,Data!$AD$2:$AD$73,0)),IF(C115="Product",INDEX(Data!$Z$2:$Z$73,MATCH(A115&amp;"|"&amp;B115,Data!$AD$2:$AD$73,0)),INDEX(Data!$AA$2:$AA$73,MATCH(A115&amp;"|"&amp;B115,Data!$AD$2:$AD$73,0))))</f>
        <v/>
      </c>
    </row>
    <row r="116">
      <c r="A116" s="4" t="inlineStr">
        <is>
          <t>P20</t>
        </is>
      </c>
      <c r="B116" s="4" t="inlineStr">
        <is>
          <t>Ad_A</t>
        </is>
      </c>
      <c r="C116" s="4" t="inlineStr">
        <is>
          <t>Logo</t>
        </is>
      </c>
      <c r="D116">
        <f>INDEX(Data!$G$2:$G$73,MATCH(A116&amp;"|"&amp;B116,Data!$AD$2:$AD$73,0))</f>
        <v/>
      </c>
      <c r="E116" s="5">
        <f>IF(C116="Logo",INDEX(Data!$Y$2:$Y$73,MATCH(A116&amp;"|"&amp;B116,Data!$AD$2:$AD$73,0)),IF(C116="Product",INDEX(Data!$Z$2:$Z$73,MATCH(A116&amp;"|"&amp;B116,Data!$AD$2:$AD$73,0)),INDEX(Data!$AA$2:$AA$73,MATCH(A116&amp;"|"&amp;B116,Data!$AD$2:$AD$73,0))))</f>
        <v/>
      </c>
    </row>
    <row r="117">
      <c r="A117" s="4" t="inlineStr">
        <is>
          <t>P20</t>
        </is>
      </c>
      <c r="B117" s="4" t="inlineStr">
        <is>
          <t>Ad_A</t>
        </is>
      </c>
      <c r="C117" s="4" t="inlineStr">
        <is>
          <t>Product</t>
        </is>
      </c>
      <c r="D117">
        <f>INDEX(Data!$G$2:$G$73,MATCH(A117&amp;"|"&amp;B117,Data!$AD$2:$AD$73,0))</f>
        <v/>
      </c>
      <c r="E117" s="5">
        <f>IF(C117="Logo",INDEX(Data!$Y$2:$Y$73,MATCH(A117&amp;"|"&amp;B117,Data!$AD$2:$AD$73,0)),IF(C117="Product",INDEX(Data!$Z$2:$Z$73,MATCH(A117&amp;"|"&amp;B117,Data!$AD$2:$AD$73,0)),INDEX(Data!$AA$2:$AA$73,MATCH(A117&amp;"|"&amp;B117,Data!$AD$2:$AD$73,0))))</f>
        <v/>
      </c>
    </row>
    <row r="118">
      <c r="A118" s="4" t="inlineStr">
        <is>
          <t>P20</t>
        </is>
      </c>
      <c r="B118" s="4" t="inlineStr">
        <is>
          <t>Ad_A</t>
        </is>
      </c>
      <c r="C118" s="4" t="inlineStr">
        <is>
          <t>Headline</t>
        </is>
      </c>
      <c r="D118">
        <f>INDEX(Data!$G$2:$G$73,MATCH(A118&amp;"|"&amp;B118,Data!$AD$2:$AD$73,0))</f>
        <v/>
      </c>
      <c r="E118" s="5">
        <f>IF(C118="Logo",INDEX(Data!$Y$2:$Y$73,MATCH(A118&amp;"|"&amp;B118,Data!$AD$2:$AD$73,0)),IF(C118="Product",INDEX(Data!$Z$2:$Z$73,MATCH(A118&amp;"|"&amp;B118,Data!$AD$2:$AD$73,0)),INDEX(Data!$AA$2:$AA$73,MATCH(A118&amp;"|"&amp;B118,Data!$AD$2:$AD$73,0))))</f>
        <v/>
      </c>
    </row>
    <row r="119">
      <c r="A119" s="4" t="inlineStr">
        <is>
          <t>P20</t>
        </is>
      </c>
      <c r="B119" s="4" t="inlineStr">
        <is>
          <t>Ad_B</t>
        </is>
      </c>
      <c r="C119" s="4" t="inlineStr">
        <is>
          <t>Logo</t>
        </is>
      </c>
      <c r="D119">
        <f>INDEX(Data!$G$2:$G$73,MATCH(A119&amp;"|"&amp;B119,Data!$AD$2:$AD$73,0))</f>
        <v/>
      </c>
      <c r="E119" s="5">
        <f>IF(C119="Logo",INDEX(Data!$Y$2:$Y$73,MATCH(A119&amp;"|"&amp;B119,Data!$AD$2:$AD$73,0)),IF(C119="Product",INDEX(Data!$Z$2:$Z$73,MATCH(A119&amp;"|"&amp;B119,Data!$AD$2:$AD$73,0)),INDEX(Data!$AA$2:$AA$73,MATCH(A119&amp;"|"&amp;B119,Data!$AD$2:$AD$73,0))))</f>
        <v/>
      </c>
    </row>
    <row r="120">
      <c r="A120" s="4" t="inlineStr">
        <is>
          <t>P20</t>
        </is>
      </c>
      <c r="B120" s="4" t="inlineStr">
        <is>
          <t>Ad_B</t>
        </is>
      </c>
      <c r="C120" s="4" t="inlineStr">
        <is>
          <t>Product</t>
        </is>
      </c>
      <c r="D120">
        <f>INDEX(Data!$G$2:$G$73,MATCH(A120&amp;"|"&amp;B120,Data!$AD$2:$AD$73,0))</f>
        <v/>
      </c>
      <c r="E120" s="5">
        <f>IF(C120="Logo",INDEX(Data!$Y$2:$Y$73,MATCH(A120&amp;"|"&amp;B120,Data!$AD$2:$AD$73,0)),IF(C120="Product",INDEX(Data!$Z$2:$Z$73,MATCH(A120&amp;"|"&amp;B120,Data!$AD$2:$AD$73,0)),INDEX(Data!$AA$2:$AA$73,MATCH(A120&amp;"|"&amp;B120,Data!$AD$2:$AD$73,0))))</f>
        <v/>
      </c>
    </row>
    <row r="121">
      <c r="A121" s="4" t="inlineStr">
        <is>
          <t>P20</t>
        </is>
      </c>
      <c r="B121" s="4" t="inlineStr">
        <is>
          <t>Ad_B</t>
        </is>
      </c>
      <c r="C121" s="4" t="inlineStr">
        <is>
          <t>Headline</t>
        </is>
      </c>
      <c r="D121">
        <f>INDEX(Data!$G$2:$G$73,MATCH(A121&amp;"|"&amp;B121,Data!$AD$2:$AD$73,0))</f>
        <v/>
      </c>
      <c r="E121" s="5">
        <f>IF(C121="Logo",INDEX(Data!$Y$2:$Y$73,MATCH(A121&amp;"|"&amp;B121,Data!$AD$2:$AD$73,0)),IF(C121="Product",INDEX(Data!$Z$2:$Z$73,MATCH(A121&amp;"|"&amp;B121,Data!$AD$2:$AD$73,0)),INDEX(Data!$AA$2:$AA$73,MATCH(A121&amp;"|"&amp;B121,Data!$AD$2:$AD$73,0))))</f>
        <v/>
      </c>
    </row>
    <row r="122">
      <c r="A122" s="4" t="inlineStr">
        <is>
          <t>P21</t>
        </is>
      </c>
      <c r="B122" s="4" t="inlineStr">
        <is>
          <t>Ad_A</t>
        </is>
      </c>
      <c r="C122" s="4" t="inlineStr">
        <is>
          <t>Logo</t>
        </is>
      </c>
      <c r="D122">
        <f>INDEX(Data!$G$2:$G$73,MATCH(A122&amp;"|"&amp;B122,Data!$AD$2:$AD$73,0))</f>
        <v/>
      </c>
      <c r="E122" s="5">
        <f>IF(C122="Logo",INDEX(Data!$Y$2:$Y$73,MATCH(A122&amp;"|"&amp;B122,Data!$AD$2:$AD$73,0)),IF(C122="Product",INDEX(Data!$Z$2:$Z$73,MATCH(A122&amp;"|"&amp;B122,Data!$AD$2:$AD$73,0)),INDEX(Data!$AA$2:$AA$73,MATCH(A122&amp;"|"&amp;B122,Data!$AD$2:$AD$73,0))))</f>
        <v/>
      </c>
    </row>
    <row r="123">
      <c r="A123" s="4" t="inlineStr">
        <is>
          <t>P21</t>
        </is>
      </c>
      <c r="B123" s="4" t="inlineStr">
        <is>
          <t>Ad_A</t>
        </is>
      </c>
      <c r="C123" s="4" t="inlineStr">
        <is>
          <t>Product</t>
        </is>
      </c>
      <c r="D123">
        <f>INDEX(Data!$G$2:$G$73,MATCH(A123&amp;"|"&amp;B123,Data!$AD$2:$AD$73,0))</f>
        <v/>
      </c>
      <c r="E123" s="5">
        <f>IF(C123="Logo",INDEX(Data!$Y$2:$Y$73,MATCH(A123&amp;"|"&amp;B123,Data!$AD$2:$AD$73,0)),IF(C123="Product",INDEX(Data!$Z$2:$Z$73,MATCH(A123&amp;"|"&amp;B123,Data!$AD$2:$AD$73,0)),INDEX(Data!$AA$2:$AA$73,MATCH(A123&amp;"|"&amp;B123,Data!$AD$2:$AD$73,0))))</f>
        <v/>
      </c>
    </row>
    <row r="124">
      <c r="A124" s="4" t="inlineStr">
        <is>
          <t>P21</t>
        </is>
      </c>
      <c r="B124" s="4" t="inlineStr">
        <is>
          <t>Ad_A</t>
        </is>
      </c>
      <c r="C124" s="4" t="inlineStr">
        <is>
          <t>Headline</t>
        </is>
      </c>
      <c r="D124">
        <f>INDEX(Data!$G$2:$G$73,MATCH(A124&amp;"|"&amp;B124,Data!$AD$2:$AD$73,0))</f>
        <v/>
      </c>
      <c r="E124" s="5">
        <f>IF(C124="Logo",INDEX(Data!$Y$2:$Y$73,MATCH(A124&amp;"|"&amp;B124,Data!$AD$2:$AD$73,0)),IF(C124="Product",INDEX(Data!$Z$2:$Z$73,MATCH(A124&amp;"|"&amp;B124,Data!$AD$2:$AD$73,0)),INDEX(Data!$AA$2:$AA$73,MATCH(A124&amp;"|"&amp;B124,Data!$AD$2:$AD$73,0))))</f>
        <v/>
      </c>
    </row>
    <row r="125">
      <c r="A125" s="4" t="inlineStr">
        <is>
          <t>P21</t>
        </is>
      </c>
      <c r="B125" s="4" t="inlineStr">
        <is>
          <t>Ad_B</t>
        </is>
      </c>
      <c r="C125" s="4" t="inlineStr">
        <is>
          <t>Logo</t>
        </is>
      </c>
      <c r="D125">
        <f>INDEX(Data!$G$2:$G$73,MATCH(A125&amp;"|"&amp;B125,Data!$AD$2:$AD$73,0))</f>
        <v/>
      </c>
      <c r="E125" s="5">
        <f>IF(C125="Logo",INDEX(Data!$Y$2:$Y$73,MATCH(A125&amp;"|"&amp;B125,Data!$AD$2:$AD$73,0)),IF(C125="Product",INDEX(Data!$Z$2:$Z$73,MATCH(A125&amp;"|"&amp;B125,Data!$AD$2:$AD$73,0)),INDEX(Data!$AA$2:$AA$73,MATCH(A125&amp;"|"&amp;B125,Data!$AD$2:$AD$73,0))))</f>
        <v/>
      </c>
    </row>
    <row r="126">
      <c r="A126" s="4" t="inlineStr">
        <is>
          <t>P21</t>
        </is>
      </c>
      <c r="B126" s="4" t="inlineStr">
        <is>
          <t>Ad_B</t>
        </is>
      </c>
      <c r="C126" s="4" t="inlineStr">
        <is>
          <t>Product</t>
        </is>
      </c>
      <c r="D126">
        <f>INDEX(Data!$G$2:$G$73,MATCH(A126&amp;"|"&amp;B126,Data!$AD$2:$AD$73,0))</f>
        <v/>
      </c>
      <c r="E126" s="5">
        <f>IF(C126="Logo",INDEX(Data!$Y$2:$Y$73,MATCH(A126&amp;"|"&amp;B126,Data!$AD$2:$AD$73,0)),IF(C126="Product",INDEX(Data!$Z$2:$Z$73,MATCH(A126&amp;"|"&amp;B126,Data!$AD$2:$AD$73,0)),INDEX(Data!$AA$2:$AA$73,MATCH(A126&amp;"|"&amp;B126,Data!$AD$2:$AD$73,0))))</f>
        <v/>
      </c>
    </row>
    <row r="127">
      <c r="A127" s="4" t="inlineStr">
        <is>
          <t>P21</t>
        </is>
      </c>
      <c r="B127" s="4" t="inlineStr">
        <is>
          <t>Ad_B</t>
        </is>
      </c>
      <c r="C127" s="4" t="inlineStr">
        <is>
          <t>Headline</t>
        </is>
      </c>
      <c r="D127">
        <f>INDEX(Data!$G$2:$G$73,MATCH(A127&amp;"|"&amp;B127,Data!$AD$2:$AD$73,0))</f>
        <v/>
      </c>
      <c r="E127" s="5">
        <f>IF(C127="Logo",INDEX(Data!$Y$2:$Y$73,MATCH(A127&amp;"|"&amp;B127,Data!$AD$2:$AD$73,0)),IF(C127="Product",INDEX(Data!$Z$2:$Z$73,MATCH(A127&amp;"|"&amp;B127,Data!$AD$2:$AD$73,0)),INDEX(Data!$AA$2:$AA$73,MATCH(A127&amp;"|"&amp;B127,Data!$AD$2:$AD$73,0))))</f>
        <v/>
      </c>
    </row>
    <row r="128">
      <c r="A128" s="4" t="inlineStr">
        <is>
          <t>P22</t>
        </is>
      </c>
      <c r="B128" s="4" t="inlineStr">
        <is>
          <t>Ad_A</t>
        </is>
      </c>
      <c r="C128" s="4" t="inlineStr">
        <is>
          <t>Logo</t>
        </is>
      </c>
      <c r="D128">
        <f>INDEX(Data!$G$2:$G$73,MATCH(A128&amp;"|"&amp;B128,Data!$AD$2:$AD$73,0))</f>
        <v/>
      </c>
      <c r="E128" s="5">
        <f>IF(C128="Logo",INDEX(Data!$Y$2:$Y$73,MATCH(A128&amp;"|"&amp;B128,Data!$AD$2:$AD$73,0)),IF(C128="Product",INDEX(Data!$Z$2:$Z$73,MATCH(A128&amp;"|"&amp;B128,Data!$AD$2:$AD$73,0)),INDEX(Data!$AA$2:$AA$73,MATCH(A128&amp;"|"&amp;B128,Data!$AD$2:$AD$73,0))))</f>
        <v/>
      </c>
    </row>
    <row r="129">
      <c r="A129" s="4" t="inlineStr">
        <is>
          <t>P22</t>
        </is>
      </c>
      <c r="B129" s="4" t="inlineStr">
        <is>
          <t>Ad_A</t>
        </is>
      </c>
      <c r="C129" s="4" t="inlineStr">
        <is>
          <t>Product</t>
        </is>
      </c>
      <c r="D129">
        <f>INDEX(Data!$G$2:$G$73,MATCH(A129&amp;"|"&amp;B129,Data!$AD$2:$AD$73,0))</f>
        <v/>
      </c>
      <c r="E129" s="5">
        <f>IF(C129="Logo",INDEX(Data!$Y$2:$Y$73,MATCH(A129&amp;"|"&amp;B129,Data!$AD$2:$AD$73,0)),IF(C129="Product",INDEX(Data!$Z$2:$Z$73,MATCH(A129&amp;"|"&amp;B129,Data!$AD$2:$AD$73,0)),INDEX(Data!$AA$2:$AA$73,MATCH(A129&amp;"|"&amp;B129,Data!$AD$2:$AD$73,0))))</f>
        <v/>
      </c>
    </row>
    <row r="130">
      <c r="A130" s="4" t="inlineStr">
        <is>
          <t>P22</t>
        </is>
      </c>
      <c r="B130" s="4" t="inlineStr">
        <is>
          <t>Ad_A</t>
        </is>
      </c>
      <c r="C130" s="4" t="inlineStr">
        <is>
          <t>Headline</t>
        </is>
      </c>
      <c r="D130">
        <f>INDEX(Data!$G$2:$G$73,MATCH(A130&amp;"|"&amp;B130,Data!$AD$2:$AD$73,0))</f>
        <v/>
      </c>
      <c r="E130" s="5">
        <f>IF(C130="Logo",INDEX(Data!$Y$2:$Y$73,MATCH(A130&amp;"|"&amp;B130,Data!$AD$2:$AD$73,0)),IF(C130="Product",INDEX(Data!$Z$2:$Z$73,MATCH(A130&amp;"|"&amp;B130,Data!$AD$2:$AD$73,0)),INDEX(Data!$AA$2:$AA$73,MATCH(A130&amp;"|"&amp;B130,Data!$AD$2:$AD$73,0))))</f>
        <v/>
      </c>
    </row>
    <row r="131">
      <c r="A131" s="4" t="inlineStr">
        <is>
          <t>P22</t>
        </is>
      </c>
      <c r="B131" s="4" t="inlineStr">
        <is>
          <t>Ad_B</t>
        </is>
      </c>
      <c r="C131" s="4" t="inlineStr">
        <is>
          <t>Logo</t>
        </is>
      </c>
      <c r="D131">
        <f>INDEX(Data!$G$2:$G$73,MATCH(A131&amp;"|"&amp;B131,Data!$AD$2:$AD$73,0))</f>
        <v/>
      </c>
      <c r="E131" s="5">
        <f>IF(C131="Logo",INDEX(Data!$Y$2:$Y$73,MATCH(A131&amp;"|"&amp;B131,Data!$AD$2:$AD$73,0)),IF(C131="Product",INDEX(Data!$Z$2:$Z$73,MATCH(A131&amp;"|"&amp;B131,Data!$AD$2:$AD$73,0)),INDEX(Data!$AA$2:$AA$73,MATCH(A131&amp;"|"&amp;B131,Data!$AD$2:$AD$73,0))))</f>
        <v/>
      </c>
    </row>
    <row r="132">
      <c r="A132" s="4" t="inlineStr">
        <is>
          <t>P22</t>
        </is>
      </c>
      <c r="B132" s="4" t="inlineStr">
        <is>
          <t>Ad_B</t>
        </is>
      </c>
      <c r="C132" s="4" t="inlineStr">
        <is>
          <t>Product</t>
        </is>
      </c>
      <c r="D132">
        <f>INDEX(Data!$G$2:$G$73,MATCH(A132&amp;"|"&amp;B132,Data!$AD$2:$AD$73,0))</f>
        <v/>
      </c>
      <c r="E132" s="5">
        <f>IF(C132="Logo",INDEX(Data!$Y$2:$Y$73,MATCH(A132&amp;"|"&amp;B132,Data!$AD$2:$AD$73,0)),IF(C132="Product",INDEX(Data!$Z$2:$Z$73,MATCH(A132&amp;"|"&amp;B132,Data!$AD$2:$AD$73,0)),INDEX(Data!$AA$2:$AA$73,MATCH(A132&amp;"|"&amp;B132,Data!$AD$2:$AD$73,0))))</f>
        <v/>
      </c>
    </row>
    <row r="133">
      <c r="A133" s="4" t="inlineStr">
        <is>
          <t>P22</t>
        </is>
      </c>
      <c r="B133" s="4" t="inlineStr">
        <is>
          <t>Ad_B</t>
        </is>
      </c>
      <c r="C133" s="4" t="inlineStr">
        <is>
          <t>Headline</t>
        </is>
      </c>
      <c r="D133">
        <f>INDEX(Data!$G$2:$G$73,MATCH(A133&amp;"|"&amp;B133,Data!$AD$2:$AD$73,0))</f>
        <v/>
      </c>
      <c r="E133" s="5">
        <f>IF(C133="Logo",INDEX(Data!$Y$2:$Y$73,MATCH(A133&amp;"|"&amp;B133,Data!$AD$2:$AD$73,0)),IF(C133="Product",INDEX(Data!$Z$2:$Z$73,MATCH(A133&amp;"|"&amp;B133,Data!$AD$2:$AD$73,0)),INDEX(Data!$AA$2:$AA$73,MATCH(A133&amp;"|"&amp;B133,Data!$AD$2:$AD$73,0))))</f>
        <v/>
      </c>
    </row>
    <row r="134">
      <c r="A134" s="4" t="inlineStr">
        <is>
          <t>P23</t>
        </is>
      </c>
      <c r="B134" s="4" t="inlineStr">
        <is>
          <t>Ad_A</t>
        </is>
      </c>
      <c r="C134" s="4" t="inlineStr">
        <is>
          <t>Logo</t>
        </is>
      </c>
      <c r="D134">
        <f>INDEX(Data!$G$2:$G$73,MATCH(A134&amp;"|"&amp;B134,Data!$AD$2:$AD$73,0))</f>
        <v/>
      </c>
      <c r="E134" s="5">
        <f>IF(C134="Logo",INDEX(Data!$Y$2:$Y$73,MATCH(A134&amp;"|"&amp;B134,Data!$AD$2:$AD$73,0)),IF(C134="Product",INDEX(Data!$Z$2:$Z$73,MATCH(A134&amp;"|"&amp;B134,Data!$AD$2:$AD$73,0)),INDEX(Data!$AA$2:$AA$73,MATCH(A134&amp;"|"&amp;B134,Data!$AD$2:$AD$73,0))))</f>
        <v/>
      </c>
    </row>
    <row r="135">
      <c r="A135" s="4" t="inlineStr">
        <is>
          <t>P23</t>
        </is>
      </c>
      <c r="B135" s="4" t="inlineStr">
        <is>
          <t>Ad_A</t>
        </is>
      </c>
      <c r="C135" s="4" t="inlineStr">
        <is>
          <t>Product</t>
        </is>
      </c>
      <c r="D135">
        <f>INDEX(Data!$G$2:$G$73,MATCH(A135&amp;"|"&amp;B135,Data!$AD$2:$AD$73,0))</f>
        <v/>
      </c>
      <c r="E135" s="5">
        <f>IF(C135="Logo",INDEX(Data!$Y$2:$Y$73,MATCH(A135&amp;"|"&amp;B135,Data!$AD$2:$AD$73,0)),IF(C135="Product",INDEX(Data!$Z$2:$Z$73,MATCH(A135&amp;"|"&amp;B135,Data!$AD$2:$AD$73,0)),INDEX(Data!$AA$2:$AA$73,MATCH(A135&amp;"|"&amp;B135,Data!$AD$2:$AD$73,0))))</f>
        <v/>
      </c>
    </row>
    <row r="136">
      <c r="A136" s="4" t="inlineStr">
        <is>
          <t>P23</t>
        </is>
      </c>
      <c r="B136" s="4" t="inlineStr">
        <is>
          <t>Ad_A</t>
        </is>
      </c>
      <c r="C136" s="4" t="inlineStr">
        <is>
          <t>Headline</t>
        </is>
      </c>
      <c r="D136">
        <f>INDEX(Data!$G$2:$G$73,MATCH(A136&amp;"|"&amp;B136,Data!$AD$2:$AD$73,0))</f>
        <v/>
      </c>
      <c r="E136" s="5">
        <f>IF(C136="Logo",INDEX(Data!$Y$2:$Y$73,MATCH(A136&amp;"|"&amp;B136,Data!$AD$2:$AD$73,0)),IF(C136="Product",INDEX(Data!$Z$2:$Z$73,MATCH(A136&amp;"|"&amp;B136,Data!$AD$2:$AD$73,0)),INDEX(Data!$AA$2:$AA$73,MATCH(A136&amp;"|"&amp;B136,Data!$AD$2:$AD$73,0))))</f>
        <v/>
      </c>
    </row>
    <row r="137">
      <c r="A137" s="4" t="inlineStr">
        <is>
          <t>P23</t>
        </is>
      </c>
      <c r="B137" s="4" t="inlineStr">
        <is>
          <t>Ad_B</t>
        </is>
      </c>
      <c r="C137" s="4" t="inlineStr">
        <is>
          <t>Logo</t>
        </is>
      </c>
      <c r="D137">
        <f>INDEX(Data!$G$2:$G$73,MATCH(A137&amp;"|"&amp;B137,Data!$AD$2:$AD$73,0))</f>
        <v/>
      </c>
      <c r="E137" s="5">
        <f>IF(C137="Logo",INDEX(Data!$Y$2:$Y$73,MATCH(A137&amp;"|"&amp;B137,Data!$AD$2:$AD$73,0)),IF(C137="Product",INDEX(Data!$Z$2:$Z$73,MATCH(A137&amp;"|"&amp;B137,Data!$AD$2:$AD$73,0)),INDEX(Data!$AA$2:$AA$73,MATCH(A137&amp;"|"&amp;B137,Data!$AD$2:$AD$73,0))))</f>
        <v/>
      </c>
    </row>
    <row r="138">
      <c r="A138" s="4" t="inlineStr">
        <is>
          <t>P23</t>
        </is>
      </c>
      <c r="B138" s="4" t="inlineStr">
        <is>
          <t>Ad_B</t>
        </is>
      </c>
      <c r="C138" s="4" t="inlineStr">
        <is>
          <t>Product</t>
        </is>
      </c>
      <c r="D138">
        <f>INDEX(Data!$G$2:$G$73,MATCH(A138&amp;"|"&amp;B138,Data!$AD$2:$AD$73,0))</f>
        <v/>
      </c>
      <c r="E138" s="5">
        <f>IF(C138="Logo",INDEX(Data!$Y$2:$Y$73,MATCH(A138&amp;"|"&amp;B138,Data!$AD$2:$AD$73,0)),IF(C138="Product",INDEX(Data!$Z$2:$Z$73,MATCH(A138&amp;"|"&amp;B138,Data!$AD$2:$AD$73,0)),INDEX(Data!$AA$2:$AA$73,MATCH(A138&amp;"|"&amp;B138,Data!$AD$2:$AD$73,0))))</f>
        <v/>
      </c>
    </row>
    <row r="139">
      <c r="A139" s="4" t="inlineStr">
        <is>
          <t>P23</t>
        </is>
      </c>
      <c r="B139" s="4" t="inlineStr">
        <is>
          <t>Ad_B</t>
        </is>
      </c>
      <c r="C139" s="4" t="inlineStr">
        <is>
          <t>Headline</t>
        </is>
      </c>
      <c r="D139">
        <f>INDEX(Data!$G$2:$G$73,MATCH(A139&amp;"|"&amp;B139,Data!$AD$2:$AD$73,0))</f>
        <v/>
      </c>
      <c r="E139" s="5">
        <f>IF(C139="Logo",INDEX(Data!$Y$2:$Y$73,MATCH(A139&amp;"|"&amp;B139,Data!$AD$2:$AD$73,0)),IF(C139="Product",INDEX(Data!$Z$2:$Z$73,MATCH(A139&amp;"|"&amp;B139,Data!$AD$2:$AD$73,0)),INDEX(Data!$AA$2:$AA$73,MATCH(A139&amp;"|"&amp;B139,Data!$AD$2:$AD$73,0))))</f>
        <v/>
      </c>
    </row>
    <row r="140">
      <c r="A140" s="4" t="inlineStr">
        <is>
          <t>P24</t>
        </is>
      </c>
      <c r="B140" s="4" t="inlineStr">
        <is>
          <t>Ad_A</t>
        </is>
      </c>
      <c r="C140" s="4" t="inlineStr">
        <is>
          <t>Logo</t>
        </is>
      </c>
      <c r="D140">
        <f>INDEX(Data!$G$2:$G$73,MATCH(A140&amp;"|"&amp;B140,Data!$AD$2:$AD$73,0))</f>
        <v/>
      </c>
      <c r="E140" s="5">
        <f>IF(C140="Logo",INDEX(Data!$Y$2:$Y$73,MATCH(A140&amp;"|"&amp;B140,Data!$AD$2:$AD$73,0)),IF(C140="Product",INDEX(Data!$Z$2:$Z$73,MATCH(A140&amp;"|"&amp;B140,Data!$AD$2:$AD$73,0)),INDEX(Data!$AA$2:$AA$73,MATCH(A140&amp;"|"&amp;B140,Data!$AD$2:$AD$73,0))))</f>
        <v/>
      </c>
    </row>
    <row r="141">
      <c r="A141" s="4" t="inlineStr">
        <is>
          <t>P24</t>
        </is>
      </c>
      <c r="B141" s="4" t="inlineStr">
        <is>
          <t>Ad_A</t>
        </is>
      </c>
      <c r="C141" s="4" t="inlineStr">
        <is>
          <t>Product</t>
        </is>
      </c>
      <c r="D141">
        <f>INDEX(Data!$G$2:$G$73,MATCH(A141&amp;"|"&amp;B141,Data!$AD$2:$AD$73,0))</f>
        <v/>
      </c>
      <c r="E141" s="5">
        <f>IF(C141="Logo",INDEX(Data!$Y$2:$Y$73,MATCH(A141&amp;"|"&amp;B141,Data!$AD$2:$AD$73,0)),IF(C141="Product",INDEX(Data!$Z$2:$Z$73,MATCH(A141&amp;"|"&amp;B141,Data!$AD$2:$AD$73,0)),INDEX(Data!$AA$2:$AA$73,MATCH(A141&amp;"|"&amp;B141,Data!$AD$2:$AD$73,0))))</f>
        <v/>
      </c>
    </row>
    <row r="142">
      <c r="A142" s="4" t="inlineStr">
        <is>
          <t>P24</t>
        </is>
      </c>
      <c r="B142" s="4" t="inlineStr">
        <is>
          <t>Ad_A</t>
        </is>
      </c>
      <c r="C142" s="4" t="inlineStr">
        <is>
          <t>Headline</t>
        </is>
      </c>
      <c r="D142">
        <f>INDEX(Data!$G$2:$G$73,MATCH(A142&amp;"|"&amp;B142,Data!$AD$2:$AD$73,0))</f>
        <v/>
      </c>
      <c r="E142" s="5">
        <f>IF(C142="Logo",INDEX(Data!$Y$2:$Y$73,MATCH(A142&amp;"|"&amp;B142,Data!$AD$2:$AD$73,0)),IF(C142="Product",INDEX(Data!$Z$2:$Z$73,MATCH(A142&amp;"|"&amp;B142,Data!$AD$2:$AD$73,0)),INDEX(Data!$AA$2:$AA$73,MATCH(A142&amp;"|"&amp;B142,Data!$AD$2:$AD$73,0))))</f>
        <v/>
      </c>
    </row>
    <row r="143">
      <c r="A143" s="4" t="inlineStr">
        <is>
          <t>P24</t>
        </is>
      </c>
      <c r="B143" s="4" t="inlineStr">
        <is>
          <t>Ad_B</t>
        </is>
      </c>
      <c r="C143" s="4" t="inlineStr">
        <is>
          <t>Logo</t>
        </is>
      </c>
      <c r="D143">
        <f>INDEX(Data!$G$2:$G$73,MATCH(A143&amp;"|"&amp;B143,Data!$AD$2:$AD$73,0))</f>
        <v/>
      </c>
      <c r="E143" s="5">
        <f>IF(C143="Logo",INDEX(Data!$Y$2:$Y$73,MATCH(A143&amp;"|"&amp;B143,Data!$AD$2:$AD$73,0)),IF(C143="Product",INDEX(Data!$Z$2:$Z$73,MATCH(A143&amp;"|"&amp;B143,Data!$AD$2:$AD$73,0)),INDEX(Data!$AA$2:$AA$73,MATCH(A143&amp;"|"&amp;B143,Data!$AD$2:$AD$73,0))))</f>
        <v/>
      </c>
    </row>
    <row r="144">
      <c r="A144" s="4" t="inlineStr">
        <is>
          <t>P24</t>
        </is>
      </c>
      <c r="B144" s="4" t="inlineStr">
        <is>
          <t>Ad_B</t>
        </is>
      </c>
      <c r="C144" s="4" t="inlineStr">
        <is>
          <t>Product</t>
        </is>
      </c>
      <c r="D144">
        <f>INDEX(Data!$G$2:$G$73,MATCH(A144&amp;"|"&amp;B144,Data!$AD$2:$AD$73,0))</f>
        <v/>
      </c>
      <c r="E144" s="5">
        <f>IF(C144="Logo",INDEX(Data!$Y$2:$Y$73,MATCH(A144&amp;"|"&amp;B144,Data!$AD$2:$AD$73,0)),IF(C144="Product",INDEX(Data!$Z$2:$Z$73,MATCH(A144&amp;"|"&amp;B144,Data!$AD$2:$AD$73,0)),INDEX(Data!$AA$2:$AA$73,MATCH(A144&amp;"|"&amp;B144,Data!$AD$2:$AD$73,0))))</f>
        <v/>
      </c>
    </row>
    <row r="145">
      <c r="A145" s="4" t="inlineStr">
        <is>
          <t>P24</t>
        </is>
      </c>
      <c r="B145" s="4" t="inlineStr">
        <is>
          <t>Ad_B</t>
        </is>
      </c>
      <c r="C145" s="4" t="inlineStr">
        <is>
          <t>Headline</t>
        </is>
      </c>
      <c r="D145">
        <f>INDEX(Data!$G$2:$G$73,MATCH(A145&amp;"|"&amp;B145,Data!$AD$2:$AD$73,0))</f>
        <v/>
      </c>
      <c r="E145" s="5">
        <f>IF(C145="Logo",INDEX(Data!$Y$2:$Y$73,MATCH(A145&amp;"|"&amp;B145,Data!$AD$2:$AD$73,0)),IF(C145="Product",INDEX(Data!$Z$2:$Z$73,MATCH(A145&amp;"|"&amp;B145,Data!$AD$2:$AD$73,0)),INDEX(Data!$AA$2:$AA$73,MATCH(A145&amp;"|"&amp;B145,Data!$AD$2:$AD$73,0))))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Descriptive statistics, analysis sample (include = 1). Gaze dwell from AOI_long; facial expressions, GSR (valid only, rule R3), and liking from Data. SD, median, and quartiles are array formulas.</t>
        </is>
      </c>
    </row>
    <row r="3">
      <c r="A3" s="1" t="inlineStr">
        <is>
          <t>A. Gaze dwell by ad and AOI (from AOI_long)</t>
        </is>
      </c>
    </row>
    <row r="4">
      <c r="A4" s="2" t="inlineStr">
        <is>
          <t>Measure</t>
        </is>
      </c>
      <c r="B4" s="2" t="inlineStr">
        <is>
          <t>Ad or stimulus</t>
        </is>
      </c>
      <c r="C4" s="2" t="inlineStr">
        <is>
          <t>AOI</t>
        </is>
      </c>
      <c r="D4" s="2" t="inlineStr">
        <is>
          <t>n</t>
        </is>
      </c>
      <c r="E4" s="2" t="inlineStr">
        <is>
          <t>Mean</t>
        </is>
      </c>
      <c r="F4" s="2" t="inlineStr">
        <is>
          <t>SD</t>
        </is>
      </c>
      <c r="G4" s="2" t="inlineStr">
        <is>
          <t>Median</t>
        </is>
      </c>
      <c r="H4" s="2" t="inlineStr">
        <is>
          <t>Q1</t>
        </is>
      </c>
      <c r="I4" s="2" t="inlineStr">
        <is>
          <t>Q3</t>
        </is>
      </c>
      <c r="J4" s="2" t="inlineStr">
        <is>
          <t>IQR</t>
        </is>
      </c>
      <c r="K4" s="2" t="inlineStr">
        <is>
          <t>% at zero</t>
        </is>
      </c>
    </row>
    <row r="5">
      <c r="A5" t="inlineStr">
        <is>
          <t>Gaze dwell (% of ad)</t>
        </is>
      </c>
      <c r="B5" t="inlineStr">
        <is>
          <t>Ad_A</t>
        </is>
      </c>
      <c r="C5" t="inlineStr">
        <is>
          <t>Logo</t>
        </is>
      </c>
      <c r="D5" s="6">
        <f>COUNTIFS(AOI_long!$B$2:$B$145,B5,AOI_long!$C$2:$C$145,C5,AOI_long!$D$2:$D$145,1)</f>
        <v/>
      </c>
      <c r="E5" s="7">
        <f>AVERAGEIFS(AOI_long!$E$2:$E$145,AOI_long!$B$2:$B$145,B5,AOI_long!$C$2:$C$145,C5,AOI_long!$D$2:$D$145,1)</f>
        <v/>
      </c>
      <c r="F5" s="7">
        <f t="array" ref="F5">_xlfn.STDEV.S(IF((AOI_long!$B$2:$B$145=B5)*(AOI_long!$C$2:$C$145=C5)*(AOI_long!$D$2:$D$145=1),AOI_long!$E$2:$E$145))</f>
        <v/>
      </c>
      <c r="G5" s="7">
        <f t="array" ref="G5">MEDIAN(IF((AOI_long!$B$2:$B$145=B5)*(AOI_long!$C$2:$C$145=C5)*(AOI_long!$D$2:$D$145=1),AOI_long!$E$2:$E$145))</f>
        <v/>
      </c>
      <c r="H5" s="7">
        <f t="array" ref="H5">_xlfn.QUARTILE.INC(IF((AOI_long!$B$2:$B$145=B5)*(AOI_long!$C$2:$C$145=C5)*(AOI_long!$D$2:$D$145=1),AOI_long!$E$2:$E$145),1)</f>
        <v/>
      </c>
      <c r="I5" s="7">
        <f t="array" ref="I5">_xlfn.QUARTILE.INC(IF((AOI_long!$B$2:$B$145=B5)*(AOI_long!$C$2:$C$145=C5)*(AOI_long!$D$2:$D$145=1),AOI_long!$E$2:$E$145),3)</f>
        <v/>
      </c>
      <c r="J5" s="7">
        <f>I5-H5</f>
        <v/>
      </c>
      <c r="K5" s="5">
        <f>100*COUNTIFS(AOI_long!$B$2:$B$145,B5,AOI_long!$C$2:$C$145,C5,AOI_long!$D$2:$D$145,1,AOI_long!$E$2:$E$145,0)/D5</f>
        <v/>
      </c>
    </row>
    <row r="6">
      <c r="A6" t="inlineStr">
        <is>
          <t>Gaze dwell (% of ad)</t>
        </is>
      </c>
      <c r="B6" t="inlineStr">
        <is>
          <t>Ad_A</t>
        </is>
      </c>
      <c r="C6" t="inlineStr">
        <is>
          <t>Product</t>
        </is>
      </c>
      <c r="D6" s="6">
        <f>COUNTIFS(AOI_long!$B$2:$B$145,B6,AOI_long!$C$2:$C$145,C6,AOI_long!$D$2:$D$145,1)</f>
        <v/>
      </c>
      <c r="E6" s="7">
        <f>AVERAGEIFS(AOI_long!$E$2:$E$145,AOI_long!$B$2:$B$145,B6,AOI_long!$C$2:$C$145,C6,AOI_long!$D$2:$D$145,1)</f>
        <v/>
      </c>
      <c r="F6" s="7">
        <f t="array" ref="F6">_xlfn.STDEV.S(IF((AOI_long!$B$2:$B$145=B6)*(AOI_long!$C$2:$C$145=C6)*(AOI_long!$D$2:$D$145=1),AOI_long!$E$2:$E$145))</f>
        <v/>
      </c>
      <c r="G6" s="7">
        <f t="array" ref="G6">MEDIAN(IF((AOI_long!$B$2:$B$145=B6)*(AOI_long!$C$2:$C$145=C6)*(AOI_long!$D$2:$D$145=1),AOI_long!$E$2:$E$145))</f>
        <v/>
      </c>
      <c r="H6" s="7">
        <f t="array" ref="H6">_xlfn.QUARTILE.INC(IF((AOI_long!$B$2:$B$145=B6)*(AOI_long!$C$2:$C$145=C6)*(AOI_long!$D$2:$D$145=1),AOI_long!$E$2:$E$145),1)</f>
        <v/>
      </c>
      <c r="I6" s="7">
        <f t="array" ref="I6">_xlfn.QUARTILE.INC(IF((AOI_long!$B$2:$B$145=B6)*(AOI_long!$C$2:$C$145=C6)*(AOI_long!$D$2:$D$145=1),AOI_long!$E$2:$E$145),3)</f>
        <v/>
      </c>
      <c r="J6" s="7">
        <f>I6-H6</f>
        <v/>
      </c>
      <c r="K6" s="5">
        <f>100*COUNTIFS(AOI_long!$B$2:$B$145,B6,AOI_long!$C$2:$C$145,C6,AOI_long!$D$2:$D$145,1,AOI_long!$E$2:$E$145,0)/D6</f>
        <v/>
      </c>
    </row>
    <row r="7">
      <c r="A7" t="inlineStr">
        <is>
          <t>Gaze dwell (% of ad)</t>
        </is>
      </c>
      <c r="B7" t="inlineStr">
        <is>
          <t>Ad_A</t>
        </is>
      </c>
      <c r="C7" t="inlineStr">
        <is>
          <t>Headline</t>
        </is>
      </c>
      <c r="D7" s="6">
        <f>COUNTIFS(AOI_long!$B$2:$B$145,B7,AOI_long!$C$2:$C$145,C7,AOI_long!$D$2:$D$145,1)</f>
        <v/>
      </c>
      <c r="E7" s="7">
        <f>AVERAGEIFS(AOI_long!$E$2:$E$145,AOI_long!$B$2:$B$145,B7,AOI_long!$C$2:$C$145,C7,AOI_long!$D$2:$D$145,1)</f>
        <v/>
      </c>
      <c r="F7" s="7">
        <f t="array" ref="F7">_xlfn.STDEV.S(IF((AOI_long!$B$2:$B$145=B7)*(AOI_long!$C$2:$C$145=C7)*(AOI_long!$D$2:$D$145=1),AOI_long!$E$2:$E$145))</f>
        <v/>
      </c>
      <c r="G7" s="7">
        <f t="array" ref="G7">MEDIAN(IF((AOI_long!$B$2:$B$145=B7)*(AOI_long!$C$2:$C$145=C7)*(AOI_long!$D$2:$D$145=1),AOI_long!$E$2:$E$145))</f>
        <v/>
      </c>
      <c r="H7" s="7">
        <f t="array" ref="H7">_xlfn.QUARTILE.INC(IF((AOI_long!$B$2:$B$145=B7)*(AOI_long!$C$2:$C$145=C7)*(AOI_long!$D$2:$D$145=1),AOI_long!$E$2:$E$145),1)</f>
        <v/>
      </c>
      <c r="I7" s="7">
        <f t="array" ref="I7">_xlfn.QUARTILE.INC(IF((AOI_long!$B$2:$B$145=B7)*(AOI_long!$C$2:$C$145=C7)*(AOI_long!$D$2:$D$145=1),AOI_long!$E$2:$E$145),3)</f>
        <v/>
      </c>
      <c r="J7" s="7">
        <f>I7-H7</f>
        <v/>
      </c>
      <c r="K7" s="5">
        <f>100*COUNTIFS(AOI_long!$B$2:$B$145,B7,AOI_long!$C$2:$C$145,C7,AOI_long!$D$2:$D$145,1,AOI_long!$E$2:$E$145,0)/D7</f>
        <v/>
      </c>
    </row>
    <row r="8">
      <c r="A8" t="inlineStr">
        <is>
          <t>Gaze dwell (% of ad)</t>
        </is>
      </c>
      <c r="B8" t="inlineStr">
        <is>
          <t>Ad_B</t>
        </is>
      </c>
      <c r="C8" t="inlineStr">
        <is>
          <t>Logo</t>
        </is>
      </c>
      <c r="D8" s="6">
        <f>COUNTIFS(AOI_long!$B$2:$B$145,B8,AOI_long!$C$2:$C$145,C8,AOI_long!$D$2:$D$145,1)</f>
        <v/>
      </c>
      <c r="E8" s="7">
        <f>AVERAGEIFS(AOI_long!$E$2:$E$145,AOI_long!$B$2:$B$145,B8,AOI_long!$C$2:$C$145,C8,AOI_long!$D$2:$D$145,1)</f>
        <v/>
      </c>
      <c r="F8" s="7">
        <f t="array" ref="F8">_xlfn.STDEV.S(IF((AOI_long!$B$2:$B$145=B8)*(AOI_long!$C$2:$C$145=C8)*(AOI_long!$D$2:$D$145=1),AOI_long!$E$2:$E$145))</f>
        <v/>
      </c>
      <c r="G8" s="7">
        <f t="array" ref="G8">MEDIAN(IF((AOI_long!$B$2:$B$145=B8)*(AOI_long!$C$2:$C$145=C8)*(AOI_long!$D$2:$D$145=1),AOI_long!$E$2:$E$145))</f>
        <v/>
      </c>
      <c r="H8" s="7">
        <f t="array" ref="H8">_xlfn.QUARTILE.INC(IF((AOI_long!$B$2:$B$145=B8)*(AOI_long!$C$2:$C$145=C8)*(AOI_long!$D$2:$D$145=1),AOI_long!$E$2:$E$145),1)</f>
        <v/>
      </c>
      <c r="I8" s="7">
        <f t="array" ref="I8">_xlfn.QUARTILE.INC(IF((AOI_long!$B$2:$B$145=B8)*(AOI_long!$C$2:$C$145=C8)*(AOI_long!$D$2:$D$145=1),AOI_long!$E$2:$E$145),3)</f>
        <v/>
      </c>
      <c r="J8" s="7">
        <f>I8-H8</f>
        <v/>
      </c>
      <c r="K8" s="5">
        <f>100*COUNTIFS(AOI_long!$B$2:$B$145,B8,AOI_long!$C$2:$C$145,C8,AOI_long!$D$2:$D$145,1,AOI_long!$E$2:$E$145,0)/D8</f>
        <v/>
      </c>
    </row>
    <row r="9">
      <c r="A9" t="inlineStr">
        <is>
          <t>Gaze dwell (% of ad)</t>
        </is>
      </c>
      <c r="B9" t="inlineStr">
        <is>
          <t>Ad_B</t>
        </is>
      </c>
      <c r="C9" t="inlineStr">
        <is>
          <t>Product</t>
        </is>
      </c>
      <c r="D9" s="6">
        <f>COUNTIFS(AOI_long!$B$2:$B$145,B9,AOI_long!$C$2:$C$145,C9,AOI_long!$D$2:$D$145,1)</f>
        <v/>
      </c>
      <c r="E9" s="7">
        <f>AVERAGEIFS(AOI_long!$E$2:$E$145,AOI_long!$B$2:$B$145,B9,AOI_long!$C$2:$C$145,C9,AOI_long!$D$2:$D$145,1)</f>
        <v/>
      </c>
      <c r="F9" s="7">
        <f t="array" ref="F9">_xlfn.STDEV.S(IF((AOI_long!$B$2:$B$145=B9)*(AOI_long!$C$2:$C$145=C9)*(AOI_long!$D$2:$D$145=1),AOI_long!$E$2:$E$145))</f>
        <v/>
      </c>
      <c r="G9" s="7">
        <f t="array" ref="G9">MEDIAN(IF((AOI_long!$B$2:$B$145=B9)*(AOI_long!$C$2:$C$145=C9)*(AOI_long!$D$2:$D$145=1),AOI_long!$E$2:$E$145))</f>
        <v/>
      </c>
      <c r="H9" s="7">
        <f t="array" ref="H9">_xlfn.QUARTILE.INC(IF((AOI_long!$B$2:$B$145=B9)*(AOI_long!$C$2:$C$145=C9)*(AOI_long!$D$2:$D$145=1),AOI_long!$E$2:$E$145),1)</f>
        <v/>
      </c>
      <c r="I9" s="7">
        <f t="array" ref="I9">_xlfn.QUARTILE.INC(IF((AOI_long!$B$2:$B$145=B9)*(AOI_long!$C$2:$C$145=C9)*(AOI_long!$D$2:$D$145=1),AOI_long!$E$2:$E$145),3)</f>
        <v/>
      </c>
      <c r="J9" s="7">
        <f>I9-H9</f>
        <v/>
      </c>
      <c r="K9" s="5">
        <f>100*COUNTIFS(AOI_long!$B$2:$B$145,B9,AOI_long!$C$2:$C$145,C9,AOI_long!$D$2:$D$145,1,AOI_long!$E$2:$E$145,0)/D9</f>
        <v/>
      </c>
    </row>
    <row r="10">
      <c r="A10" t="inlineStr">
        <is>
          <t>Gaze dwell (% of ad)</t>
        </is>
      </c>
      <c r="B10" t="inlineStr">
        <is>
          <t>Ad_B</t>
        </is>
      </c>
      <c r="C10" t="inlineStr">
        <is>
          <t>Headline</t>
        </is>
      </c>
      <c r="D10" s="6">
        <f>COUNTIFS(AOI_long!$B$2:$B$145,B10,AOI_long!$C$2:$C$145,C10,AOI_long!$D$2:$D$145,1)</f>
        <v/>
      </c>
      <c r="E10" s="7">
        <f>AVERAGEIFS(AOI_long!$E$2:$E$145,AOI_long!$B$2:$B$145,B10,AOI_long!$C$2:$C$145,C10,AOI_long!$D$2:$D$145,1)</f>
        <v/>
      </c>
      <c r="F10" s="7">
        <f t="array" ref="F10">_xlfn.STDEV.S(IF((AOI_long!$B$2:$B$145=B10)*(AOI_long!$C$2:$C$145=C10)*(AOI_long!$D$2:$D$145=1),AOI_long!$E$2:$E$145))</f>
        <v/>
      </c>
      <c r="G10" s="7">
        <f t="array" ref="G10">MEDIAN(IF((AOI_long!$B$2:$B$145=B10)*(AOI_long!$C$2:$C$145=C10)*(AOI_long!$D$2:$D$145=1),AOI_long!$E$2:$E$145))</f>
        <v/>
      </c>
      <c r="H10" s="7">
        <f t="array" ref="H10">_xlfn.QUARTILE.INC(IF((AOI_long!$B$2:$B$145=B10)*(AOI_long!$C$2:$C$145=C10)*(AOI_long!$D$2:$D$145=1),AOI_long!$E$2:$E$145),1)</f>
        <v/>
      </c>
      <c r="I10" s="7">
        <f t="array" ref="I10">_xlfn.QUARTILE.INC(IF((AOI_long!$B$2:$B$145=B10)*(AOI_long!$C$2:$C$145=C10)*(AOI_long!$D$2:$D$145=1),AOI_long!$E$2:$E$145),3)</f>
        <v/>
      </c>
      <c r="J10" s="7">
        <f>I10-H10</f>
        <v/>
      </c>
      <c r="K10" s="5">
        <f>100*COUNTIFS(AOI_long!$B$2:$B$145,B10,AOI_long!$C$2:$C$145,C10,AOI_long!$D$2:$D$145,1,AOI_long!$E$2:$E$145,0)/D10</f>
        <v/>
      </c>
    </row>
    <row r="12">
      <c r="A12" s="1" t="inlineStr">
        <is>
          <t>B. Facial expressions by stimulus (from Data)</t>
        </is>
      </c>
    </row>
    <row r="13">
      <c r="A13" s="2" t="inlineStr">
        <is>
          <t>Measure</t>
        </is>
      </c>
      <c r="B13" s="2" t="inlineStr">
        <is>
          <t>Ad or stimulus</t>
        </is>
      </c>
      <c r="C13" s="2" t="inlineStr">
        <is>
          <t>AOI</t>
        </is>
      </c>
      <c r="D13" s="2" t="inlineStr">
        <is>
          <t>n</t>
        </is>
      </c>
      <c r="E13" s="2" t="inlineStr">
        <is>
          <t>Mean</t>
        </is>
      </c>
      <c r="F13" s="2" t="inlineStr">
        <is>
          <t>SD</t>
        </is>
      </c>
      <c r="G13" s="2" t="inlineStr">
        <is>
          <t>Median</t>
        </is>
      </c>
      <c r="H13" s="2" t="inlineStr">
        <is>
          <t>Q1</t>
        </is>
      </c>
      <c r="I13" s="2" t="inlineStr">
        <is>
          <t>Q3</t>
        </is>
      </c>
      <c r="J13" s="2" t="inlineStr">
        <is>
          <t>IQR</t>
        </is>
      </c>
      <c r="K13" s="2" t="inlineStr">
        <is>
          <t>% at zero</t>
        </is>
      </c>
    </row>
    <row r="14">
      <c r="A14" t="inlineStr">
        <is>
          <t>Joy (% of time)</t>
        </is>
      </c>
      <c r="B14" t="inlineStr">
        <is>
          <t>Baseline</t>
        </is>
      </c>
      <c r="D14" s="6">
        <f>COUNTIFS(Data!$B$2:$B$73,B14,Data!$G$2:$G$73,1)</f>
        <v/>
      </c>
      <c r="E14" s="7">
        <f>AVERAGEIFS(Data!$Q$2:$Q$73,Data!$B$2:$B$73,B14,Data!$G$2:$G$73,1)</f>
        <v/>
      </c>
      <c r="F14" s="7">
        <f t="array" ref="F14">_xlfn.STDEV.S(IF((Data!$B$2:$B$73=B14)*(Data!$G$2:$G$73=1),Data!$Q$2:$Q$73))</f>
        <v/>
      </c>
      <c r="G14" s="7">
        <f t="array" ref="G14">MEDIAN(IF((Data!$B$2:$B$73=B14)*(Data!$G$2:$G$73=1),Data!$Q$2:$Q$73))</f>
        <v/>
      </c>
      <c r="H14" s="7">
        <f t="array" ref="H14">_xlfn.QUARTILE.INC(IF((Data!$B$2:$B$73=B14)*(Data!$G$2:$G$73=1),Data!$Q$2:$Q$73),1)</f>
        <v/>
      </c>
      <c r="I14" s="7">
        <f t="array" ref="I14">_xlfn.QUARTILE.INC(IF((Data!$B$2:$B$73=B14)*(Data!$G$2:$G$73=1),Data!$Q$2:$Q$73),3)</f>
        <v/>
      </c>
      <c r="J14" s="7">
        <f>I14-H14</f>
        <v/>
      </c>
      <c r="K14" s="5">
        <f>100*COUNTIFS(Data!$B$2:$B$73,B14,Data!$G$2:$G$73,1,Data!$Q$2:$Q$73,0)/D14</f>
        <v/>
      </c>
    </row>
    <row r="15">
      <c r="A15" t="inlineStr">
        <is>
          <t>Joy (% of time)</t>
        </is>
      </c>
      <c r="B15" t="inlineStr">
        <is>
          <t>Ad_A</t>
        </is>
      </c>
      <c r="D15" s="6">
        <f>COUNTIFS(Data!$B$2:$B$73,B15,Data!$G$2:$G$73,1)</f>
        <v/>
      </c>
      <c r="E15" s="7">
        <f>AVERAGEIFS(Data!$Q$2:$Q$73,Data!$B$2:$B$73,B15,Data!$G$2:$G$73,1)</f>
        <v/>
      </c>
      <c r="F15" s="7">
        <f t="array" ref="F15">_xlfn.STDEV.S(IF((Data!$B$2:$B$73=B15)*(Data!$G$2:$G$73=1),Data!$Q$2:$Q$73))</f>
        <v/>
      </c>
      <c r="G15" s="7">
        <f t="array" ref="G15">MEDIAN(IF((Data!$B$2:$B$73=B15)*(Data!$G$2:$G$73=1),Data!$Q$2:$Q$73))</f>
        <v/>
      </c>
      <c r="H15" s="7">
        <f t="array" ref="H15">_xlfn.QUARTILE.INC(IF((Data!$B$2:$B$73=B15)*(Data!$G$2:$G$73=1),Data!$Q$2:$Q$73),1)</f>
        <v/>
      </c>
      <c r="I15" s="7">
        <f t="array" ref="I15">_xlfn.QUARTILE.INC(IF((Data!$B$2:$B$73=B15)*(Data!$G$2:$G$73=1),Data!$Q$2:$Q$73),3)</f>
        <v/>
      </c>
      <c r="J15" s="7">
        <f>I15-H15</f>
        <v/>
      </c>
      <c r="K15" s="5">
        <f>100*COUNTIFS(Data!$B$2:$B$73,B15,Data!$G$2:$G$73,1,Data!$Q$2:$Q$73,0)/D15</f>
        <v/>
      </c>
    </row>
    <row r="16">
      <c r="A16" t="inlineStr">
        <is>
          <t>Joy (% of time)</t>
        </is>
      </c>
      <c r="B16" t="inlineStr">
        <is>
          <t>Ad_B</t>
        </is>
      </c>
      <c r="D16" s="6">
        <f>COUNTIFS(Data!$B$2:$B$73,B16,Data!$G$2:$G$73,1)</f>
        <v/>
      </c>
      <c r="E16" s="7">
        <f>AVERAGEIFS(Data!$Q$2:$Q$73,Data!$B$2:$B$73,B16,Data!$G$2:$G$73,1)</f>
        <v/>
      </c>
      <c r="F16" s="7">
        <f t="array" ref="F16">_xlfn.STDEV.S(IF((Data!$B$2:$B$73=B16)*(Data!$G$2:$G$73=1),Data!$Q$2:$Q$73))</f>
        <v/>
      </c>
      <c r="G16" s="7">
        <f t="array" ref="G16">MEDIAN(IF((Data!$B$2:$B$73=B16)*(Data!$G$2:$G$73=1),Data!$Q$2:$Q$73))</f>
        <v/>
      </c>
      <c r="H16" s="7">
        <f t="array" ref="H16">_xlfn.QUARTILE.INC(IF((Data!$B$2:$B$73=B16)*(Data!$G$2:$G$73=1),Data!$Q$2:$Q$73),1)</f>
        <v/>
      </c>
      <c r="I16" s="7">
        <f t="array" ref="I16">_xlfn.QUARTILE.INC(IF((Data!$B$2:$B$73=B16)*(Data!$G$2:$G$73=1),Data!$Q$2:$Q$73),3)</f>
        <v/>
      </c>
      <c r="J16" s="7">
        <f>I16-H16</f>
        <v/>
      </c>
      <c r="K16" s="5">
        <f>100*COUNTIFS(Data!$B$2:$B$73,B16,Data!$G$2:$G$73,1,Data!$Q$2:$Q$73,0)/D16</f>
        <v/>
      </c>
    </row>
    <row r="17">
      <c r="A17" t="inlineStr">
        <is>
          <t>Engagement (% of time)</t>
        </is>
      </c>
      <c r="B17" t="inlineStr">
        <is>
          <t>Baseline</t>
        </is>
      </c>
      <c r="D17" s="6">
        <f>COUNTIFS(Data!$B$2:$B$73,B17,Data!$G$2:$G$73,1)</f>
        <v/>
      </c>
      <c r="E17" s="7">
        <f>AVERAGEIFS(Data!$R$2:$R$73,Data!$B$2:$B$73,B17,Data!$G$2:$G$73,1)</f>
        <v/>
      </c>
      <c r="F17" s="7">
        <f t="array" ref="F17">_xlfn.STDEV.S(IF((Data!$B$2:$B$73=B17)*(Data!$G$2:$G$73=1),Data!$R$2:$R$73))</f>
        <v/>
      </c>
      <c r="G17" s="7">
        <f t="array" ref="G17">MEDIAN(IF((Data!$B$2:$B$73=B17)*(Data!$G$2:$G$73=1),Data!$R$2:$R$73))</f>
        <v/>
      </c>
      <c r="H17" s="7">
        <f t="array" ref="H17">_xlfn.QUARTILE.INC(IF((Data!$B$2:$B$73=B17)*(Data!$G$2:$G$73=1),Data!$R$2:$R$73),1)</f>
        <v/>
      </c>
      <c r="I17" s="7">
        <f t="array" ref="I17">_xlfn.QUARTILE.INC(IF((Data!$B$2:$B$73=B17)*(Data!$G$2:$G$73=1),Data!$R$2:$R$73),3)</f>
        <v/>
      </c>
      <c r="J17" s="7">
        <f>I17-H17</f>
        <v/>
      </c>
      <c r="K17" s="5">
        <f>100*COUNTIFS(Data!$B$2:$B$73,B17,Data!$G$2:$G$73,1,Data!$R$2:$R$73,0)/D17</f>
        <v/>
      </c>
    </row>
    <row r="18">
      <c r="A18" t="inlineStr">
        <is>
          <t>Engagement (% of time)</t>
        </is>
      </c>
      <c r="B18" t="inlineStr">
        <is>
          <t>Ad_A</t>
        </is>
      </c>
      <c r="D18" s="6">
        <f>COUNTIFS(Data!$B$2:$B$73,B18,Data!$G$2:$G$73,1)</f>
        <v/>
      </c>
      <c r="E18" s="7">
        <f>AVERAGEIFS(Data!$R$2:$R$73,Data!$B$2:$B$73,B18,Data!$G$2:$G$73,1)</f>
        <v/>
      </c>
      <c r="F18" s="7">
        <f t="array" ref="F18">_xlfn.STDEV.S(IF((Data!$B$2:$B$73=B18)*(Data!$G$2:$G$73=1),Data!$R$2:$R$73))</f>
        <v/>
      </c>
      <c r="G18" s="7">
        <f t="array" ref="G18">MEDIAN(IF((Data!$B$2:$B$73=B18)*(Data!$G$2:$G$73=1),Data!$R$2:$R$73))</f>
        <v/>
      </c>
      <c r="H18" s="7">
        <f t="array" ref="H18">_xlfn.QUARTILE.INC(IF((Data!$B$2:$B$73=B18)*(Data!$G$2:$G$73=1),Data!$R$2:$R$73),1)</f>
        <v/>
      </c>
      <c r="I18" s="7">
        <f t="array" ref="I18">_xlfn.QUARTILE.INC(IF((Data!$B$2:$B$73=B18)*(Data!$G$2:$G$73=1),Data!$R$2:$R$73),3)</f>
        <v/>
      </c>
      <c r="J18" s="7">
        <f>I18-H18</f>
        <v/>
      </c>
      <c r="K18" s="5">
        <f>100*COUNTIFS(Data!$B$2:$B$73,B18,Data!$G$2:$G$73,1,Data!$R$2:$R$73,0)/D18</f>
        <v/>
      </c>
    </row>
    <row r="19">
      <c r="A19" t="inlineStr">
        <is>
          <t>Engagement (% of time)</t>
        </is>
      </c>
      <c r="B19" t="inlineStr">
        <is>
          <t>Ad_B</t>
        </is>
      </c>
      <c r="D19" s="6">
        <f>COUNTIFS(Data!$B$2:$B$73,B19,Data!$G$2:$G$73,1)</f>
        <v/>
      </c>
      <c r="E19" s="7">
        <f>AVERAGEIFS(Data!$R$2:$R$73,Data!$B$2:$B$73,B19,Data!$G$2:$G$73,1)</f>
        <v/>
      </c>
      <c r="F19" s="7">
        <f t="array" ref="F19">_xlfn.STDEV.S(IF((Data!$B$2:$B$73=B19)*(Data!$G$2:$G$73=1),Data!$R$2:$R$73))</f>
        <v/>
      </c>
      <c r="G19" s="7">
        <f t="array" ref="G19">MEDIAN(IF((Data!$B$2:$B$73=B19)*(Data!$G$2:$G$73=1),Data!$R$2:$R$73))</f>
        <v/>
      </c>
      <c r="H19" s="7">
        <f t="array" ref="H19">_xlfn.QUARTILE.INC(IF((Data!$B$2:$B$73=B19)*(Data!$G$2:$G$73=1),Data!$R$2:$R$73),1)</f>
        <v/>
      </c>
      <c r="I19" s="7">
        <f t="array" ref="I19">_xlfn.QUARTILE.INC(IF((Data!$B$2:$B$73=B19)*(Data!$G$2:$G$73=1),Data!$R$2:$R$73),3)</f>
        <v/>
      </c>
      <c r="J19" s="7">
        <f>I19-H19</f>
        <v/>
      </c>
      <c r="K19" s="5">
        <f>100*COUNTIFS(Data!$B$2:$B$73,B19,Data!$G$2:$G$73,1,Data!$R$2:$R$73,0)/D19</f>
        <v/>
      </c>
    </row>
    <row r="20">
      <c r="A20" t="inlineStr">
        <is>
          <t>Brow Furrow (% of time)</t>
        </is>
      </c>
      <c r="B20" t="inlineStr">
        <is>
          <t>Baseline</t>
        </is>
      </c>
      <c r="D20" s="6">
        <f>COUNTIFS(Data!$B$2:$B$73,B20,Data!$G$2:$G$73,1)</f>
        <v/>
      </c>
      <c r="E20" s="7">
        <f>AVERAGEIFS(Data!$S$2:$S$73,Data!$B$2:$B$73,B20,Data!$G$2:$G$73,1)</f>
        <v/>
      </c>
      <c r="F20" s="7">
        <f t="array" ref="F20">_xlfn.STDEV.S(IF((Data!$B$2:$B$73=B20)*(Data!$G$2:$G$73=1),Data!$S$2:$S$73))</f>
        <v/>
      </c>
      <c r="G20" s="7">
        <f t="array" ref="G20">MEDIAN(IF((Data!$B$2:$B$73=B20)*(Data!$G$2:$G$73=1),Data!$S$2:$S$73))</f>
        <v/>
      </c>
      <c r="H20" s="7">
        <f t="array" ref="H20">_xlfn.QUARTILE.INC(IF((Data!$B$2:$B$73=B20)*(Data!$G$2:$G$73=1),Data!$S$2:$S$73),1)</f>
        <v/>
      </c>
      <c r="I20" s="7">
        <f t="array" ref="I20">_xlfn.QUARTILE.INC(IF((Data!$B$2:$B$73=B20)*(Data!$G$2:$G$73=1),Data!$S$2:$S$73),3)</f>
        <v/>
      </c>
      <c r="J20" s="7">
        <f>I20-H20</f>
        <v/>
      </c>
      <c r="K20" s="5">
        <f>100*COUNTIFS(Data!$B$2:$B$73,B20,Data!$G$2:$G$73,1,Data!$S$2:$S$73,0)/D20</f>
        <v/>
      </c>
    </row>
    <row r="21">
      <c r="A21" t="inlineStr">
        <is>
          <t>Brow Furrow (% of time)</t>
        </is>
      </c>
      <c r="B21" t="inlineStr">
        <is>
          <t>Ad_A</t>
        </is>
      </c>
      <c r="D21" s="6">
        <f>COUNTIFS(Data!$B$2:$B$73,B21,Data!$G$2:$G$73,1)</f>
        <v/>
      </c>
      <c r="E21" s="7">
        <f>AVERAGEIFS(Data!$S$2:$S$73,Data!$B$2:$B$73,B21,Data!$G$2:$G$73,1)</f>
        <v/>
      </c>
      <c r="F21" s="7">
        <f t="array" ref="F21">_xlfn.STDEV.S(IF((Data!$B$2:$B$73=B21)*(Data!$G$2:$G$73=1),Data!$S$2:$S$73))</f>
        <v/>
      </c>
      <c r="G21" s="7">
        <f t="array" ref="G21">MEDIAN(IF((Data!$B$2:$B$73=B21)*(Data!$G$2:$G$73=1),Data!$S$2:$S$73))</f>
        <v/>
      </c>
      <c r="H21" s="7">
        <f t="array" ref="H21">_xlfn.QUARTILE.INC(IF((Data!$B$2:$B$73=B21)*(Data!$G$2:$G$73=1),Data!$S$2:$S$73),1)</f>
        <v/>
      </c>
      <c r="I21" s="7">
        <f t="array" ref="I21">_xlfn.QUARTILE.INC(IF((Data!$B$2:$B$73=B21)*(Data!$G$2:$G$73=1),Data!$S$2:$S$73),3)</f>
        <v/>
      </c>
      <c r="J21" s="7">
        <f>I21-H21</f>
        <v/>
      </c>
      <c r="K21" s="5">
        <f>100*COUNTIFS(Data!$B$2:$B$73,B21,Data!$G$2:$G$73,1,Data!$S$2:$S$73,0)/D21</f>
        <v/>
      </c>
    </row>
    <row r="22">
      <c r="A22" t="inlineStr">
        <is>
          <t>Brow Furrow (% of time)</t>
        </is>
      </c>
      <c r="B22" t="inlineStr">
        <is>
          <t>Ad_B</t>
        </is>
      </c>
      <c r="D22" s="6">
        <f>COUNTIFS(Data!$B$2:$B$73,B22,Data!$G$2:$G$73,1)</f>
        <v/>
      </c>
      <c r="E22" s="7">
        <f>AVERAGEIFS(Data!$S$2:$S$73,Data!$B$2:$B$73,B22,Data!$G$2:$G$73,1)</f>
        <v/>
      </c>
      <c r="F22" s="7">
        <f t="array" ref="F22">_xlfn.STDEV.S(IF((Data!$B$2:$B$73=B22)*(Data!$G$2:$G$73=1),Data!$S$2:$S$73))</f>
        <v/>
      </c>
      <c r="G22" s="7">
        <f t="array" ref="G22">MEDIAN(IF((Data!$B$2:$B$73=B22)*(Data!$G$2:$G$73=1),Data!$S$2:$S$73))</f>
        <v/>
      </c>
      <c r="H22" s="7">
        <f t="array" ref="H22">_xlfn.QUARTILE.INC(IF((Data!$B$2:$B$73=B22)*(Data!$G$2:$G$73=1),Data!$S$2:$S$73),1)</f>
        <v/>
      </c>
      <c r="I22" s="7">
        <f t="array" ref="I22">_xlfn.QUARTILE.INC(IF((Data!$B$2:$B$73=B22)*(Data!$G$2:$G$73=1),Data!$S$2:$S$73),3)</f>
        <v/>
      </c>
      <c r="J22" s="7">
        <f>I22-H22</f>
        <v/>
      </c>
      <c r="K22" s="5">
        <f>100*COUNTIFS(Data!$B$2:$B$73,B22,Data!$G$2:$G$73,1,Data!$S$2:$S$73,0)/D22</f>
        <v/>
      </c>
    </row>
    <row r="24">
      <c r="A24" s="1" t="inlineStr">
        <is>
          <t>C. GSR Peaks Per Minute by stimulus, valid GSR only (rule R3) (from Data)</t>
        </is>
      </c>
    </row>
    <row r="25">
      <c r="A25" s="2" t="inlineStr">
        <is>
          <t>Measure</t>
        </is>
      </c>
      <c r="B25" s="2" t="inlineStr">
        <is>
          <t>Ad or stimulus</t>
        </is>
      </c>
      <c r="C25" s="2" t="inlineStr">
        <is>
          <t>AOI</t>
        </is>
      </c>
      <c r="D25" s="2" t="inlineStr">
        <is>
          <t>n</t>
        </is>
      </c>
      <c r="E25" s="2" t="inlineStr">
        <is>
          <t>Mean</t>
        </is>
      </c>
      <c r="F25" s="2" t="inlineStr">
        <is>
          <t>SD</t>
        </is>
      </c>
      <c r="G25" s="2" t="inlineStr">
        <is>
          <t>Median</t>
        </is>
      </c>
      <c r="H25" s="2" t="inlineStr">
        <is>
          <t>Q1</t>
        </is>
      </c>
      <c r="I25" s="2" t="inlineStr">
        <is>
          <t>Q3</t>
        </is>
      </c>
      <c r="J25" s="2" t="inlineStr">
        <is>
          <t>IQR</t>
        </is>
      </c>
      <c r="K25" s="2" t="inlineStr">
        <is>
          <t>% at zero</t>
        </is>
      </c>
    </row>
    <row r="26">
      <c r="A26" t="inlineStr">
        <is>
          <t>GSR Peaks Per Minute</t>
        </is>
      </c>
      <c r="B26" t="inlineStr">
        <is>
          <t>Baseline</t>
        </is>
      </c>
      <c r="D26" s="6">
        <f>COUNTIFS(Data!$B$2:$B$73,B26,Data!$G$2:$G$73,1,Data!$M$2:$M$73,1)</f>
        <v/>
      </c>
      <c r="E26" s="7">
        <f>AVERAGEIFS(Data!$N$2:$N$73,Data!$B$2:$B$73,B26,Data!$G$2:$G$73,1,Data!$M$2:$M$73,1)</f>
        <v/>
      </c>
      <c r="F26" s="7">
        <f t="array" ref="F26">_xlfn.STDEV.S(IF((Data!$B$2:$B$73=B26)*(Data!$G$2:$G$73=1)*(Data!$M$2:$M$73=1),Data!$N$2:$N$73))</f>
        <v/>
      </c>
      <c r="G26" s="7">
        <f t="array" ref="G26">MEDIAN(IF((Data!$B$2:$B$73=B26)*(Data!$G$2:$G$73=1)*(Data!$M$2:$M$73=1),Data!$N$2:$N$73))</f>
        <v/>
      </c>
      <c r="H26" s="7">
        <f t="array" ref="H26">_xlfn.QUARTILE.INC(IF((Data!$B$2:$B$73=B26)*(Data!$G$2:$G$73=1)*(Data!$M$2:$M$73=1),Data!$N$2:$N$73),1)</f>
        <v/>
      </c>
      <c r="I26" s="7">
        <f t="array" ref="I26">_xlfn.QUARTILE.INC(IF((Data!$B$2:$B$73=B26)*(Data!$G$2:$G$73=1)*(Data!$M$2:$M$73=1),Data!$N$2:$N$73),3)</f>
        <v/>
      </c>
      <c r="J26" s="7">
        <f>I26-H26</f>
        <v/>
      </c>
      <c r="K26" s="5">
        <f>100*COUNTIFS(Data!$B$2:$B$73,B26,Data!$G$2:$G$73,1,Data!$M$2:$M$73,1,Data!$N$2:$N$73,0)/D26</f>
        <v/>
      </c>
    </row>
    <row r="27">
      <c r="A27" t="inlineStr">
        <is>
          <t>GSR Peaks Per Minute</t>
        </is>
      </c>
      <c r="B27" t="inlineStr">
        <is>
          <t>Ad_A</t>
        </is>
      </c>
      <c r="D27" s="6">
        <f>COUNTIFS(Data!$B$2:$B$73,B27,Data!$G$2:$G$73,1,Data!$M$2:$M$73,1)</f>
        <v/>
      </c>
      <c r="E27" s="7">
        <f>AVERAGEIFS(Data!$N$2:$N$73,Data!$B$2:$B$73,B27,Data!$G$2:$G$73,1,Data!$M$2:$M$73,1)</f>
        <v/>
      </c>
      <c r="F27" s="7">
        <f t="array" ref="F27">_xlfn.STDEV.S(IF((Data!$B$2:$B$73=B27)*(Data!$G$2:$G$73=1)*(Data!$M$2:$M$73=1),Data!$N$2:$N$73))</f>
        <v/>
      </c>
      <c r="G27" s="7">
        <f t="array" ref="G27">MEDIAN(IF((Data!$B$2:$B$73=B27)*(Data!$G$2:$G$73=1)*(Data!$M$2:$M$73=1),Data!$N$2:$N$73))</f>
        <v/>
      </c>
      <c r="H27" s="7">
        <f t="array" ref="H27">_xlfn.QUARTILE.INC(IF((Data!$B$2:$B$73=B27)*(Data!$G$2:$G$73=1)*(Data!$M$2:$M$73=1),Data!$N$2:$N$73),1)</f>
        <v/>
      </c>
      <c r="I27" s="7">
        <f t="array" ref="I27">_xlfn.QUARTILE.INC(IF((Data!$B$2:$B$73=B27)*(Data!$G$2:$G$73=1)*(Data!$M$2:$M$73=1),Data!$N$2:$N$73),3)</f>
        <v/>
      </c>
      <c r="J27" s="7">
        <f>I27-H27</f>
        <v/>
      </c>
      <c r="K27" s="5">
        <f>100*COUNTIFS(Data!$B$2:$B$73,B27,Data!$G$2:$G$73,1,Data!$M$2:$M$73,1,Data!$N$2:$N$73,0)/D27</f>
        <v/>
      </c>
    </row>
    <row r="28">
      <c r="A28" t="inlineStr">
        <is>
          <t>GSR Peaks Per Minute</t>
        </is>
      </c>
      <c r="B28" t="inlineStr">
        <is>
          <t>Ad_B</t>
        </is>
      </c>
      <c r="D28" s="6">
        <f>COUNTIFS(Data!$B$2:$B$73,B28,Data!$G$2:$G$73,1,Data!$M$2:$M$73,1)</f>
        <v/>
      </c>
      <c r="E28" s="7">
        <f>AVERAGEIFS(Data!$N$2:$N$73,Data!$B$2:$B$73,B28,Data!$G$2:$G$73,1,Data!$M$2:$M$73,1)</f>
        <v/>
      </c>
      <c r="F28" s="7">
        <f t="array" ref="F28">_xlfn.STDEV.S(IF((Data!$B$2:$B$73=B28)*(Data!$G$2:$G$73=1)*(Data!$M$2:$M$73=1),Data!$N$2:$N$73))</f>
        <v/>
      </c>
      <c r="G28" s="7">
        <f t="array" ref="G28">MEDIAN(IF((Data!$B$2:$B$73=B28)*(Data!$G$2:$G$73=1)*(Data!$M$2:$M$73=1),Data!$N$2:$N$73))</f>
        <v/>
      </c>
      <c r="H28" s="7">
        <f t="array" ref="H28">_xlfn.QUARTILE.INC(IF((Data!$B$2:$B$73=B28)*(Data!$G$2:$G$73=1)*(Data!$M$2:$M$73=1),Data!$N$2:$N$73),1)</f>
        <v/>
      </c>
      <c r="I28" s="7">
        <f t="array" ref="I28">_xlfn.QUARTILE.INC(IF((Data!$B$2:$B$73=B28)*(Data!$G$2:$G$73=1)*(Data!$M$2:$M$73=1),Data!$N$2:$N$73),3)</f>
        <v/>
      </c>
      <c r="J28" s="7">
        <f>I28-H28</f>
        <v/>
      </c>
      <c r="K28" s="5">
        <f>100*COUNTIFS(Data!$B$2:$B$73,B28,Data!$G$2:$G$73,1,Data!$M$2:$M$73,1,Data!$N$2:$N$73,0)/D28</f>
        <v/>
      </c>
    </row>
    <row r="30">
      <c r="A30" s="1" t="inlineStr">
        <is>
          <t>D. Liking by ad (from Data)</t>
        </is>
      </c>
    </row>
    <row r="31">
      <c r="A31" s="2" t="inlineStr">
        <is>
          <t>Measure</t>
        </is>
      </c>
      <c r="B31" s="2" t="inlineStr">
        <is>
          <t>Ad or stimulus</t>
        </is>
      </c>
      <c r="C31" s="2" t="inlineStr">
        <is>
          <t>AOI</t>
        </is>
      </c>
      <c r="D31" s="2" t="inlineStr">
        <is>
          <t>n</t>
        </is>
      </c>
      <c r="E31" s="2" t="inlineStr">
        <is>
          <t>Mean</t>
        </is>
      </c>
      <c r="F31" s="2" t="inlineStr">
        <is>
          <t>SD</t>
        </is>
      </c>
      <c r="G31" s="2" t="inlineStr">
        <is>
          <t>Median</t>
        </is>
      </c>
      <c r="H31" s="2" t="inlineStr">
        <is>
          <t>Q1</t>
        </is>
      </c>
      <c r="I31" s="2" t="inlineStr">
        <is>
          <t>Q3</t>
        </is>
      </c>
      <c r="J31" s="2" t="inlineStr">
        <is>
          <t>IQR</t>
        </is>
      </c>
      <c r="K31" s="2" t="inlineStr">
        <is>
          <t>% at zero</t>
        </is>
      </c>
    </row>
    <row r="32">
      <c r="A32" t="inlineStr">
        <is>
          <t>Liking (1 to 7)</t>
        </is>
      </c>
      <c r="B32" t="inlineStr">
        <is>
          <t>Ad_A</t>
        </is>
      </c>
      <c r="D32" s="6">
        <f>COUNTIFS(Data!$B$2:$B$73,B32,Data!$G$2:$G$73,1)</f>
        <v/>
      </c>
      <c r="E32" s="7">
        <f>AVERAGEIFS(Data!$AB$2:$AB$73,Data!$B$2:$B$73,B32,Data!$G$2:$G$73,1)</f>
        <v/>
      </c>
      <c r="F32" s="7">
        <f t="array" ref="F32">_xlfn.STDEV.S(IF((Data!$B$2:$B$73=B32)*(Data!$G$2:$G$73=1),Data!$AB$2:$AB$73))</f>
        <v/>
      </c>
      <c r="G32" s="7">
        <f t="array" ref="G32">MEDIAN(IF((Data!$B$2:$B$73=B32)*(Data!$G$2:$G$73=1),Data!$AB$2:$AB$73))</f>
        <v/>
      </c>
      <c r="H32" s="7">
        <f t="array" ref="H32">_xlfn.QUARTILE.INC(IF((Data!$B$2:$B$73=B32)*(Data!$G$2:$G$73=1),Data!$AB$2:$AB$73),1)</f>
        <v/>
      </c>
      <c r="I32" s="7">
        <f t="array" ref="I32">_xlfn.QUARTILE.INC(IF((Data!$B$2:$B$73=B32)*(Data!$G$2:$G$73=1),Data!$AB$2:$AB$73),3)</f>
        <v/>
      </c>
      <c r="J32" s="7">
        <f>I32-H32</f>
        <v/>
      </c>
    </row>
    <row r="33">
      <c r="A33" t="inlineStr">
        <is>
          <t>Liking (1 to 7)</t>
        </is>
      </c>
      <c r="B33" t="inlineStr">
        <is>
          <t>Ad_B</t>
        </is>
      </c>
      <c r="D33" s="6">
        <f>COUNTIFS(Data!$B$2:$B$73,B33,Data!$G$2:$G$73,1)</f>
        <v/>
      </c>
      <c r="E33" s="7">
        <f>AVERAGEIFS(Data!$AB$2:$AB$73,Data!$B$2:$B$73,B33,Data!$G$2:$G$73,1)</f>
        <v/>
      </c>
      <c r="F33" s="7">
        <f t="array" ref="F33">_xlfn.STDEV.S(IF((Data!$B$2:$B$73=B33)*(Data!$G$2:$G$73=1),Data!$AB$2:$AB$73))</f>
        <v/>
      </c>
      <c r="G33" s="7">
        <f t="array" ref="G33">MEDIAN(IF((Data!$B$2:$B$73=B33)*(Data!$G$2:$G$73=1),Data!$AB$2:$AB$73))</f>
        <v/>
      </c>
      <c r="H33" s="7">
        <f t="array" ref="H33">_xlfn.QUARTILE.INC(IF((Data!$B$2:$B$73=B33)*(Data!$G$2:$G$73=1),Data!$AB$2:$AB$73),1)</f>
        <v/>
      </c>
      <c r="I33" s="7">
        <f t="array" ref="I33">_xlfn.QUARTILE.INC(IF((Data!$B$2:$B$73=B33)*(Data!$G$2:$G$73=1),Data!$AB$2:$AB$73),3)</f>
        <v/>
      </c>
      <c r="J33" s="7">
        <f>I33-H33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5" customWidth="1" min="4" max="4"/>
    <col width="11" customWidth="1" min="5" max="5"/>
    <col width="11" customWidth="1" min="6" max="6"/>
  </cols>
  <sheetData>
    <row r="1">
      <c r="A1" s="1" t="inlineStr">
        <is>
          <t>PivotTable style summary: Average of gaze dwell (% of ad) by AOI (rows) and ad (columns), include = 1. Built with AVERAGEIFS and COUNTIFS so that it can be checked; a real PivotTable gives the same numbers.</t>
        </is>
      </c>
    </row>
    <row r="3">
      <c r="A3" s="2" t="inlineStr">
        <is>
          <t>AOI</t>
        </is>
      </c>
      <c r="B3" s="2" t="inlineStr">
        <is>
          <t>Ad_A</t>
        </is>
      </c>
      <c r="C3" s="2" t="inlineStr">
        <is>
          <t>Ad_B</t>
        </is>
      </c>
      <c r="D3" s="2" t="inlineStr">
        <is>
          <t>Grand average</t>
        </is>
      </c>
      <c r="E3" s="2" t="inlineStr">
        <is>
          <t>Count Ad_A</t>
        </is>
      </c>
      <c r="F3" s="2" t="inlineStr">
        <is>
          <t>Count Ad_B</t>
        </is>
      </c>
    </row>
    <row r="4">
      <c r="A4" t="inlineStr">
        <is>
          <t>Logo</t>
        </is>
      </c>
      <c r="B4" s="5">
        <f>AVERAGEIFS(AOI_long!$E$2:$E$145,AOI_long!$C$2:$C$145,$A4,AOI_long!$B$2:$B$145,B$3,AOI_long!$D$2:$D$145,1)</f>
        <v/>
      </c>
      <c r="C4" s="5">
        <f>AVERAGEIFS(AOI_long!$E$2:$E$145,AOI_long!$C$2:$C$145,$A4,AOI_long!$B$2:$B$145,C$3,AOI_long!$D$2:$D$145,1)</f>
        <v/>
      </c>
      <c r="D4" s="5">
        <f>AVERAGEIFS(AOI_long!$E$2:$E$145,AOI_long!$C$2:$C$145,$A4,AOI_long!$D$2:$D$145,1)</f>
        <v/>
      </c>
      <c r="E4" s="6">
        <f>COUNTIFS(AOI_long!$C$2:$C$145,$A4,AOI_long!$B$2:$B$145,"Ad_A",AOI_long!$D$2:$D$145,1)</f>
        <v/>
      </c>
      <c r="F4" s="6">
        <f>COUNTIFS(AOI_long!$C$2:$C$145,$A4,AOI_long!$B$2:$B$145,"Ad_B",AOI_long!$D$2:$D$145,1)</f>
        <v/>
      </c>
    </row>
    <row r="5">
      <c r="A5" t="inlineStr">
        <is>
          <t>Product</t>
        </is>
      </c>
      <c r="B5" s="5">
        <f>AVERAGEIFS(AOI_long!$E$2:$E$145,AOI_long!$C$2:$C$145,$A5,AOI_long!$B$2:$B$145,B$3,AOI_long!$D$2:$D$145,1)</f>
        <v/>
      </c>
      <c r="C5" s="5">
        <f>AVERAGEIFS(AOI_long!$E$2:$E$145,AOI_long!$C$2:$C$145,$A5,AOI_long!$B$2:$B$145,C$3,AOI_long!$D$2:$D$145,1)</f>
        <v/>
      </c>
      <c r="D5" s="5">
        <f>AVERAGEIFS(AOI_long!$E$2:$E$145,AOI_long!$C$2:$C$145,$A5,AOI_long!$D$2:$D$145,1)</f>
        <v/>
      </c>
      <c r="E5" s="6">
        <f>COUNTIFS(AOI_long!$C$2:$C$145,$A5,AOI_long!$B$2:$B$145,"Ad_A",AOI_long!$D$2:$D$145,1)</f>
        <v/>
      </c>
      <c r="F5" s="6">
        <f>COUNTIFS(AOI_long!$C$2:$C$145,$A5,AOI_long!$B$2:$B$145,"Ad_B",AOI_long!$D$2:$D$145,1)</f>
        <v/>
      </c>
    </row>
    <row r="6">
      <c r="A6" t="inlineStr">
        <is>
          <t>Headline</t>
        </is>
      </c>
      <c r="B6" s="5">
        <f>AVERAGEIFS(AOI_long!$E$2:$E$145,AOI_long!$C$2:$C$145,$A6,AOI_long!$B$2:$B$145,B$3,AOI_long!$D$2:$D$145,1)</f>
        <v/>
      </c>
      <c r="C6" s="5">
        <f>AVERAGEIFS(AOI_long!$E$2:$E$145,AOI_long!$C$2:$C$145,$A6,AOI_long!$B$2:$B$145,C$3,AOI_long!$D$2:$D$145,1)</f>
        <v/>
      </c>
      <c r="D6" s="5">
        <f>AVERAGEIFS(AOI_long!$E$2:$E$145,AOI_long!$C$2:$C$145,$A6,AOI_long!$D$2:$D$145,1)</f>
        <v/>
      </c>
      <c r="E6" s="6">
        <f>COUNTIFS(AOI_long!$C$2:$C$145,$A6,AOI_long!$B$2:$B$145,"Ad_A",AOI_long!$D$2:$D$145,1)</f>
        <v/>
      </c>
      <c r="F6" s="6">
        <f>COUNTIFS(AOI_long!$C$2:$C$145,$A6,AOI_long!$B$2:$B$145,"Ad_B",AOI_long!$D$2:$D$145,1)</f>
        <v/>
      </c>
    </row>
    <row r="7">
      <c r="A7" s="1" t="inlineStr">
        <is>
          <t>Grand average</t>
        </is>
      </c>
      <c r="B7" s="5">
        <f>AVERAGEIFS(AOI_long!$E$2:$E$145,AOI_long!$B$2:$B$145,B$3,AOI_long!$D$2:$D$145,1)</f>
        <v/>
      </c>
      <c r="C7" s="5">
        <f>AVERAGEIFS(AOI_long!$E$2:$E$145,AOI_long!$B$2:$B$145,C$3,AOI_long!$D$2:$D$145,1)</f>
        <v/>
      </c>
    </row>
    <row r="9">
      <c r="A9" s="8" t="inlineStr">
        <is>
          <t>To build the real PivotTable: click any cell of AOI_long, Insert &gt; PivotTable &gt; New Worksheet &gt; OK; drag AOI to Rows, ad to Columns, gaze dwell (% of ad) to Values; right click a value, Value Field Settings, change Sum to Average; drag include (from Data) to Filters and keep only 1. Excel sorts the rows A to Z (Headline, Logo, Product).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31" customWidth="1" min="5" max="5"/>
    <col width="13" customWidth="1" min="6" max="6"/>
    <col width="13" customWidth="1" min="7" max="7"/>
    <col width="13" customWidth="1" min="8" max="8"/>
    <col width="31" customWidth="1" min="9" max="9"/>
    <col width="13" customWidth="1" min="10" max="10"/>
  </cols>
  <sheetData>
    <row r="1">
      <c r="A1" s="1" t="inlineStr">
        <is>
          <t>Q5: facial expressions, Ad_A versus Ad_B (paired). Roster: the 22 participants with include = 1 (static list, checked on the Check sheet). Values from Data with INDEX and MATCH on the key column.</t>
        </is>
      </c>
    </row>
    <row r="3">
      <c r="A3" s="2" t="inlineStr">
        <is>
          <t>participant_id</t>
        </is>
      </c>
      <c r="B3" s="3" t="inlineStr">
        <is>
          <t>Joy Ad_A</t>
        </is>
      </c>
      <c r="C3" s="3" t="inlineStr">
        <is>
          <t>Joy Ad_B</t>
        </is>
      </c>
      <c r="D3" s="3" t="inlineStr">
        <is>
          <t>Joy Ad_A minus Ad_B</t>
        </is>
      </c>
      <c r="E3" s="3" t="inlineStr">
        <is>
          <t>Engagement Ad_A</t>
        </is>
      </c>
      <c r="F3" s="3" t="inlineStr">
        <is>
          <t>Engagement Ad_B</t>
        </is>
      </c>
      <c r="G3" s="3" t="inlineStr">
        <is>
          <t>Engagement Ad_A minus Ad_B</t>
        </is>
      </c>
      <c r="H3" s="3" t="inlineStr">
        <is>
          <t>Brow Furrow Ad_A</t>
        </is>
      </c>
      <c r="I3" s="3" t="inlineStr">
        <is>
          <t>Brow Furrow Ad_B</t>
        </is>
      </c>
      <c r="J3" s="3" t="inlineStr">
        <is>
          <t>Brow Furrow Ad_A minus Ad_B</t>
        </is>
      </c>
    </row>
    <row r="4">
      <c r="A4" s="4" t="inlineStr">
        <is>
          <t>P01</t>
        </is>
      </c>
      <c r="B4">
        <f>INDEX(Data!$Q$2:$Q$73,MATCH($A4&amp;"|Ad_A",Data!$AD$2:$AD$73,0))</f>
        <v/>
      </c>
      <c r="C4">
        <f>INDEX(Data!$Q$2:$Q$73,MATCH($A4&amp;"|Ad_B",Data!$AD$2:$AD$73,0))</f>
        <v/>
      </c>
      <c r="D4">
        <f>B4-C4</f>
        <v/>
      </c>
      <c r="E4">
        <f>INDEX(Data!$R$2:$R$73,MATCH($A4&amp;"|Ad_A",Data!$AD$2:$AD$73,0))</f>
        <v/>
      </c>
      <c r="F4">
        <f>INDEX(Data!$R$2:$R$73,MATCH($A4&amp;"|Ad_B",Data!$AD$2:$AD$73,0))</f>
        <v/>
      </c>
      <c r="G4">
        <f>E4-F4</f>
        <v/>
      </c>
      <c r="H4">
        <f>INDEX(Data!$S$2:$S$73,MATCH($A4&amp;"|Ad_A",Data!$AD$2:$AD$73,0))</f>
        <v/>
      </c>
      <c r="I4">
        <f>INDEX(Data!$S$2:$S$73,MATCH($A4&amp;"|Ad_B",Data!$AD$2:$AD$73,0))</f>
        <v/>
      </c>
      <c r="J4">
        <f>H4-I4</f>
        <v/>
      </c>
    </row>
    <row r="5">
      <c r="A5" s="4" t="inlineStr">
        <is>
          <t>P02</t>
        </is>
      </c>
      <c r="B5">
        <f>INDEX(Data!$Q$2:$Q$73,MATCH($A5&amp;"|Ad_A",Data!$AD$2:$AD$73,0))</f>
        <v/>
      </c>
      <c r="C5">
        <f>INDEX(Data!$Q$2:$Q$73,MATCH($A5&amp;"|Ad_B",Data!$AD$2:$AD$73,0))</f>
        <v/>
      </c>
      <c r="D5">
        <f>B5-C5</f>
        <v/>
      </c>
      <c r="E5">
        <f>INDEX(Data!$R$2:$R$73,MATCH($A5&amp;"|Ad_A",Data!$AD$2:$AD$73,0))</f>
        <v/>
      </c>
      <c r="F5">
        <f>INDEX(Data!$R$2:$R$73,MATCH($A5&amp;"|Ad_B",Data!$AD$2:$AD$73,0))</f>
        <v/>
      </c>
      <c r="G5">
        <f>E5-F5</f>
        <v/>
      </c>
      <c r="H5">
        <f>INDEX(Data!$S$2:$S$73,MATCH($A5&amp;"|Ad_A",Data!$AD$2:$AD$73,0))</f>
        <v/>
      </c>
      <c r="I5">
        <f>INDEX(Data!$S$2:$S$73,MATCH($A5&amp;"|Ad_B",Data!$AD$2:$AD$73,0))</f>
        <v/>
      </c>
      <c r="J5">
        <f>H5-I5</f>
        <v/>
      </c>
    </row>
    <row r="6">
      <c r="A6" s="4" t="inlineStr">
        <is>
          <t>P03</t>
        </is>
      </c>
      <c r="B6">
        <f>INDEX(Data!$Q$2:$Q$73,MATCH($A6&amp;"|Ad_A",Data!$AD$2:$AD$73,0))</f>
        <v/>
      </c>
      <c r="C6">
        <f>INDEX(Data!$Q$2:$Q$73,MATCH($A6&amp;"|Ad_B",Data!$AD$2:$AD$73,0))</f>
        <v/>
      </c>
      <c r="D6">
        <f>B6-C6</f>
        <v/>
      </c>
      <c r="E6">
        <f>INDEX(Data!$R$2:$R$73,MATCH($A6&amp;"|Ad_A",Data!$AD$2:$AD$73,0))</f>
        <v/>
      </c>
      <c r="F6">
        <f>INDEX(Data!$R$2:$R$73,MATCH($A6&amp;"|Ad_B",Data!$AD$2:$AD$73,0))</f>
        <v/>
      </c>
      <c r="G6">
        <f>E6-F6</f>
        <v/>
      </c>
      <c r="H6">
        <f>INDEX(Data!$S$2:$S$73,MATCH($A6&amp;"|Ad_A",Data!$AD$2:$AD$73,0))</f>
        <v/>
      </c>
      <c r="I6">
        <f>INDEX(Data!$S$2:$S$73,MATCH($A6&amp;"|Ad_B",Data!$AD$2:$AD$73,0))</f>
        <v/>
      </c>
      <c r="J6">
        <f>H6-I6</f>
        <v/>
      </c>
    </row>
    <row r="7">
      <c r="A7" s="4" t="inlineStr">
        <is>
          <t>P04</t>
        </is>
      </c>
      <c r="B7">
        <f>INDEX(Data!$Q$2:$Q$73,MATCH($A7&amp;"|Ad_A",Data!$AD$2:$AD$73,0))</f>
        <v/>
      </c>
      <c r="C7">
        <f>INDEX(Data!$Q$2:$Q$73,MATCH($A7&amp;"|Ad_B",Data!$AD$2:$AD$73,0))</f>
        <v/>
      </c>
      <c r="D7">
        <f>B7-C7</f>
        <v/>
      </c>
      <c r="E7">
        <f>INDEX(Data!$R$2:$R$73,MATCH($A7&amp;"|Ad_A",Data!$AD$2:$AD$73,0))</f>
        <v/>
      </c>
      <c r="F7">
        <f>INDEX(Data!$R$2:$R$73,MATCH($A7&amp;"|Ad_B",Data!$AD$2:$AD$73,0))</f>
        <v/>
      </c>
      <c r="G7">
        <f>E7-F7</f>
        <v/>
      </c>
      <c r="H7">
        <f>INDEX(Data!$S$2:$S$73,MATCH($A7&amp;"|Ad_A",Data!$AD$2:$AD$73,0))</f>
        <v/>
      </c>
      <c r="I7">
        <f>INDEX(Data!$S$2:$S$73,MATCH($A7&amp;"|Ad_B",Data!$AD$2:$AD$73,0))</f>
        <v/>
      </c>
      <c r="J7">
        <f>H7-I7</f>
        <v/>
      </c>
    </row>
    <row r="8">
      <c r="A8" s="4" t="inlineStr">
        <is>
          <t>P05</t>
        </is>
      </c>
      <c r="B8">
        <f>INDEX(Data!$Q$2:$Q$73,MATCH($A8&amp;"|Ad_A",Data!$AD$2:$AD$73,0))</f>
        <v/>
      </c>
      <c r="C8">
        <f>INDEX(Data!$Q$2:$Q$73,MATCH($A8&amp;"|Ad_B",Data!$AD$2:$AD$73,0))</f>
        <v/>
      </c>
      <c r="D8">
        <f>B8-C8</f>
        <v/>
      </c>
      <c r="E8">
        <f>INDEX(Data!$R$2:$R$73,MATCH($A8&amp;"|Ad_A",Data!$AD$2:$AD$73,0))</f>
        <v/>
      </c>
      <c r="F8">
        <f>INDEX(Data!$R$2:$R$73,MATCH($A8&amp;"|Ad_B",Data!$AD$2:$AD$73,0))</f>
        <v/>
      </c>
      <c r="G8">
        <f>E8-F8</f>
        <v/>
      </c>
      <c r="H8">
        <f>INDEX(Data!$S$2:$S$73,MATCH($A8&amp;"|Ad_A",Data!$AD$2:$AD$73,0))</f>
        <v/>
      </c>
      <c r="I8">
        <f>INDEX(Data!$S$2:$S$73,MATCH($A8&amp;"|Ad_B",Data!$AD$2:$AD$73,0))</f>
        <v/>
      </c>
      <c r="J8">
        <f>H8-I8</f>
        <v/>
      </c>
    </row>
    <row r="9">
      <c r="A9" s="4" t="inlineStr">
        <is>
          <t>P06</t>
        </is>
      </c>
      <c r="B9">
        <f>INDEX(Data!$Q$2:$Q$73,MATCH($A9&amp;"|Ad_A",Data!$AD$2:$AD$73,0))</f>
        <v/>
      </c>
      <c r="C9">
        <f>INDEX(Data!$Q$2:$Q$73,MATCH($A9&amp;"|Ad_B",Data!$AD$2:$AD$73,0))</f>
        <v/>
      </c>
      <c r="D9">
        <f>B9-C9</f>
        <v/>
      </c>
      <c r="E9">
        <f>INDEX(Data!$R$2:$R$73,MATCH($A9&amp;"|Ad_A",Data!$AD$2:$AD$73,0))</f>
        <v/>
      </c>
      <c r="F9">
        <f>INDEX(Data!$R$2:$R$73,MATCH($A9&amp;"|Ad_B",Data!$AD$2:$AD$73,0))</f>
        <v/>
      </c>
      <c r="G9">
        <f>E9-F9</f>
        <v/>
      </c>
      <c r="H9">
        <f>INDEX(Data!$S$2:$S$73,MATCH($A9&amp;"|Ad_A",Data!$AD$2:$AD$73,0))</f>
        <v/>
      </c>
      <c r="I9">
        <f>INDEX(Data!$S$2:$S$73,MATCH($A9&amp;"|Ad_B",Data!$AD$2:$AD$73,0))</f>
        <v/>
      </c>
      <c r="J9">
        <f>H9-I9</f>
        <v/>
      </c>
    </row>
    <row r="10">
      <c r="A10" s="4" t="inlineStr">
        <is>
          <t>P07</t>
        </is>
      </c>
      <c r="B10">
        <f>INDEX(Data!$Q$2:$Q$73,MATCH($A10&amp;"|Ad_A",Data!$AD$2:$AD$73,0))</f>
        <v/>
      </c>
      <c r="C10">
        <f>INDEX(Data!$Q$2:$Q$73,MATCH($A10&amp;"|Ad_B",Data!$AD$2:$AD$73,0))</f>
        <v/>
      </c>
      <c r="D10">
        <f>B10-C10</f>
        <v/>
      </c>
      <c r="E10">
        <f>INDEX(Data!$R$2:$R$73,MATCH($A10&amp;"|Ad_A",Data!$AD$2:$AD$73,0))</f>
        <v/>
      </c>
      <c r="F10">
        <f>INDEX(Data!$R$2:$R$73,MATCH($A10&amp;"|Ad_B",Data!$AD$2:$AD$73,0))</f>
        <v/>
      </c>
      <c r="G10">
        <f>E10-F10</f>
        <v/>
      </c>
      <c r="H10">
        <f>INDEX(Data!$S$2:$S$73,MATCH($A10&amp;"|Ad_A",Data!$AD$2:$AD$73,0))</f>
        <v/>
      </c>
      <c r="I10">
        <f>INDEX(Data!$S$2:$S$73,MATCH($A10&amp;"|Ad_B",Data!$AD$2:$AD$73,0))</f>
        <v/>
      </c>
      <c r="J10">
        <f>H10-I10</f>
        <v/>
      </c>
    </row>
    <row r="11">
      <c r="A11" s="4" t="inlineStr">
        <is>
          <t>P08</t>
        </is>
      </c>
      <c r="B11">
        <f>INDEX(Data!$Q$2:$Q$73,MATCH($A11&amp;"|Ad_A",Data!$AD$2:$AD$73,0))</f>
        <v/>
      </c>
      <c r="C11">
        <f>INDEX(Data!$Q$2:$Q$73,MATCH($A11&amp;"|Ad_B",Data!$AD$2:$AD$73,0))</f>
        <v/>
      </c>
      <c r="D11">
        <f>B11-C11</f>
        <v/>
      </c>
      <c r="E11">
        <f>INDEX(Data!$R$2:$R$73,MATCH($A11&amp;"|Ad_A",Data!$AD$2:$AD$73,0))</f>
        <v/>
      </c>
      <c r="F11">
        <f>INDEX(Data!$R$2:$R$73,MATCH($A11&amp;"|Ad_B",Data!$AD$2:$AD$73,0))</f>
        <v/>
      </c>
      <c r="G11">
        <f>E11-F11</f>
        <v/>
      </c>
      <c r="H11">
        <f>INDEX(Data!$S$2:$S$73,MATCH($A11&amp;"|Ad_A",Data!$AD$2:$AD$73,0))</f>
        <v/>
      </c>
      <c r="I11">
        <f>INDEX(Data!$S$2:$S$73,MATCH($A11&amp;"|Ad_B",Data!$AD$2:$AD$73,0))</f>
        <v/>
      </c>
      <c r="J11">
        <f>H11-I11</f>
        <v/>
      </c>
    </row>
    <row r="12">
      <c r="A12" s="4" t="inlineStr">
        <is>
          <t>P09</t>
        </is>
      </c>
      <c r="B12">
        <f>INDEX(Data!$Q$2:$Q$73,MATCH($A12&amp;"|Ad_A",Data!$AD$2:$AD$73,0))</f>
        <v/>
      </c>
      <c r="C12">
        <f>INDEX(Data!$Q$2:$Q$73,MATCH($A12&amp;"|Ad_B",Data!$AD$2:$AD$73,0))</f>
        <v/>
      </c>
      <c r="D12">
        <f>B12-C12</f>
        <v/>
      </c>
      <c r="E12">
        <f>INDEX(Data!$R$2:$R$73,MATCH($A12&amp;"|Ad_A",Data!$AD$2:$AD$73,0))</f>
        <v/>
      </c>
      <c r="F12">
        <f>INDEX(Data!$R$2:$R$73,MATCH($A12&amp;"|Ad_B",Data!$AD$2:$AD$73,0))</f>
        <v/>
      </c>
      <c r="G12">
        <f>E12-F12</f>
        <v/>
      </c>
      <c r="H12">
        <f>INDEX(Data!$S$2:$S$73,MATCH($A12&amp;"|Ad_A",Data!$AD$2:$AD$73,0))</f>
        <v/>
      </c>
      <c r="I12">
        <f>INDEX(Data!$S$2:$S$73,MATCH($A12&amp;"|Ad_B",Data!$AD$2:$AD$73,0))</f>
        <v/>
      </c>
      <c r="J12">
        <f>H12-I12</f>
        <v/>
      </c>
    </row>
    <row r="13">
      <c r="A13" s="4" t="inlineStr">
        <is>
          <t>P10</t>
        </is>
      </c>
      <c r="B13">
        <f>INDEX(Data!$Q$2:$Q$73,MATCH($A13&amp;"|Ad_A",Data!$AD$2:$AD$73,0))</f>
        <v/>
      </c>
      <c r="C13">
        <f>INDEX(Data!$Q$2:$Q$73,MATCH($A13&amp;"|Ad_B",Data!$AD$2:$AD$73,0))</f>
        <v/>
      </c>
      <c r="D13">
        <f>B13-C13</f>
        <v/>
      </c>
      <c r="E13">
        <f>INDEX(Data!$R$2:$R$73,MATCH($A13&amp;"|Ad_A",Data!$AD$2:$AD$73,0))</f>
        <v/>
      </c>
      <c r="F13">
        <f>INDEX(Data!$R$2:$R$73,MATCH($A13&amp;"|Ad_B",Data!$AD$2:$AD$73,0))</f>
        <v/>
      </c>
      <c r="G13">
        <f>E13-F13</f>
        <v/>
      </c>
      <c r="H13">
        <f>INDEX(Data!$S$2:$S$73,MATCH($A13&amp;"|Ad_A",Data!$AD$2:$AD$73,0))</f>
        <v/>
      </c>
      <c r="I13">
        <f>INDEX(Data!$S$2:$S$73,MATCH($A13&amp;"|Ad_B",Data!$AD$2:$AD$73,0))</f>
        <v/>
      </c>
      <c r="J13">
        <f>H13-I13</f>
        <v/>
      </c>
    </row>
    <row r="14">
      <c r="A14" s="4" t="inlineStr">
        <is>
          <t>P11</t>
        </is>
      </c>
      <c r="B14">
        <f>INDEX(Data!$Q$2:$Q$73,MATCH($A14&amp;"|Ad_A",Data!$AD$2:$AD$73,0))</f>
        <v/>
      </c>
      <c r="C14">
        <f>INDEX(Data!$Q$2:$Q$73,MATCH($A14&amp;"|Ad_B",Data!$AD$2:$AD$73,0))</f>
        <v/>
      </c>
      <c r="D14">
        <f>B14-C14</f>
        <v/>
      </c>
      <c r="E14">
        <f>INDEX(Data!$R$2:$R$73,MATCH($A14&amp;"|Ad_A",Data!$AD$2:$AD$73,0))</f>
        <v/>
      </c>
      <c r="F14">
        <f>INDEX(Data!$R$2:$R$73,MATCH($A14&amp;"|Ad_B",Data!$AD$2:$AD$73,0))</f>
        <v/>
      </c>
      <c r="G14">
        <f>E14-F14</f>
        <v/>
      </c>
      <c r="H14">
        <f>INDEX(Data!$S$2:$S$73,MATCH($A14&amp;"|Ad_A",Data!$AD$2:$AD$73,0))</f>
        <v/>
      </c>
      <c r="I14">
        <f>INDEX(Data!$S$2:$S$73,MATCH($A14&amp;"|Ad_B",Data!$AD$2:$AD$73,0))</f>
        <v/>
      </c>
      <c r="J14">
        <f>H14-I14</f>
        <v/>
      </c>
    </row>
    <row r="15">
      <c r="A15" s="4" t="inlineStr">
        <is>
          <t>P12</t>
        </is>
      </c>
      <c r="B15">
        <f>INDEX(Data!$Q$2:$Q$73,MATCH($A15&amp;"|Ad_A",Data!$AD$2:$AD$73,0))</f>
        <v/>
      </c>
      <c r="C15">
        <f>INDEX(Data!$Q$2:$Q$73,MATCH($A15&amp;"|Ad_B",Data!$AD$2:$AD$73,0))</f>
        <v/>
      </c>
      <c r="D15">
        <f>B15-C15</f>
        <v/>
      </c>
      <c r="E15">
        <f>INDEX(Data!$R$2:$R$73,MATCH($A15&amp;"|Ad_A",Data!$AD$2:$AD$73,0))</f>
        <v/>
      </c>
      <c r="F15">
        <f>INDEX(Data!$R$2:$R$73,MATCH($A15&amp;"|Ad_B",Data!$AD$2:$AD$73,0))</f>
        <v/>
      </c>
      <c r="G15">
        <f>E15-F15</f>
        <v/>
      </c>
      <c r="H15">
        <f>INDEX(Data!$S$2:$S$73,MATCH($A15&amp;"|Ad_A",Data!$AD$2:$AD$73,0))</f>
        <v/>
      </c>
      <c r="I15">
        <f>INDEX(Data!$S$2:$S$73,MATCH($A15&amp;"|Ad_B",Data!$AD$2:$AD$73,0))</f>
        <v/>
      </c>
      <c r="J15">
        <f>H15-I15</f>
        <v/>
      </c>
    </row>
    <row r="16">
      <c r="A16" s="4" t="inlineStr">
        <is>
          <t>P13</t>
        </is>
      </c>
      <c r="B16">
        <f>INDEX(Data!$Q$2:$Q$73,MATCH($A16&amp;"|Ad_A",Data!$AD$2:$AD$73,0))</f>
        <v/>
      </c>
      <c r="C16">
        <f>INDEX(Data!$Q$2:$Q$73,MATCH($A16&amp;"|Ad_B",Data!$AD$2:$AD$73,0))</f>
        <v/>
      </c>
      <c r="D16">
        <f>B16-C16</f>
        <v/>
      </c>
      <c r="E16">
        <f>INDEX(Data!$R$2:$R$73,MATCH($A16&amp;"|Ad_A",Data!$AD$2:$AD$73,0))</f>
        <v/>
      </c>
      <c r="F16">
        <f>INDEX(Data!$R$2:$R$73,MATCH($A16&amp;"|Ad_B",Data!$AD$2:$AD$73,0))</f>
        <v/>
      </c>
      <c r="G16">
        <f>E16-F16</f>
        <v/>
      </c>
      <c r="H16">
        <f>INDEX(Data!$S$2:$S$73,MATCH($A16&amp;"|Ad_A",Data!$AD$2:$AD$73,0))</f>
        <v/>
      </c>
      <c r="I16">
        <f>INDEX(Data!$S$2:$S$73,MATCH($A16&amp;"|Ad_B",Data!$AD$2:$AD$73,0))</f>
        <v/>
      </c>
      <c r="J16">
        <f>H16-I16</f>
        <v/>
      </c>
    </row>
    <row r="17">
      <c r="A17" s="4" t="inlineStr">
        <is>
          <t>P14</t>
        </is>
      </c>
      <c r="B17">
        <f>INDEX(Data!$Q$2:$Q$73,MATCH($A17&amp;"|Ad_A",Data!$AD$2:$AD$73,0))</f>
        <v/>
      </c>
      <c r="C17">
        <f>INDEX(Data!$Q$2:$Q$73,MATCH($A17&amp;"|Ad_B",Data!$AD$2:$AD$73,0))</f>
        <v/>
      </c>
      <c r="D17">
        <f>B17-C17</f>
        <v/>
      </c>
      <c r="E17">
        <f>INDEX(Data!$R$2:$R$73,MATCH($A17&amp;"|Ad_A",Data!$AD$2:$AD$73,0))</f>
        <v/>
      </c>
      <c r="F17">
        <f>INDEX(Data!$R$2:$R$73,MATCH($A17&amp;"|Ad_B",Data!$AD$2:$AD$73,0))</f>
        <v/>
      </c>
      <c r="G17">
        <f>E17-F17</f>
        <v/>
      </c>
      <c r="H17">
        <f>INDEX(Data!$S$2:$S$73,MATCH($A17&amp;"|Ad_A",Data!$AD$2:$AD$73,0))</f>
        <v/>
      </c>
      <c r="I17">
        <f>INDEX(Data!$S$2:$S$73,MATCH($A17&amp;"|Ad_B",Data!$AD$2:$AD$73,0))</f>
        <v/>
      </c>
      <c r="J17">
        <f>H17-I17</f>
        <v/>
      </c>
    </row>
    <row r="18">
      <c r="A18" s="4" t="inlineStr">
        <is>
          <t>P15</t>
        </is>
      </c>
      <c r="B18">
        <f>INDEX(Data!$Q$2:$Q$73,MATCH($A18&amp;"|Ad_A",Data!$AD$2:$AD$73,0))</f>
        <v/>
      </c>
      <c r="C18">
        <f>INDEX(Data!$Q$2:$Q$73,MATCH($A18&amp;"|Ad_B",Data!$AD$2:$AD$73,0))</f>
        <v/>
      </c>
      <c r="D18">
        <f>B18-C18</f>
        <v/>
      </c>
      <c r="E18">
        <f>INDEX(Data!$R$2:$R$73,MATCH($A18&amp;"|Ad_A",Data!$AD$2:$AD$73,0))</f>
        <v/>
      </c>
      <c r="F18">
        <f>INDEX(Data!$R$2:$R$73,MATCH($A18&amp;"|Ad_B",Data!$AD$2:$AD$73,0))</f>
        <v/>
      </c>
      <c r="G18">
        <f>E18-F18</f>
        <v/>
      </c>
      <c r="H18">
        <f>INDEX(Data!$S$2:$S$73,MATCH($A18&amp;"|Ad_A",Data!$AD$2:$AD$73,0))</f>
        <v/>
      </c>
      <c r="I18">
        <f>INDEX(Data!$S$2:$S$73,MATCH($A18&amp;"|Ad_B",Data!$AD$2:$AD$73,0))</f>
        <v/>
      </c>
      <c r="J18">
        <f>H18-I18</f>
        <v/>
      </c>
    </row>
    <row r="19">
      <c r="A19" s="4" t="inlineStr">
        <is>
          <t>P16</t>
        </is>
      </c>
      <c r="B19">
        <f>INDEX(Data!$Q$2:$Q$73,MATCH($A19&amp;"|Ad_A",Data!$AD$2:$AD$73,0))</f>
        <v/>
      </c>
      <c r="C19">
        <f>INDEX(Data!$Q$2:$Q$73,MATCH($A19&amp;"|Ad_B",Data!$AD$2:$AD$73,0))</f>
        <v/>
      </c>
      <c r="D19">
        <f>B19-C19</f>
        <v/>
      </c>
      <c r="E19">
        <f>INDEX(Data!$R$2:$R$73,MATCH($A19&amp;"|Ad_A",Data!$AD$2:$AD$73,0))</f>
        <v/>
      </c>
      <c r="F19">
        <f>INDEX(Data!$R$2:$R$73,MATCH($A19&amp;"|Ad_B",Data!$AD$2:$AD$73,0))</f>
        <v/>
      </c>
      <c r="G19">
        <f>E19-F19</f>
        <v/>
      </c>
      <c r="H19">
        <f>INDEX(Data!$S$2:$S$73,MATCH($A19&amp;"|Ad_A",Data!$AD$2:$AD$73,0))</f>
        <v/>
      </c>
      <c r="I19">
        <f>INDEX(Data!$S$2:$S$73,MATCH($A19&amp;"|Ad_B",Data!$AD$2:$AD$73,0))</f>
        <v/>
      </c>
      <c r="J19">
        <f>H19-I19</f>
        <v/>
      </c>
    </row>
    <row r="20">
      <c r="A20" s="4" t="inlineStr">
        <is>
          <t>P17</t>
        </is>
      </c>
      <c r="B20">
        <f>INDEX(Data!$Q$2:$Q$73,MATCH($A20&amp;"|Ad_A",Data!$AD$2:$AD$73,0))</f>
        <v/>
      </c>
      <c r="C20">
        <f>INDEX(Data!$Q$2:$Q$73,MATCH($A20&amp;"|Ad_B",Data!$AD$2:$AD$73,0))</f>
        <v/>
      </c>
      <c r="D20">
        <f>B20-C20</f>
        <v/>
      </c>
      <c r="E20">
        <f>INDEX(Data!$R$2:$R$73,MATCH($A20&amp;"|Ad_A",Data!$AD$2:$AD$73,0))</f>
        <v/>
      </c>
      <c r="F20">
        <f>INDEX(Data!$R$2:$R$73,MATCH($A20&amp;"|Ad_B",Data!$AD$2:$AD$73,0))</f>
        <v/>
      </c>
      <c r="G20">
        <f>E20-F20</f>
        <v/>
      </c>
      <c r="H20">
        <f>INDEX(Data!$S$2:$S$73,MATCH($A20&amp;"|Ad_A",Data!$AD$2:$AD$73,0))</f>
        <v/>
      </c>
      <c r="I20">
        <f>INDEX(Data!$S$2:$S$73,MATCH($A20&amp;"|Ad_B",Data!$AD$2:$AD$73,0))</f>
        <v/>
      </c>
      <c r="J20">
        <f>H20-I20</f>
        <v/>
      </c>
    </row>
    <row r="21">
      <c r="A21" s="4" t="inlineStr">
        <is>
          <t>P19</t>
        </is>
      </c>
      <c r="B21">
        <f>INDEX(Data!$Q$2:$Q$73,MATCH($A21&amp;"|Ad_A",Data!$AD$2:$AD$73,0))</f>
        <v/>
      </c>
      <c r="C21">
        <f>INDEX(Data!$Q$2:$Q$73,MATCH($A21&amp;"|Ad_B",Data!$AD$2:$AD$73,0))</f>
        <v/>
      </c>
      <c r="D21">
        <f>B21-C21</f>
        <v/>
      </c>
      <c r="E21">
        <f>INDEX(Data!$R$2:$R$73,MATCH($A21&amp;"|Ad_A",Data!$AD$2:$AD$73,0))</f>
        <v/>
      </c>
      <c r="F21">
        <f>INDEX(Data!$R$2:$R$73,MATCH($A21&amp;"|Ad_B",Data!$AD$2:$AD$73,0))</f>
        <v/>
      </c>
      <c r="G21">
        <f>E21-F21</f>
        <v/>
      </c>
      <c r="H21">
        <f>INDEX(Data!$S$2:$S$73,MATCH($A21&amp;"|Ad_A",Data!$AD$2:$AD$73,0))</f>
        <v/>
      </c>
      <c r="I21">
        <f>INDEX(Data!$S$2:$S$73,MATCH($A21&amp;"|Ad_B",Data!$AD$2:$AD$73,0))</f>
        <v/>
      </c>
      <c r="J21">
        <f>H21-I21</f>
        <v/>
      </c>
    </row>
    <row r="22">
      <c r="A22" s="4" t="inlineStr">
        <is>
          <t>P20</t>
        </is>
      </c>
      <c r="B22">
        <f>INDEX(Data!$Q$2:$Q$73,MATCH($A22&amp;"|Ad_A",Data!$AD$2:$AD$73,0))</f>
        <v/>
      </c>
      <c r="C22">
        <f>INDEX(Data!$Q$2:$Q$73,MATCH($A22&amp;"|Ad_B",Data!$AD$2:$AD$73,0))</f>
        <v/>
      </c>
      <c r="D22">
        <f>B22-C22</f>
        <v/>
      </c>
      <c r="E22">
        <f>INDEX(Data!$R$2:$R$73,MATCH($A22&amp;"|Ad_A",Data!$AD$2:$AD$73,0))</f>
        <v/>
      </c>
      <c r="F22">
        <f>INDEX(Data!$R$2:$R$73,MATCH($A22&amp;"|Ad_B",Data!$AD$2:$AD$73,0))</f>
        <v/>
      </c>
      <c r="G22">
        <f>E22-F22</f>
        <v/>
      </c>
      <c r="H22">
        <f>INDEX(Data!$S$2:$S$73,MATCH($A22&amp;"|Ad_A",Data!$AD$2:$AD$73,0))</f>
        <v/>
      </c>
      <c r="I22">
        <f>INDEX(Data!$S$2:$S$73,MATCH($A22&amp;"|Ad_B",Data!$AD$2:$AD$73,0))</f>
        <v/>
      </c>
      <c r="J22">
        <f>H22-I22</f>
        <v/>
      </c>
    </row>
    <row r="23">
      <c r="A23" s="4" t="inlineStr">
        <is>
          <t>P22</t>
        </is>
      </c>
      <c r="B23">
        <f>INDEX(Data!$Q$2:$Q$73,MATCH($A23&amp;"|Ad_A",Data!$AD$2:$AD$73,0))</f>
        <v/>
      </c>
      <c r="C23">
        <f>INDEX(Data!$Q$2:$Q$73,MATCH($A23&amp;"|Ad_B",Data!$AD$2:$AD$73,0))</f>
        <v/>
      </c>
      <c r="D23">
        <f>B23-C23</f>
        <v/>
      </c>
      <c r="E23">
        <f>INDEX(Data!$R$2:$R$73,MATCH($A23&amp;"|Ad_A",Data!$AD$2:$AD$73,0))</f>
        <v/>
      </c>
      <c r="F23">
        <f>INDEX(Data!$R$2:$R$73,MATCH($A23&amp;"|Ad_B",Data!$AD$2:$AD$73,0))</f>
        <v/>
      </c>
      <c r="G23">
        <f>E23-F23</f>
        <v/>
      </c>
      <c r="H23">
        <f>INDEX(Data!$S$2:$S$73,MATCH($A23&amp;"|Ad_A",Data!$AD$2:$AD$73,0))</f>
        <v/>
      </c>
      <c r="I23">
        <f>INDEX(Data!$S$2:$S$73,MATCH($A23&amp;"|Ad_B",Data!$AD$2:$AD$73,0))</f>
        <v/>
      </c>
      <c r="J23">
        <f>H23-I23</f>
        <v/>
      </c>
    </row>
    <row r="24">
      <c r="A24" s="4" t="inlineStr">
        <is>
          <t>P23</t>
        </is>
      </c>
      <c r="B24">
        <f>INDEX(Data!$Q$2:$Q$73,MATCH($A24&amp;"|Ad_A",Data!$AD$2:$AD$73,0))</f>
        <v/>
      </c>
      <c r="C24">
        <f>INDEX(Data!$Q$2:$Q$73,MATCH($A24&amp;"|Ad_B",Data!$AD$2:$AD$73,0))</f>
        <v/>
      </c>
      <c r="D24">
        <f>B24-C24</f>
        <v/>
      </c>
      <c r="E24">
        <f>INDEX(Data!$R$2:$R$73,MATCH($A24&amp;"|Ad_A",Data!$AD$2:$AD$73,0))</f>
        <v/>
      </c>
      <c r="F24">
        <f>INDEX(Data!$R$2:$R$73,MATCH($A24&amp;"|Ad_B",Data!$AD$2:$AD$73,0))</f>
        <v/>
      </c>
      <c r="G24">
        <f>E24-F24</f>
        <v/>
      </c>
      <c r="H24">
        <f>INDEX(Data!$S$2:$S$73,MATCH($A24&amp;"|Ad_A",Data!$AD$2:$AD$73,0))</f>
        <v/>
      </c>
      <c r="I24">
        <f>INDEX(Data!$S$2:$S$73,MATCH($A24&amp;"|Ad_B",Data!$AD$2:$AD$73,0))</f>
        <v/>
      </c>
      <c r="J24">
        <f>H24-I24</f>
        <v/>
      </c>
    </row>
    <row r="25">
      <c r="A25" s="4" t="inlineStr">
        <is>
          <t>P24</t>
        </is>
      </c>
      <c r="B25">
        <f>INDEX(Data!$Q$2:$Q$73,MATCH($A25&amp;"|Ad_A",Data!$AD$2:$AD$73,0))</f>
        <v/>
      </c>
      <c r="C25">
        <f>INDEX(Data!$Q$2:$Q$73,MATCH($A25&amp;"|Ad_B",Data!$AD$2:$AD$73,0))</f>
        <v/>
      </c>
      <c r="D25">
        <f>B25-C25</f>
        <v/>
      </c>
      <c r="E25">
        <f>INDEX(Data!$R$2:$R$73,MATCH($A25&amp;"|Ad_A",Data!$AD$2:$AD$73,0))</f>
        <v/>
      </c>
      <c r="F25">
        <f>INDEX(Data!$R$2:$R$73,MATCH($A25&amp;"|Ad_B",Data!$AD$2:$AD$73,0))</f>
        <v/>
      </c>
      <c r="G25">
        <f>E25-F25</f>
        <v/>
      </c>
      <c r="H25">
        <f>INDEX(Data!$S$2:$S$73,MATCH($A25&amp;"|Ad_A",Data!$AD$2:$AD$73,0))</f>
        <v/>
      </c>
      <c r="I25">
        <f>INDEX(Data!$S$2:$S$73,MATCH($A25&amp;"|Ad_B",Data!$AD$2:$AD$73,0))</f>
        <v/>
      </c>
      <c r="J25">
        <f>H25-I25</f>
        <v/>
      </c>
    </row>
    <row r="28">
      <c r="A28" s="1" t="inlineStr">
        <is>
          <t>Joy: paired t test, Ad_A minus Ad_B</t>
        </is>
      </c>
      <c r="E28" s="1" t="inlineStr">
        <is>
          <t>Engagement: paired t test, Ad_A minus Ad_B</t>
        </is>
      </c>
      <c r="I28" s="1" t="inlineStr">
        <is>
          <t>Brow Furrow: paired t test, Ad_A minus Ad_B</t>
        </is>
      </c>
    </row>
    <row r="29">
      <c r="A29" t="inlineStr">
        <is>
          <t>Ad_A mean</t>
        </is>
      </c>
      <c r="B29" s="9">
        <f>AVERAGE(B4:B25)</f>
        <v/>
      </c>
      <c r="E29" t="inlineStr">
        <is>
          <t>Ad_A mean</t>
        </is>
      </c>
      <c r="F29" s="9">
        <f>AVERAGE(E4:E25)</f>
        <v/>
      </c>
      <c r="I29" t="inlineStr">
        <is>
          <t>Ad_A mean</t>
        </is>
      </c>
      <c r="J29" s="9">
        <f>AVERAGE(H4:H25)</f>
        <v/>
      </c>
    </row>
    <row r="30">
      <c r="A30" t="inlineStr">
        <is>
          <t>Ad_A SD</t>
        </is>
      </c>
      <c r="B30" s="9">
        <f>_xlfn.STDEV.S(B4:B25)</f>
        <v/>
      </c>
      <c r="E30" t="inlineStr">
        <is>
          <t>Ad_A SD</t>
        </is>
      </c>
      <c r="F30" s="9">
        <f>_xlfn.STDEV.S(E4:E25)</f>
        <v/>
      </c>
      <c r="I30" t="inlineStr">
        <is>
          <t>Ad_A SD</t>
        </is>
      </c>
      <c r="J30" s="9">
        <f>_xlfn.STDEV.S(H4:H25)</f>
        <v/>
      </c>
    </row>
    <row r="31">
      <c r="A31" t="inlineStr">
        <is>
          <t>Ad_B mean</t>
        </is>
      </c>
      <c r="B31" s="9">
        <f>AVERAGE(C4:C25)</f>
        <v/>
      </c>
      <c r="E31" t="inlineStr">
        <is>
          <t>Ad_B mean</t>
        </is>
      </c>
      <c r="F31" s="9">
        <f>AVERAGE(F4:F25)</f>
        <v/>
      </c>
      <c r="I31" t="inlineStr">
        <is>
          <t>Ad_B mean</t>
        </is>
      </c>
      <c r="J31" s="9">
        <f>AVERAGE(I4:I25)</f>
        <v/>
      </c>
    </row>
    <row r="32">
      <c r="A32" t="inlineStr">
        <is>
          <t>Ad_B SD</t>
        </is>
      </c>
      <c r="B32" s="9">
        <f>_xlfn.STDEV.S(C4:C25)</f>
        <v/>
      </c>
      <c r="E32" t="inlineStr">
        <is>
          <t>Ad_B SD</t>
        </is>
      </c>
      <c r="F32" s="9">
        <f>_xlfn.STDEV.S(F4:F25)</f>
        <v/>
      </c>
      <c r="I32" t="inlineStr">
        <is>
          <t>Ad_B SD</t>
        </is>
      </c>
      <c r="J32" s="9">
        <f>_xlfn.STDEV.S(I4:I25)</f>
        <v/>
      </c>
    </row>
    <row r="33">
      <c r="A33" t="inlineStr">
        <is>
          <t>n (participants)</t>
        </is>
      </c>
      <c r="B33" s="6">
        <f>COUNT(D4:D25)</f>
        <v/>
      </c>
      <c r="E33" t="inlineStr">
        <is>
          <t>n (participants)</t>
        </is>
      </c>
      <c r="F33" s="6">
        <f>COUNT(G4:G25)</f>
        <v/>
      </c>
      <c r="I33" t="inlineStr">
        <is>
          <t>n (participants)</t>
        </is>
      </c>
      <c r="J33" s="6">
        <f>COUNT(J4:J25)</f>
        <v/>
      </c>
    </row>
    <row r="34">
      <c r="A34" t="inlineStr">
        <is>
          <t>Mean difference</t>
        </is>
      </c>
      <c r="B34" s="9">
        <f>AVERAGE(D4:D25)</f>
        <v/>
      </c>
      <c r="E34" t="inlineStr">
        <is>
          <t>Mean difference</t>
        </is>
      </c>
      <c r="F34" s="9">
        <f>AVERAGE(G4:G25)</f>
        <v/>
      </c>
      <c r="I34" t="inlineStr">
        <is>
          <t>Mean difference</t>
        </is>
      </c>
      <c r="J34" s="9">
        <f>AVERAGE(J4:J25)</f>
        <v/>
      </c>
    </row>
    <row r="35">
      <c r="A35" t="inlineStr">
        <is>
          <t>SD of the differences</t>
        </is>
      </c>
      <c r="B35" s="9">
        <f>_xlfn.STDEV.S(D4:D25)</f>
        <v/>
      </c>
      <c r="E35" t="inlineStr">
        <is>
          <t>SD of the differences</t>
        </is>
      </c>
      <c r="F35" s="9">
        <f>_xlfn.STDEV.S(G4:G25)</f>
        <v/>
      </c>
      <c r="I35" t="inlineStr">
        <is>
          <t>SD of the differences</t>
        </is>
      </c>
      <c r="J35" s="9">
        <f>_xlfn.STDEV.S(J4:J25)</f>
        <v/>
      </c>
    </row>
    <row r="36">
      <c r="A36" t="inlineStr">
        <is>
          <t>SE of the mean difference</t>
        </is>
      </c>
      <c r="B36" s="9">
        <f>B35/SQRT(B33)</f>
        <v/>
      </c>
      <c r="E36" t="inlineStr">
        <is>
          <t>SE of the mean difference</t>
        </is>
      </c>
      <c r="F36" s="9">
        <f>F35/SQRT(F33)</f>
        <v/>
      </c>
      <c r="I36" t="inlineStr">
        <is>
          <t>SE of the mean difference</t>
        </is>
      </c>
      <c r="J36" s="9">
        <f>J35/SQRT(J33)</f>
        <v/>
      </c>
    </row>
    <row r="37">
      <c r="A37" t="inlineStr">
        <is>
          <t>t</t>
        </is>
      </c>
      <c r="B37" s="9">
        <f>B34/B36</f>
        <v/>
      </c>
      <c r="E37" t="inlineStr">
        <is>
          <t>t</t>
        </is>
      </c>
      <c r="F37" s="9">
        <f>F34/F36</f>
        <v/>
      </c>
      <c r="I37" t="inlineStr">
        <is>
          <t>t</t>
        </is>
      </c>
      <c r="J37" s="9">
        <f>J34/J36</f>
        <v/>
      </c>
    </row>
    <row r="38">
      <c r="A38" t="inlineStr">
        <is>
          <t>df</t>
        </is>
      </c>
      <c r="B38" s="6">
        <f>B33-1</f>
        <v/>
      </c>
      <c r="E38" t="inlineStr">
        <is>
          <t>df</t>
        </is>
      </c>
      <c r="F38" s="6">
        <f>F33-1</f>
        <v/>
      </c>
      <c r="I38" t="inlineStr">
        <is>
          <t>df</t>
        </is>
      </c>
      <c r="J38" s="6">
        <f>J33-1</f>
        <v/>
      </c>
    </row>
    <row r="39">
      <c r="A39" t="inlineStr">
        <is>
          <t>p, two tailed (T.TEST, paired)</t>
        </is>
      </c>
      <c r="B39" s="10">
        <f>_xlfn.T.TEST(B4:B25,C4:C25,2,1)</f>
        <v/>
      </c>
      <c r="E39" t="inlineStr">
        <is>
          <t>p, two tailed (T.TEST, paired)</t>
        </is>
      </c>
      <c r="F39" s="10">
        <f>_xlfn.T.TEST(E4:E25,F4:F25,2,1)</f>
        <v/>
      </c>
      <c r="I39" t="inlineStr">
        <is>
          <t>p, two tailed (T.TEST, paired)</t>
        </is>
      </c>
      <c r="J39" s="10">
        <f>_xlfn.T.TEST(H4:H25,I4:I25,2,1)</f>
        <v/>
      </c>
    </row>
    <row r="40">
      <c r="A40" t="inlineStr">
        <is>
          <t>p from t (T.DIST.2T)</t>
        </is>
      </c>
      <c r="B40" s="10">
        <f>_xlfn.T.DIST.2T(ABS(B37),B38)</f>
        <v/>
      </c>
      <c r="E40" t="inlineStr">
        <is>
          <t>p from t (T.DIST.2T)</t>
        </is>
      </c>
      <c r="F40" s="10">
        <f>_xlfn.T.DIST.2T(ABS(F37),F38)</f>
        <v/>
      </c>
      <c r="I40" t="inlineStr">
        <is>
          <t>p from t (T.DIST.2T)</t>
        </is>
      </c>
      <c r="J40" s="10">
        <f>_xlfn.T.DIST.2T(ABS(J37),J38)</f>
        <v/>
      </c>
    </row>
    <row r="41">
      <c r="A41" t="inlineStr">
        <is>
          <t>Critical t (95%)</t>
        </is>
      </c>
      <c r="B41" s="9">
        <f>_xlfn.T.INV.2T(0.05,B38)</f>
        <v/>
      </c>
      <c r="E41" t="inlineStr">
        <is>
          <t>Critical t (95%)</t>
        </is>
      </c>
      <c r="F41" s="9">
        <f>_xlfn.T.INV.2T(0.05,F38)</f>
        <v/>
      </c>
      <c r="I41" t="inlineStr">
        <is>
          <t>Critical t (95%)</t>
        </is>
      </c>
      <c r="J41" s="9">
        <f>_xlfn.T.INV.2T(0.05,J38)</f>
        <v/>
      </c>
    </row>
    <row r="42">
      <c r="A42" t="inlineStr">
        <is>
          <t>Mean difference, 95% CI lower</t>
        </is>
      </c>
      <c r="B42" s="9">
        <f>B34-B41*B36</f>
        <v/>
      </c>
      <c r="E42" t="inlineStr">
        <is>
          <t>Mean difference, 95% CI lower</t>
        </is>
      </c>
      <c r="F42" s="9">
        <f>F34-F41*F36</f>
        <v/>
      </c>
      <c r="I42" t="inlineStr">
        <is>
          <t>Mean difference, 95% CI lower</t>
        </is>
      </c>
      <c r="J42" s="9">
        <f>J34-J41*J36</f>
        <v/>
      </c>
    </row>
    <row r="43">
      <c r="A43" t="inlineStr">
        <is>
          <t>Mean difference, 95% CI upper</t>
        </is>
      </c>
      <c r="B43" s="9">
        <f>B34+B41*B36</f>
        <v/>
      </c>
      <c r="E43" t="inlineStr">
        <is>
          <t>Mean difference, 95% CI upper</t>
        </is>
      </c>
      <c r="F43" s="9">
        <f>F34+F41*F36</f>
        <v/>
      </c>
      <c r="I43" t="inlineStr">
        <is>
          <t>Mean difference, 95% CI upper</t>
        </is>
      </c>
      <c r="J43" s="9">
        <f>J34+J41*J36</f>
        <v/>
      </c>
    </row>
    <row r="44">
      <c r="A44" t="inlineStr">
        <is>
          <t>Cohen's d_z</t>
        </is>
      </c>
      <c r="B44" s="9">
        <f>B34/B35</f>
        <v/>
      </c>
      <c r="E44" t="inlineStr">
        <is>
          <t>Cohen's d_z</t>
        </is>
      </c>
      <c r="F44" s="9">
        <f>F34/F35</f>
        <v/>
      </c>
      <c r="I44" t="inlineStr">
        <is>
          <t>Cohen's d_z</t>
        </is>
      </c>
      <c r="J44" s="9">
        <f>J34/J35</f>
        <v/>
      </c>
    </row>
    <row r="45">
      <c r="A45" t="inlineStr">
        <is>
          <t>SE of d_z (approximation)</t>
        </is>
      </c>
      <c r="B45" s="9">
        <f>SQRT(1/B33+B44^2/(2*B33))</f>
        <v/>
      </c>
      <c r="E45" t="inlineStr">
        <is>
          <t>SE of d_z (approximation)</t>
        </is>
      </c>
      <c r="F45" s="9">
        <f>SQRT(1/F33+F44^2/(2*F33))</f>
        <v/>
      </c>
      <c r="I45" t="inlineStr">
        <is>
          <t>SE of d_z (approximation)</t>
        </is>
      </c>
      <c r="J45" s="9">
        <f>SQRT(1/J33+J44^2/(2*J33))</f>
        <v/>
      </c>
    </row>
    <row r="46">
      <c r="A46" t="inlineStr">
        <is>
          <t>d_z 95% CI lower (approximation)</t>
        </is>
      </c>
      <c r="B46" s="9">
        <f>B44-1.96*B45</f>
        <v/>
      </c>
      <c r="E46" t="inlineStr">
        <is>
          <t>d_z 95% CI lower (approximation)</t>
        </is>
      </c>
      <c r="F46" s="9">
        <f>F44-1.96*F45</f>
        <v/>
      </c>
      <c r="I46" t="inlineStr">
        <is>
          <t>d_z 95% CI lower (approximation)</t>
        </is>
      </c>
      <c r="J46" s="9">
        <f>J44-1.96*J45</f>
        <v/>
      </c>
    </row>
    <row r="47">
      <c r="A47" t="inlineStr">
        <is>
          <t>d_z 95% CI upper (approximation)</t>
        </is>
      </c>
      <c r="B47" s="9">
        <f>B44+1.96*B45</f>
        <v/>
      </c>
      <c r="E47" t="inlineStr">
        <is>
          <t>d_z 95% CI upper (approximation)</t>
        </is>
      </c>
      <c r="F47" s="9">
        <f>F44+1.96*F45</f>
        <v/>
      </c>
      <c r="I47" t="inlineStr">
        <is>
          <t>d_z 95% CI upper (approximation)</t>
        </is>
      </c>
      <c r="J47" s="9">
        <f>J44+1.96*J45</f>
        <v/>
      </c>
    </row>
    <row r="48">
      <c r="A48" t="inlineStr">
        <is>
          <t>Ad_A higher (count)</t>
        </is>
      </c>
      <c r="B48" s="6">
        <f>COUNTIF(D4:D25,"&gt;0")</f>
        <v/>
      </c>
      <c r="E48" t="inlineStr">
        <is>
          <t>Ad_A higher (count)</t>
        </is>
      </c>
      <c r="F48" s="6">
        <f>COUNTIF(G4:G25,"&gt;0")</f>
        <v/>
      </c>
      <c r="I48" t="inlineStr">
        <is>
          <t>Ad_A higher (count)</t>
        </is>
      </c>
      <c r="J48" s="6">
        <f>COUNTIF(J4:J25,"&gt;0")</f>
        <v/>
      </c>
    </row>
    <row r="49">
      <c r="A49" t="inlineStr">
        <is>
          <t>Ad_B higher (count)</t>
        </is>
      </c>
      <c r="B49" s="6">
        <f>COUNTIF(D4:D25,"&lt;0")</f>
        <v/>
      </c>
      <c r="E49" t="inlineStr">
        <is>
          <t>Ad_B higher (count)</t>
        </is>
      </c>
      <c r="F49" s="6">
        <f>COUNTIF(G4:G25,"&lt;0")</f>
        <v/>
      </c>
      <c r="I49" t="inlineStr">
        <is>
          <t>Ad_B higher (count)</t>
        </is>
      </c>
      <c r="J49" s="6">
        <f>COUNTIF(J4:J25,"&lt;0")</f>
        <v/>
      </c>
    </row>
    <row r="50">
      <c r="A50" t="inlineStr">
        <is>
          <t>No difference (count)</t>
        </is>
      </c>
      <c r="B50" s="6">
        <f>COUNTIF(D4:D25,0)</f>
        <v/>
      </c>
      <c r="E50" t="inlineStr">
        <is>
          <t>No difference (count)</t>
        </is>
      </c>
      <c r="F50" s="6">
        <f>COUNTIF(G4:G25,0)</f>
        <v/>
      </c>
      <c r="I50" t="inlineStr">
        <is>
          <t>No difference (count)</t>
        </is>
      </c>
      <c r="J50" s="6">
        <f>COUNTIF(J4:J25,0)</f>
        <v/>
      </c>
    </row>
    <row r="51">
      <c r="A51" t="inlineStr">
        <is>
          <t>Zero in both ads (count)</t>
        </is>
      </c>
      <c r="B51" s="6">
        <f>COUNTIFS(B4:B25,0,C4:C25,0)</f>
        <v/>
      </c>
      <c r="E51" t="inlineStr">
        <is>
          <t>Zero in both ads (count)</t>
        </is>
      </c>
      <c r="F51" s="6">
        <f>COUNTIFS(E4:E25,0,F4:F25,0)</f>
        <v/>
      </c>
      <c r="I51" t="inlineStr">
        <is>
          <t>Zero in both ads (count)</t>
        </is>
      </c>
      <c r="J51" s="6">
        <f>COUNTIFS(H4:H25,0,I4:I25,0)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14" customWidth="1" min="7" max="7"/>
    <col width="16" customWidth="1" min="8" max="8"/>
    <col width="24" customWidth="1" min="10" max="10"/>
    <col width="6" customWidth="1" min="11" max="11"/>
  </cols>
  <sheetData>
    <row r="1">
      <c r="A1" s="1" t="inlineStr">
        <is>
          <t>Holm correction of the three Q5 p values (family: Joy, Engagement, Brow Furrow). Holm keeps the chance of at least one false positive in the family at .05 and is never less powerful than Bonferroni.</t>
        </is>
      </c>
    </row>
    <row r="3">
      <c r="A3" s="2" t="inlineStr">
        <is>
          <t>Test</t>
        </is>
      </c>
      <c r="B3" s="3" t="inlineStr">
        <is>
          <t>p (from Q5)</t>
        </is>
      </c>
      <c r="C3" s="3" t="inlineStr">
        <is>
          <t>Rank (smallest = 1)</t>
        </is>
      </c>
      <c r="D3" s="3" t="inlineStr">
        <is>
          <t>Multiplier (m - rank + 1)</t>
        </is>
      </c>
      <c r="E3" s="3" t="inlineStr">
        <is>
          <t>p x multiplier</t>
        </is>
      </c>
      <c r="F3" s="3" t="inlineStr">
        <is>
          <t>Holm adjusted p</t>
        </is>
      </c>
      <c r="G3" s="3" t="inlineStr">
        <is>
          <t>Bonferroni p</t>
        </is>
      </c>
      <c r="H3" s="3" t="inlineStr">
        <is>
          <t>Decision at .05</t>
        </is>
      </c>
      <c r="J3" s="1" t="inlineStr">
        <is>
          <t>m (tests in the family)</t>
        </is>
      </c>
      <c r="K3" s="6">
        <f>COUNT(B4:B6)</f>
        <v/>
      </c>
    </row>
    <row r="4">
      <c r="A4" t="inlineStr">
        <is>
          <t>Joy</t>
        </is>
      </c>
      <c r="B4" s="10">
        <f>Q5!B39</f>
        <v/>
      </c>
      <c r="C4" s="6">
        <f>_xlfn.RANK.EQ(B4,$B$4:$B$6,1)</f>
        <v/>
      </c>
      <c r="D4" s="6">
        <f>$K$3-C4+1</f>
        <v/>
      </c>
      <c r="E4" s="10">
        <f>B4*D4</f>
        <v/>
      </c>
      <c r="F4" s="10">
        <f>INDEX($E$11:$E$13,C4)</f>
        <v/>
      </c>
      <c r="G4" s="10">
        <f>MIN(1,$K$3*B4)</f>
        <v/>
      </c>
      <c r="H4">
        <f>IF(F4&lt;0.05,"significant","not significant")</f>
        <v/>
      </c>
    </row>
    <row r="5">
      <c r="A5" t="inlineStr">
        <is>
          <t>Engagement</t>
        </is>
      </c>
      <c r="B5" s="10">
        <f>Q5!F39</f>
        <v/>
      </c>
      <c r="C5" s="6">
        <f>_xlfn.RANK.EQ(B5,$B$4:$B$6,1)</f>
        <v/>
      </c>
      <c r="D5" s="6">
        <f>$K$3-C5+1</f>
        <v/>
      </c>
      <c r="E5" s="10">
        <f>B5*D5</f>
        <v/>
      </c>
      <c r="F5" s="10">
        <f>INDEX($E$11:$E$13,C5)</f>
        <v/>
      </c>
      <c r="G5" s="10">
        <f>MIN(1,$K$3*B5)</f>
        <v/>
      </c>
      <c r="H5">
        <f>IF(F5&lt;0.05,"significant","not significant")</f>
        <v/>
      </c>
    </row>
    <row r="6">
      <c r="A6" t="inlineStr">
        <is>
          <t>Brow Furrow</t>
        </is>
      </c>
      <c r="B6" s="10">
        <f>Q5!J39</f>
        <v/>
      </c>
      <c r="C6" s="6">
        <f>_xlfn.RANK.EQ(B6,$B$4:$B$6,1)</f>
        <v/>
      </c>
      <c r="D6" s="6">
        <f>$K$3-C6+1</f>
        <v/>
      </c>
      <c r="E6" s="10">
        <f>B6*D6</f>
        <v/>
      </c>
      <c r="F6" s="10">
        <f>INDEX($E$11:$E$13,C6)</f>
        <v/>
      </c>
      <c r="G6" s="10">
        <f>MIN(1,$K$3*B6)</f>
        <v/>
      </c>
      <c r="H6">
        <f>IF(F6&lt;0.05,"significant","not significant")</f>
        <v/>
      </c>
    </row>
    <row r="9">
      <c r="A9" s="1" t="inlineStr">
        <is>
          <t>Step by step, from the smallest p to the largest</t>
        </is>
      </c>
    </row>
    <row r="10">
      <c r="A10" s="3" t="inlineStr">
        <is>
          <t>Step k</t>
        </is>
      </c>
      <c r="B10" s="3" t="inlineStr">
        <is>
          <t>k-th smallest p (SMALL)</t>
        </is>
      </c>
      <c r="C10" s="3" t="inlineStr">
        <is>
          <t>Multiplier (m - k + 1)</t>
        </is>
      </c>
      <c r="D10" s="3" t="inlineStr">
        <is>
          <t>p x multiplier</t>
        </is>
      </c>
      <c r="E10" s="3" t="inlineStr">
        <is>
          <t>Holm adjusted (running maximum, at most 1)</t>
        </is>
      </c>
    </row>
    <row r="11">
      <c r="A11" t="n">
        <v>1</v>
      </c>
      <c r="B11" s="10">
        <f>SMALL($B$4:$B$6,A11)</f>
        <v/>
      </c>
      <c r="C11" s="6">
        <f>$K$3-A11+1</f>
        <v/>
      </c>
      <c r="D11" s="10">
        <f>B11*C11</f>
        <v/>
      </c>
      <c r="E11" s="10">
        <f>MIN(1,D11)</f>
        <v/>
      </c>
    </row>
    <row r="12">
      <c r="A12" t="n">
        <v>2</v>
      </c>
      <c r="B12" s="10">
        <f>SMALL($B$4:$B$6,A12)</f>
        <v/>
      </c>
      <c r="C12" s="6">
        <f>$K$3-A12+1</f>
        <v/>
      </c>
      <c r="D12" s="10">
        <f>B12*C12</f>
        <v/>
      </c>
      <c r="E12" s="10">
        <f>MIN(1,MAX(E11,D12))</f>
        <v/>
      </c>
    </row>
    <row r="13">
      <c r="A13" t="n">
        <v>3</v>
      </c>
      <c r="B13" s="10">
        <f>SMALL($B$4:$B$6,A13)</f>
        <v/>
      </c>
      <c r="C13" s="6">
        <f>$K$3-A13+1</f>
        <v/>
      </c>
      <c r="D13" s="10">
        <f>B13*C13</f>
        <v/>
      </c>
      <c r="E13" s="10">
        <f>MIN(1,MAX(E12,D13))</f>
        <v/>
      </c>
    </row>
    <row r="15">
      <c r="A15" s="8" t="inlineStr">
        <is>
          <t>Read the table: sort the p values from smallest to largest; multiply the smallest by m, the next by m - 1, and so on; each adjusted value is at least as large as the one before it (the running maximum) and never above 1. Compare the adjusted p with .05.</t>
        </is>
      </c>
    </row>
    <row r="16">
      <c r="A16" s="8" t="inlineStr">
        <is>
          <t>p x multiplier (column E, rows 4 to 6) is not yet the Holm p: the running maximum in the step table can raise it (Joy's product 0.30919 is raised to 0.33096, the adjusted value before it).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4" customWidth="1" min="3" max="3"/>
    <col width="13" customWidth="1" min="4" max="4"/>
    <col width="11" customWidth="1" min="5" max="5"/>
    <col width="9" customWidth="1" min="6" max="6"/>
  </cols>
  <sheetData>
    <row r="1">
      <c r="A1" s="1" t="inlineStr">
        <is>
          <t>Excel results next to the values that analysis_full.R produced (SIMULATED data). Tolerance: half a unit in the last printed decimal.</t>
        </is>
      </c>
    </row>
    <row r="3">
      <c r="A3" s="2" t="inlineStr">
        <is>
          <t>Result</t>
        </is>
      </c>
      <c r="B3" s="2" t="inlineStr">
        <is>
          <t>Excel</t>
        </is>
      </c>
      <c r="C3" s="2" t="inlineStr">
        <is>
          <t>R</t>
        </is>
      </c>
      <c r="D3" s="2" t="inlineStr">
        <is>
          <t>Difference</t>
        </is>
      </c>
      <c r="E3" s="2" t="inlineStr">
        <is>
          <t>Tolerance</t>
        </is>
      </c>
      <c r="F3" s="2" t="inlineStr">
        <is>
          <t>Status</t>
        </is>
      </c>
    </row>
    <row r="4">
      <c r="A4" t="inlineStr">
        <is>
          <t>AOI_long: AOI_long rows</t>
        </is>
      </c>
      <c r="B4" s="11">
        <f>AOI_long!H3</f>
        <v/>
      </c>
      <c r="C4" s="11" t="n">
        <v>144</v>
      </c>
      <c r="D4" s="11">
        <f>B4-C4</f>
        <v/>
      </c>
      <c r="E4" s="11" t="n">
        <v>1e-09</v>
      </c>
      <c r="F4">
        <f>IF(ABS(D4)&lt;=E4,"OK","CHECK")</f>
        <v/>
      </c>
    </row>
    <row r="5">
      <c r="A5" t="inlineStr">
        <is>
          <t>AOI_long: AOI_long failed lookups</t>
        </is>
      </c>
      <c r="B5" s="11">
        <f>AOI_long!H4</f>
        <v/>
      </c>
      <c r="C5" s="11" t="n">
        <v>0</v>
      </c>
      <c r="D5" s="11">
        <f>B5-C5</f>
        <v/>
      </c>
      <c r="E5" s="11" t="n">
        <v>1e-09</v>
      </c>
      <c r="F5">
        <f>IF(ABS(D5)&lt;=E5,"OK","CHECK")</f>
        <v/>
      </c>
    </row>
    <row r="6">
      <c r="A6" t="inlineStr">
        <is>
          <t>AOI_long: AOI_long rows with include = 1</t>
        </is>
      </c>
      <c r="B6" s="11">
        <f>AOI_long!H5</f>
        <v/>
      </c>
      <c r="C6" s="11" t="n">
        <v>132</v>
      </c>
      <c r="D6" s="11">
        <f>B6-C6</f>
        <v/>
      </c>
      <c r="E6" s="11" t="n">
        <v>1e-09</v>
      </c>
      <c r="F6">
        <f>IF(ABS(D6)&lt;=E6,"OK","CHECK")</f>
        <v/>
      </c>
    </row>
    <row r="7">
      <c r="A7" t="inlineStr">
        <is>
          <t>Descriptives: n, Gaze dwell (% of ad), Ad_A</t>
        </is>
      </c>
      <c r="B7" s="11">
        <f>Descriptives!D5</f>
        <v/>
      </c>
      <c r="C7" s="11" t="n">
        <v>22</v>
      </c>
      <c r="D7" s="11">
        <f>B7-C7</f>
        <v/>
      </c>
      <c r="E7" s="11" t="n">
        <v>1e-09</v>
      </c>
      <c r="F7">
        <f>IF(ABS(D7)&lt;=E7,"OK","CHECK")</f>
        <v/>
      </c>
    </row>
    <row r="8">
      <c r="A8" t="inlineStr">
        <is>
          <t>Descriptives: mean, Gaze dwell (% of ad), Ad_A</t>
        </is>
      </c>
      <c r="B8" s="11">
        <f>Descriptives!E5</f>
        <v/>
      </c>
      <c r="C8" s="11" t="n">
        <v>1.782272727272727</v>
      </c>
      <c r="D8" s="11">
        <f>B8-C8</f>
        <v/>
      </c>
      <c r="E8" s="11" t="n">
        <v>0.0005</v>
      </c>
      <c r="F8">
        <f>IF(ABS(D8)&lt;=E8,"OK","CHECK")</f>
        <v/>
      </c>
    </row>
    <row r="9">
      <c r="A9" t="inlineStr">
        <is>
          <t>Descriptives: SD, Gaze dwell (% of ad), Ad_A</t>
        </is>
      </c>
      <c r="B9" s="11">
        <f>Descriptives!F5</f>
        <v/>
      </c>
      <c r="C9" s="11" t="n">
        <v>2.820443956641243</v>
      </c>
      <c r="D9" s="11">
        <f>B9-C9</f>
        <v/>
      </c>
      <c r="E9" s="11" t="n">
        <v>0.0005</v>
      </c>
      <c r="F9">
        <f>IF(ABS(D9)&lt;=E9,"OK","CHECK")</f>
        <v/>
      </c>
    </row>
    <row r="10">
      <c r="A10" t="inlineStr">
        <is>
          <t>Descriptives: median, Gaze dwell (% of ad), Ad_A</t>
        </is>
      </c>
      <c r="B10" s="11">
        <f>Descriptives!G5</f>
        <v/>
      </c>
      <c r="C10" s="11" t="n">
        <v>0.525</v>
      </c>
      <c r="D10" s="11">
        <f>B10-C10</f>
        <v/>
      </c>
      <c r="E10" s="11" t="n">
        <v>0.0005</v>
      </c>
      <c r="F10">
        <f>IF(ABS(D10)&lt;=E10,"OK","CHECK")</f>
        <v/>
      </c>
    </row>
    <row r="11">
      <c r="A11" t="inlineStr">
        <is>
          <t>Descriptives: Q1, Gaze dwell (% of ad), Ad_A</t>
        </is>
      </c>
      <c r="B11" s="11">
        <f>Descriptives!H5</f>
        <v/>
      </c>
      <c r="C11" s="11" t="n">
        <v>0</v>
      </c>
      <c r="D11" s="11">
        <f>B11-C11</f>
        <v/>
      </c>
      <c r="E11" s="11" t="n">
        <v>0.0005</v>
      </c>
      <c r="F11">
        <f>IF(ABS(D11)&lt;=E11,"OK","CHECK")</f>
        <v/>
      </c>
    </row>
    <row r="12">
      <c r="A12" t="inlineStr">
        <is>
          <t>Descriptives: Q3, Gaze dwell (% of ad), Ad_A</t>
        </is>
      </c>
      <c r="B12" s="11">
        <f>Descriptives!I5</f>
        <v/>
      </c>
      <c r="C12" s="11" t="n">
        <v>2.095</v>
      </c>
      <c r="D12" s="11">
        <f>B12-C12</f>
        <v/>
      </c>
      <c r="E12" s="11" t="n">
        <v>0.0005</v>
      </c>
      <c r="F12">
        <f>IF(ABS(D12)&lt;=E12,"OK","CHECK")</f>
        <v/>
      </c>
    </row>
    <row r="13">
      <c r="A13" t="inlineStr">
        <is>
          <t>Descriptives: IQR, Gaze dwell (% of ad), Ad_A</t>
        </is>
      </c>
      <c r="B13" s="11">
        <f>Descriptives!J5</f>
        <v/>
      </c>
      <c r="C13" s="11" t="n">
        <v>2.095</v>
      </c>
      <c r="D13" s="11">
        <f>B13-C13</f>
        <v/>
      </c>
      <c r="E13" s="11" t="n">
        <v>0.0005</v>
      </c>
      <c r="F13">
        <f>IF(ABS(D13)&lt;=E13,"OK","CHECK")</f>
        <v/>
      </c>
    </row>
    <row r="14">
      <c r="A14" t="inlineStr">
        <is>
          <t>Descriptives: % at zero, Gaze dwell (% of ad), Ad_A</t>
        </is>
      </c>
      <c r="B14" s="11">
        <f>Descriptives!K5</f>
        <v/>
      </c>
      <c r="C14" s="11" t="n">
        <v>45.45454545454545</v>
      </c>
      <c r="D14" s="11">
        <f>B14-C14</f>
        <v/>
      </c>
      <c r="E14" s="11" t="n">
        <v>0.005</v>
      </c>
      <c r="F14">
        <f>IF(ABS(D14)&lt;=E14,"OK","CHECK")</f>
        <v/>
      </c>
    </row>
    <row r="15">
      <c r="A15" t="inlineStr">
        <is>
          <t>Descriptives: n, Gaze dwell (% of ad), Ad_A</t>
        </is>
      </c>
      <c r="B15" s="11">
        <f>Descriptives!D6</f>
        <v/>
      </c>
      <c r="C15" s="11" t="n">
        <v>22</v>
      </c>
      <c r="D15" s="11">
        <f>B15-C15</f>
        <v/>
      </c>
      <c r="E15" s="11" t="n">
        <v>1e-09</v>
      </c>
      <c r="F15">
        <f>IF(ABS(D15)&lt;=E15,"OK","CHECK")</f>
        <v/>
      </c>
    </row>
    <row r="16">
      <c r="A16" t="inlineStr">
        <is>
          <t>Descriptives: mean, Gaze dwell (% of ad), Ad_A</t>
        </is>
      </c>
      <c r="B16" s="11">
        <f>Descriptives!E6</f>
        <v/>
      </c>
      <c r="C16" s="11" t="n">
        <v>42.58409090909091</v>
      </c>
      <c r="D16" s="11">
        <f>B16-C16</f>
        <v/>
      </c>
      <c r="E16" s="11" t="n">
        <v>0.0005</v>
      </c>
      <c r="F16">
        <f>IF(ABS(D16)&lt;=E16,"OK","CHECK")</f>
        <v/>
      </c>
    </row>
    <row r="17">
      <c r="A17" t="inlineStr">
        <is>
          <t>Descriptives: SD, Gaze dwell (% of ad), Ad_A</t>
        </is>
      </c>
      <c r="B17" s="11">
        <f>Descriptives!F6</f>
        <v/>
      </c>
      <c r="C17" s="11" t="n">
        <v>8.422409823170399</v>
      </c>
      <c r="D17" s="11">
        <f>B17-C17</f>
        <v/>
      </c>
      <c r="E17" s="11" t="n">
        <v>0.0005</v>
      </c>
      <c r="F17">
        <f>IF(ABS(D17)&lt;=E17,"OK","CHECK")</f>
        <v/>
      </c>
    </row>
    <row r="18">
      <c r="A18" t="inlineStr">
        <is>
          <t>Descriptives: median, Gaze dwell (% of ad), Ad_A</t>
        </is>
      </c>
      <c r="B18" s="11">
        <f>Descriptives!G6</f>
        <v/>
      </c>
      <c r="C18" s="11" t="n">
        <v>43.885</v>
      </c>
      <c r="D18" s="11">
        <f>B18-C18</f>
        <v/>
      </c>
      <c r="E18" s="11" t="n">
        <v>0.0005</v>
      </c>
      <c r="F18">
        <f>IF(ABS(D18)&lt;=E18,"OK","CHECK")</f>
        <v/>
      </c>
    </row>
    <row r="19">
      <c r="A19" t="inlineStr">
        <is>
          <t>Descriptives: Q1, Gaze dwell (% of ad), Ad_A</t>
        </is>
      </c>
      <c r="B19" s="11">
        <f>Descriptives!H6</f>
        <v/>
      </c>
      <c r="C19" s="11" t="n">
        <v>38.4</v>
      </c>
      <c r="D19" s="11">
        <f>B19-C19</f>
        <v/>
      </c>
      <c r="E19" s="11" t="n">
        <v>0.0005</v>
      </c>
      <c r="F19">
        <f>IF(ABS(D19)&lt;=E19,"OK","CHECK")</f>
        <v/>
      </c>
    </row>
    <row r="20">
      <c r="A20" t="inlineStr">
        <is>
          <t>Descriptives: Q3, Gaze dwell (% of ad), Ad_A</t>
        </is>
      </c>
      <c r="B20" s="11">
        <f>Descriptives!I6</f>
        <v/>
      </c>
      <c r="C20" s="11" t="n">
        <v>48.155</v>
      </c>
      <c r="D20" s="11">
        <f>B20-C20</f>
        <v/>
      </c>
      <c r="E20" s="11" t="n">
        <v>0.0005</v>
      </c>
      <c r="F20">
        <f>IF(ABS(D20)&lt;=E20,"OK","CHECK")</f>
        <v/>
      </c>
    </row>
    <row r="21">
      <c r="A21" t="inlineStr">
        <is>
          <t>Descriptives: IQR, Gaze dwell (% of ad), Ad_A</t>
        </is>
      </c>
      <c r="B21" s="11">
        <f>Descriptives!J6</f>
        <v/>
      </c>
      <c r="C21" s="11" t="n">
        <v>9.755000000000003</v>
      </c>
      <c r="D21" s="11">
        <f>B21-C21</f>
        <v/>
      </c>
      <c r="E21" s="11" t="n">
        <v>0.0005</v>
      </c>
      <c r="F21">
        <f>IF(ABS(D21)&lt;=E21,"OK","CHECK")</f>
        <v/>
      </c>
    </row>
    <row r="22">
      <c r="A22" t="inlineStr">
        <is>
          <t>Descriptives: % at zero, Gaze dwell (% of ad), Ad_A</t>
        </is>
      </c>
      <c r="B22" s="11">
        <f>Descriptives!K6</f>
        <v/>
      </c>
      <c r="C22" s="11" t="n">
        <v>0</v>
      </c>
      <c r="D22" s="11">
        <f>B22-C22</f>
        <v/>
      </c>
      <c r="E22" s="11" t="n">
        <v>0.005</v>
      </c>
      <c r="F22">
        <f>IF(ABS(D22)&lt;=E22,"OK","CHECK")</f>
        <v/>
      </c>
    </row>
    <row r="23">
      <c r="A23" t="inlineStr">
        <is>
          <t>Descriptives: n, Gaze dwell (% of ad), Ad_A</t>
        </is>
      </c>
      <c r="B23" s="11">
        <f>Descriptives!D7</f>
        <v/>
      </c>
      <c r="C23" s="11" t="n">
        <v>22</v>
      </c>
      <c r="D23" s="11">
        <f>B23-C23</f>
        <v/>
      </c>
      <c r="E23" s="11" t="n">
        <v>1e-09</v>
      </c>
      <c r="F23">
        <f>IF(ABS(D23)&lt;=E23,"OK","CHECK")</f>
        <v/>
      </c>
    </row>
    <row r="24">
      <c r="A24" t="inlineStr">
        <is>
          <t>Descriptives: mean, Gaze dwell (% of ad), Ad_A</t>
        </is>
      </c>
      <c r="B24" s="11">
        <f>Descriptives!E7</f>
        <v/>
      </c>
      <c r="C24" s="11" t="n">
        <v>17.84409090909091</v>
      </c>
      <c r="D24" s="11">
        <f>B24-C24</f>
        <v/>
      </c>
      <c r="E24" s="11" t="n">
        <v>0.0005</v>
      </c>
      <c r="F24">
        <f>IF(ABS(D24)&lt;=E24,"OK","CHECK")</f>
        <v/>
      </c>
    </row>
    <row r="25">
      <c r="A25" t="inlineStr">
        <is>
          <t>Descriptives: SD, Gaze dwell (% of ad), Ad_A</t>
        </is>
      </c>
      <c r="B25" s="11">
        <f>Descriptives!F7</f>
        <v/>
      </c>
      <c r="C25" s="11" t="n">
        <v>7.119147661055599</v>
      </c>
      <c r="D25" s="11">
        <f>B25-C25</f>
        <v/>
      </c>
      <c r="E25" s="11" t="n">
        <v>0.0005</v>
      </c>
      <c r="F25">
        <f>IF(ABS(D25)&lt;=E25,"OK","CHECK")</f>
        <v/>
      </c>
    </row>
    <row r="26">
      <c r="A26" t="inlineStr">
        <is>
          <t>Descriptives: median, Gaze dwell (% of ad), Ad_A</t>
        </is>
      </c>
      <c r="B26" s="11">
        <f>Descriptives!G7</f>
        <v/>
      </c>
      <c r="C26" s="11" t="n">
        <v>19.195</v>
      </c>
      <c r="D26" s="11">
        <f>B26-C26</f>
        <v/>
      </c>
      <c r="E26" s="11" t="n">
        <v>0.0005</v>
      </c>
      <c r="F26">
        <f>IF(ABS(D26)&lt;=E26,"OK","CHECK")</f>
        <v/>
      </c>
    </row>
    <row r="27">
      <c r="A27" t="inlineStr">
        <is>
          <t>Descriptives: Q1, Gaze dwell (% of ad), Ad_A</t>
        </is>
      </c>
      <c r="B27" s="11">
        <f>Descriptives!H7</f>
        <v/>
      </c>
      <c r="C27" s="11" t="n">
        <v>13.3925</v>
      </c>
      <c r="D27" s="11">
        <f>B27-C27</f>
        <v/>
      </c>
      <c r="E27" s="11" t="n">
        <v>0.0005</v>
      </c>
      <c r="F27">
        <f>IF(ABS(D27)&lt;=E27,"OK","CHECK")</f>
        <v/>
      </c>
    </row>
    <row r="28">
      <c r="A28" t="inlineStr">
        <is>
          <t>Descriptives: Q3, Gaze dwell (% of ad), Ad_A</t>
        </is>
      </c>
      <c r="B28" s="11">
        <f>Descriptives!I7</f>
        <v/>
      </c>
      <c r="C28" s="11" t="n">
        <v>22.93</v>
      </c>
      <c r="D28" s="11">
        <f>B28-C28</f>
        <v/>
      </c>
      <c r="E28" s="11" t="n">
        <v>0.0005</v>
      </c>
      <c r="F28">
        <f>IF(ABS(D28)&lt;=E28,"OK","CHECK")</f>
        <v/>
      </c>
    </row>
    <row r="29">
      <c r="A29" t="inlineStr">
        <is>
          <t>Descriptives: IQR, Gaze dwell (% of ad), Ad_A</t>
        </is>
      </c>
      <c r="B29" s="11">
        <f>Descriptives!J7</f>
        <v/>
      </c>
      <c r="C29" s="11" t="n">
        <v>9.5375</v>
      </c>
      <c r="D29" s="11">
        <f>B29-C29</f>
        <v/>
      </c>
      <c r="E29" s="11" t="n">
        <v>0.0005</v>
      </c>
      <c r="F29">
        <f>IF(ABS(D29)&lt;=E29,"OK","CHECK")</f>
        <v/>
      </c>
    </row>
    <row r="30">
      <c r="A30" t="inlineStr">
        <is>
          <t>Descriptives: % at zero, Gaze dwell (% of ad), Ad_A</t>
        </is>
      </c>
      <c r="B30" s="11">
        <f>Descriptives!K7</f>
        <v/>
      </c>
      <c r="C30" s="11" t="n">
        <v>0</v>
      </c>
      <c r="D30" s="11">
        <f>B30-C30</f>
        <v/>
      </c>
      <c r="E30" s="11" t="n">
        <v>0.005</v>
      </c>
      <c r="F30">
        <f>IF(ABS(D30)&lt;=E30,"OK","CHECK")</f>
        <v/>
      </c>
    </row>
    <row r="31">
      <c r="A31" t="inlineStr">
        <is>
          <t>Descriptives: n, Gaze dwell (% of ad), Ad_B</t>
        </is>
      </c>
      <c r="B31" s="11">
        <f>Descriptives!D8</f>
        <v/>
      </c>
      <c r="C31" s="11" t="n">
        <v>22</v>
      </c>
      <c r="D31" s="11">
        <f>B31-C31</f>
        <v/>
      </c>
      <c r="E31" s="11" t="n">
        <v>1e-09</v>
      </c>
      <c r="F31">
        <f>IF(ABS(D31)&lt;=E31,"OK","CHECK")</f>
        <v/>
      </c>
    </row>
    <row r="32">
      <c r="A32" t="inlineStr">
        <is>
          <t>Descriptives: mean, Gaze dwell (% of ad), Ad_B</t>
        </is>
      </c>
      <c r="B32" s="11">
        <f>Descriptives!E8</f>
        <v/>
      </c>
      <c r="C32" s="11" t="n">
        <v>1.396363636363636</v>
      </c>
      <c r="D32" s="11">
        <f>B32-C32</f>
        <v/>
      </c>
      <c r="E32" s="11" t="n">
        <v>0.0005</v>
      </c>
      <c r="F32">
        <f>IF(ABS(D32)&lt;=E32,"OK","CHECK")</f>
        <v/>
      </c>
    </row>
    <row r="33">
      <c r="A33" t="inlineStr">
        <is>
          <t>Descriptives: SD, Gaze dwell (% of ad), Ad_B</t>
        </is>
      </c>
      <c r="B33" s="11">
        <f>Descriptives!F8</f>
        <v/>
      </c>
      <c r="C33" s="11" t="n">
        <v>1.891289671990154</v>
      </c>
      <c r="D33" s="11">
        <f>B33-C33</f>
        <v/>
      </c>
      <c r="E33" s="11" t="n">
        <v>0.0005</v>
      </c>
      <c r="F33">
        <f>IF(ABS(D33)&lt;=E33,"OK","CHECK")</f>
        <v/>
      </c>
    </row>
    <row r="34">
      <c r="A34" t="inlineStr">
        <is>
          <t>Descriptives: median, Gaze dwell (% of ad), Ad_B</t>
        </is>
      </c>
      <c r="B34" s="11">
        <f>Descriptives!G8</f>
        <v/>
      </c>
      <c r="C34" s="11" t="n">
        <v>0.75</v>
      </c>
      <c r="D34" s="11">
        <f>B34-C34</f>
        <v/>
      </c>
      <c r="E34" s="11" t="n">
        <v>0.0005</v>
      </c>
      <c r="F34">
        <f>IF(ABS(D34)&lt;=E34,"OK","CHECK")</f>
        <v/>
      </c>
    </row>
    <row r="35">
      <c r="A35" t="inlineStr">
        <is>
          <t>Descriptives: Q1, Gaze dwell (% of ad), Ad_B</t>
        </is>
      </c>
      <c r="B35" s="11">
        <f>Descriptives!H8</f>
        <v/>
      </c>
      <c r="C35" s="11" t="n">
        <v>0</v>
      </c>
      <c r="D35" s="11">
        <f>B35-C35</f>
        <v/>
      </c>
      <c r="E35" s="11" t="n">
        <v>0.0005</v>
      </c>
      <c r="F35">
        <f>IF(ABS(D35)&lt;=E35,"OK","CHECK")</f>
        <v/>
      </c>
    </row>
    <row r="36">
      <c r="A36" t="inlineStr">
        <is>
          <t>Descriptives: Q3, Gaze dwell (% of ad), Ad_B</t>
        </is>
      </c>
      <c r="B36" s="11">
        <f>Descriptives!I8</f>
        <v/>
      </c>
      <c r="C36" s="11" t="n">
        <v>2.04</v>
      </c>
      <c r="D36" s="11">
        <f>B36-C36</f>
        <v/>
      </c>
      <c r="E36" s="11" t="n">
        <v>0.0005</v>
      </c>
      <c r="F36">
        <f>IF(ABS(D36)&lt;=E36,"OK","CHECK")</f>
        <v/>
      </c>
    </row>
    <row r="37">
      <c r="A37" t="inlineStr">
        <is>
          <t>Descriptives: IQR, Gaze dwell (% of ad), Ad_B</t>
        </is>
      </c>
      <c r="B37" s="11">
        <f>Descriptives!J8</f>
        <v/>
      </c>
      <c r="C37" s="11" t="n">
        <v>2.04</v>
      </c>
      <c r="D37" s="11">
        <f>B37-C37</f>
        <v/>
      </c>
      <c r="E37" s="11" t="n">
        <v>0.0005</v>
      </c>
      <c r="F37">
        <f>IF(ABS(D37)&lt;=E37,"OK","CHECK")</f>
        <v/>
      </c>
    </row>
    <row r="38">
      <c r="A38" t="inlineStr">
        <is>
          <t>Descriptives: % at zero, Gaze dwell (% of ad), Ad_B</t>
        </is>
      </c>
      <c r="B38" s="11">
        <f>Descriptives!K8</f>
        <v/>
      </c>
      <c r="C38" s="11" t="n">
        <v>45.45454545454545</v>
      </c>
      <c r="D38" s="11">
        <f>B38-C38</f>
        <v/>
      </c>
      <c r="E38" s="11" t="n">
        <v>0.005</v>
      </c>
      <c r="F38">
        <f>IF(ABS(D38)&lt;=E38,"OK","CHECK")</f>
        <v/>
      </c>
    </row>
    <row r="39">
      <c r="A39" t="inlineStr">
        <is>
          <t>Descriptives: n, Gaze dwell (% of ad), Ad_B</t>
        </is>
      </c>
      <c r="B39" s="11">
        <f>Descriptives!D9</f>
        <v/>
      </c>
      <c r="C39" s="11" t="n">
        <v>22</v>
      </c>
      <c r="D39" s="11">
        <f>B39-C39</f>
        <v/>
      </c>
      <c r="E39" s="11" t="n">
        <v>1e-09</v>
      </c>
      <c r="F39">
        <f>IF(ABS(D39)&lt;=E39,"OK","CHECK")</f>
        <v/>
      </c>
    </row>
    <row r="40">
      <c r="A40" t="inlineStr">
        <is>
          <t>Descriptives: mean, Gaze dwell (% of ad), Ad_B</t>
        </is>
      </c>
      <c r="B40" s="11">
        <f>Descriptives!E9</f>
        <v/>
      </c>
      <c r="C40" s="11" t="n">
        <v>41.34409090909091</v>
      </c>
      <c r="D40" s="11">
        <f>B40-C40</f>
        <v/>
      </c>
      <c r="E40" s="11" t="n">
        <v>0.0005</v>
      </c>
      <c r="F40">
        <f>IF(ABS(D40)&lt;=E40,"OK","CHECK")</f>
        <v/>
      </c>
    </row>
    <row r="41">
      <c r="A41" t="inlineStr">
        <is>
          <t>Descriptives: SD, Gaze dwell (% of ad), Ad_B</t>
        </is>
      </c>
      <c r="B41" s="11">
        <f>Descriptives!F9</f>
        <v/>
      </c>
      <c r="C41" s="11" t="n">
        <v>6.168348284814223</v>
      </c>
      <c r="D41" s="11">
        <f>B41-C41</f>
        <v/>
      </c>
      <c r="E41" s="11" t="n">
        <v>0.0005</v>
      </c>
      <c r="F41">
        <f>IF(ABS(D41)&lt;=E41,"OK","CHECK")</f>
        <v/>
      </c>
    </row>
    <row r="42">
      <c r="A42" t="inlineStr">
        <is>
          <t>Descriptives: median, Gaze dwell (% of ad), Ad_B</t>
        </is>
      </c>
      <c r="B42" s="11">
        <f>Descriptives!G9</f>
        <v/>
      </c>
      <c r="C42" s="11" t="n">
        <v>41.53</v>
      </c>
      <c r="D42" s="11">
        <f>B42-C42</f>
        <v/>
      </c>
      <c r="E42" s="11" t="n">
        <v>0.0005</v>
      </c>
      <c r="F42">
        <f>IF(ABS(D42)&lt;=E42,"OK","CHECK")</f>
        <v/>
      </c>
    </row>
    <row r="43">
      <c r="A43" t="inlineStr">
        <is>
          <t>Descriptives: Q1, Gaze dwell (% of ad), Ad_B</t>
        </is>
      </c>
      <c r="B43" s="11">
        <f>Descriptives!H9</f>
        <v/>
      </c>
      <c r="C43" s="11" t="n">
        <v>38.515</v>
      </c>
      <c r="D43" s="11">
        <f>B43-C43</f>
        <v/>
      </c>
      <c r="E43" s="11" t="n">
        <v>0.0005</v>
      </c>
      <c r="F43">
        <f>IF(ABS(D43)&lt;=E43,"OK","CHECK")</f>
        <v/>
      </c>
    </row>
    <row r="44">
      <c r="A44" t="inlineStr">
        <is>
          <t>Descriptives: Q3, Gaze dwell (% of ad), Ad_B</t>
        </is>
      </c>
      <c r="B44" s="11">
        <f>Descriptives!I9</f>
        <v/>
      </c>
      <c r="C44" s="11" t="n">
        <v>45.61</v>
      </c>
      <c r="D44" s="11">
        <f>B44-C44</f>
        <v/>
      </c>
      <c r="E44" s="11" t="n">
        <v>0.0005</v>
      </c>
      <c r="F44">
        <f>IF(ABS(D44)&lt;=E44,"OK","CHECK")</f>
        <v/>
      </c>
    </row>
    <row r="45">
      <c r="A45" t="inlineStr">
        <is>
          <t>Descriptives: IQR, Gaze dwell (% of ad), Ad_B</t>
        </is>
      </c>
      <c r="B45" s="11">
        <f>Descriptives!J9</f>
        <v/>
      </c>
      <c r="C45" s="11" t="n">
        <v>7.094999999999999</v>
      </c>
      <c r="D45" s="11">
        <f>B45-C45</f>
        <v/>
      </c>
      <c r="E45" s="11" t="n">
        <v>0.0005</v>
      </c>
      <c r="F45">
        <f>IF(ABS(D45)&lt;=E45,"OK","CHECK")</f>
        <v/>
      </c>
    </row>
    <row r="46">
      <c r="A46" t="inlineStr">
        <is>
          <t>Descriptives: % at zero, Gaze dwell (% of ad), Ad_B</t>
        </is>
      </c>
      <c r="B46" s="11">
        <f>Descriptives!K9</f>
        <v/>
      </c>
      <c r="C46" s="11" t="n">
        <v>0</v>
      </c>
      <c r="D46" s="11">
        <f>B46-C46</f>
        <v/>
      </c>
      <c r="E46" s="11" t="n">
        <v>0.005</v>
      </c>
      <c r="F46">
        <f>IF(ABS(D46)&lt;=E46,"OK","CHECK")</f>
        <v/>
      </c>
    </row>
    <row r="47">
      <c r="A47" t="inlineStr">
        <is>
          <t>Descriptives: n, Gaze dwell (% of ad), Ad_B</t>
        </is>
      </c>
      <c r="B47" s="11">
        <f>Descriptives!D10</f>
        <v/>
      </c>
      <c r="C47" s="11" t="n">
        <v>22</v>
      </c>
      <c r="D47" s="11">
        <f>B47-C47</f>
        <v/>
      </c>
      <c r="E47" s="11" t="n">
        <v>1e-09</v>
      </c>
      <c r="F47">
        <f>IF(ABS(D47)&lt;=E47,"OK","CHECK")</f>
        <v/>
      </c>
    </row>
    <row r="48">
      <c r="A48" t="inlineStr">
        <is>
          <t>Descriptives: mean, Gaze dwell (% of ad), Ad_B</t>
        </is>
      </c>
      <c r="B48" s="11">
        <f>Descriptives!E10</f>
        <v/>
      </c>
      <c r="C48" s="11" t="n">
        <v>20.26727272727273</v>
      </c>
      <c r="D48" s="11">
        <f>B48-C48</f>
        <v/>
      </c>
      <c r="E48" s="11" t="n">
        <v>0.0005</v>
      </c>
      <c r="F48">
        <f>IF(ABS(D48)&lt;=E48,"OK","CHECK")</f>
        <v/>
      </c>
    </row>
    <row r="49">
      <c r="A49" t="inlineStr">
        <is>
          <t>Descriptives: SD, Gaze dwell (% of ad), Ad_B</t>
        </is>
      </c>
      <c r="B49" s="11">
        <f>Descriptives!F10</f>
        <v/>
      </c>
      <c r="C49" s="11" t="n">
        <v>6.441643669140134</v>
      </c>
      <c r="D49" s="11">
        <f>B49-C49</f>
        <v/>
      </c>
      <c r="E49" s="11" t="n">
        <v>0.0005</v>
      </c>
      <c r="F49">
        <f>IF(ABS(D49)&lt;=E49,"OK","CHECK")</f>
        <v/>
      </c>
    </row>
    <row r="50">
      <c r="A50" t="inlineStr">
        <is>
          <t>Descriptives: median, Gaze dwell (% of ad), Ad_B</t>
        </is>
      </c>
      <c r="B50" s="11">
        <f>Descriptives!G10</f>
        <v/>
      </c>
      <c r="C50" s="11" t="n">
        <v>21.75</v>
      </c>
      <c r="D50" s="11">
        <f>B50-C50</f>
        <v/>
      </c>
      <c r="E50" s="11" t="n">
        <v>0.0005</v>
      </c>
      <c r="F50">
        <f>IF(ABS(D50)&lt;=E50,"OK","CHECK")</f>
        <v/>
      </c>
    </row>
    <row r="51">
      <c r="A51" t="inlineStr">
        <is>
          <t>Descriptives: Q1, Gaze dwell (% of ad), Ad_B</t>
        </is>
      </c>
      <c r="B51" s="11">
        <f>Descriptives!H10</f>
        <v/>
      </c>
      <c r="C51" s="11" t="n">
        <v>15.93</v>
      </c>
      <c r="D51" s="11">
        <f>B51-C51</f>
        <v/>
      </c>
      <c r="E51" s="11" t="n">
        <v>0.0005</v>
      </c>
      <c r="F51">
        <f>IF(ABS(D51)&lt;=E51,"OK","CHECK")</f>
        <v/>
      </c>
    </row>
    <row r="52">
      <c r="A52" t="inlineStr">
        <is>
          <t>Descriptives: Q3, Gaze dwell (% of ad), Ad_B</t>
        </is>
      </c>
      <c r="B52" s="11">
        <f>Descriptives!I10</f>
        <v/>
      </c>
      <c r="C52" s="11" t="n">
        <v>23.79</v>
      </c>
      <c r="D52" s="11">
        <f>B52-C52</f>
        <v/>
      </c>
      <c r="E52" s="11" t="n">
        <v>0.0005</v>
      </c>
      <c r="F52">
        <f>IF(ABS(D52)&lt;=E52,"OK","CHECK")</f>
        <v/>
      </c>
    </row>
    <row r="53">
      <c r="A53" t="inlineStr">
        <is>
          <t>Descriptives: IQR, Gaze dwell (% of ad), Ad_B</t>
        </is>
      </c>
      <c r="B53" s="11">
        <f>Descriptives!J10</f>
        <v/>
      </c>
      <c r="C53" s="11" t="n">
        <v>7.859999999999999</v>
      </c>
      <c r="D53" s="11">
        <f>B53-C53</f>
        <v/>
      </c>
      <c r="E53" s="11" t="n">
        <v>0.0005</v>
      </c>
      <c r="F53">
        <f>IF(ABS(D53)&lt;=E53,"OK","CHECK")</f>
        <v/>
      </c>
    </row>
    <row r="54">
      <c r="A54" t="inlineStr">
        <is>
          <t>Descriptives: % at zero, Gaze dwell (% of ad), Ad_B</t>
        </is>
      </c>
      <c r="B54" s="11">
        <f>Descriptives!K10</f>
        <v/>
      </c>
      <c r="C54" s="11" t="n">
        <v>0</v>
      </c>
      <c r="D54" s="11">
        <f>B54-C54</f>
        <v/>
      </c>
      <c r="E54" s="11" t="n">
        <v>0.005</v>
      </c>
      <c r="F54">
        <f>IF(ABS(D54)&lt;=E54,"OK","CHECK")</f>
        <v/>
      </c>
    </row>
    <row r="55">
      <c r="A55" t="inlineStr">
        <is>
          <t>Descriptives: n, Joy (% of time), Baseline</t>
        </is>
      </c>
      <c r="B55" s="11">
        <f>Descriptives!D14</f>
        <v/>
      </c>
      <c r="C55" s="11" t="n">
        <v>22</v>
      </c>
      <c r="D55" s="11">
        <f>B55-C55</f>
        <v/>
      </c>
      <c r="E55" s="11" t="n">
        <v>1e-09</v>
      </c>
      <c r="F55">
        <f>IF(ABS(D55)&lt;=E55,"OK","CHECK")</f>
        <v/>
      </c>
    </row>
    <row r="56">
      <c r="A56" t="inlineStr">
        <is>
          <t>Descriptives: mean, Joy (% of time), Baseline</t>
        </is>
      </c>
      <c r="B56" s="11">
        <f>Descriptives!E14</f>
        <v/>
      </c>
      <c r="C56" s="11" t="n">
        <v>0.3786363636363637</v>
      </c>
      <c r="D56" s="11">
        <f>B56-C56</f>
        <v/>
      </c>
      <c r="E56" s="11" t="n">
        <v>0.0005</v>
      </c>
      <c r="F56">
        <f>IF(ABS(D56)&lt;=E56,"OK","CHECK")</f>
        <v/>
      </c>
    </row>
    <row r="57">
      <c r="A57" t="inlineStr">
        <is>
          <t>Descriptives: SD, Joy (% of time), Baseline</t>
        </is>
      </c>
      <c r="B57" s="11">
        <f>Descriptives!F14</f>
        <v/>
      </c>
      <c r="C57" s="11" t="n">
        <v>1.421683426868924</v>
      </c>
      <c r="D57" s="11">
        <f>B57-C57</f>
        <v/>
      </c>
      <c r="E57" s="11" t="n">
        <v>0.0005</v>
      </c>
      <c r="F57">
        <f>IF(ABS(D57)&lt;=E57,"OK","CHECK")</f>
        <v/>
      </c>
    </row>
    <row r="58">
      <c r="A58" t="inlineStr">
        <is>
          <t>Descriptives: median, Joy (% of time), Baseline</t>
        </is>
      </c>
      <c r="B58" s="11">
        <f>Descriptives!G14</f>
        <v/>
      </c>
      <c r="C58" s="11" t="n">
        <v>0</v>
      </c>
      <c r="D58" s="11">
        <f>B58-C58</f>
        <v/>
      </c>
      <c r="E58" s="11" t="n">
        <v>0.0005</v>
      </c>
      <c r="F58">
        <f>IF(ABS(D58)&lt;=E58,"OK","CHECK")</f>
        <v/>
      </c>
    </row>
    <row r="59">
      <c r="A59" t="inlineStr">
        <is>
          <t>Descriptives: Q1, Joy (% of time), Baseline</t>
        </is>
      </c>
      <c r="B59" s="11">
        <f>Descriptives!H14</f>
        <v/>
      </c>
      <c r="C59" s="11" t="n">
        <v>0</v>
      </c>
      <c r="D59" s="11">
        <f>B59-C59</f>
        <v/>
      </c>
      <c r="E59" s="11" t="n">
        <v>0.0005</v>
      </c>
      <c r="F59">
        <f>IF(ABS(D59)&lt;=E59,"OK","CHECK")</f>
        <v/>
      </c>
    </row>
    <row r="60">
      <c r="A60" t="inlineStr">
        <is>
          <t>Descriptives: Q3, Joy (% of time), Baseline</t>
        </is>
      </c>
      <c r="B60" s="11">
        <f>Descriptives!I14</f>
        <v/>
      </c>
      <c r="C60" s="11" t="n">
        <v>0</v>
      </c>
      <c r="D60" s="11">
        <f>B60-C60</f>
        <v/>
      </c>
      <c r="E60" s="11" t="n">
        <v>0.0005</v>
      </c>
      <c r="F60">
        <f>IF(ABS(D60)&lt;=E60,"OK","CHECK")</f>
        <v/>
      </c>
    </row>
    <row r="61">
      <c r="A61" t="inlineStr">
        <is>
          <t>Descriptives: IQR, Joy (% of time), Baseline</t>
        </is>
      </c>
      <c r="B61" s="11">
        <f>Descriptives!J14</f>
        <v/>
      </c>
      <c r="C61" s="11" t="n">
        <v>0</v>
      </c>
      <c r="D61" s="11">
        <f>B61-C61</f>
        <v/>
      </c>
      <c r="E61" s="11" t="n">
        <v>0.0005</v>
      </c>
      <c r="F61">
        <f>IF(ABS(D61)&lt;=E61,"OK","CHECK")</f>
        <v/>
      </c>
    </row>
    <row r="62">
      <c r="A62" t="inlineStr">
        <is>
          <t>Descriptives: % at zero, Joy (% of time), Baseline</t>
        </is>
      </c>
      <c r="B62" s="11">
        <f>Descriptives!K14</f>
        <v/>
      </c>
      <c r="C62" s="11" t="n">
        <v>90.90909090909091</v>
      </c>
      <c r="D62" s="11">
        <f>B62-C62</f>
        <v/>
      </c>
      <c r="E62" s="11" t="n">
        <v>0.005</v>
      </c>
      <c r="F62">
        <f>IF(ABS(D62)&lt;=E62,"OK","CHECK")</f>
        <v/>
      </c>
    </row>
    <row r="63">
      <c r="A63" t="inlineStr">
        <is>
          <t>Descriptives: n, Joy (% of time), Ad_A</t>
        </is>
      </c>
      <c r="B63" s="11">
        <f>Descriptives!D15</f>
        <v/>
      </c>
      <c r="C63" s="11" t="n">
        <v>22</v>
      </c>
      <c r="D63" s="11">
        <f>B63-C63</f>
        <v/>
      </c>
      <c r="E63" s="11" t="n">
        <v>1e-09</v>
      </c>
      <c r="F63">
        <f>IF(ABS(D63)&lt;=E63,"OK","CHECK")</f>
        <v/>
      </c>
    </row>
    <row r="64">
      <c r="A64" t="inlineStr">
        <is>
          <t>Descriptives: mean, Joy (% of time), Ad_A</t>
        </is>
      </c>
      <c r="B64" s="11">
        <f>Descriptives!E15</f>
        <v/>
      </c>
      <c r="C64" s="11" t="n">
        <v>12.13136363636364</v>
      </c>
      <c r="D64" s="11">
        <f>B64-C64</f>
        <v/>
      </c>
      <c r="E64" s="11" t="n">
        <v>0.0005</v>
      </c>
      <c r="F64">
        <f>IF(ABS(D64)&lt;=E64,"OK","CHECK")</f>
        <v/>
      </c>
    </row>
    <row r="65">
      <c r="A65" t="inlineStr">
        <is>
          <t>Descriptives: SD, Joy (% of time), Ad_A</t>
        </is>
      </c>
      <c r="B65" s="11">
        <f>Descriptives!F15</f>
        <v/>
      </c>
      <c r="C65" s="11" t="n">
        <v>10.80829324240663</v>
      </c>
      <c r="D65" s="11">
        <f>B65-C65</f>
        <v/>
      </c>
      <c r="E65" s="11" t="n">
        <v>0.0005</v>
      </c>
      <c r="F65">
        <f>IF(ABS(D65)&lt;=E65,"OK","CHECK")</f>
        <v/>
      </c>
    </row>
    <row r="66">
      <c r="A66" t="inlineStr">
        <is>
          <t>Descriptives: median, Joy (% of time), Ad_A</t>
        </is>
      </c>
      <c r="B66" s="11">
        <f>Descriptives!G15</f>
        <v/>
      </c>
      <c r="C66" s="11" t="n">
        <v>9.664999999999999</v>
      </c>
      <c r="D66" s="11">
        <f>B66-C66</f>
        <v/>
      </c>
      <c r="E66" s="11" t="n">
        <v>0.0005</v>
      </c>
      <c r="F66">
        <f>IF(ABS(D66)&lt;=E66,"OK","CHECK")</f>
        <v/>
      </c>
    </row>
    <row r="67">
      <c r="A67" t="inlineStr">
        <is>
          <t>Descriptives: Q1, Joy (% of time), Ad_A</t>
        </is>
      </c>
      <c r="B67" s="11">
        <f>Descriptives!H15</f>
        <v/>
      </c>
      <c r="C67" s="11" t="n">
        <v>3.1925</v>
      </c>
      <c r="D67" s="11">
        <f>B67-C67</f>
        <v/>
      </c>
      <c r="E67" s="11" t="n">
        <v>0.0005</v>
      </c>
      <c r="F67">
        <f>IF(ABS(D67)&lt;=E67,"OK","CHECK")</f>
        <v/>
      </c>
    </row>
    <row r="68">
      <c r="A68" t="inlineStr">
        <is>
          <t>Descriptives: Q3, Joy (% of time), Ad_A</t>
        </is>
      </c>
      <c r="B68" s="11">
        <f>Descriptives!I15</f>
        <v/>
      </c>
      <c r="C68" s="11" t="n">
        <v>18.975</v>
      </c>
      <c r="D68" s="11">
        <f>B68-C68</f>
        <v/>
      </c>
      <c r="E68" s="11" t="n">
        <v>0.0005</v>
      </c>
      <c r="F68">
        <f>IF(ABS(D68)&lt;=E68,"OK","CHECK")</f>
        <v/>
      </c>
    </row>
    <row r="69">
      <c r="A69" t="inlineStr">
        <is>
          <t>Descriptives: IQR, Joy (% of time), Ad_A</t>
        </is>
      </c>
      <c r="B69" s="11">
        <f>Descriptives!J15</f>
        <v/>
      </c>
      <c r="C69" s="11" t="n">
        <v>15.7825</v>
      </c>
      <c r="D69" s="11">
        <f>B69-C69</f>
        <v/>
      </c>
      <c r="E69" s="11" t="n">
        <v>0.0005</v>
      </c>
      <c r="F69">
        <f>IF(ABS(D69)&lt;=E69,"OK","CHECK")</f>
        <v/>
      </c>
    </row>
    <row r="70">
      <c r="A70" t="inlineStr">
        <is>
          <t>Descriptives: % at zero, Joy (% of time), Ad_A</t>
        </is>
      </c>
      <c r="B70" s="11">
        <f>Descriptives!K15</f>
        <v/>
      </c>
      <c r="C70" s="11" t="n">
        <v>13.63636363636363</v>
      </c>
      <c r="D70" s="11">
        <f>B70-C70</f>
        <v/>
      </c>
      <c r="E70" s="11" t="n">
        <v>0.005</v>
      </c>
      <c r="F70">
        <f>IF(ABS(D70)&lt;=E70,"OK","CHECK")</f>
        <v/>
      </c>
    </row>
    <row r="71">
      <c r="A71" t="inlineStr">
        <is>
          <t>Descriptives: n, Joy (% of time), Ad_B</t>
        </is>
      </c>
      <c r="B71" s="11">
        <f>Descriptives!D16</f>
        <v/>
      </c>
      <c r="C71" s="11" t="n">
        <v>22</v>
      </c>
      <c r="D71" s="11">
        <f>B71-C71</f>
        <v/>
      </c>
      <c r="E71" s="11" t="n">
        <v>1e-09</v>
      </c>
      <c r="F71">
        <f>IF(ABS(D71)&lt;=E71,"OK","CHECK")</f>
        <v/>
      </c>
    </row>
    <row r="72">
      <c r="A72" t="inlineStr">
        <is>
          <t>Descriptives: mean, Joy (% of time), Ad_B</t>
        </is>
      </c>
      <c r="B72" s="11">
        <f>Descriptives!E16</f>
        <v/>
      </c>
      <c r="C72" s="11" t="n">
        <v>8.328636363636363</v>
      </c>
      <c r="D72" s="11">
        <f>B72-C72</f>
        <v/>
      </c>
      <c r="E72" s="11" t="n">
        <v>0.0005</v>
      </c>
      <c r="F72">
        <f>IF(ABS(D72)&lt;=E72,"OK","CHECK")</f>
        <v/>
      </c>
    </row>
    <row r="73">
      <c r="A73" t="inlineStr">
        <is>
          <t>Descriptives: SD, Joy (% of time), Ad_B</t>
        </is>
      </c>
      <c r="B73" s="11">
        <f>Descriptives!F16</f>
        <v/>
      </c>
      <c r="C73" s="11" t="n">
        <v>9.463886896767374</v>
      </c>
      <c r="D73" s="11">
        <f>B73-C73</f>
        <v/>
      </c>
      <c r="E73" s="11" t="n">
        <v>0.0005</v>
      </c>
      <c r="F73">
        <f>IF(ABS(D73)&lt;=E73,"OK","CHECK")</f>
        <v/>
      </c>
    </row>
    <row r="74">
      <c r="A74" t="inlineStr">
        <is>
          <t>Descriptives: median, Joy (% of time), Ad_B</t>
        </is>
      </c>
      <c r="B74" s="11">
        <f>Descriptives!G16</f>
        <v/>
      </c>
      <c r="C74" s="11" t="n">
        <v>3.78</v>
      </c>
      <c r="D74" s="11">
        <f>B74-C74</f>
        <v/>
      </c>
      <c r="E74" s="11" t="n">
        <v>0.0005</v>
      </c>
      <c r="F74">
        <f>IF(ABS(D74)&lt;=E74,"OK","CHECK")</f>
        <v/>
      </c>
    </row>
    <row r="75">
      <c r="A75" t="inlineStr">
        <is>
          <t>Descriptives: Q1, Joy (% of time), Ad_B</t>
        </is>
      </c>
      <c r="B75" s="11">
        <f>Descriptives!H16</f>
        <v/>
      </c>
      <c r="C75" s="11" t="n">
        <v>0</v>
      </c>
      <c r="D75" s="11">
        <f>B75-C75</f>
        <v/>
      </c>
      <c r="E75" s="11" t="n">
        <v>0.0005</v>
      </c>
      <c r="F75">
        <f>IF(ABS(D75)&lt;=E75,"OK","CHECK")</f>
        <v/>
      </c>
    </row>
    <row r="76">
      <c r="A76" t="inlineStr">
        <is>
          <t>Descriptives: Q3, Joy (% of time), Ad_B</t>
        </is>
      </c>
      <c r="B76" s="11">
        <f>Descriptives!I16</f>
        <v/>
      </c>
      <c r="C76" s="11" t="n">
        <v>16.475</v>
      </c>
      <c r="D76" s="11">
        <f>B76-C76</f>
        <v/>
      </c>
      <c r="E76" s="11" t="n">
        <v>0.0005</v>
      </c>
      <c r="F76">
        <f>IF(ABS(D76)&lt;=E76,"OK","CHECK")</f>
        <v/>
      </c>
    </row>
    <row r="77">
      <c r="A77" t="inlineStr">
        <is>
          <t>Descriptives: IQR, Joy (% of time), Ad_B</t>
        </is>
      </c>
      <c r="B77" s="11">
        <f>Descriptives!J16</f>
        <v/>
      </c>
      <c r="C77" s="11" t="n">
        <v>16.475</v>
      </c>
      <c r="D77" s="11">
        <f>B77-C77</f>
        <v/>
      </c>
      <c r="E77" s="11" t="n">
        <v>0.0005</v>
      </c>
      <c r="F77">
        <f>IF(ABS(D77)&lt;=E77,"OK","CHECK")</f>
        <v/>
      </c>
    </row>
    <row r="78">
      <c r="A78" t="inlineStr">
        <is>
          <t>Descriptives: % at zero, Joy (% of time), Ad_B</t>
        </is>
      </c>
      <c r="B78" s="11">
        <f>Descriptives!K16</f>
        <v/>
      </c>
      <c r="C78" s="11" t="n">
        <v>36.36363636363637</v>
      </c>
      <c r="D78" s="11">
        <f>B78-C78</f>
        <v/>
      </c>
      <c r="E78" s="11" t="n">
        <v>0.005</v>
      </c>
      <c r="F78">
        <f>IF(ABS(D78)&lt;=E78,"OK","CHECK")</f>
        <v/>
      </c>
    </row>
    <row r="79">
      <c r="A79" t="inlineStr">
        <is>
          <t>Descriptives: n, Engagement (% of time), Baseline</t>
        </is>
      </c>
      <c r="B79" s="11">
        <f>Descriptives!D17</f>
        <v/>
      </c>
      <c r="C79" s="11" t="n">
        <v>22</v>
      </c>
      <c r="D79" s="11">
        <f>B79-C79</f>
        <v/>
      </c>
      <c r="E79" s="11" t="n">
        <v>1e-09</v>
      </c>
      <c r="F79">
        <f>IF(ABS(D79)&lt;=E79,"OK","CHECK")</f>
        <v/>
      </c>
    </row>
    <row r="80">
      <c r="A80" t="inlineStr">
        <is>
          <t>Descriptives: mean, Engagement (% of time), Baseline</t>
        </is>
      </c>
      <c r="B80" s="11">
        <f>Descriptives!E17</f>
        <v/>
      </c>
      <c r="C80" s="11" t="n">
        <v>2.33</v>
      </c>
      <c r="D80" s="11">
        <f>B80-C80</f>
        <v/>
      </c>
      <c r="E80" s="11" t="n">
        <v>0.0005</v>
      </c>
      <c r="F80">
        <f>IF(ABS(D80)&lt;=E80,"OK","CHECK")</f>
        <v/>
      </c>
    </row>
    <row r="81">
      <c r="A81" t="inlineStr">
        <is>
          <t>Descriptives: SD, Engagement (% of time), Baseline</t>
        </is>
      </c>
      <c r="B81" s="11">
        <f>Descriptives!F17</f>
        <v/>
      </c>
      <c r="C81" s="11" t="n">
        <v>2.359634757854738</v>
      </c>
      <c r="D81" s="11">
        <f>B81-C81</f>
        <v/>
      </c>
      <c r="E81" s="11" t="n">
        <v>0.0005</v>
      </c>
      <c r="F81">
        <f>IF(ABS(D81)&lt;=E81,"OK","CHECK")</f>
        <v/>
      </c>
    </row>
    <row r="82">
      <c r="A82" t="inlineStr">
        <is>
          <t>Descriptives: median, Engagement (% of time), Baseline</t>
        </is>
      </c>
      <c r="B82" s="11">
        <f>Descriptives!G17</f>
        <v/>
      </c>
      <c r="C82" s="11" t="n">
        <v>1.385</v>
      </c>
      <c r="D82" s="11">
        <f>B82-C82</f>
        <v/>
      </c>
      <c r="E82" s="11" t="n">
        <v>0.0005</v>
      </c>
      <c r="F82">
        <f>IF(ABS(D82)&lt;=E82,"OK","CHECK")</f>
        <v/>
      </c>
    </row>
    <row r="83">
      <c r="A83" t="inlineStr">
        <is>
          <t>Descriptives: Q1, Engagement (% of time), Baseline</t>
        </is>
      </c>
      <c r="B83" s="11">
        <f>Descriptives!H17</f>
        <v/>
      </c>
      <c r="C83" s="11" t="n">
        <v>0.14</v>
      </c>
      <c r="D83" s="11">
        <f>B83-C83</f>
        <v/>
      </c>
      <c r="E83" s="11" t="n">
        <v>0.0005</v>
      </c>
      <c r="F83">
        <f>IF(ABS(D83)&lt;=E83,"OK","CHECK")</f>
        <v/>
      </c>
    </row>
    <row r="84">
      <c r="A84" t="inlineStr">
        <is>
          <t>Descriptives: Q3, Engagement (% of time), Baseline</t>
        </is>
      </c>
      <c r="B84" s="11">
        <f>Descriptives!I17</f>
        <v/>
      </c>
      <c r="C84" s="11" t="n">
        <v>4.1225</v>
      </c>
      <c r="D84" s="11">
        <f>B84-C84</f>
        <v/>
      </c>
      <c r="E84" s="11" t="n">
        <v>0.0005</v>
      </c>
      <c r="F84">
        <f>IF(ABS(D84)&lt;=E84,"OK","CHECK")</f>
        <v/>
      </c>
    </row>
    <row r="85">
      <c r="A85" t="inlineStr">
        <is>
          <t>Descriptives: IQR, Engagement (% of time), Baseline</t>
        </is>
      </c>
      <c r="B85" s="11">
        <f>Descriptives!J17</f>
        <v/>
      </c>
      <c r="C85" s="11" t="n">
        <v>3.9825</v>
      </c>
      <c r="D85" s="11">
        <f>B85-C85</f>
        <v/>
      </c>
      <c r="E85" s="11" t="n">
        <v>0.0005</v>
      </c>
      <c r="F85">
        <f>IF(ABS(D85)&lt;=E85,"OK","CHECK")</f>
        <v/>
      </c>
    </row>
    <row r="86">
      <c r="A86" t="inlineStr">
        <is>
          <t>Descriptives: % at zero, Engagement (% of time), Baseline</t>
        </is>
      </c>
      <c r="B86" s="11">
        <f>Descriptives!K17</f>
        <v/>
      </c>
      <c r="C86" s="11" t="n">
        <v>27.27272727272727</v>
      </c>
      <c r="D86" s="11">
        <f>B86-C86</f>
        <v/>
      </c>
      <c r="E86" s="11" t="n">
        <v>0.005</v>
      </c>
      <c r="F86">
        <f>IF(ABS(D86)&lt;=E86,"OK","CHECK")</f>
        <v/>
      </c>
    </row>
    <row r="87">
      <c r="A87" t="inlineStr">
        <is>
          <t>Descriptives: n, Engagement (% of time), Ad_A</t>
        </is>
      </c>
      <c r="B87" s="11">
        <f>Descriptives!D18</f>
        <v/>
      </c>
      <c r="C87" s="11" t="n">
        <v>22</v>
      </c>
      <c r="D87" s="11">
        <f>B87-C87</f>
        <v/>
      </c>
      <c r="E87" s="11" t="n">
        <v>1e-09</v>
      </c>
      <c r="F87">
        <f>IF(ABS(D87)&lt;=E87,"OK","CHECK")</f>
        <v/>
      </c>
    </row>
    <row r="88">
      <c r="A88" t="inlineStr">
        <is>
          <t>Descriptives: mean, Engagement (% of time), Ad_A</t>
        </is>
      </c>
      <c r="B88" s="11">
        <f>Descriptives!E18</f>
        <v/>
      </c>
      <c r="C88" s="11" t="n">
        <v>14.51590909090909</v>
      </c>
      <c r="D88" s="11">
        <f>B88-C88</f>
        <v/>
      </c>
      <c r="E88" s="11" t="n">
        <v>0.0005</v>
      </c>
      <c r="F88">
        <f>IF(ABS(D88)&lt;=E88,"OK","CHECK")</f>
        <v/>
      </c>
    </row>
    <row r="89">
      <c r="A89" t="inlineStr">
        <is>
          <t>Descriptives: SD, Engagement (% of time), Ad_A</t>
        </is>
      </c>
      <c r="B89" s="11">
        <f>Descriptives!F18</f>
        <v/>
      </c>
      <c r="C89" s="11" t="n">
        <v>11.71929815023917</v>
      </c>
      <c r="D89" s="11">
        <f>B89-C89</f>
        <v/>
      </c>
      <c r="E89" s="11" t="n">
        <v>0.0005</v>
      </c>
      <c r="F89">
        <f>IF(ABS(D89)&lt;=E89,"OK","CHECK")</f>
        <v/>
      </c>
    </row>
    <row r="90">
      <c r="A90" t="inlineStr">
        <is>
          <t>Descriptives: median, Engagement (% of time), Ad_A</t>
        </is>
      </c>
      <c r="B90" s="11">
        <f>Descriptives!G18</f>
        <v/>
      </c>
      <c r="C90" s="11" t="n">
        <v>11.445</v>
      </c>
      <c r="D90" s="11">
        <f>B90-C90</f>
        <v/>
      </c>
      <c r="E90" s="11" t="n">
        <v>0.0005</v>
      </c>
      <c r="F90">
        <f>IF(ABS(D90)&lt;=E90,"OK","CHECK")</f>
        <v/>
      </c>
    </row>
    <row r="91">
      <c r="A91" t="inlineStr">
        <is>
          <t>Descriptives: Q1, Engagement (% of time), Ad_A</t>
        </is>
      </c>
      <c r="B91" s="11">
        <f>Descriptives!H18</f>
        <v/>
      </c>
      <c r="C91" s="11" t="n">
        <v>4.3925</v>
      </c>
      <c r="D91" s="11">
        <f>B91-C91</f>
        <v/>
      </c>
      <c r="E91" s="11" t="n">
        <v>0.0005</v>
      </c>
      <c r="F91">
        <f>IF(ABS(D91)&lt;=E91,"OK","CHECK")</f>
        <v/>
      </c>
    </row>
    <row r="92">
      <c r="A92" t="inlineStr">
        <is>
          <t>Descriptives: Q3, Engagement (% of time), Ad_A</t>
        </is>
      </c>
      <c r="B92" s="11">
        <f>Descriptives!I18</f>
        <v/>
      </c>
      <c r="C92" s="11" t="n">
        <v>20.17</v>
      </c>
      <c r="D92" s="11">
        <f>B92-C92</f>
        <v/>
      </c>
      <c r="E92" s="11" t="n">
        <v>0.0005</v>
      </c>
      <c r="F92">
        <f>IF(ABS(D92)&lt;=E92,"OK","CHECK")</f>
        <v/>
      </c>
    </row>
    <row r="93">
      <c r="A93" t="inlineStr">
        <is>
          <t>Descriptives: IQR, Engagement (% of time), Ad_A</t>
        </is>
      </c>
      <c r="B93" s="11">
        <f>Descriptives!J18</f>
        <v/>
      </c>
      <c r="C93" s="11" t="n">
        <v>15.7775</v>
      </c>
      <c r="D93" s="11">
        <f>B93-C93</f>
        <v/>
      </c>
      <c r="E93" s="11" t="n">
        <v>0.0005</v>
      </c>
      <c r="F93">
        <f>IF(ABS(D93)&lt;=E93,"OK","CHECK")</f>
        <v/>
      </c>
    </row>
    <row r="94">
      <c r="A94" t="inlineStr">
        <is>
          <t>Descriptives: % at zero, Engagement (% of time), Ad_A</t>
        </is>
      </c>
      <c r="B94" s="11">
        <f>Descriptives!K18</f>
        <v/>
      </c>
      <c r="C94" s="11" t="n">
        <v>4.545454545454546</v>
      </c>
      <c r="D94" s="11">
        <f>B94-C94</f>
        <v/>
      </c>
      <c r="E94" s="11" t="n">
        <v>0.005</v>
      </c>
      <c r="F94">
        <f>IF(ABS(D94)&lt;=E94,"OK","CHECK")</f>
        <v/>
      </c>
    </row>
    <row r="95">
      <c r="A95" t="inlineStr">
        <is>
          <t>Descriptives: n, Engagement (% of time), Ad_B</t>
        </is>
      </c>
      <c r="B95" s="11">
        <f>Descriptives!D19</f>
        <v/>
      </c>
      <c r="C95" s="11" t="n">
        <v>22</v>
      </c>
      <c r="D95" s="11">
        <f>B95-C95</f>
        <v/>
      </c>
      <c r="E95" s="11" t="n">
        <v>1e-09</v>
      </c>
      <c r="F95">
        <f>IF(ABS(D95)&lt;=E95,"OK","CHECK")</f>
        <v/>
      </c>
    </row>
    <row r="96">
      <c r="A96" t="inlineStr">
        <is>
          <t>Descriptives: mean, Engagement (% of time), Ad_B</t>
        </is>
      </c>
      <c r="B96" s="11">
        <f>Descriptives!E19</f>
        <v/>
      </c>
      <c r="C96" s="11" t="n">
        <v>9.949545454545454</v>
      </c>
      <c r="D96" s="11">
        <f>B96-C96</f>
        <v/>
      </c>
      <c r="E96" s="11" t="n">
        <v>0.0005</v>
      </c>
      <c r="F96">
        <f>IF(ABS(D96)&lt;=E96,"OK","CHECK")</f>
        <v/>
      </c>
    </row>
    <row r="97">
      <c r="A97" t="inlineStr">
        <is>
          <t>Descriptives: SD, Engagement (% of time), Ad_B</t>
        </is>
      </c>
      <c r="B97" s="11">
        <f>Descriptives!F19</f>
        <v/>
      </c>
      <c r="C97" s="11" t="n">
        <v>10.01437465763838</v>
      </c>
      <c r="D97" s="11">
        <f>B97-C97</f>
        <v/>
      </c>
      <c r="E97" s="11" t="n">
        <v>0.0005</v>
      </c>
      <c r="F97">
        <f>IF(ABS(D97)&lt;=E97,"OK","CHECK")</f>
        <v/>
      </c>
    </row>
    <row r="98">
      <c r="A98" t="inlineStr">
        <is>
          <t>Descriptives: median, Engagement (% of time), Ad_B</t>
        </is>
      </c>
      <c r="B98" s="11">
        <f>Descriptives!G19</f>
        <v/>
      </c>
      <c r="C98" s="11" t="n">
        <v>6.109999999999999</v>
      </c>
      <c r="D98" s="11">
        <f>B98-C98</f>
        <v/>
      </c>
      <c r="E98" s="11" t="n">
        <v>0.0005</v>
      </c>
      <c r="F98">
        <f>IF(ABS(D98)&lt;=E98,"OK","CHECK")</f>
        <v/>
      </c>
    </row>
    <row r="99">
      <c r="A99" t="inlineStr">
        <is>
          <t>Descriptives: Q1, Engagement (% of time), Ad_B</t>
        </is>
      </c>
      <c r="B99" s="11">
        <f>Descriptives!H19</f>
        <v/>
      </c>
      <c r="C99" s="11" t="n">
        <v>0.36</v>
      </c>
      <c r="D99" s="11">
        <f>B99-C99</f>
        <v/>
      </c>
      <c r="E99" s="11" t="n">
        <v>0.0005</v>
      </c>
      <c r="F99">
        <f>IF(ABS(D99)&lt;=E99,"OK","CHECK")</f>
        <v/>
      </c>
    </row>
    <row r="100">
      <c r="A100" t="inlineStr">
        <is>
          <t>Descriptives: Q3, Engagement (% of time), Ad_B</t>
        </is>
      </c>
      <c r="B100" s="11">
        <f>Descriptives!I19</f>
        <v/>
      </c>
      <c r="C100" s="11" t="n">
        <v>19.135</v>
      </c>
      <c r="D100" s="11">
        <f>B100-C100</f>
        <v/>
      </c>
      <c r="E100" s="11" t="n">
        <v>0.0005</v>
      </c>
      <c r="F100">
        <f>IF(ABS(D100)&lt;=E100,"OK","CHECK")</f>
        <v/>
      </c>
    </row>
    <row r="101">
      <c r="A101" t="inlineStr">
        <is>
          <t>Descriptives: IQR, Engagement (% of time), Ad_B</t>
        </is>
      </c>
      <c r="B101" s="11">
        <f>Descriptives!J19</f>
        <v/>
      </c>
      <c r="C101" s="11" t="n">
        <v>18.775</v>
      </c>
      <c r="D101" s="11">
        <f>B101-C101</f>
        <v/>
      </c>
      <c r="E101" s="11" t="n">
        <v>0.0005</v>
      </c>
      <c r="F101">
        <f>IF(ABS(D101)&lt;=E101,"OK","CHECK")</f>
        <v/>
      </c>
    </row>
    <row r="102">
      <c r="A102" t="inlineStr">
        <is>
          <t>Descriptives: % at zero, Engagement (% of time), Ad_B</t>
        </is>
      </c>
      <c r="B102" s="11">
        <f>Descriptives!K19</f>
        <v/>
      </c>
      <c r="C102" s="11" t="n">
        <v>27.27272727272727</v>
      </c>
      <c r="D102" s="11">
        <f>B102-C102</f>
        <v/>
      </c>
      <c r="E102" s="11" t="n">
        <v>0.005</v>
      </c>
      <c r="F102">
        <f>IF(ABS(D102)&lt;=E102,"OK","CHECK")</f>
        <v/>
      </c>
    </row>
    <row r="103">
      <c r="A103" t="inlineStr">
        <is>
          <t>Descriptives: n, Brow Furrow (% of time), Baseline</t>
        </is>
      </c>
      <c r="B103" s="11">
        <f>Descriptives!D20</f>
        <v/>
      </c>
      <c r="C103" s="11" t="n">
        <v>22</v>
      </c>
      <c r="D103" s="11">
        <f>B103-C103</f>
        <v/>
      </c>
      <c r="E103" s="11" t="n">
        <v>1e-09</v>
      </c>
      <c r="F103">
        <f>IF(ABS(D103)&lt;=E103,"OK","CHECK")</f>
        <v/>
      </c>
    </row>
    <row r="104">
      <c r="A104" t="inlineStr">
        <is>
          <t>Descriptives: mean, Brow Furrow (% of time), Baseline</t>
        </is>
      </c>
      <c r="B104" s="11">
        <f>Descriptives!E20</f>
        <v/>
      </c>
      <c r="C104" s="11" t="n">
        <v>0.4372727272727273</v>
      </c>
      <c r="D104" s="11">
        <f>B104-C104</f>
        <v/>
      </c>
      <c r="E104" s="11" t="n">
        <v>0.0005</v>
      </c>
      <c r="F104">
        <f>IF(ABS(D104)&lt;=E104,"OK","CHECK")</f>
        <v/>
      </c>
    </row>
    <row r="105">
      <c r="A105" t="inlineStr">
        <is>
          <t>Descriptives: SD, Brow Furrow (% of time), Baseline</t>
        </is>
      </c>
      <c r="B105" s="11">
        <f>Descriptives!F20</f>
        <v/>
      </c>
      <c r="C105" s="11" t="n">
        <v>1.180121792819472</v>
      </c>
      <c r="D105" s="11">
        <f>B105-C105</f>
        <v/>
      </c>
      <c r="E105" s="11" t="n">
        <v>0.0005</v>
      </c>
      <c r="F105">
        <f>IF(ABS(D105)&lt;=E105,"OK","CHECK")</f>
        <v/>
      </c>
    </row>
    <row r="106">
      <c r="A106" t="inlineStr">
        <is>
          <t>Descriptives: median, Brow Furrow (% of time), Baseline</t>
        </is>
      </c>
      <c r="B106" s="11">
        <f>Descriptives!G20</f>
        <v/>
      </c>
      <c r="C106" s="11" t="n">
        <v>0</v>
      </c>
      <c r="D106" s="11">
        <f>B106-C106</f>
        <v/>
      </c>
      <c r="E106" s="11" t="n">
        <v>0.0005</v>
      </c>
      <c r="F106">
        <f>IF(ABS(D106)&lt;=E106,"OK","CHECK")</f>
        <v/>
      </c>
    </row>
    <row r="107">
      <c r="A107" t="inlineStr">
        <is>
          <t>Descriptives: Q1, Brow Furrow (% of time), Baseline</t>
        </is>
      </c>
      <c r="B107" s="11">
        <f>Descriptives!H20</f>
        <v/>
      </c>
      <c r="C107" s="11" t="n">
        <v>0</v>
      </c>
      <c r="D107" s="11">
        <f>B107-C107</f>
        <v/>
      </c>
      <c r="E107" s="11" t="n">
        <v>0.0005</v>
      </c>
      <c r="F107">
        <f>IF(ABS(D107)&lt;=E107,"OK","CHECK")</f>
        <v/>
      </c>
    </row>
    <row r="108">
      <c r="A108" t="inlineStr">
        <is>
          <t>Descriptives: Q3, Brow Furrow (% of time), Baseline</t>
        </is>
      </c>
      <c r="B108" s="11">
        <f>Descriptives!I20</f>
        <v/>
      </c>
      <c r="C108" s="11" t="n">
        <v>0</v>
      </c>
      <c r="D108" s="11">
        <f>B108-C108</f>
        <v/>
      </c>
      <c r="E108" s="11" t="n">
        <v>0.0005</v>
      </c>
      <c r="F108">
        <f>IF(ABS(D108)&lt;=E108,"OK","CHECK")</f>
        <v/>
      </c>
    </row>
    <row r="109">
      <c r="A109" t="inlineStr">
        <is>
          <t>Descriptives: IQR, Brow Furrow (% of time), Baseline</t>
        </is>
      </c>
      <c r="B109" s="11">
        <f>Descriptives!J20</f>
        <v/>
      </c>
      <c r="C109" s="11" t="n">
        <v>0</v>
      </c>
      <c r="D109" s="11">
        <f>B109-C109</f>
        <v/>
      </c>
      <c r="E109" s="11" t="n">
        <v>0.0005</v>
      </c>
      <c r="F109">
        <f>IF(ABS(D109)&lt;=E109,"OK","CHECK")</f>
        <v/>
      </c>
    </row>
    <row r="110">
      <c r="A110" t="inlineStr">
        <is>
          <t>Descriptives: % at zero, Brow Furrow (% of time), Baseline</t>
        </is>
      </c>
      <c r="B110" s="11">
        <f>Descriptives!K20</f>
        <v/>
      </c>
      <c r="C110" s="11" t="n">
        <v>81.81818181818183</v>
      </c>
      <c r="D110" s="11">
        <f>B110-C110</f>
        <v/>
      </c>
      <c r="E110" s="11" t="n">
        <v>0.005</v>
      </c>
      <c r="F110">
        <f>IF(ABS(D110)&lt;=E110,"OK","CHECK")</f>
        <v/>
      </c>
    </row>
    <row r="111">
      <c r="A111" t="inlineStr">
        <is>
          <t>Descriptives: n, Brow Furrow (% of time), Ad_A</t>
        </is>
      </c>
      <c r="B111" s="11">
        <f>Descriptives!D21</f>
        <v/>
      </c>
      <c r="C111" s="11" t="n">
        <v>22</v>
      </c>
      <c r="D111" s="11">
        <f>B111-C111</f>
        <v/>
      </c>
      <c r="E111" s="11" t="n">
        <v>1e-09</v>
      </c>
      <c r="F111">
        <f>IF(ABS(D111)&lt;=E111,"OK","CHECK")</f>
        <v/>
      </c>
    </row>
    <row r="112">
      <c r="A112" t="inlineStr">
        <is>
          <t>Descriptives: mean, Brow Furrow (% of time), Ad_A</t>
        </is>
      </c>
      <c r="B112" s="11">
        <f>Descriptives!E21</f>
        <v/>
      </c>
      <c r="C112" s="11" t="n">
        <v>0.6463636363636364</v>
      </c>
      <c r="D112" s="11">
        <f>B112-C112</f>
        <v/>
      </c>
      <c r="E112" s="11" t="n">
        <v>0.0005</v>
      </c>
      <c r="F112">
        <f>IF(ABS(D112)&lt;=E112,"OK","CHECK")</f>
        <v/>
      </c>
    </row>
    <row r="113">
      <c r="A113" t="inlineStr">
        <is>
          <t>Descriptives: SD, Brow Furrow (% of time), Ad_A</t>
        </is>
      </c>
      <c r="B113" s="11">
        <f>Descriptives!F21</f>
        <v/>
      </c>
      <c r="C113" s="11" t="n">
        <v>1.51695668222846</v>
      </c>
      <c r="D113" s="11">
        <f>B113-C113</f>
        <v/>
      </c>
      <c r="E113" s="11" t="n">
        <v>0.0005</v>
      </c>
      <c r="F113">
        <f>IF(ABS(D113)&lt;=E113,"OK","CHECK")</f>
        <v/>
      </c>
    </row>
    <row r="114">
      <c r="A114" t="inlineStr">
        <is>
          <t>Descriptives: median, Brow Furrow (% of time), Ad_A</t>
        </is>
      </c>
      <c r="B114" s="11">
        <f>Descriptives!G21</f>
        <v/>
      </c>
      <c r="C114" s="11" t="n">
        <v>0</v>
      </c>
      <c r="D114" s="11">
        <f>B114-C114</f>
        <v/>
      </c>
      <c r="E114" s="11" t="n">
        <v>0.0005</v>
      </c>
      <c r="F114">
        <f>IF(ABS(D114)&lt;=E114,"OK","CHECK")</f>
        <v/>
      </c>
    </row>
    <row r="115">
      <c r="A115" t="inlineStr">
        <is>
          <t>Descriptives: Q1, Brow Furrow (% of time), Ad_A</t>
        </is>
      </c>
      <c r="B115" s="11">
        <f>Descriptives!H21</f>
        <v/>
      </c>
      <c r="C115" s="11" t="n">
        <v>0</v>
      </c>
      <c r="D115" s="11">
        <f>B115-C115</f>
        <v/>
      </c>
      <c r="E115" s="11" t="n">
        <v>0.0005</v>
      </c>
      <c r="F115">
        <f>IF(ABS(D115)&lt;=E115,"OK","CHECK")</f>
        <v/>
      </c>
    </row>
    <row r="116">
      <c r="A116" t="inlineStr">
        <is>
          <t>Descriptives: Q3, Brow Furrow (% of time), Ad_A</t>
        </is>
      </c>
      <c r="B116" s="11">
        <f>Descriptives!I21</f>
        <v/>
      </c>
      <c r="C116" s="11" t="n">
        <v>0</v>
      </c>
      <c r="D116" s="11">
        <f>B116-C116</f>
        <v/>
      </c>
      <c r="E116" s="11" t="n">
        <v>0.0005</v>
      </c>
      <c r="F116">
        <f>IF(ABS(D116)&lt;=E116,"OK","CHECK")</f>
        <v/>
      </c>
    </row>
    <row r="117">
      <c r="A117" t="inlineStr">
        <is>
          <t>Descriptives: IQR, Brow Furrow (% of time), Ad_A</t>
        </is>
      </c>
      <c r="B117" s="11">
        <f>Descriptives!J21</f>
        <v/>
      </c>
      <c r="C117" s="11" t="n">
        <v>0</v>
      </c>
      <c r="D117" s="11">
        <f>B117-C117</f>
        <v/>
      </c>
      <c r="E117" s="11" t="n">
        <v>0.0005</v>
      </c>
      <c r="F117">
        <f>IF(ABS(D117)&lt;=E117,"OK","CHECK")</f>
        <v/>
      </c>
    </row>
    <row r="118">
      <c r="A118" t="inlineStr">
        <is>
          <t>Descriptives: % at zero, Brow Furrow (% of time), Ad_A</t>
        </is>
      </c>
      <c r="B118" s="11">
        <f>Descriptives!K21</f>
        <v/>
      </c>
      <c r="C118" s="11" t="n">
        <v>81.81818181818183</v>
      </c>
      <c r="D118" s="11">
        <f>B118-C118</f>
        <v/>
      </c>
      <c r="E118" s="11" t="n">
        <v>0.005</v>
      </c>
      <c r="F118">
        <f>IF(ABS(D118)&lt;=E118,"OK","CHECK")</f>
        <v/>
      </c>
    </row>
    <row r="119">
      <c r="A119" t="inlineStr">
        <is>
          <t>Descriptives: n, Brow Furrow (% of time), Ad_B</t>
        </is>
      </c>
      <c r="B119" s="11">
        <f>Descriptives!D22</f>
        <v/>
      </c>
      <c r="C119" s="11" t="n">
        <v>22</v>
      </c>
      <c r="D119" s="11">
        <f>B119-C119</f>
        <v/>
      </c>
      <c r="E119" s="11" t="n">
        <v>1e-09</v>
      </c>
      <c r="F119">
        <f>IF(ABS(D119)&lt;=E119,"OK","CHECK")</f>
        <v/>
      </c>
    </row>
    <row r="120">
      <c r="A120" t="inlineStr">
        <is>
          <t>Descriptives: mean, Brow Furrow (% of time), Ad_B</t>
        </is>
      </c>
      <c r="B120" s="11">
        <f>Descriptives!E22</f>
        <v/>
      </c>
      <c r="C120" s="11" t="n">
        <v>0.3840909090909091</v>
      </c>
      <c r="D120" s="11">
        <f>B120-C120</f>
        <v/>
      </c>
      <c r="E120" s="11" t="n">
        <v>0.0005</v>
      </c>
      <c r="F120">
        <f>IF(ABS(D120)&lt;=E120,"OK","CHECK")</f>
        <v/>
      </c>
    </row>
    <row r="121">
      <c r="A121" t="inlineStr">
        <is>
          <t>Descriptives: SD, Brow Furrow (% of time), Ad_B</t>
        </is>
      </c>
      <c r="B121" s="11">
        <f>Descriptives!F22</f>
        <v/>
      </c>
      <c r="C121" s="11" t="n">
        <v>1.309673383822994</v>
      </c>
      <c r="D121" s="11">
        <f>B121-C121</f>
        <v/>
      </c>
      <c r="E121" s="11" t="n">
        <v>0.0005</v>
      </c>
      <c r="F121">
        <f>IF(ABS(D121)&lt;=E121,"OK","CHECK")</f>
        <v/>
      </c>
    </row>
    <row r="122">
      <c r="A122" t="inlineStr">
        <is>
          <t>Descriptives: median, Brow Furrow (% of time), Ad_B</t>
        </is>
      </c>
      <c r="B122" s="11">
        <f>Descriptives!G22</f>
        <v/>
      </c>
      <c r="C122" s="11" t="n">
        <v>0</v>
      </c>
      <c r="D122" s="11">
        <f>B122-C122</f>
        <v/>
      </c>
      <c r="E122" s="11" t="n">
        <v>0.0005</v>
      </c>
      <c r="F122">
        <f>IF(ABS(D122)&lt;=E122,"OK","CHECK")</f>
        <v/>
      </c>
    </row>
    <row r="123">
      <c r="A123" t="inlineStr">
        <is>
          <t>Descriptives: Q1, Brow Furrow (% of time), Ad_B</t>
        </is>
      </c>
      <c r="B123" s="11">
        <f>Descriptives!H22</f>
        <v/>
      </c>
      <c r="C123" s="11" t="n">
        <v>0</v>
      </c>
      <c r="D123" s="11">
        <f>B123-C123</f>
        <v/>
      </c>
      <c r="E123" s="11" t="n">
        <v>0.0005</v>
      </c>
      <c r="F123">
        <f>IF(ABS(D123)&lt;=E123,"OK","CHECK")</f>
        <v/>
      </c>
    </row>
    <row r="124">
      <c r="A124" t="inlineStr">
        <is>
          <t>Descriptives: Q3, Brow Furrow (% of time), Ad_B</t>
        </is>
      </c>
      <c r="B124" s="11">
        <f>Descriptives!I22</f>
        <v/>
      </c>
      <c r="C124" s="11" t="n">
        <v>0</v>
      </c>
      <c r="D124" s="11">
        <f>B124-C124</f>
        <v/>
      </c>
      <c r="E124" s="11" t="n">
        <v>0.0005</v>
      </c>
      <c r="F124">
        <f>IF(ABS(D124)&lt;=E124,"OK","CHECK")</f>
        <v/>
      </c>
    </row>
    <row r="125">
      <c r="A125" t="inlineStr">
        <is>
          <t>Descriptives: IQR, Brow Furrow (% of time), Ad_B</t>
        </is>
      </c>
      <c r="B125" s="11">
        <f>Descriptives!J22</f>
        <v/>
      </c>
      <c r="C125" s="11" t="n">
        <v>0</v>
      </c>
      <c r="D125" s="11">
        <f>B125-C125</f>
        <v/>
      </c>
      <c r="E125" s="11" t="n">
        <v>0.0005</v>
      </c>
      <c r="F125">
        <f>IF(ABS(D125)&lt;=E125,"OK","CHECK")</f>
        <v/>
      </c>
    </row>
    <row r="126">
      <c r="A126" t="inlineStr">
        <is>
          <t>Descriptives: % at zero, Brow Furrow (% of time), Ad_B</t>
        </is>
      </c>
      <c r="B126" s="11">
        <f>Descriptives!K22</f>
        <v/>
      </c>
      <c r="C126" s="11" t="n">
        <v>90.90909090909091</v>
      </c>
      <c r="D126" s="11">
        <f>B126-C126</f>
        <v/>
      </c>
      <c r="E126" s="11" t="n">
        <v>0.005</v>
      </c>
      <c r="F126">
        <f>IF(ABS(D126)&lt;=E126,"OK","CHECK")</f>
        <v/>
      </c>
    </row>
    <row r="127">
      <c r="A127" t="inlineStr">
        <is>
          <t>Descriptives: n, GSR Peaks Per Minute, Baseline</t>
        </is>
      </c>
      <c r="B127" s="11">
        <f>Descriptives!D26</f>
        <v/>
      </c>
      <c r="C127" s="11" t="n">
        <v>22</v>
      </c>
      <c r="D127" s="11">
        <f>B127-C127</f>
        <v/>
      </c>
      <c r="E127" s="11" t="n">
        <v>1e-09</v>
      </c>
      <c r="F127">
        <f>IF(ABS(D127)&lt;=E127,"OK","CHECK")</f>
        <v/>
      </c>
    </row>
    <row r="128">
      <c r="A128" t="inlineStr">
        <is>
          <t>Descriptives: mean, GSR Peaks Per Minute, Baseline</t>
        </is>
      </c>
      <c r="B128" s="11">
        <f>Descriptives!E26</f>
        <v/>
      </c>
      <c r="C128" s="11" t="n">
        <v>2.062727272727273</v>
      </c>
      <c r="D128" s="11">
        <f>B128-C128</f>
        <v/>
      </c>
      <c r="E128" s="11" t="n">
        <v>0.0005</v>
      </c>
      <c r="F128">
        <f>IF(ABS(D128)&lt;=E128,"OK","CHECK")</f>
        <v/>
      </c>
    </row>
    <row r="129">
      <c r="A129" t="inlineStr">
        <is>
          <t>Descriptives: SD, GSR Peaks Per Minute, Baseline</t>
        </is>
      </c>
      <c r="B129" s="11">
        <f>Descriptives!F26</f>
        <v/>
      </c>
      <c r="C129" s="11" t="n">
        <v>1.8590555252298</v>
      </c>
      <c r="D129" s="11">
        <f>B129-C129</f>
        <v/>
      </c>
      <c r="E129" s="11" t="n">
        <v>0.0005</v>
      </c>
      <c r="F129">
        <f>IF(ABS(D129)&lt;=E129,"OK","CHECK")</f>
        <v/>
      </c>
    </row>
    <row r="130">
      <c r="A130" t="inlineStr">
        <is>
          <t>Descriptives: median, GSR Peaks Per Minute, Baseline</t>
        </is>
      </c>
      <c r="B130" s="11">
        <f>Descriptives!G26</f>
        <v/>
      </c>
      <c r="C130" s="11" t="n">
        <v>2</v>
      </c>
      <c r="D130" s="11">
        <f>B130-C130</f>
        <v/>
      </c>
      <c r="E130" s="11" t="n">
        <v>0.0005</v>
      </c>
      <c r="F130">
        <f>IF(ABS(D130)&lt;=E130,"OK","CHECK")</f>
        <v/>
      </c>
    </row>
    <row r="131">
      <c r="A131" t="inlineStr">
        <is>
          <t>Descriptives: Q1, GSR Peaks Per Minute, Baseline</t>
        </is>
      </c>
      <c r="B131" s="11">
        <f>Descriptives!H26</f>
        <v/>
      </c>
      <c r="C131" s="11" t="n">
        <v>0.25</v>
      </c>
      <c r="D131" s="11">
        <f>B131-C131</f>
        <v/>
      </c>
      <c r="E131" s="11" t="n">
        <v>0.0005</v>
      </c>
      <c r="F131">
        <f>IF(ABS(D131)&lt;=E131,"OK","CHECK")</f>
        <v/>
      </c>
    </row>
    <row r="132">
      <c r="A132" t="inlineStr">
        <is>
          <t>Descriptives: Q3, GSR Peaks Per Minute, Baseline</t>
        </is>
      </c>
      <c r="B132" s="11">
        <f>Descriptives!I26</f>
        <v/>
      </c>
      <c r="C132" s="11" t="n">
        <v>3</v>
      </c>
      <c r="D132" s="11">
        <f>B132-C132</f>
        <v/>
      </c>
      <c r="E132" s="11" t="n">
        <v>0.0005</v>
      </c>
      <c r="F132">
        <f>IF(ABS(D132)&lt;=E132,"OK","CHECK")</f>
        <v/>
      </c>
    </row>
    <row r="133">
      <c r="A133" t="inlineStr">
        <is>
          <t>Descriptives: IQR, GSR Peaks Per Minute, Baseline</t>
        </is>
      </c>
      <c r="B133" s="11">
        <f>Descriptives!J26</f>
        <v/>
      </c>
      <c r="C133" s="11" t="n">
        <v>2.75</v>
      </c>
      <c r="D133" s="11">
        <f>B133-C133</f>
        <v/>
      </c>
      <c r="E133" s="11" t="n">
        <v>0.0005</v>
      </c>
      <c r="F133">
        <f>IF(ABS(D133)&lt;=E133,"OK","CHECK")</f>
        <v/>
      </c>
    </row>
    <row r="134">
      <c r="A134" t="inlineStr">
        <is>
          <t>Descriptives: % at zero, GSR Peaks Per Minute, Baseline</t>
        </is>
      </c>
      <c r="B134" s="11">
        <f>Descriptives!K26</f>
        <v/>
      </c>
      <c r="C134" s="11" t="n">
        <v>27.27272727272727</v>
      </c>
      <c r="D134" s="11">
        <f>B134-C134</f>
        <v/>
      </c>
      <c r="E134" s="11" t="n">
        <v>0.005</v>
      </c>
      <c r="F134">
        <f>IF(ABS(D134)&lt;=E134,"OK","CHECK")</f>
        <v/>
      </c>
    </row>
    <row r="135">
      <c r="A135" t="inlineStr">
        <is>
          <t>Descriptives: n, GSR Peaks Per Minute, Ad_A</t>
        </is>
      </c>
      <c r="B135" s="11">
        <f>Descriptives!D27</f>
        <v/>
      </c>
      <c r="C135" s="11" t="n">
        <v>22</v>
      </c>
      <c r="D135" s="11">
        <f>B135-C135</f>
        <v/>
      </c>
      <c r="E135" s="11" t="n">
        <v>1e-09</v>
      </c>
      <c r="F135">
        <f>IF(ABS(D135)&lt;=E135,"OK","CHECK")</f>
        <v/>
      </c>
    </row>
    <row r="136">
      <c r="A136" t="inlineStr">
        <is>
          <t>Descriptives: mean, GSR Peaks Per Minute, Ad_A</t>
        </is>
      </c>
      <c r="B136" s="11">
        <f>Descriptives!E27</f>
        <v/>
      </c>
      <c r="C136" s="11" t="n">
        <v>7.272727272727272</v>
      </c>
      <c r="D136" s="11">
        <f>B136-C136</f>
        <v/>
      </c>
      <c r="E136" s="11" t="n">
        <v>0.0005</v>
      </c>
      <c r="F136">
        <f>IF(ABS(D136)&lt;=E136,"OK","CHECK")</f>
        <v/>
      </c>
    </row>
    <row r="137">
      <c r="A137" t="inlineStr">
        <is>
          <t>Descriptives: SD, GSR Peaks Per Minute, Ad_A</t>
        </is>
      </c>
      <c r="B137" s="11">
        <f>Descriptives!F27</f>
        <v/>
      </c>
      <c r="C137" s="11" t="n">
        <v>6.804633002817294</v>
      </c>
      <c r="D137" s="11">
        <f>B137-C137</f>
        <v/>
      </c>
      <c r="E137" s="11" t="n">
        <v>0.0005</v>
      </c>
      <c r="F137">
        <f>IF(ABS(D137)&lt;=E137,"OK","CHECK")</f>
        <v/>
      </c>
    </row>
    <row r="138">
      <c r="A138" t="inlineStr">
        <is>
          <t>Descriptives: median, GSR Peaks Per Minute, Ad_A</t>
        </is>
      </c>
      <c r="B138" s="11">
        <f>Descriptives!G27</f>
        <v/>
      </c>
      <c r="C138" s="11" t="n">
        <v>6</v>
      </c>
      <c r="D138" s="11">
        <f>B138-C138</f>
        <v/>
      </c>
      <c r="E138" s="11" t="n">
        <v>0.0005</v>
      </c>
      <c r="F138">
        <f>IF(ABS(D138)&lt;=E138,"OK","CHECK")</f>
        <v/>
      </c>
    </row>
    <row r="139">
      <c r="A139" t="inlineStr">
        <is>
          <t>Descriptives: Q1, GSR Peaks Per Minute, Ad_A</t>
        </is>
      </c>
      <c r="B139" s="11">
        <f>Descriptives!H27</f>
        <v/>
      </c>
      <c r="C139" s="11" t="n">
        <v>2</v>
      </c>
      <c r="D139" s="11">
        <f>B139-C139</f>
        <v/>
      </c>
      <c r="E139" s="11" t="n">
        <v>0.0005</v>
      </c>
      <c r="F139">
        <f>IF(ABS(D139)&lt;=E139,"OK","CHECK")</f>
        <v/>
      </c>
    </row>
    <row r="140">
      <c r="A140" t="inlineStr">
        <is>
          <t>Descriptives: Q3, GSR Peaks Per Minute, Ad_A</t>
        </is>
      </c>
      <c r="B140" s="11">
        <f>Descriptives!I27</f>
        <v/>
      </c>
      <c r="C140" s="11" t="n">
        <v>8</v>
      </c>
      <c r="D140" s="11">
        <f>B140-C140</f>
        <v/>
      </c>
      <c r="E140" s="11" t="n">
        <v>0.0005</v>
      </c>
      <c r="F140">
        <f>IF(ABS(D140)&lt;=E140,"OK","CHECK")</f>
        <v/>
      </c>
    </row>
    <row r="141">
      <c r="A141" t="inlineStr">
        <is>
          <t>Descriptives: IQR, GSR Peaks Per Minute, Ad_A</t>
        </is>
      </c>
      <c r="B141" s="11">
        <f>Descriptives!J27</f>
        <v/>
      </c>
      <c r="C141" s="11" t="n">
        <v>6</v>
      </c>
      <c r="D141" s="11">
        <f>B141-C141</f>
        <v/>
      </c>
      <c r="E141" s="11" t="n">
        <v>0.0005</v>
      </c>
      <c r="F141">
        <f>IF(ABS(D141)&lt;=E141,"OK","CHECK")</f>
        <v/>
      </c>
    </row>
    <row r="142">
      <c r="A142" t="inlineStr">
        <is>
          <t>Descriptives: % at zero, GSR Peaks Per Minute, Ad_A</t>
        </is>
      </c>
      <c r="B142" s="11">
        <f>Descriptives!K27</f>
        <v/>
      </c>
      <c r="C142" s="11" t="n">
        <v>4.545454545454546</v>
      </c>
      <c r="D142" s="11">
        <f>B142-C142</f>
        <v/>
      </c>
      <c r="E142" s="11" t="n">
        <v>0.005</v>
      </c>
      <c r="F142">
        <f>IF(ABS(D142)&lt;=E142,"OK","CHECK")</f>
        <v/>
      </c>
    </row>
    <row r="143">
      <c r="A143" t="inlineStr">
        <is>
          <t>Descriptives: n, GSR Peaks Per Minute, Ad_B</t>
        </is>
      </c>
      <c r="B143" s="11">
        <f>Descriptives!D28</f>
        <v/>
      </c>
      <c r="C143" s="11" t="n">
        <v>21</v>
      </c>
      <c r="D143" s="11">
        <f>B143-C143</f>
        <v/>
      </c>
      <c r="E143" s="11" t="n">
        <v>1e-09</v>
      </c>
      <c r="F143">
        <f>IF(ABS(D143)&lt;=E143,"OK","CHECK")</f>
        <v/>
      </c>
    </row>
    <row r="144">
      <c r="A144" t="inlineStr">
        <is>
          <t>Descriptives: mean, GSR Peaks Per Minute, Ad_B</t>
        </is>
      </c>
      <c r="B144" s="11">
        <f>Descriptives!E28</f>
        <v/>
      </c>
      <c r="C144" s="11" t="n">
        <v>6</v>
      </c>
      <c r="D144" s="11">
        <f>B144-C144</f>
        <v/>
      </c>
      <c r="E144" s="11" t="n">
        <v>0.0005</v>
      </c>
      <c r="F144">
        <f>IF(ABS(D144)&lt;=E144,"OK","CHECK")</f>
        <v/>
      </c>
    </row>
    <row r="145">
      <c r="A145" t="inlineStr">
        <is>
          <t>Descriptives: SD, GSR Peaks Per Minute, Ad_B</t>
        </is>
      </c>
      <c r="B145" s="11">
        <f>Descriptives!F28</f>
        <v/>
      </c>
      <c r="C145" s="11" t="n">
        <v>4.939635614091388</v>
      </c>
      <c r="D145" s="11">
        <f>B145-C145</f>
        <v/>
      </c>
      <c r="E145" s="11" t="n">
        <v>0.0005</v>
      </c>
      <c r="F145">
        <f>IF(ABS(D145)&lt;=E145,"OK","CHECK")</f>
        <v/>
      </c>
    </row>
    <row r="146">
      <c r="A146" t="inlineStr">
        <is>
          <t>Descriptives: median, GSR Peaks Per Minute, Ad_B</t>
        </is>
      </c>
      <c r="B146" s="11">
        <f>Descriptives!G28</f>
        <v/>
      </c>
      <c r="C146" s="11" t="n">
        <v>6</v>
      </c>
      <c r="D146" s="11">
        <f>B146-C146</f>
        <v/>
      </c>
      <c r="E146" s="11" t="n">
        <v>0.0005</v>
      </c>
      <c r="F146">
        <f>IF(ABS(D146)&lt;=E146,"OK","CHECK")</f>
        <v/>
      </c>
    </row>
    <row r="147">
      <c r="A147" t="inlineStr">
        <is>
          <t>Descriptives: Q1, GSR Peaks Per Minute, Ad_B</t>
        </is>
      </c>
      <c r="B147" s="11">
        <f>Descriptives!H28</f>
        <v/>
      </c>
      <c r="C147" s="11" t="n">
        <v>2</v>
      </c>
      <c r="D147" s="11">
        <f>B147-C147</f>
        <v/>
      </c>
      <c r="E147" s="11" t="n">
        <v>0.0005</v>
      </c>
      <c r="F147">
        <f>IF(ABS(D147)&lt;=E147,"OK","CHECK")</f>
        <v/>
      </c>
    </row>
    <row r="148">
      <c r="A148" t="inlineStr">
        <is>
          <t>Descriptives: Q3, GSR Peaks Per Minute, Ad_B</t>
        </is>
      </c>
      <c r="B148" s="11">
        <f>Descriptives!I28</f>
        <v/>
      </c>
      <c r="C148" s="11" t="n">
        <v>8</v>
      </c>
      <c r="D148" s="11">
        <f>B148-C148</f>
        <v/>
      </c>
      <c r="E148" s="11" t="n">
        <v>0.0005</v>
      </c>
      <c r="F148">
        <f>IF(ABS(D148)&lt;=E148,"OK","CHECK")</f>
        <v/>
      </c>
    </row>
    <row r="149">
      <c r="A149" t="inlineStr">
        <is>
          <t>Descriptives: IQR, GSR Peaks Per Minute, Ad_B</t>
        </is>
      </c>
      <c r="B149" s="11">
        <f>Descriptives!J28</f>
        <v/>
      </c>
      <c r="C149" s="11" t="n">
        <v>6</v>
      </c>
      <c r="D149" s="11">
        <f>B149-C149</f>
        <v/>
      </c>
      <c r="E149" s="11" t="n">
        <v>0.0005</v>
      </c>
      <c r="F149">
        <f>IF(ABS(D149)&lt;=E149,"OK","CHECK")</f>
        <v/>
      </c>
    </row>
    <row r="150">
      <c r="A150" t="inlineStr">
        <is>
          <t>Descriptives: % at zero, GSR Peaks Per Minute, Ad_B</t>
        </is>
      </c>
      <c r="B150" s="11">
        <f>Descriptives!K28</f>
        <v/>
      </c>
      <c r="C150" s="11" t="n">
        <v>14.28571428571428</v>
      </c>
      <c r="D150" s="11">
        <f>B150-C150</f>
        <v/>
      </c>
      <c r="E150" s="11" t="n">
        <v>0.005</v>
      </c>
      <c r="F150">
        <f>IF(ABS(D150)&lt;=E150,"OK","CHECK")</f>
        <v/>
      </c>
    </row>
    <row r="151">
      <c r="A151" t="inlineStr">
        <is>
          <t>Descriptives: n, Liking (1 to 7), Ad_A</t>
        </is>
      </c>
      <c r="B151" s="11">
        <f>Descriptives!D32</f>
        <v/>
      </c>
      <c r="C151" s="11" t="n">
        <v>22</v>
      </c>
      <c r="D151" s="11">
        <f>B151-C151</f>
        <v/>
      </c>
      <c r="E151" s="11" t="n">
        <v>1e-09</v>
      </c>
      <c r="F151">
        <f>IF(ABS(D151)&lt;=E151,"OK","CHECK")</f>
        <v/>
      </c>
    </row>
    <row r="152">
      <c r="A152" t="inlineStr">
        <is>
          <t>Descriptives: mean, Liking (1 to 7), Ad_A</t>
        </is>
      </c>
      <c r="B152" s="11">
        <f>Descriptives!E32</f>
        <v/>
      </c>
      <c r="C152" s="11" t="n">
        <v>4.590909090909091</v>
      </c>
      <c r="D152" s="11">
        <f>B152-C152</f>
        <v/>
      </c>
      <c r="E152" s="11" t="n">
        <v>0.0005</v>
      </c>
      <c r="F152">
        <f>IF(ABS(D152)&lt;=E152,"OK","CHECK")</f>
        <v/>
      </c>
    </row>
    <row r="153">
      <c r="A153" t="inlineStr">
        <is>
          <t>Descriptives: SD, Liking (1 to 7), Ad_A</t>
        </is>
      </c>
      <c r="B153" s="11">
        <f>Descriptives!F32</f>
        <v/>
      </c>
      <c r="C153" s="11" t="n">
        <v>1.402687587288227</v>
      </c>
      <c r="D153" s="11">
        <f>B153-C153</f>
        <v/>
      </c>
      <c r="E153" s="11" t="n">
        <v>0.0005</v>
      </c>
      <c r="F153">
        <f>IF(ABS(D153)&lt;=E153,"OK","CHECK")</f>
        <v/>
      </c>
    </row>
    <row r="154">
      <c r="A154" t="inlineStr">
        <is>
          <t>Descriptives: median, Liking (1 to 7), Ad_A</t>
        </is>
      </c>
      <c r="B154" s="11">
        <f>Descriptives!G32</f>
        <v/>
      </c>
      <c r="C154" s="11" t="n">
        <v>5</v>
      </c>
      <c r="D154" s="11">
        <f>B154-C154</f>
        <v/>
      </c>
      <c r="E154" s="11" t="n">
        <v>0.0005</v>
      </c>
      <c r="F154">
        <f>IF(ABS(D154)&lt;=E154,"OK","CHECK")</f>
        <v/>
      </c>
    </row>
    <row r="155">
      <c r="A155" t="inlineStr">
        <is>
          <t>Descriptives: Q1, Liking (1 to 7), Ad_A</t>
        </is>
      </c>
      <c r="B155" s="11">
        <f>Descriptives!H32</f>
        <v/>
      </c>
      <c r="C155" s="11" t="n">
        <v>4</v>
      </c>
      <c r="D155" s="11">
        <f>B155-C155</f>
        <v/>
      </c>
      <c r="E155" s="11" t="n">
        <v>0.0005</v>
      </c>
      <c r="F155">
        <f>IF(ABS(D155)&lt;=E155,"OK","CHECK")</f>
        <v/>
      </c>
    </row>
    <row r="156">
      <c r="A156" t="inlineStr">
        <is>
          <t>Descriptives: Q3, Liking (1 to 7), Ad_A</t>
        </is>
      </c>
      <c r="B156" s="11">
        <f>Descriptives!I32</f>
        <v/>
      </c>
      <c r="C156" s="11" t="n">
        <v>5</v>
      </c>
      <c r="D156" s="11">
        <f>B156-C156</f>
        <v/>
      </c>
      <c r="E156" s="11" t="n">
        <v>0.0005</v>
      </c>
      <c r="F156">
        <f>IF(ABS(D156)&lt;=E156,"OK","CHECK")</f>
        <v/>
      </c>
    </row>
    <row r="157">
      <c r="A157" t="inlineStr">
        <is>
          <t>Descriptives: IQR, Liking (1 to 7), Ad_A</t>
        </is>
      </c>
      <c r="B157" s="11">
        <f>Descriptives!J32</f>
        <v/>
      </c>
      <c r="C157" s="11" t="n">
        <v>1</v>
      </c>
      <c r="D157" s="11">
        <f>B157-C157</f>
        <v/>
      </c>
      <c r="E157" s="11" t="n">
        <v>0.0005</v>
      </c>
      <c r="F157">
        <f>IF(ABS(D157)&lt;=E157,"OK","CHECK")</f>
        <v/>
      </c>
    </row>
    <row r="158">
      <c r="A158" t="inlineStr">
        <is>
          <t>Descriptives: n, Liking (1 to 7), Ad_B</t>
        </is>
      </c>
      <c r="B158" s="11">
        <f>Descriptives!D33</f>
        <v/>
      </c>
      <c r="C158" s="11" t="n">
        <v>22</v>
      </c>
      <c r="D158" s="11">
        <f>B158-C158</f>
        <v/>
      </c>
      <c r="E158" s="11" t="n">
        <v>1e-09</v>
      </c>
      <c r="F158">
        <f>IF(ABS(D158)&lt;=E158,"OK","CHECK")</f>
        <v/>
      </c>
    </row>
    <row r="159">
      <c r="A159" t="inlineStr">
        <is>
          <t>Descriptives: mean, Liking (1 to 7), Ad_B</t>
        </is>
      </c>
      <c r="B159" s="11">
        <f>Descriptives!E33</f>
        <v/>
      </c>
      <c r="C159" s="11" t="n">
        <v>4.045454545454546</v>
      </c>
      <c r="D159" s="11">
        <f>B159-C159</f>
        <v/>
      </c>
      <c r="E159" s="11" t="n">
        <v>0.0005</v>
      </c>
      <c r="F159">
        <f>IF(ABS(D159)&lt;=E159,"OK","CHECK")</f>
        <v/>
      </c>
    </row>
    <row r="160">
      <c r="A160" t="inlineStr">
        <is>
          <t>Descriptives: SD, Liking (1 to 7), Ad_B</t>
        </is>
      </c>
      <c r="B160" s="11">
        <f>Descriptives!F33</f>
        <v/>
      </c>
      <c r="C160" s="11" t="n">
        <v>1.290155868297379</v>
      </c>
      <c r="D160" s="11">
        <f>B160-C160</f>
        <v/>
      </c>
      <c r="E160" s="11" t="n">
        <v>0.0005</v>
      </c>
      <c r="F160">
        <f>IF(ABS(D160)&lt;=E160,"OK","CHECK")</f>
        <v/>
      </c>
    </row>
    <row r="161">
      <c r="A161" t="inlineStr">
        <is>
          <t>Descriptives: median, Liking (1 to 7), Ad_B</t>
        </is>
      </c>
      <c r="B161" s="11">
        <f>Descriptives!G33</f>
        <v/>
      </c>
      <c r="C161" s="11" t="n">
        <v>4</v>
      </c>
      <c r="D161" s="11">
        <f>B161-C161</f>
        <v/>
      </c>
      <c r="E161" s="11" t="n">
        <v>0.0005</v>
      </c>
      <c r="F161">
        <f>IF(ABS(D161)&lt;=E161,"OK","CHECK")</f>
        <v/>
      </c>
    </row>
    <row r="162">
      <c r="A162" t="inlineStr">
        <is>
          <t>Descriptives: Q1, Liking (1 to 7), Ad_B</t>
        </is>
      </c>
      <c r="B162" s="11">
        <f>Descriptives!H33</f>
        <v/>
      </c>
      <c r="C162" s="11" t="n">
        <v>3</v>
      </c>
      <c r="D162" s="11">
        <f>B162-C162</f>
        <v/>
      </c>
      <c r="E162" s="11" t="n">
        <v>0.0005</v>
      </c>
      <c r="F162">
        <f>IF(ABS(D162)&lt;=E162,"OK","CHECK")</f>
        <v/>
      </c>
    </row>
    <row r="163">
      <c r="A163" t="inlineStr">
        <is>
          <t>Descriptives: Q3, Liking (1 to 7), Ad_B</t>
        </is>
      </c>
      <c r="B163" s="11">
        <f>Descriptives!I33</f>
        <v/>
      </c>
      <c r="C163" s="11" t="n">
        <v>5</v>
      </c>
      <c r="D163" s="11">
        <f>B163-C163</f>
        <v/>
      </c>
      <c r="E163" s="11" t="n">
        <v>0.0005</v>
      </c>
      <c r="F163">
        <f>IF(ABS(D163)&lt;=E163,"OK","CHECK")</f>
        <v/>
      </c>
    </row>
    <row r="164">
      <c r="A164" t="inlineStr">
        <is>
          <t>Descriptives: IQR, Liking (1 to 7), Ad_B</t>
        </is>
      </c>
      <c r="B164" s="11">
        <f>Descriptives!J33</f>
        <v/>
      </c>
      <c r="C164" s="11" t="n">
        <v>2</v>
      </c>
      <c r="D164" s="11">
        <f>B164-C164</f>
        <v/>
      </c>
      <c r="E164" s="11" t="n">
        <v>0.0005</v>
      </c>
      <c r="F164">
        <f>IF(ABS(D164)&lt;=E164,"OK","CHECK")</f>
        <v/>
      </c>
    </row>
    <row r="165">
      <c r="A165" t="inlineStr">
        <is>
          <t>Pivot: pivot mean Logo Ad_A</t>
        </is>
      </c>
      <c r="B165" s="11">
        <f>Pivot!B4</f>
        <v/>
      </c>
      <c r="C165" s="11" t="n">
        <v>1.782272727272727</v>
      </c>
      <c r="D165" s="11">
        <f>B165-C165</f>
        <v/>
      </c>
      <c r="E165" s="11" t="n">
        <v>0.0005</v>
      </c>
      <c r="F165">
        <f>IF(ABS(D165)&lt;=E165,"OK","CHECK")</f>
        <v/>
      </c>
    </row>
    <row r="166">
      <c r="A166" t="inlineStr">
        <is>
          <t>Pivot: pivot mean Logo Ad_B</t>
        </is>
      </c>
      <c r="B166" s="11">
        <f>Pivot!C4</f>
        <v/>
      </c>
      <c r="C166" s="11" t="n">
        <v>1.396363636363636</v>
      </c>
      <c r="D166" s="11">
        <f>B166-C166</f>
        <v/>
      </c>
      <c r="E166" s="11" t="n">
        <v>0.0005</v>
      </c>
      <c r="F166">
        <f>IF(ABS(D166)&lt;=E166,"OK","CHECK")</f>
        <v/>
      </c>
    </row>
    <row r="167">
      <c r="A167" t="inlineStr">
        <is>
          <t>Pivot: pivot grand average Logo</t>
        </is>
      </c>
      <c r="B167" s="11">
        <f>Pivot!D4</f>
        <v/>
      </c>
      <c r="C167" s="11" t="n">
        <v>1.589318181818175</v>
      </c>
      <c r="D167" s="11">
        <f>B167-C167</f>
        <v/>
      </c>
      <c r="E167" s="11" t="n">
        <v>0.0005</v>
      </c>
      <c r="F167">
        <f>IF(ABS(D167)&lt;=E167,"OK","CHECK")</f>
        <v/>
      </c>
    </row>
    <row r="168">
      <c r="A168" t="inlineStr">
        <is>
          <t>Pivot: pivot count Logo Ad_A</t>
        </is>
      </c>
      <c r="B168" s="11">
        <f>Pivot!E4</f>
        <v/>
      </c>
      <c r="C168" s="11" t="n">
        <v>22</v>
      </c>
      <c r="D168" s="11">
        <f>B168-C168</f>
        <v/>
      </c>
      <c r="E168" s="11" t="n">
        <v>1e-09</v>
      </c>
      <c r="F168">
        <f>IF(ABS(D168)&lt;=E168,"OK","CHECK")</f>
        <v/>
      </c>
    </row>
    <row r="169">
      <c r="A169" t="inlineStr">
        <is>
          <t>Pivot: pivot count Logo Ad_B</t>
        </is>
      </c>
      <c r="B169" s="11">
        <f>Pivot!F4</f>
        <v/>
      </c>
      <c r="C169" s="11" t="n">
        <v>22</v>
      </c>
      <c r="D169" s="11">
        <f>B169-C169</f>
        <v/>
      </c>
      <c r="E169" s="11" t="n">
        <v>1e-09</v>
      </c>
      <c r="F169">
        <f>IF(ABS(D169)&lt;=E169,"OK","CHECK")</f>
        <v/>
      </c>
    </row>
    <row r="170">
      <c r="A170" t="inlineStr">
        <is>
          <t>Pivot: pivot mean Product Ad_A</t>
        </is>
      </c>
      <c r="B170" s="11">
        <f>Pivot!B5</f>
        <v/>
      </c>
      <c r="C170" s="11" t="n">
        <v>42.58409090909091</v>
      </c>
      <c r="D170" s="11">
        <f>B170-C170</f>
        <v/>
      </c>
      <c r="E170" s="11" t="n">
        <v>0.0005</v>
      </c>
      <c r="F170">
        <f>IF(ABS(D170)&lt;=E170,"OK","CHECK")</f>
        <v/>
      </c>
    </row>
    <row r="171">
      <c r="A171" t="inlineStr">
        <is>
          <t>Pivot: pivot mean Product Ad_B</t>
        </is>
      </c>
      <c r="B171" s="11">
        <f>Pivot!C5</f>
        <v/>
      </c>
      <c r="C171" s="11" t="n">
        <v>41.34409090909091</v>
      </c>
      <c r="D171" s="11">
        <f>B171-C171</f>
        <v/>
      </c>
      <c r="E171" s="11" t="n">
        <v>0.0005</v>
      </c>
      <c r="F171">
        <f>IF(ABS(D171)&lt;=E171,"OK","CHECK")</f>
        <v/>
      </c>
    </row>
    <row r="172">
      <c r="A172" t="inlineStr">
        <is>
          <t>Pivot: pivot grand average Product</t>
        </is>
      </c>
      <c r="B172" s="11">
        <f>Pivot!D5</f>
        <v/>
      </c>
      <c r="C172" s="11" t="n">
        <v>41.9640909090909</v>
      </c>
      <c r="D172" s="11">
        <f>B172-C172</f>
        <v/>
      </c>
      <c r="E172" s="11" t="n">
        <v>0.0005</v>
      </c>
      <c r="F172">
        <f>IF(ABS(D172)&lt;=E172,"OK","CHECK")</f>
        <v/>
      </c>
    </row>
    <row r="173">
      <c r="A173" t="inlineStr">
        <is>
          <t>Pivot: pivot count Product Ad_A</t>
        </is>
      </c>
      <c r="B173" s="11">
        <f>Pivot!E5</f>
        <v/>
      </c>
      <c r="C173" s="11" t="n">
        <v>22</v>
      </c>
      <c r="D173" s="11">
        <f>B173-C173</f>
        <v/>
      </c>
      <c r="E173" s="11" t="n">
        <v>1e-09</v>
      </c>
      <c r="F173">
        <f>IF(ABS(D173)&lt;=E173,"OK","CHECK")</f>
        <v/>
      </c>
    </row>
    <row r="174">
      <c r="A174" t="inlineStr">
        <is>
          <t>Pivot: pivot count Product Ad_B</t>
        </is>
      </c>
      <c r="B174" s="11">
        <f>Pivot!F5</f>
        <v/>
      </c>
      <c r="C174" s="11" t="n">
        <v>22</v>
      </c>
      <c r="D174" s="11">
        <f>B174-C174</f>
        <v/>
      </c>
      <c r="E174" s="11" t="n">
        <v>1e-09</v>
      </c>
      <c r="F174">
        <f>IF(ABS(D174)&lt;=E174,"OK","CHECK")</f>
        <v/>
      </c>
    </row>
    <row r="175">
      <c r="A175" t="inlineStr">
        <is>
          <t>Pivot: pivot mean Headline Ad_A</t>
        </is>
      </c>
      <c r="B175" s="11">
        <f>Pivot!B6</f>
        <v/>
      </c>
      <c r="C175" s="11" t="n">
        <v>17.84409090909091</v>
      </c>
      <c r="D175" s="11">
        <f>B175-C175</f>
        <v/>
      </c>
      <c r="E175" s="11" t="n">
        <v>0.0005</v>
      </c>
      <c r="F175">
        <f>IF(ABS(D175)&lt;=E175,"OK","CHECK")</f>
        <v/>
      </c>
    </row>
    <row r="176">
      <c r="A176" t="inlineStr">
        <is>
          <t>Pivot: pivot mean Headline Ad_B</t>
        </is>
      </c>
      <c r="B176" s="11">
        <f>Pivot!C6</f>
        <v/>
      </c>
      <c r="C176" s="11" t="n">
        <v>20.26727272727273</v>
      </c>
      <c r="D176" s="11">
        <f>B176-C176</f>
        <v/>
      </c>
      <c r="E176" s="11" t="n">
        <v>0.0005</v>
      </c>
      <c r="F176">
        <f>IF(ABS(D176)&lt;=E176,"OK","CHECK")</f>
        <v/>
      </c>
    </row>
    <row r="177">
      <c r="A177" t="inlineStr">
        <is>
          <t>Pivot: pivot grand average Headline</t>
        </is>
      </c>
      <c r="B177" s="11">
        <f>Pivot!D6</f>
        <v/>
      </c>
      <c r="C177" s="11" t="n">
        <v>19.05568181818181</v>
      </c>
      <c r="D177" s="11">
        <f>B177-C177</f>
        <v/>
      </c>
      <c r="E177" s="11" t="n">
        <v>0.0005</v>
      </c>
      <c r="F177">
        <f>IF(ABS(D177)&lt;=E177,"OK","CHECK")</f>
        <v/>
      </c>
    </row>
    <row r="178">
      <c r="A178" t="inlineStr">
        <is>
          <t>Pivot: pivot count Headline Ad_A</t>
        </is>
      </c>
      <c r="B178" s="11">
        <f>Pivot!E6</f>
        <v/>
      </c>
      <c r="C178" s="11" t="n">
        <v>22</v>
      </c>
      <c r="D178" s="11">
        <f>B178-C178</f>
        <v/>
      </c>
      <c r="E178" s="11" t="n">
        <v>1e-09</v>
      </c>
      <c r="F178">
        <f>IF(ABS(D178)&lt;=E178,"OK","CHECK")</f>
        <v/>
      </c>
    </row>
    <row r="179">
      <c r="A179" t="inlineStr">
        <is>
          <t>Pivot: pivot count Headline Ad_B</t>
        </is>
      </c>
      <c r="B179" s="11">
        <f>Pivot!F6</f>
        <v/>
      </c>
      <c r="C179" s="11" t="n">
        <v>22</v>
      </c>
      <c r="D179" s="11">
        <f>B179-C179</f>
        <v/>
      </c>
      <c r="E179" s="11" t="n">
        <v>1e-09</v>
      </c>
      <c r="F179">
        <f>IF(ABS(D179)&lt;=E179,"OK","CHECK")</f>
        <v/>
      </c>
    </row>
    <row r="180">
      <c r="A180" t="inlineStr">
        <is>
          <t>Pivot: pivot grand average Ad_A</t>
        </is>
      </c>
      <c r="B180" s="11">
        <f>Pivot!B7</f>
        <v/>
      </c>
      <c r="C180" s="11" t="n">
        <v>20.73681818181817</v>
      </c>
      <c r="D180" s="11">
        <f>B180-C180</f>
        <v/>
      </c>
      <c r="E180" s="11" t="n">
        <v>0.0005</v>
      </c>
      <c r="F180">
        <f>IF(ABS(D180)&lt;=E180,"OK","CHECK")</f>
        <v/>
      </c>
    </row>
    <row r="181">
      <c r="A181" t="inlineStr">
        <is>
          <t>Pivot: pivot grand average Ad_B</t>
        </is>
      </c>
      <c r="B181" s="11">
        <f>Pivot!C7</f>
        <v/>
      </c>
      <c r="C181" s="11" t="n">
        <v>21.00257575757575</v>
      </c>
      <c r="D181" s="11">
        <f>B181-C181</f>
        <v/>
      </c>
      <c r="E181" s="11" t="n">
        <v>0.0005</v>
      </c>
      <c r="F181">
        <f>IF(ABS(D181)&lt;=E181,"OK","CHECK")</f>
        <v/>
      </c>
    </row>
    <row r="182">
      <c r="A182" t="inlineStr">
        <is>
          <t>Q5: Ad_A mean</t>
        </is>
      </c>
      <c r="B182" s="11">
        <f>Q5!B29</f>
        <v/>
      </c>
      <c r="C182" s="11" t="n">
        <v>12.13136363636364</v>
      </c>
      <c r="D182" s="11">
        <f>B182-C182</f>
        <v/>
      </c>
      <c r="E182" s="11" t="n">
        <v>0.0005</v>
      </c>
      <c r="F182">
        <f>IF(ABS(D182)&lt;=E182,"OK","CHECK")</f>
        <v/>
      </c>
    </row>
    <row r="183">
      <c r="A183" t="inlineStr">
        <is>
          <t>Q5: Ad_A SD</t>
        </is>
      </c>
      <c r="B183" s="11">
        <f>Q5!B30</f>
        <v/>
      </c>
      <c r="C183" s="11" t="n">
        <v>10.80829324240663</v>
      </c>
      <c r="D183" s="11">
        <f>B183-C183</f>
        <v/>
      </c>
      <c r="E183" s="11" t="n">
        <v>0.0005</v>
      </c>
      <c r="F183">
        <f>IF(ABS(D183)&lt;=E183,"OK","CHECK")</f>
        <v/>
      </c>
    </row>
    <row r="184">
      <c r="A184" t="inlineStr">
        <is>
          <t>Q5: Ad_B mean</t>
        </is>
      </c>
      <c r="B184" s="11">
        <f>Q5!B31</f>
        <v/>
      </c>
      <c r="C184" s="11" t="n">
        <v>8.328636363636363</v>
      </c>
      <c r="D184" s="11">
        <f>B184-C184</f>
        <v/>
      </c>
      <c r="E184" s="11" t="n">
        <v>0.0005</v>
      </c>
      <c r="F184">
        <f>IF(ABS(D184)&lt;=E184,"OK","CHECK")</f>
        <v/>
      </c>
    </row>
    <row r="185">
      <c r="A185" t="inlineStr">
        <is>
          <t>Q5: Ad_B SD</t>
        </is>
      </c>
      <c r="B185" s="11">
        <f>Q5!B32</f>
        <v/>
      </c>
      <c r="C185" s="11" t="n">
        <v>9.463886896767374</v>
      </c>
      <c r="D185" s="11">
        <f>B185-C185</f>
        <v/>
      </c>
      <c r="E185" s="11" t="n">
        <v>0.0005</v>
      </c>
      <c r="F185">
        <f>IF(ABS(D185)&lt;=E185,"OK","CHECK")</f>
        <v/>
      </c>
    </row>
    <row r="186">
      <c r="A186" t="inlineStr">
        <is>
          <t>Q5: n (participants)</t>
        </is>
      </c>
      <c r="B186" s="11">
        <f>Q5!B33</f>
        <v/>
      </c>
      <c r="C186" s="11" t="n">
        <v>22</v>
      </c>
      <c r="D186" s="11">
        <f>B186-C186</f>
        <v/>
      </c>
      <c r="E186" s="11" t="n">
        <v>1e-09</v>
      </c>
      <c r="F186">
        <f>IF(ABS(D186)&lt;=E186,"OK","CHECK")</f>
        <v/>
      </c>
    </row>
    <row r="187">
      <c r="A187" t="inlineStr">
        <is>
          <t>Q5: Mean difference</t>
        </is>
      </c>
      <c r="B187" s="11">
        <f>Q5!B34</f>
        <v/>
      </c>
      <c r="C187" s="11" t="n">
        <v>3.802727272727273</v>
      </c>
      <c r="D187" s="11">
        <f>B187-C187</f>
        <v/>
      </c>
      <c r="E187" s="11" t="n">
        <v>0.0005</v>
      </c>
      <c r="F187">
        <f>IF(ABS(D187)&lt;=E187,"OK","CHECK")</f>
        <v/>
      </c>
    </row>
    <row r="188">
      <c r="A188" t="inlineStr">
        <is>
          <t>Q5: SD of the differences</t>
        </is>
      </c>
      <c r="B188" s="11">
        <f>Q5!B35</f>
        <v/>
      </c>
      <c r="C188" s="11" t="n">
        <v>12.07846851763922</v>
      </c>
      <c r="D188" s="11">
        <f>B188-C188</f>
        <v/>
      </c>
      <c r="E188" s="11" t="n">
        <v>0.0005</v>
      </c>
      <c r="F188">
        <f>IF(ABS(D188)&lt;=E188,"OK","CHECK")</f>
        <v/>
      </c>
    </row>
    <row r="189">
      <c r="A189" t="inlineStr">
        <is>
          <t>Q5: SE of the mean difference</t>
        </is>
      </c>
      <c r="B189" s="11">
        <f>Q5!B36</f>
        <v/>
      </c>
      <c r="C189" s="11" t="n">
        <v>2.5751</v>
      </c>
      <c r="D189" s="11">
        <f>B189-C189</f>
        <v/>
      </c>
      <c r="E189" s="11" t="n">
        <v>5e-05</v>
      </c>
      <c r="F189">
        <f>IF(ABS(D189)&lt;=E189,"OK","CHECK")</f>
        <v/>
      </c>
    </row>
    <row r="190">
      <c r="A190" t="inlineStr">
        <is>
          <t>Q5: t</t>
        </is>
      </c>
      <c r="B190" s="11">
        <f>Q5!B37</f>
        <v/>
      </c>
      <c r="C190" s="11" t="n">
        <v>1.476708069757552</v>
      </c>
      <c r="D190" s="11">
        <f>B190-C190</f>
        <v/>
      </c>
      <c r="E190" s="11" t="n">
        <v>0.0005</v>
      </c>
      <c r="F190">
        <f>IF(ABS(D190)&lt;=E190,"OK","CHECK")</f>
        <v/>
      </c>
    </row>
    <row r="191">
      <c r="A191" t="inlineStr">
        <is>
          <t>Q5: df</t>
        </is>
      </c>
      <c r="B191" s="11">
        <f>Q5!B38</f>
        <v/>
      </c>
      <c r="C191" s="11" t="n">
        <v>21</v>
      </c>
      <c r="D191" s="11">
        <f>B191-C191</f>
        <v/>
      </c>
      <c r="E191" s="11" t="n">
        <v>1e-09</v>
      </c>
      <c r="F191">
        <f>IF(ABS(D191)&lt;=E191,"OK","CHECK")</f>
        <v/>
      </c>
    </row>
    <row r="192">
      <c r="A192" t="inlineStr">
        <is>
          <t>Q5: p, two tailed (T.TEST, paired)</t>
        </is>
      </c>
      <c r="B192" s="11">
        <f>Q5!B39</f>
        <v/>
      </c>
      <c r="C192" s="11" t="n">
        <v>0.1545936201800334</v>
      </c>
      <c r="D192" s="11">
        <f>B192-C192</f>
        <v/>
      </c>
      <c r="E192" s="11" t="n">
        <v>5e-06</v>
      </c>
      <c r="F192">
        <f>IF(ABS(D192)&lt;=E192,"OK","CHECK")</f>
        <v/>
      </c>
    </row>
    <row r="193">
      <c r="A193" t="inlineStr">
        <is>
          <t>Q5: p from t (T.DIST.2T)</t>
        </is>
      </c>
      <c r="B193" s="11">
        <f>Q5!B40</f>
        <v/>
      </c>
      <c r="C193" s="11" t="n">
        <v>0.1545936201800334</v>
      </c>
      <c r="D193" s="11">
        <f>B193-C193</f>
        <v/>
      </c>
      <c r="E193" s="11" t="n">
        <v>5e-06</v>
      </c>
      <c r="F193">
        <f>IF(ABS(D193)&lt;=E193,"OK","CHECK")</f>
        <v/>
      </c>
    </row>
    <row r="194">
      <c r="A194" t="inlineStr">
        <is>
          <t>Q5: Critical t (95%)</t>
        </is>
      </c>
      <c r="B194" s="11">
        <f>Q5!B41</f>
        <v/>
      </c>
      <c r="C194" s="11" t="n">
        <v>2.0796</v>
      </c>
      <c r="D194" s="11">
        <f>B194-C194</f>
        <v/>
      </c>
      <c r="E194" s="11" t="n">
        <v>5e-05</v>
      </c>
      <c r="F194">
        <f>IF(ABS(D194)&lt;=E194,"OK","CHECK")</f>
        <v/>
      </c>
    </row>
    <row r="195">
      <c r="A195" t="inlineStr">
        <is>
          <t>Q5: Mean difference, 95% CI lower</t>
        </is>
      </c>
      <c r="B195" s="11">
        <f>Q5!B42</f>
        <v/>
      </c>
      <c r="C195" s="11" t="n">
        <v>-1.552565656216732</v>
      </c>
      <c r="D195" s="11">
        <f>B195-C195</f>
        <v/>
      </c>
      <c r="E195" s="11" t="n">
        <v>0.0005</v>
      </c>
      <c r="F195">
        <f>IF(ABS(D195)&lt;=E195,"OK","CHECK")</f>
        <v/>
      </c>
    </row>
    <row r="196">
      <c r="A196" t="inlineStr">
        <is>
          <t>Q5: Mean difference, 95% CI upper</t>
        </is>
      </c>
      <c r="B196" s="11">
        <f>Q5!B43</f>
        <v/>
      </c>
      <c r="C196" s="11" t="n">
        <v>9.158020201671279</v>
      </c>
      <c r="D196" s="11">
        <f>B196-C196</f>
        <v/>
      </c>
      <c r="E196" s="11" t="n">
        <v>0.0005</v>
      </c>
      <c r="F196">
        <f>IF(ABS(D196)&lt;=E196,"OK","CHECK")</f>
        <v/>
      </c>
    </row>
    <row r="197">
      <c r="A197" t="inlineStr">
        <is>
          <t>Q5: Cohen's d_z</t>
        </is>
      </c>
      <c r="B197" s="11">
        <f>Q5!B44</f>
        <v/>
      </c>
      <c r="C197" s="11" t="n">
        <v>0.3148352183204208</v>
      </c>
      <c r="D197" s="11">
        <f>B197-C197</f>
        <v/>
      </c>
      <c r="E197" s="11" t="n">
        <v>0.0005</v>
      </c>
      <c r="F197">
        <f>IF(ABS(D197)&lt;=E197,"OK","CHECK")</f>
        <v/>
      </c>
    </row>
    <row r="198">
      <c r="A198" t="inlineStr">
        <is>
          <t>Q5: SE of d_z (approximation)</t>
        </is>
      </c>
      <c r="B198" s="11">
        <f>Q5!B45</f>
        <v/>
      </c>
      <c r="C198" s="11" t="n">
        <v>0.2184</v>
      </c>
      <c r="D198" s="11">
        <f>B198-C198</f>
        <v/>
      </c>
      <c r="E198" s="11" t="n">
        <v>5e-05</v>
      </c>
      <c r="F198">
        <f>IF(ABS(D198)&lt;=E198,"OK","CHECK")</f>
        <v/>
      </c>
    </row>
    <row r="199">
      <c r="A199" t="inlineStr">
        <is>
          <t>Q5: d_z 95% CI lower (approximation)</t>
        </is>
      </c>
      <c r="B199" s="11">
        <f>Q5!B46</f>
        <v/>
      </c>
      <c r="C199" s="11" t="n">
        <v>-0.113267999330411</v>
      </c>
      <c r="D199" s="11">
        <f>B199-C199</f>
        <v/>
      </c>
      <c r="E199" s="11" t="n">
        <v>0.0005</v>
      </c>
      <c r="F199">
        <f>IF(ABS(D199)&lt;=E199,"OK","CHECK")</f>
        <v/>
      </c>
    </row>
    <row r="200">
      <c r="A200" t="inlineStr">
        <is>
          <t>Q5: d_z 95% CI upper (approximation)</t>
        </is>
      </c>
      <c r="B200" s="11">
        <f>Q5!B47</f>
        <v/>
      </c>
      <c r="C200" s="11" t="n">
        <v>0.7429384359712526</v>
      </c>
      <c r="D200" s="11">
        <f>B200-C200</f>
        <v/>
      </c>
      <c r="E200" s="11" t="n">
        <v>0.0005</v>
      </c>
      <c r="F200">
        <f>IF(ABS(D200)&lt;=E200,"OK","CHECK")</f>
        <v/>
      </c>
    </row>
    <row r="201">
      <c r="A201" t="inlineStr">
        <is>
          <t>Q5: Ad_A higher (count)</t>
        </is>
      </c>
      <c r="B201" s="11">
        <f>Q5!B48</f>
        <v/>
      </c>
      <c r="C201" s="11" t="n">
        <v>12</v>
      </c>
      <c r="D201" s="11">
        <f>B201-C201</f>
        <v/>
      </c>
      <c r="E201" s="11" t="n">
        <v>1e-09</v>
      </c>
      <c r="F201">
        <f>IF(ABS(D201)&lt;=E201,"OK","CHECK")</f>
        <v/>
      </c>
    </row>
    <row r="202">
      <c r="A202" t="inlineStr">
        <is>
          <t>Q5: Ad_B higher (count)</t>
        </is>
      </c>
      <c r="B202" s="11">
        <f>Q5!B49</f>
        <v/>
      </c>
      <c r="C202" s="11" t="n">
        <v>7</v>
      </c>
      <c r="D202" s="11">
        <f>B202-C202</f>
        <v/>
      </c>
      <c r="E202" s="11" t="n">
        <v>1e-09</v>
      </c>
      <c r="F202">
        <f>IF(ABS(D202)&lt;=E202,"OK","CHECK")</f>
        <v/>
      </c>
    </row>
    <row r="203">
      <c r="A203" t="inlineStr">
        <is>
          <t>Q5: No difference (count)</t>
        </is>
      </c>
      <c r="B203" s="11">
        <f>Q5!B50</f>
        <v/>
      </c>
      <c r="C203" s="11" t="n">
        <v>3</v>
      </c>
      <c r="D203" s="11">
        <f>B203-C203</f>
        <v/>
      </c>
      <c r="E203" s="11" t="n">
        <v>1e-09</v>
      </c>
      <c r="F203">
        <f>IF(ABS(D203)&lt;=E203,"OK","CHECK")</f>
        <v/>
      </c>
    </row>
    <row r="204">
      <c r="A204" t="inlineStr">
        <is>
          <t>Q5: Zero in both ads (count)</t>
        </is>
      </c>
      <c r="B204" s="11">
        <f>Q5!B51</f>
        <v/>
      </c>
      <c r="C204" s="11" t="n">
        <v>3</v>
      </c>
      <c r="D204" s="11">
        <f>B204-C204</f>
        <v/>
      </c>
      <c r="E204" s="11" t="n">
        <v>1e-09</v>
      </c>
      <c r="F204">
        <f>IF(ABS(D204)&lt;=E204,"OK","CHECK")</f>
        <v/>
      </c>
    </row>
    <row r="205">
      <c r="A205" t="inlineStr">
        <is>
          <t>Q5: Ad_A mean</t>
        </is>
      </c>
      <c r="B205" s="11">
        <f>Q5!F29</f>
        <v/>
      </c>
      <c r="C205" s="11" t="n">
        <v>14.51590909090909</v>
      </c>
      <c r="D205" s="11">
        <f>B205-C205</f>
        <v/>
      </c>
      <c r="E205" s="11" t="n">
        <v>0.0005</v>
      </c>
      <c r="F205">
        <f>IF(ABS(D205)&lt;=E205,"OK","CHECK")</f>
        <v/>
      </c>
    </row>
    <row r="206">
      <c r="A206" t="inlineStr">
        <is>
          <t>Q5: Ad_A SD</t>
        </is>
      </c>
      <c r="B206" s="11">
        <f>Q5!F30</f>
        <v/>
      </c>
      <c r="C206" s="11" t="n">
        <v>11.71929815023917</v>
      </c>
      <c r="D206" s="11">
        <f>B206-C206</f>
        <v/>
      </c>
      <c r="E206" s="11" t="n">
        <v>0.0005</v>
      </c>
      <c r="F206">
        <f>IF(ABS(D206)&lt;=E206,"OK","CHECK")</f>
        <v/>
      </c>
    </row>
    <row r="207">
      <c r="A207" t="inlineStr">
        <is>
          <t>Q5: Ad_B mean</t>
        </is>
      </c>
      <c r="B207" s="11">
        <f>Q5!F31</f>
        <v/>
      </c>
      <c r="C207" s="11" t="n">
        <v>9.949545454545454</v>
      </c>
      <c r="D207" s="11">
        <f>B207-C207</f>
        <v/>
      </c>
      <c r="E207" s="11" t="n">
        <v>0.0005</v>
      </c>
      <c r="F207">
        <f>IF(ABS(D207)&lt;=E207,"OK","CHECK")</f>
        <v/>
      </c>
    </row>
    <row r="208">
      <c r="A208" t="inlineStr">
        <is>
          <t>Q5: Ad_B SD</t>
        </is>
      </c>
      <c r="B208" s="11">
        <f>Q5!F32</f>
        <v/>
      </c>
      <c r="C208" s="11" t="n">
        <v>10.01437465763838</v>
      </c>
      <c r="D208" s="11">
        <f>B208-C208</f>
        <v/>
      </c>
      <c r="E208" s="11" t="n">
        <v>0.0005</v>
      </c>
      <c r="F208">
        <f>IF(ABS(D208)&lt;=E208,"OK","CHECK")</f>
        <v/>
      </c>
    </row>
    <row r="209">
      <c r="A209" t="inlineStr">
        <is>
          <t>Q5: n (participants)</t>
        </is>
      </c>
      <c r="B209" s="11">
        <f>Q5!F33</f>
        <v/>
      </c>
      <c r="C209" s="11" t="n">
        <v>22</v>
      </c>
      <c r="D209" s="11">
        <f>B209-C209</f>
        <v/>
      </c>
      <c r="E209" s="11" t="n">
        <v>1e-09</v>
      </c>
      <c r="F209">
        <f>IF(ABS(D209)&lt;=E209,"OK","CHECK")</f>
        <v/>
      </c>
    </row>
    <row r="210">
      <c r="A210" t="inlineStr">
        <is>
          <t>Q5: Mean difference</t>
        </is>
      </c>
      <c r="B210" s="11">
        <f>Q5!F34</f>
        <v/>
      </c>
      <c r="C210" s="11" t="n">
        <v>4.566363636363636</v>
      </c>
      <c r="D210" s="11">
        <f>B210-C210</f>
        <v/>
      </c>
      <c r="E210" s="11" t="n">
        <v>0.0005</v>
      </c>
      <c r="F210">
        <f>IF(ABS(D210)&lt;=E210,"OK","CHECK")</f>
        <v/>
      </c>
    </row>
    <row r="211">
      <c r="A211" t="inlineStr">
        <is>
          <t>Q5: SD of the differences</t>
        </is>
      </c>
      <c r="B211" s="11">
        <f>Q5!F35</f>
        <v/>
      </c>
      <c r="C211" s="11" t="n">
        <v>12.84671999845154</v>
      </c>
      <c r="D211" s="11">
        <f>B211-C211</f>
        <v/>
      </c>
      <c r="E211" s="11" t="n">
        <v>0.0005</v>
      </c>
      <c r="F211">
        <f>IF(ABS(D211)&lt;=E211,"OK","CHECK")</f>
        <v/>
      </c>
    </row>
    <row r="212">
      <c r="A212" t="inlineStr">
        <is>
          <t>Q5: SE of the mean difference</t>
        </is>
      </c>
      <c r="B212" s="11">
        <f>Q5!F36</f>
        <v/>
      </c>
      <c r="C212" s="11" t="n">
        <v>2.7389</v>
      </c>
      <c r="D212" s="11">
        <f>B212-C212</f>
        <v/>
      </c>
      <c r="E212" s="11" t="n">
        <v>5e-05</v>
      </c>
      <c r="F212">
        <f>IF(ABS(D212)&lt;=E212,"OK","CHECK")</f>
        <v/>
      </c>
    </row>
    <row r="213">
      <c r="A213" t="inlineStr">
        <is>
          <t>Q5: t</t>
        </is>
      </c>
      <c r="B213" s="11">
        <f>Q5!F37</f>
        <v/>
      </c>
      <c r="C213" s="11" t="n">
        <v>1.667207191225949</v>
      </c>
      <c r="D213" s="11">
        <f>B213-C213</f>
        <v/>
      </c>
      <c r="E213" s="11" t="n">
        <v>0.0005</v>
      </c>
      <c r="F213">
        <f>IF(ABS(D213)&lt;=E213,"OK","CHECK")</f>
        <v/>
      </c>
    </row>
    <row r="214">
      <c r="A214" t="inlineStr">
        <is>
          <t>Q5: df</t>
        </is>
      </c>
      <c r="B214" s="11">
        <f>Q5!F38</f>
        <v/>
      </c>
      <c r="C214" s="11" t="n">
        <v>21</v>
      </c>
      <c r="D214" s="11">
        <f>B214-C214</f>
        <v/>
      </c>
      <c r="E214" s="11" t="n">
        <v>1e-09</v>
      </c>
      <c r="F214">
        <f>IF(ABS(D214)&lt;=E214,"OK","CHECK")</f>
        <v/>
      </c>
    </row>
    <row r="215">
      <c r="A215" t="inlineStr">
        <is>
          <t>Q5: p, two tailed (T.TEST, paired)</t>
        </is>
      </c>
      <c r="B215" s="11">
        <f>Q5!F39</f>
        <v/>
      </c>
      <c r="C215" s="11" t="n">
        <v>0.1103188409417732</v>
      </c>
      <c r="D215" s="11">
        <f>B215-C215</f>
        <v/>
      </c>
      <c r="E215" s="11" t="n">
        <v>5e-06</v>
      </c>
      <c r="F215">
        <f>IF(ABS(D215)&lt;=E215,"OK","CHECK")</f>
        <v/>
      </c>
    </row>
    <row r="216">
      <c r="A216" t="inlineStr">
        <is>
          <t>Q5: p from t (T.DIST.2T)</t>
        </is>
      </c>
      <c r="B216" s="11">
        <f>Q5!F40</f>
        <v/>
      </c>
      <c r="C216" s="11" t="n">
        <v>0.1103188409417732</v>
      </c>
      <c r="D216" s="11">
        <f>B216-C216</f>
        <v/>
      </c>
      <c r="E216" s="11" t="n">
        <v>5e-06</v>
      </c>
      <c r="F216">
        <f>IF(ABS(D216)&lt;=E216,"OK","CHECK")</f>
        <v/>
      </c>
    </row>
    <row r="217">
      <c r="A217" t="inlineStr">
        <is>
          <t>Q5: Critical t (95%)</t>
        </is>
      </c>
      <c r="B217" s="11">
        <f>Q5!F41</f>
        <v/>
      </c>
      <c r="C217" s="11" t="n">
        <v>2.0796</v>
      </c>
      <c r="D217" s="11">
        <f>B217-C217</f>
        <v/>
      </c>
      <c r="E217" s="11" t="n">
        <v>5e-05</v>
      </c>
      <c r="F217">
        <f>IF(ABS(D217)&lt;=E217,"OK","CHECK")</f>
        <v/>
      </c>
    </row>
    <row r="218">
      <c r="A218" t="inlineStr">
        <is>
          <t>Q5: Mean difference, 95% CI lower</t>
        </is>
      </c>
      <c r="B218" s="11">
        <f>Q5!F42</f>
        <v/>
      </c>
      <c r="C218" s="11" t="n">
        <v>-1.129552916911272</v>
      </c>
      <c r="D218" s="11">
        <f>B218-C218</f>
        <v/>
      </c>
      <c r="E218" s="11" t="n">
        <v>0.0005</v>
      </c>
      <c r="F218">
        <f>IF(ABS(D218)&lt;=E218,"OK","CHECK")</f>
        <v/>
      </c>
    </row>
    <row r="219">
      <c r="A219" t="inlineStr">
        <is>
          <t>Q5: Mean difference, 95% CI upper</t>
        </is>
      </c>
      <c r="B219" s="11">
        <f>Q5!F43</f>
        <v/>
      </c>
      <c r="C219" s="11" t="n">
        <v>10.26228018963855</v>
      </c>
      <c r="D219" s="11">
        <f>B219-C219</f>
        <v/>
      </c>
      <c r="E219" s="11" t="n">
        <v>0.0005</v>
      </c>
      <c r="F219">
        <f>IF(ABS(D219)&lt;=E219,"OK","CHECK")</f>
        <v/>
      </c>
    </row>
    <row r="220">
      <c r="A220" t="inlineStr">
        <is>
          <t>Q5: Cohen's d_z</t>
        </is>
      </c>
      <c r="B220" s="11">
        <f>Q5!F44</f>
        <v/>
      </c>
      <c r="C220" s="11" t="n">
        <v>0.3554497674825977</v>
      </c>
      <c r="D220" s="11">
        <f>B220-C220</f>
        <v/>
      </c>
      <c r="E220" s="11" t="n">
        <v>0.0005</v>
      </c>
      <c r="F220">
        <f>IF(ABS(D220)&lt;=E220,"OK","CHECK")</f>
        <v/>
      </c>
    </row>
    <row r="221">
      <c r="A221" t="inlineStr">
        <is>
          <t>Q5: SE of d_z (approximation)</t>
        </is>
      </c>
      <c r="B221" s="11">
        <f>Q5!F45</f>
        <v/>
      </c>
      <c r="C221" s="11" t="n">
        <v>0.2198</v>
      </c>
      <c r="D221" s="11">
        <f>B221-C221</f>
        <v/>
      </c>
      <c r="E221" s="11" t="n">
        <v>5e-05</v>
      </c>
      <c r="F221">
        <f>IF(ABS(D221)&lt;=E221,"OK","CHECK")</f>
        <v/>
      </c>
    </row>
    <row r="222">
      <c r="A222" t="inlineStr">
        <is>
          <t>Q5: d_z 95% CI lower (approximation)</t>
        </is>
      </c>
      <c r="B222" s="11">
        <f>Q5!F46</f>
        <v/>
      </c>
      <c r="C222" s="11" t="n">
        <v>-0.07542052448790165</v>
      </c>
      <c r="D222" s="11">
        <f>B222-C222</f>
        <v/>
      </c>
      <c r="E222" s="11" t="n">
        <v>0.0005</v>
      </c>
      <c r="F222">
        <f>IF(ABS(D222)&lt;=E222,"OK","CHECK")</f>
        <v/>
      </c>
    </row>
    <row r="223">
      <c r="A223" t="inlineStr">
        <is>
          <t>Q5: d_z 95% CI upper (approximation)</t>
        </is>
      </c>
      <c r="B223" s="11">
        <f>Q5!F47</f>
        <v/>
      </c>
      <c r="C223" s="11" t="n">
        <v>0.786320059453097</v>
      </c>
      <c r="D223" s="11">
        <f>B223-C223</f>
        <v/>
      </c>
      <c r="E223" s="11" t="n">
        <v>0.0005</v>
      </c>
      <c r="F223">
        <f>IF(ABS(D223)&lt;=E223,"OK","CHECK")</f>
        <v/>
      </c>
    </row>
    <row r="224">
      <c r="A224" t="inlineStr">
        <is>
          <t>Q5: Ad_A higher (count)</t>
        </is>
      </c>
      <c r="B224" s="11">
        <f>Q5!F48</f>
        <v/>
      </c>
      <c r="C224" s="11" t="n">
        <v>15</v>
      </c>
      <c r="D224" s="11">
        <f>B224-C224</f>
        <v/>
      </c>
      <c r="E224" s="11" t="n">
        <v>1e-09</v>
      </c>
      <c r="F224">
        <f>IF(ABS(D224)&lt;=E224,"OK","CHECK")</f>
        <v/>
      </c>
    </row>
    <row r="225">
      <c r="A225" t="inlineStr">
        <is>
          <t>Q5: Ad_B higher (count)</t>
        </is>
      </c>
      <c r="B225" s="11">
        <f>Q5!F49</f>
        <v/>
      </c>
      <c r="C225" s="11" t="n">
        <v>6</v>
      </c>
      <c r="D225" s="11">
        <f>B225-C225</f>
        <v/>
      </c>
      <c r="E225" s="11" t="n">
        <v>1e-09</v>
      </c>
      <c r="F225">
        <f>IF(ABS(D225)&lt;=E225,"OK","CHECK")</f>
        <v/>
      </c>
    </row>
    <row r="226">
      <c r="A226" t="inlineStr">
        <is>
          <t>Q5: No difference (count)</t>
        </is>
      </c>
      <c r="B226" s="11">
        <f>Q5!F50</f>
        <v/>
      </c>
      <c r="C226" s="11" t="n">
        <v>1</v>
      </c>
      <c r="D226" s="11">
        <f>B226-C226</f>
        <v/>
      </c>
      <c r="E226" s="11" t="n">
        <v>1e-09</v>
      </c>
      <c r="F226">
        <f>IF(ABS(D226)&lt;=E226,"OK","CHECK")</f>
        <v/>
      </c>
    </row>
    <row r="227">
      <c r="A227" t="inlineStr">
        <is>
          <t>Q5: Zero in both ads (count)</t>
        </is>
      </c>
      <c r="B227" s="11">
        <f>Q5!F51</f>
        <v/>
      </c>
      <c r="C227" s="11" t="n">
        <v>1</v>
      </c>
      <c r="D227" s="11">
        <f>B227-C227</f>
        <v/>
      </c>
      <c r="E227" s="11" t="n">
        <v>1e-09</v>
      </c>
      <c r="F227">
        <f>IF(ABS(D227)&lt;=E227,"OK","CHECK")</f>
        <v/>
      </c>
    </row>
    <row r="228">
      <c r="A228" t="inlineStr">
        <is>
          <t>Q5: Ad_A mean</t>
        </is>
      </c>
      <c r="B228" s="11">
        <f>Q5!J29</f>
        <v/>
      </c>
      <c r="C228" s="11" t="n">
        <v>0.6463636363636364</v>
      </c>
      <c r="D228" s="11">
        <f>B228-C228</f>
        <v/>
      </c>
      <c r="E228" s="11" t="n">
        <v>0.0005</v>
      </c>
      <c r="F228">
        <f>IF(ABS(D228)&lt;=E228,"OK","CHECK")</f>
        <v/>
      </c>
    </row>
    <row r="229">
      <c r="A229" t="inlineStr">
        <is>
          <t>Q5: Ad_A SD</t>
        </is>
      </c>
      <c r="B229" s="11">
        <f>Q5!J30</f>
        <v/>
      </c>
      <c r="C229" s="11" t="n">
        <v>1.51695668222846</v>
      </c>
      <c r="D229" s="11">
        <f>B229-C229</f>
        <v/>
      </c>
      <c r="E229" s="11" t="n">
        <v>0.0005</v>
      </c>
      <c r="F229">
        <f>IF(ABS(D229)&lt;=E229,"OK","CHECK")</f>
        <v/>
      </c>
    </row>
    <row r="230">
      <c r="A230" t="inlineStr">
        <is>
          <t>Q5: Ad_B mean</t>
        </is>
      </c>
      <c r="B230" s="11">
        <f>Q5!J31</f>
        <v/>
      </c>
      <c r="C230" s="11" t="n">
        <v>0.3840909090909091</v>
      </c>
      <c r="D230" s="11">
        <f>B230-C230</f>
        <v/>
      </c>
      <c r="E230" s="11" t="n">
        <v>0.0005</v>
      </c>
      <c r="F230">
        <f>IF(ABS(D230)&lt;=E230,"OK","CHECK")</f>
        <v/>
      </c>
    </row>
    <row r="231">
      <c r="A231" t="inlineStr">
        <is>
          <t>Q5: Ad_B SD</t>
        </is>
      </c>
      <c r="B231" s="11">
        <f>Q5!J32</f>
        <v/>
      </c>
      <c r="C231" s="11" t="n">
        <v>1.309673383822994</v>
      </c>
      <c r="D231" s="11">
        <f>B231-C231</f>
        <v/>
      </c>
      <c r="E231" s="11" t="n">
        <v>0.0005</v>
      </c>
      <c r="F231">
        <f>IF(ABS(D231)&lt;=E231,"OK","CHECK")</f>
        <v/>
      </c>
    </row>
    <row r="232">
      <c r="A232" t="inlineStr">
        <is>
          <t>Q5: n (participants)</t>
        </is>
      </c>
      <c r="B232" s="11">
        <f>Q5!J33</f>
        <v/>
      </c>
      <c r="C232" s="11" t="n">
        <v>22</v>
      </c>
      <c r="D232" s="11">
        <f>B232-C232</f>
        <v/>
      </c>
      <c r="E232" s="11" t="n">
        <v>1e-09</v>
      </c>
      <c r="F232">
        <f>IF(ABS(D232)&lt;=E232,"OK","CHECK")</f>
        <v/>
      </c>
    </row>
    <row r="233">
      <c r="A233" t="inlineStr">
        <is>
          <t>Q5: Mean difference</t>
        </is>
      </c>
      <c r="B233" s="11">
        <f>Q5!J34</f>
        <v/>
      </c>
      <c r="C233" s="11" t="n">
        <v>0.2622727272727273</v>
      </c>
      <c r="D233" s="11">
        <f>B233-C233</f>
        <v/>
      </c>
      <c r="E233" s="11" t="n">
        <v>0.0005</v>
      </c>
      <c r="F233">
        <f>IF(ABS(D233)&lt;=E233,"OK","CHECK")</f>
        <v/>
      </c>
    </row>
    <row r="234">
      <c r="A234" t="inlineStr">
        <is>
          <t>Q5: SD of the differences</t>
        </is>
      </c>
      <c r="B234" s="11">
        <f>Q5!J35</f>
        <v/>
      </c>
      <c r="C234" s="11" t="n">
        <v>1.647728398268014</v>
      </c>
      <c r="D234" s="11">
        <f>B234-C234</f>
        <v/>
      </c>
      <c r="E234" s="11" t="n">
        <v>0.0005</v>
      </c>
      <c r="F234">
        <f>IF(ABS(D234)&lt;=E234,"OK","CHECK")</f>
        <v/>
      </c>
    </row>
    <row r="235">
      <c r="A235" t="inlineStr">
        <is>
          <t>Q5: SE of the mean difference</t>
        </is>
      </c>
      <c r="B235" s="11">
        <f>Q5!J36</f>
        <v/>
      </c>
      <c r="C235" s="11" t="n">
        <v>0.3513</v>
      </c>
      <c r="D235" s="11">
        <f>B235-C235</f>
        <v/>
      </c>
      <c r="E235" s="11" t="n">
        <v>5e-05</v>
      </c>
      <c r="F235">
        <f>IF(ABS(D235)&lt;=E235,"OK","CHECK")</f>
        <v/>
      </c>
    </row>
    <row r="236">
      <c r="A236" t="inlineStr">
        <is>
          <t>Q5: t</t>
        </is>
      </c>
      <c r="B236" s="11">
        <f>Q5!J37</f>
        <v/>
      </c>
      <c r="C236" s="11" t="n">
        <v>0.7465842882024404</v>
      </c>
      <c r="D236" s="11">
        <f>B236-C236</f>
        <v/>
      </c>
      <c r="E236" s="11" t="n">
        <v>0.0005</v>
      </c>
      <c r="F236">
        <f>IF(ABS(D236)&lt;=E236,"OK","CHECK")</f>
        <v/>
      </c>
    </row>
    <row r="237">
      <c r="A237" t="inlineStr">
        <is>
          <t>Q5: df</t>
        </is>
      </c>
      <c r="B237" s="11">
        <f>Q5!J38</f>
        <v/>
      </c>
      <c r="C237" s="11" t="n">
        <v>21</v>
      </c>
      <c r="D237" s="11">
        <f>B237-C237</f>
        <v/>
      </c>
      <c r="E237" s="11" t="n">
        <v>1e-09</v>
      </c>
      <c r="F237">
        <f>IF(ABS(D237)&lt;=E237,"OK","CHECK")</f>
        <v/>
      </c>
    </row>
    <row r="238">
      <c r="A238" t="inlineStr">
        <is>
          <t>Q5: p, two tailed (T.TEST, paired)</t>
        </is>
      </c>
      <c r="B238" s="11">
        <f>Q5!J39</f>
        <v/>
      </c>
      <c r="C238" s="11" t="n">
        <v>0.4635916041747492</v>
      </c>
      <c r="D238" s="11">
        <f>B238-C238</f>
        <v/>
      </c>
      <c r="E238" s="11" t="n">
        <v>5e-06</v>
      </c>
      <c r="F238">
        <f>IF(ABS(D238)&lt;=E238,"OK","CHECK")</f>
        <v/>
      </c>
    </row>
    <row r="239">
      <c r="A239" t="inlineStr">
        <is>
          <t>Q5: p from t (T.DIST.2T)</t>
        </is>
      </c>
      <c r="B239" s="11">
        <f>Q5!J40</f>
        <v/>
      </c>
      <c r="C239" s="11" t="n">
        <v>0.4635916041747492</v>
      </c>
      <c r="D239" s="11">
        <f>B239-C239</f>
        <v/>
      </c>
      <c r="E239" s="11" t="n">
        <v>5e-06</v>
      </c>
      <c r="F239">
        <f>IF(ABS(D239)&lt;=E239,"OK","CHECK")</f>
        <v/>
      </c>
    </row>
    <row r="240">
      <c r="A240" t="inlineStr">
        <is>
          <t>Q5: Critical t (95%)</t>
        </is>
      </c>
      <c r="B240" s="11">
        <f>Q5!J41</f>
        <v/>
      </c>
      <c r="C240" s="11" t="n">
        <v>2.0796</v>
      </c>
      <c r="D240" s="11">
        <f>B240-C240</f>
        <v/>
      </c>
      <c r="E240" s="11" t="n">
        <v>5e-05</v>
      </c>
      <c r="F240">
        <f>IF(ABS(D240)&lt;=E240,"OK","CHECK")</f>
        <v/>
      </c>
    </row>
    <row r="241">
      <c r="A241" t="inlineStr">
        <is>
          <t>Q5: Mean difference, 95% CI lower</t>
        </is>
      </c>
      <c r="B241" s="11">
        <f>Q5!J42</f>
        <v/>
      </c>
      <c r="C241" s="11" t="n">
        <v>-0.468289117316956</v>
      </c>
      <c r="D241" s="11">
        <f>B241-C241</f>
        <v/>
      </c>
      <c r="E241" s="11" t="n">
        <v>0.0005</v>
      </c>
      <c r="F241">
        <f>IF(ABS(D241)&lt;=E241,"OK","CHECK")</f>
        <v/>
      </c>
    </row>
    <row r="242">
      <c r="A242" t="inlineStr">
        <is>
          <t>Q5: Mean difference, 95% CI upper</t>
        </is>
      </c>
      <c r="B242" s="11">
        <f>Q5!J43</f>
        <v/>
      </c>
      <c r="C242" s="11" t="n">
        <v>0.9928345718624106</v>
      </c>
      <c r="D242" s="11">
        <f>B242-C242</f>
        <v/>
      </c>
      <c r="E242" s="11" t="n">
        <v>0.0005</v>
      </c>
      <c r="F242">
        <f>IF(ABS(D242)&lt;=E242,"OK","CHECK")</f>
        <v/>
      </c>
    </row>
    <row r="243">
      <c r="A243" t="inlineStr">
        <is>
          <t>Q5: Cohen's d_z</t>
        </is>
      </c>
      <c r="B243" s="11">
        <f>Q5!J44</f>
        <v/>
      </c>
      <c r="C243" s="11" t="n">
        <v>0.1591723050646038</v>
      </c>
      <c r="D243" s="11">
        <f>B243-C243</f>
        <v/>
      </c>
      <c r="E243" s="11" t="n">
        <v>0.0005</v>
      </c>
      <c r="F243">
        <f>IF(ABS(D243)&lt;=E243,"OK","CHECK")</f>
        <v/>
      </c>
    </row>
    <row r="244">
      <c r="A244" t="inlineStr">
        <is>
          <t>Q5: SE of d_z (approximation)</t>
        </is>
      </c>
      <c r="B244" s="11">
        <f>Q5!J45</f>
        <v/>
      </c>
      <c r="C244" s="11" t="n">
        <v>0.2145</v>
      </c>
      <c r="D244" s="11">
        <f>B244-C244</f>
        <v/>
      </c>
      <c r="E244" s="11" t="n">
        <v>5e-05</v>
      </c>
      <c r="F244">
        <f>IF(ABS(D244)&lt;=E244,"OK","CHECK")</f>
        <v/>
      </c>
    </row>
    <row r="245">
      <c r="A245" t="inlineStr">
        <is>
          <t>Q5: d_z 95% CI lower (approximation)</t>
        </is>
      </c>
      <c r="B245" s="11">
        <f>Q5!J46</f>
        <v/>
      </c>
      <c r="C245" s="11" t="n">
        <v>-0.2613395609576478</v>
      </c>
      <c r="D245" s="11">
        <f>B245-C245</f>
        <v/>
      </c>
      <c r="E245" s="11" t="n">
        <v>0.0005</v>
      </c>
      <c r="F245">
        <f>IF(ABS(D245)&lt;=E245,"OK","CHECK")</f>
        <v/>
      </c>
    </row>
    <row r="246">
      <c r="A246" t="inlineStr">
        <is>
          <t>Q5: d_z 95% CI upper (approximation)</t>
        </is>
      </c>
      <c r="B246" s="11">
        <f>Q5!J47</f>
        <v/>
      </c>
      <c r="C246" s="11" t="n">
        <v>0.5796841710868553</v>
      </c>
      <c r="D246" s="11">
        <f>B246-C246</f>
        <v/>
      </c>
      <c r="E246" s="11" t="n">
        <v>0.0005</v>
      </c>
      <c r="F246">
        <f>IF(ABS(D246)&lt;=E246,"OK","CHECK")</f>
        <v/>
      </c>
    </row>
    <row r="247">
      <c r="A247" t="inlineStr">
        <is>
          <t>Q5: Ad_A higher (count)</t>
        </is>
      </c>
      <c r="B247" s="11">
        <f>Q5!J48</f>
        <v/>
      </c>
      <c r="C247" s="11" t="n">
        <v>3</v>
      </c>
      <c r="D247" s="11">
        <f>B247-C247</f>
        <v/>
      </c>
      <c r="E247" s="11" t="n">
        <v>1e-09</v>
      </c>
      <c r="F247">
        <f>IF(ABS(D247)&lt;=E247,"OK","CHECK")</f>
        <v/>
      </c>
    </row>
    <row r="248">
      <c r="A248" t="inlineStr">
        <is>
          <t>Q5: Ad_B higher (count)</t>
        </is>
      </c>
      <c r="B248" s="11">
        <f>Q5!J49</f>
        <v/>
      </c>
      <c r="C248" s="11" t="n">
        <v>2</v>
      </c>
      <c r="D248" s="11">
        <f>B248-C248</f>
        <v/>
      </c>
      <c r="E248" s="11" t="n">
        <v>1e-09</v>
      </c>
      <c r="F248">
        <f>IF(ABS(D248)&lt;=E248,"OK","CHECK")</f>
        <v/>
      </c>
    </row>
    <row r="249">
      <c r="A249" t="inlineStr">
        <is>
          <t>Q5: No difference (count)</t>
        </is>
      </c>
      <c r="B249" s="11">
        <f>Q5!J50</f>
        <v/>
      </c>
      <c r="C249" s="11" t="n">
        <v>17</v>
      </c>
      <c r="D249" s="11">
        <f>B249-C249</f>
        <v/>
      </c>
      <c r="E249" s="11" t="n">
        <v>1e-09</v>
      </c>
      <c r="F249">
        <f>IF(ABS(D249)&lt;=E249,"OK","CHECK")</f>
        <v/>
      </c>
    </row>
    <row r="250">
      <c r="A250" t="inlineStr">
        <is>
          <t>Q5: Zero in both ads (count)</t>
        </is>
      </c>
      <c r="B250" s="11">
        <f>Q5!J51</f>
        <v/>
      </c>
      <c r="C250" s="11" t="n">
        <v>17</v>
      </c>
      <c r="D250" s="11">
        <f>B250-C250</f>
        <v/>
      </c>
      <c r="E250" s="11" t="n">
        <v>1e-09</v>
      </c>
      <c r="F250">
        <f>IF(ABS(D250)&lt;=E250,"OK","CHECK")</f>
        <v/>
      </c>
    </row>
    <row r="251">
      <c r="A251" t="inlineStr">
        <is>
          <t>Holm: m, number of tests</t>
        </is>
      </c>
      <c r="B251" s="11">
        <f>Holm!K3</f>
        <v/>
      </c>
      <c r="C251" s="11" t="n">
        <v>3</v>
      </c>
      <c r="D251" s="11">
        <f>B251-C251</f>
        <v/>
      </c>
      <c r="E251" s="11" t="n">
        <v>1e-09</v>
      </c>
      <c r="F251">
        <f>IF(ABS(D251)&lt;=E251,"OK","CHECK")</f>
        <v/>
      </c>
    </row>
    <row r="252">
      <c r="A252" t="inlineStr">
        <is>
          <t>Holm: p, Joy</t>
        </is>
      </c>
      <c r="B252" s="11">
        <f>Holm!B4</f>
        <v/>
      </c>
      <c r="C252" s="11" t="n">
        <v>0.1545936201800334</v>
      </c>
      <c r="D252" s="11">
        <f>B252-C252</f>
        <v/>
      </c>
      <c r="E252" s="11" t="n">
        <v>5e-06</v>
      </c>
      <c r="F252">
        <f>IF(ABS(D252)&lt;=E252,"OK","CHECK")</f>
        <v/>
      </c>
    </row>
    <row r="253">
      <c r="A253" t="inlineStr">
        <is>
          <t>Holm: Holm p, Joy</t>
        </is>
      </c>
      <c r="B253" s="11">
        <f>Holm!F4</f>
        <v/>
      </c>
      <c r="C253" s="11" t="n">
        <v>0.3309565228253196</v>
      </c>
      <c r="D253" s="11">
        <f>B253-C253</f>
        <v/>
      </c>
      <c r="E253" s="11" t="n">
        <v>5e-06</v>
      </c>
      <c r="F253">
        <f>IF(ABS(D253)&lt;=E253,"OK","CHECK")</f>
        <v/>
      </c>
    </row>
    <row r="254">
      <c r="A254" t="inlineStr">
        <is>
          <t>Holm: p, Engagement</t>
        </is>
      </c>
      <c r="B254" s="11">
        <f>Holm!B5</f>
        <v/>
      </c>
      <c r="C254" s="11" t="n">
        <v>0.1103188409417732</v>
      </c>
      <c r="D254" s="11">
        <f>B254-C254</f>
        <v/>
      </c>
      <c r="E254" s="11" t="n">
        <v>5e-06</v>
      </c>
      <c r="F254">
        <f>IF(ABS(D254)&lt;=E254,"OK","CHECK")</f>
        <v/>
      </c>
    </row>
    <row r="255">
      <c r="A255" t="inlineStr">
        <is>
          <t>Holm: Holm p, Engagement</t>
        </is>
      </c>
      <c r="B255" s="11">
        <f>Holm!F5</f>
        <v/>
      </c>
      <c r="C255" s="11" t="n">
        <v>0.3309565228253196</v>
      </c>
      <c r="D255" s="11">
        <f>B255-C255</f>
        <v/>
      </c>
      <c r="E255" s="11" t="n">
        <v>5e-06</v>
      </c>
      <c r="F255">
        <f>IF(ABS(D255)&lt;=E255,"OK","CHECK")</f>
        <v/>
      </c>
    </row>
    <row r="256">
      <c r="A256" t="inlineStr">
        <is>
          <t>Holm: p, Brow Furrow</t>
        </is>
      </c>
      <c r="B256" s="11">
        <f>Holm!B6</f>
        <v/>
      </c>
      <c r="C256" s="11" t="n">
        <v>0.4635916041747492</v>
      </c>
      <c r="D256" s="11">
        <f>B256-C256</f>
        <v/>
      </c>
      <c r="E256" s="11" t="n">
        <v>5e-06</v>
      </c>
      <c r="F256">
        <f>IF(ABS(D256)&lt;=E256,"OK","CHECK")</f>
        <v/>
      </c>
    </row>
    <row r="257">
      <c r="A257" t="inlineStr">
        <is>
          <t>Holm: Holm p, Brow Furrow</t>
        </is>
      </c>
      <c r="B257" s="11">
        <f>Holm!F6</f>
        <v/>
      </c>
      <c r="C257" s="11" t="n">
        <v>0.4635916041747492</v>
      </c>
      <c r="D257" s="11">
        <f>B257-C257</f>
        <v/>
      </c>
      <c r="E257" s="11" t="n">
        <v>5e-06</v>
      </c>
      <c r="F257">
        <f>IF(ABS(D257)&lt;=E257,"OK","CHECK")</f>
        <v/>
      </c>
    </row>
    <row r="258">
      <c r="A258" t="inlineStr">
        <is>
          <t>Q5 roster: listed participants whose Baseline row in Data has include = 1</t>
        </is>
      </c>
      <c r="B258" s="11">
        <f>SUMPRODUCT(COUNTIFS(Data!$A$2:$A$73,Q5!A4:A25,Data!$B$2:$B$73,"Baseline",Data!$G$2:$G$73,1))</f>
        <v/>
      </c>
      <c r="C258" s="11" t="n">
        <v>22</v>
      </c>
      <c r="D258" s="11">
        <f>B258-C258</f>
        <v/>
      </c>
      <c r="E258" s="11" t="n">
        <v>1e-09</v>
      </c>
      <c r="F258">
        <f>IF(ABS(D258)&lt;=E258,"OK","CHECK")</f>
        <v/>
      </c>
    </row>
    <row r="259">
      <c r="A259" t="inlineStr">
        <is>
          <t>Participants with include = 1 in Data (Baseline rows)</t>
        </is>
      </c>
      <c r="B259" s="11">
        <f>COUNTIFS(Data!$B$2:$B$73,"Baseline",Data!$G$2:$G$73,1)</f>
        <v/>
      </c>
      <c r="C259" s="11" t="n">
        <v>22</v>
      </c>
      <c r="D259" s="11">
        <f>B259-C259</f>
        <v/>
      </c>
      <c r="E259" s="11" t="n">
        <v>1e-09</v>
      </c>
      <c r="F259">
        <f>IF(ABS(D259)&lt;=E259,"OK","CHECK")</f>
        <v/>
      </c>
    </row>
    <row r="261">
      <c r="A261" s="1" t="inlineStr">
        <is>
          <t>Rows with status CHECK</t>
        </is>
      </c>
      <c r="B261" s="6">
        <f>COUNTIF(F4:F259,"CHECK")</f>
        <v/>
      </c>
    </row>
    <row r="262">
      <c r="A262" s="8" t="inlineStr">
        <is>
          <t>Not reproduced in Excel: H1 to H3 (see Workshop 7), the Q4 mixed model and repeated measures ANOVA, the Q4 and Q6 paired tests, the order checks, the Wilcoxon checks, the exact noncentral t intervals of d_z, the Spearman correlations, and the power analysis. See analysis_output.txt.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2026-10-11T20:36:46Z</dcterms:created>
  <dcterms:modified xmlns:dcterms="http://purl.org/dc/terms/" xmlns:xsi="http://www.w3.org/2001/XMLSchema-instance" xsi:type="dcterms:W3CDTF">2026-10-11T20:36:46Z</dcterms:modified>
</cp:coreProperties>
</file>