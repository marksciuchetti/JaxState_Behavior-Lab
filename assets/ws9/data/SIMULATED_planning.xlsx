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mpleSize" sheetId="2" state="visible" r:id="rId2"/>
    <sheet xmlns:r="http://schemas.openxmlformats.org/officeDocument/2006/relationships" name="Attrition" sheetId="3" state="visible" r:id="rId3"/>
    <sheet xmlns:r="http://schemas.openxmlformats.org/officeDocument/2006/relationships" name="LatinSquare" sheetId="4" state="visible" r:id="rId4"/>
    <sheet xmlns:r="http://schemas.openxmlformats.org/officeDocument/2006/relationships" name="Assignment" sheetId="5" state="visible" r:id="rId5"/>
    <sheet xmlns:r="http://schemas.openxmlformats.org/officeDocument/2006/relationships" name="Calendar" sheetId="6" state="visible" r:id="rId6"/>
    <sheet xmlns:r="http://schemas.openxmlformats.org/officeDocument/2006/relationships" name="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"/>
    <numFmt numFmtId="166" formatCode="yyyy-mm-dd"/>
    <numFmt numFmtId="167" formatCode="hh:mm"/>
    <numFmt numFmtId="168" formatCode="0.000000"/>
  </numFmts>
  <fonts count="4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0072B2"/>
      </patternFill>
    </fill>
    <fill>
      <patternFill patternType="solid">
        <fgColor rgb="00E7E6E6"/>
      </patternFill>
    </fill>
    <fill>
      <patternFill patternType="solid">
        <fgColor rgb="008C8C8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2" borderId="0" pivotButton="0" quotePrefix="0" xfId="0"/>
    <xf numFmtId="1" fontId="0" fillId="2" borderId="0" pivotButton="0" quotePrefix="0" xfId="0"/>
    <xf numFmtId="164" fontId="0" fillId="0" borderId="0" pivotButton="0" quotePrefix="0" xfId="0"/>
    <xf numFmtId="0" fontId="3" fillId="3" borderId="1" applyAlignment="1" pivotButton="0" quotePrefix="0" xfId="0">
      <alignment vertical="center" wrapText="1"/>
    </xf>
    <xf numFmtId="164" fontId="0" fillId="2" borderId="0" pivotButton="0" quotePrefix="0" xfId="0"/>
    <xf numFmtId="2" fontId="0" fillId="0" borderId="0" pivotButton="0" quotePrefix="0" xfId="0"/>
    <xf numFmtId="1" fontId="0" fillId="0" borderId="0" pivotButton="0" quotePrefix="0" xfId="0"/>
    <xf numFmtId="165" fontId="0" fillId="2" borderId="0" pivotButton="0" quotePrefix="0" xfId="0"/>
    <xf numFmtId="165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166" fontId="0" fillId="2" borderId="0" pivotButton="0" quotePrefix="0" xfId="0"/>
    <xf numFmtId="167" fontId="0" fillId="2" borderId="0" pivotButton="0" quotePrefix="0" xfId="0"/>
    <xf numFmtId="166" fontId="0" fillId="0" borderId="0" pivotButton="0" quotePrefix="0" xfId="0"/>
    <xf numFmtId="0" fontId="3" fillId="5" borderId="1" applyAlignment="1" pivotButton="0" quotePrefix="0" xfId="0">
      <alignment vertical="center" wrapText="1"/>
    </xf>
    <xf numFmtId="167" fontId="0" fillId="0" borderId="0" pivotButton="0" quotePrefix="0" xfId="0"/>
    <xf numFmtId="166" fontId="0" fillId="4" borderId="0" pivotButton="0" quotePrefix="0" xfId="0"/>
    <xf numFmtId="167" fontId="0" fillId="4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PLANNED STUDY / SIMULATED PLANNING DATA: the Excel route of Workshop 9 (study design, consent, and the IRB)</t>
        </is>
      </c>
    </row>
    <row r="2">
      <c r="A2" t="inlineStr">
        <is>
          <t>Built by make_excel_workbook.py from the CSV files that plan_power.R wrote (seed 20270208). No real person was recorded; ALTAVO and BRENLOW are invented brands; participant codes (P01, R01) and staff codes (S1 to S6) are placeholders. Dates are placeholders.</t>
        </is>
      </c>
    </row>
    <row r="3">
      <c r="A3" t="inlineStr">
        <is>
          <t>The follow up study: 12 ads (6 per brand), every participant sees every ad in a Williams order, one participant at a time at the single Smart Eye Aurora seat; 48 participants analyzed.</t>
        </is>
      </c>
    </row>
    <row r="4">
      <c r="A4" t="inlineStr"/>
    </row>
    <row r="5">
      <c r="A5" s="1" t="inlineStr">
        <is>
          <t>Sheets</t>
        </is>
      </c>
    </row>
    <row r="6">
      <c r="A6" t="inlineStr">
        <is>
          <t>SampleSize   A. sample size of a paired comparison (normal approximation with the small sample correction), with and without a Holm family of three; B. approximate power of the brand test when ads are a random factor</t>
        </is>
      </c>
    </row>
    <row r="7">
      <c r="A7" t="inlineStr">
        <is>
          <t>Attrition    sessions to book from the Workshop 7 exclusion rate; reserve, cap, days; the remote comparison from Workshop 6</t>
        </is>
      </c>
    </row>
    <row r="8">
      <c r="A8" t="inlineStr">
        <is>
          <t>LatinSquare  the Williams design for 12 ads (MOD formulas), the ad labels, and the balance checks</t>
        </is>
      </c>
    </row>
    <row r="9">
      <c r="A9" t="inlineStr">
        <is>
          <t>Assignment   the Latin square row of each participant code (drawn in R with a fixed seed) and the block check</t>
        </is>
      </c>
    </row>
    <row r="10">
      <c r="A10" t="inlineStr">
        <is>
          <t>Calendar     one row per session slot: WORKDAY dates, slot times, codes, rows, and the staff pair</t>
        </is>
      </c>
    </row>
    <row r="11">
      <c r="A11" t="inlineStr">
        <is>
          <t>Check        every Excel result next to the value plan_power.R produced, with OK or CHECK</t>
        </is>
      </c>
    </row>
    <row r="12">
      <c r="A12" t="inlineStr"/>
    </row>
    <row r="13">
      <c r="A13" t="inlineStr">
        <is>
          <t>Colors: blue headers = column names; yellow cells are typed by you (inputs); gray cells are values copied from R for comparison.</t>
        </is>
      </c>
    </row>
    <row r="14">
      <c r="A14" t="inlineStr">
        <is>
          <t>The walkthrough excel_walkthrough.md explains every formula with its cell address.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6" customWidth="1" min="3" max="3"/>
    <col width="18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8" customWidth="1" min="10" max="10"/>
  </cols>
  <sheetData>
    <row r="1">
      <c r="A1" s="1" t="inlineStr">
        <is>
          <t>A. Sample size of a paired comparison (each participant gives one score in each condition)</t>
        </is>
      </c>
    </row>
    <row r="2">
      <c r="A2" s="2" t="inlineStr">
        <is>
          <t>Normal approximation n = ((z_alpha + z_power) / d_z)^2, plus z_alpha^2 / 2 as the small sample correction; power at n from the same formula solved for the power. Compare with R's power.t.test on the Check sheet.</t>
        </is>
      </c>
    </row>
    <row r="4">
      <c r="A4" t="inlineStr">
        <is>
          <t>Alpha (two tailed)</t>
        </is>
      </c>
      <c r="B4" s="3" t="n">
        <v>0.05</v>
      </c>
    </row>
    <row r="5">
      <c r="A5" t="inlineStr">
        <is>
          <t>Power target</t>
        </is>
      </c>
      <c r="B5" s="3" t="n">
        <v>0.8</v>
      </c>
    </row>
    <row r="6">
      <c r="A6" t="inlineStr">
        <is>
          <t>Tests in the Holm family</t>
        </is>
      </c>
      <c r="B6" s="4" t="n">
        <v>3</v>
      </c>
    </row>
    <row r="7">
      <c r="A7" t="inlineStr">
        <is>
          <t>Participants for the power columns</t>
        </is>
      </c>
      <c r="B7" s="4" t="n">
        <v>48</v>
      </c>
    </row>
    <row r="9">
      <c r="A9" t="inlineStr">
        <is>
          <t>z for alpha (two tailed)</t>
        </is>
      </c>
      <c r="B9" s="5">
        <f>_xlfn.NORM.S.INV(1-B4/2)</f>
        <v/>
      </c>
    </row>
    <row r="10">
      <c r="A10" t="inlineStr">
        <is>
          <t>z at the strictest Holm step</t>
        </is>
      </c>
      <c r="B10" s="5">
        <f>_xlfn.NORM.S.INV(1-B4/B6/2)</f>
        <v/>
      </c>
    </row>
    <row r="11">
      <c r="A11" t="inlineStr">
        <is>
          <t>z for the power target</t>
        </is>
      </c>
      <c r="B11" s="5">
        <f>_xlfn.NORM.S.INV(B5)</f>
        <v/>
      </c>
    </row>
    <row r="13">
      <c r="A13" s="6" t="inlineStr">
        <is>
          <t>Effect</t>
        </is>
      </c>
      <c r="B13" s="6" t="inlineStr">
        <is>
          <t>d_z</t>
        </is>
      </c>
      <c r="C13" s="6" t="inlineStr">
        <is>
          <t>n, normal approximation</t>
        </is>
      </c>
      <c r="D13" s="6" t="inlineStr">
        <is>
          <t>n, with the small sample correction</t>
        </is>
      </c>
      <c r="E13" s="6" t="inlineStr">
        <is>
          <t>n needed (round up)</t>
        </is>
      </c>
      <c r="F13" s="6" t="inlineStr">
        <is>
          <t>Holm: n, normal</t>
        </is>
      </c>
      <c r="G13" s="6" t="inlineStr">
        <is>
          <t>Holm: n, corrected</t>
        </is>
      </c>
      <c r="H13" s="6" t="inlineStr">
        <is>
          <t>Holm: n needed</t>
        </is>
      </c>
      <c r="I13" s="6" t="inlineStr">
        <is>
          <t>Power at B7 (approximate)</t>
        </is>
      </c>
      <c r="J13" s="6" t="inlineStr">
        <is>
          <t>Holm: power at B7 (approximate)</t>
        </is>
      </c>
    </row>
    <row r="14">
      <c r="A14" t="inlineStr">
        <is>
          <t>small (0.30)</t>
        </is>
      </c>
      <c r="B14" s="7" t="n">
        <v>0.3</v>
      </c>
      <c r="C14" s="8">
        <f>(($B$9+$B$11)/B14)^2</f>
        <v/>
      </c>
      <c r="D14" s="8">
        <f>C14+$B$9^2/2</f>
        <v/>
      </c>
      <c r="E14" s="9">
        <f>ROUNDUP(D14,0)</f>
        <v/>
      </c>
      <c r="F14" s="8">
        <f>(($B$10+$B$11)/B14)^2</f>
        <v/>
      </c>
      <c r="G14" s="8">
        <f>F14+$B$10^2/2</f>
        <v/>
      </c>
      <c r="H14" s="9">
        <f>ROUNDUP(G14,0)</f>
        <v/>
      </c>
      <c r="I14" s="5">
        <f>_xlfn.NORM.S.DIST(B14*SQRT($B$7-$B$9^2/2)-$B$9,TRUE)</f>
        <v/>
      </c>
      <c r="J14" s="5">
        <f>_xlfn.NORM.S.DIST(B14*SQRT($B$7-$B$10^2/2)-$B$10,TRUE)</f>
        <v/>
      </c>
    </row>
    <row r="15">
      <c r="A15" t="inlineStr">
        <is>
          <t>moderate (0.50)</t>
        </is>
      </c>
      <c r="B15" s="7" t="n">
        <v>0.5</v>
      </c>
      <c r="C15" s="8">
        <f>(($B$9+$B$11)/B15)^2</f>
        <v/>
      </c>
      <c r="D15" s="8">
        <f>C15+$B$9^2/2</f>
        <v/>
      </c>
      <c r="E15" s="9">
        <f>ROUNDUP(D15,0)</f>
        <v/>
      </c>
      <c r="F15" s="8">
        <f>(($B$10+$B$11)/B15)^2</f>
        <v/>
      </c>
      <c r="G15" s="8">
        <f>F15+$B$10^2/2</f>
        <v/>
      </c>
      <c r="H15" s="9">
        <f>ROUNDUP(G15,0)</f>
        <v/>
      </c>
      <c r="I15" s="5">
        <f>_xlfn.NORM.S.DIST(B15*SQRT($B$7-$B$9^2/2)-$B$9,TRUE)</f>
        <v/>
      </c>
      <c r="J15" s="5">
        <f>_xlfn.NORM.S.DIST(B15*SQRT($B$7-$B$10^2/2)-$B$10,TRUE)</f>
        <v/>
      </c>
    </row>
    <row r="16">
      <c r="A16" t="inlineStr">
        <is>
          <t>Workshop 8 liking estimate (Q6)</t>
        </is>
      </c>
      <c r="B16" s="7" t="n">
        <v>0.355439022049805</v>
      </c>
      <c r="C16" s="8">
        <f>(($B$9+$B$11)/B16)^2</f>
        <v/>
      </c>
      <c r="D16" s="8">
        <f>C16+$B$9^2/2</f>
        <v/>
      </c>
      <c r="E16" s="9">
        <f>ROUNDUP(D16,0)</f>
        <v/>
      </c>
      <c r="F16" s="8">
        <f>(($B$10+$B$11)/B16)^2</f>
        <v/>
      </c>
      <c r="G16" s="8">
        <f>F16+$B$10^2/2</f>
        <v/>
      </c>
      <c r="H16" s="9">
        <f>ROUNDUP(G16,0)</f>
        <v/>
      </c>
      <c r="I16" s="5">
        <f>_xlfn.NORM.S.DIST(B16*SQRT($B$7-$B$9^2/2)-$B$9,TRUE)</f>
        <v/>
      </c>
      <c r="J16" s="5">
        <f>_xlfn.NORM.S.DIST(B16*SQRT($B$7-$B$10^2/2)-$B$10,TRUE)</f>
        <v/>
      </c>
    </row>
    <row r="17">
      <c r="A17" t="inlineStr">
        <is>
          <t>Workshop 7 GSR estimate (H3, Ad_A)</t>
        </is>
      </c>
      <c r="B17" s="7" t="n">
        <v>0.8259916384921751</v>
      </c>
      <c r="C17" s="8">
        <f>(($B$9+$B$11)/B17)^2</f>
        <v/>
      </c>
      <c r="D17" s="8">
        <f>C17+$B$9^2/2</f>
        <v/>
      </c>
      <c r="E17" s="9">
        <f>ROUNDUP(D17,0)</f>
        <v/>
      </c>
      <c r="F17" s="8">
        <f>(($B$10+$B$11)/B17)^2</f>
        <v/>
      </c>
      <c r="G17" s="8">
        <f>F17+$B$10^2/2</f>
        <v/>
      </c>
      <c r="H17" s="9">
        <f>ROUNDUP(G17,0)</f>
        <v/>
      </c>
      <c r="I17" s="5">
        <f>_xlfn.NORM.S.DIST(B17*SQRT($B$7-$B$9^2/2)-$B$9,TRUE)</f>
        <v/>
      </c>
      <c r="J17" s="5">
        <f>_xlfn.NORM.S.DIST(B17*SQRT($B$7-$B$10^2/2)-$B$10,TRUE)</f>
        <v/>
      </c>
    </row>
    <row r="20">
      <c r="A20" s="1" t="inlineStr">
        <is>
          <t>B. The brand test when ads are a random factor: approximate power (balanced design, every participant rates every ad)</t>
        </is>
      </c>
    </row>
    <row r="21">
      <c r="A21" t="inlineStr">
        <is>
          <t>Brand difference to detect (scale points)</t>
        </is>
      </c>
      <c r="B21" s="3" t="n">
        <v>0.5</v>
      </c>
    </row>
    <row r="22">
      <c r="A22" t="inlineStr">
        <is>
          <t>SD of the ads within a brand (judgment)</t>
        </is>
      </c>
      <c r="B22" s="3" t="n">
        <v>0.2</v>
      </c>
    </row>
    <row r="23">
      <c r="A23" t="inlineStr">
        <is>
          <t>Residual SD of liking (Workshop 7)</t>
        </is>
      </c>
      <c r="B23" s="10" t="n">
        <v>1.085</v>
      </c>
    </row>
    <row r="25">
      <c r="A25" s="6" t="inlineStr">
        <is>
          <t>Participants</t>
        </is>
      </c>
      <c r="B25" s="6" t="inlineStr">
        <is>
          <t>Ads per brand</t>
        </is>
      </c>
      <c r="C25" s="6" t="inlineStr">
        <is>
          <t>df = 2 x ads - 2</t>
        </is>
      </c>
      <c r="D25" s="6" t="inlineStr">
        <is>
          <t>SE of the brand difference</t>
        </is>
      </c>
      <c r="E25" s="6" t="inlineStr">
        <is>
          <t>Noncentrality</t>
        </is>
      </c>
      <c r="F25" s="6" t="inlineStr">
        <is>
          <t>Critical t</t>
        </is>
      </c>
      <c r="G25" s="6" t="inlineStr">
        <is>
          <t>Approximate power</t>
        </is>
      </c>
    </row>
    <row r="26">
      <c r="A26" s="4" t="n">
        <v>48</v>
      </c>
      <c r="B26" s="4" t="n">
        <v>2</v>
      </c>
      <c r="C26" s="9">
        <f>2*B26-2</f>
        <v/>
      </c>
      <c r="D26" s="5">
        <f>SQRT(2*($B$22^2+$B$23^2/A26)/B26)</f>
        <v/>
      </c>
      <c r="E26" s="11">
        <f>$B$21/D26</f>
        <v/>
      </c>
      <c r="F26" s="11">
        <f>_xlfn.T.INV.2T($B$4,C26)</f>
        <v/>
      </c>
      <c r="G26" s="11">
        <f>1-_xlfn.NORM.S.DIST((F26*(1-1/(4*C26))-E26)/SQRT(1+F26^2/(2*C26)),TRUE)</f>
        <v/>
      </c>
    </row>
    <row r="27">
      <c r="A27" s="4" t="n">
        <v>48</v>
      </c>
      <c r="B27" s="4" t="n">
        <v>3</v>
      </c>
      <c r="C27" s="9">
        <f>2*B27-2</f>
        <v/>
      </c>
      <c r="D27" s="5">
        <f>SQRT(2*($B$22^2+$B$23^2/A27)/B27)</f>
        <v/>
      </c>
      <c r="E27" s="11">
        <f>$B$21/D27</f>
        <v/>
      </c>
      <c r="F27" s="11">
        <f>_xlfn.T.INV.2T($B$4,C27)</f>
        <v/>
      </c>
      <c r="G27" s="11">
        <f>1-_xlfn.NORM.S.DIST((F27*(1-1/(4*C27))-E27)/SQRT(1+F27^2/(2*C27)),TRUE)</f>
        <v/>
      </c>
    </row>
    <row r="28">
      <c r="A28" s="4" t="n">
        <v>48</v>
      </c>
      <c r="B28" s="4" t="n">
        <v>4</v>
      </c>
      <c r="C28" s="9">
        <f>2*B28-2</f>
        <v/>
      </c>
      <c r="D28" s="5">
        <f>SQRT(2*($B$22^2+$B$23^2/A28)/B28)</f>
        <v/>
      </c>
      <c r="E28" s="11">
        <f>$B$21/D28</f>
        <v/>
      </c>
      <c r="F28" s="11">
        <f>_xlfn.T.INV.2T($B$4,C28)</f>
        <v/>
      </c>
      <c r="G28" s="11">
        <f>1-_xlfn.NORM.S.DIST((F28*(1-1/(4*C28))-E28)/SQRT(1+F28^2/(2*C28)),TRUE)</f>
        <v/>
      </c>
    </row>
    <row r="29">
      <c r="A29" s="4" t="n">
        <v>48</v>
      </c>
      <c r="B29" s="4" t="n">
        <v>6</v>
      </c>
      <c r="C29" s="9">
        <f>2*B29-2</f>
        <v/>
      </c>
      <c r="D29" s="5">
        <f>SQRT(2*($B$22^2+$B$23^2/A29)/B29)</f>
        <v/>
      </c>
      <c r="E29" s="11">
        <f>$B$21/D29</f>
        <v/>
      </c>
      <c r="F29" s="11">
        <f>_xlfn.T.INV.2T($B$4,C29)</f>
        <v/>
      </c>
      <c r="G29" s="11">
        <f>1-_xlfn.NORM.S.DIST((F29*(1-1/(4*C29))-E29)/SQRT(1+F29^2/(2*C29)),TRUE)</f>
        <v/>
      </c>
    </row>
    <row r="30">
      <c r="A30" s="4" t="n">
        <v>72</v>
      </c>
      <c r="B30" s="4" t="n">
        <v>2</v>
      </c>
      <c r="C30" s="9">
        <f>2*B30-2</f>
        <v/>
      </c>
      <c r="D30" s="5">
        <f>SQRT(2*($B$22^2+$B$23^2/A30)/B30)</f>
        <v/>
      </c>
      <c r="E30" s="11">
        <f>$B$21/D30</f>
        <v/>
      </c>
      <c r="F30" s="11">
        <f>_xlfn.T.INV.2T($B$4,C30)</f>
        <v/>
      </c>
      <c r="G30" s="11">
        <f>1-_xlfn.NORM.S.DIST((F30*(1-1/(4*C30))-E30)/SQRT(1+F30^2/(2*C30)),TRUE)</f>
        <v/>
      </c>
    </row>
    <row r="31">
      <c r="A31" s="4" t="n">
        <v>72</v>
      </c>
      <c r="B31" s="4" t="n">
        <v>3</v>
      </c>
      <c r="C31" s="9">
        <f>2*B31-2</f>
        <v/>
      </c>
      <c r="D31" s="5">
        <f>SQRT(2*($B$22^2+$B$23^2/A31)/B31)</f>
        <v/>
      </c>
      <c r="E31" s="11">
        <f>$B$21/D31</f>
        <v/>
      </c>
      <c r="F31" s="11">
        <f>_xlfn.T.INV.2T($B$4,C31)</f>
        <v/>
      </c>
      <c r="G31" s="11">
        <f>1-_xlfn.NORM.S.DIST((F31*(1-1/(4*C31))-E31)/SQRT(1+F31^2/(2*C31)),TRUE)</f>
        <v/>
      </c>
    </row>
    <row r="32">
      <c r="A32" s="4" t="n">
        <v>72</v>
      </c>
      <c r="B32" s="4" t="n">
        <v>4</v>
      </c>
      <c r="C32" s="9">
        <f>2*B32-2</f>
        <v/>
      </c>
      <c r="D32" s="5">
        <f>SQRT(2*($B$22^2+$B$23^2/A32)/B32)</f>
        <v/>
      </c>
      <c r="E32" s="11">
        <f>$B$21/D32</f>
        <v/>
      </c>
      <c r="F32" s="11">
        <f>_xlfn.T.INV.2T($B$4,C32)</f>
        <v/>
      </c>
      <c r="G32" s="11">
        <f>1-_xlfn.NORM.S.DIST((F32*(1-1/(4*C32))-E32)/SQRT(1+F32^2/(2*C32)),TRUE)</f>
        <v/>
      </c>
    </row>
    <row r="33">
      <c r="A33" s="4" t="n">
        <v>72</v>
      </c>
      <c r="B33" s="4" t="n">
        <v>6</v>
      </c>
      <c r="C33" s="9">
        <f>2*B33-2</f>
        <v/>
      </c>
      <c r="D33" s="5">
        <f>SQRT(2*($B$22^2+$B$23^2/A33)/B33)</f>
        <v/>
      </c>
      <c r="E33" s="11">
        <f>$B$21/D33</f>
        <v/>
      </c>
      <c r="F33" s="11">
        <f>_xlfn.T.INV.2T($B$4,C33)</f>
        <v/>
      </c>
      <c r="G33" s="11">
        <f>1-_xlfn.NORM.S.DIST((F33*(1-1/(4*C33))-E33)/SQRT(1+F33^2/(2*C33)),TRUE)</f>
        <v/>
      </c>
    </row>
    <row r="35">
      <c r="A35" s="2" t="inlineStr">
        <is>
          <t>The power uses a normal approximation to the noncentral t distribution (Abramowitz and Stegun, 1964, chapter 26); R computes it exactly with pt(..., ncp). Read down column G: going from 48 to 72 participants changes little; going from 3 to 6 ads per brand changes a lot.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</cols>
  <sheetData>
    <row r="1">
      <c r="A1" s="1" t="inlineStr">
        <is>
          <t>Sessions to book, reserve, cap, and the remote comparison</t>
        </is>
      </c>
    </row>
    <row r="4">
      <c r="A4" t="inlineStr">
        <is>
          <t>Participants to analyze (target)</t>
        </is>
      </c>
      <c r="B4" s="4" t="n">
        <v>48</v>
      </c>
    </row>
    <row r="5">
      <c r="A5" t="inlineStr">
        <is>
          <t>Workshop 7: participants excluded by rule R2</t>
        </is>
      </c>
      <c r="B5" s="4" t="n">
        <v>2</v>
      </c>
    </row>
    <row r="6">
      <c r="A6" t="inlineStr">
        <is>
          <t>Workshop 7: participants recorded</t>
        </is>
      </c>
      <c r="B6" s="4" t="n">
        <v>24</v>
      </c>
    </row>
    <row r="7">
      <c r="A7" t="inlineStr">
        <is>
          <t>Rows of the Williams design (block size)</t>
        </is>
      </c>
      <c r="B7" s="4" t="n">
        <v>12</v>
      </c>
    </row>
    <row r="8">
      <c r="A8" t="inlineStr">
        <is>
          <t>Cap as a multiple of the target</t>
        </is>
      </c>
      <c r="B8" s="3" t="n">
        <v>1.25</v>
      </c>
    </row>
    <row r="9">
      <c r="A9" t="inlineStr">
        <is>
          <t>Workshop 6: sessions that opened the link</t>
        </is>
      </c>
      <c r="B9" s="4" t="n">
        <v>260</v>
      </c>
    </row>
    <row r="10">
      <c r="A10" t="inlineStr">
        <is>
          <t>Workshop 6: completed</t>
        </is>
      </c>
      <c r="B10" s="4" t="n">
        <v>178</v>
      </c>
    </row>
    <row r="11">
      <c r="A11" t="inlineStr">
        <is>
          <t>Workshop 6: kept after the exclusion rule</t>
        </is>
      </c>
      <c r="B11" s="4" t="n">
        <v>142</v>
      </c>
    </row>
    <row r="12">
      <c r="A12" t="inlineStr">
        <is>
          <t>Session slots per day (one Aurora seat)</t>
        </is>
      </c>
      <c r="B12" s="4" t="n">
        <v>5</v>
      </c>
    </row>
    <row r="14">
      <c r="A14" s="1" t="inlineStr">
        <is>
          <t>Results</t>
        </is>
      </c>
    </row>
    <row r="15">
      <c r="A15" t="inlineStr">
        <is>
          <t>Exclusion rate in the lab (Workshop 7)</t>
        </is>
      </c>
      <c r="B15" s="5">
        <f>B5/B6</f>
        <v/>
      </c>
    </row>
    <row r="16">
      <c r="A16" t="inlineStr">
        <is>
          <t>Sessions expected to end with the target</t>
        </is>
      </c>
      <c r="B16" s="8">
        <f>B4/(1-B15)</f>
        <v/>
      </c>
    </row>
    <row r="17">
      <c r="A17" t="inlineStr">
        <is>
          <t>Sessions to book (main + reserve)</t>
        </is>
      </c>
      <c r="B17" s="9">
        <f>ROUNDUP(B16,0)</f>
        <v/>
      </c>
    </row>
    <row r="18">
      <c r="A18" t="inlineStr">
        <is>
          <t>Reserve sessions</t>
        </is>
      </c>
      <c r="B18" s="9">
        <f>B17-B4</f>
        <v/>
      </c>
    </row>
    <row r="19">
      <c r="A19" t="inlineStr">
        <is>
          <t>Hard cap on sessions</t>
        </is>
      </c>
      <c r="B19" s="9">
        <f>B4*B8</f>
        <v/>
      </c>
    </row>
    <row r="20">
      <c r="A20" t="inlineStr">
        <is>
          <t>Weekdays of data collection</t>
        </is>
      </c>
      <c r="B20" s="9">
        <f>ROUNDUP(B17/B12,0)</f>
        <v/>
      </c>
    </row>
    <row r="21">
      <c r="A21" t="inlineStr">
        <is>
          <t>Slots on those days</t>
        </is>
      </c>
      <c r="B21" s="9">
        <f>B20*B12</f>
        <v/>
      </c>
    </row>
    <row r="22">
      <c r="A22" t="inlineStr">
        <is>
          <t>Open slots for rebooking no shows</t>
        </is>
      </c>
      <c r="B22" s="9">
        <f>B21-B17</f>
        <v/>
      </c>
    </row>
    <row r="24">
      <c r="A24" s="1" t="inlineStr">
        <is>
          <t>If the same study were run remotely (Workshop 6 rates)</t>
        </is>
      </c>
    </row>
    <row r="25">
      <c r="A25" t="inlineStr">
        <is>
          <t>Remote: completed share of those who opened the link</t>
        </is>
      </c>
      <c r="B25" s="5">
        <f>B10/B9</f>
        <v/>
      </c>
    </row>
    <row r="26">
      <c r="A26" t="inlineStr">
        <is>
          <t>Remote: share of completed respondents excluded</t>
        </is>
      </c>
      <c r="B26" s="5">
        <f>(B10-B11)/B10</f>
        <v/>
      </c>
    </row>
    <row r="27">
      <c r="A27" t="inlineStr">
        <is>
          <t>Remote: kept share of those who opened the link</t>
        </is>
      </c>
      <c r="B27" s="5">
        <f>B11/B9</f>
        <v/>
      </c>
    </row>
    <row r="28">
      <c r="A28" t="inlineStr">
        <is>
          <t>Remote: people who must open the link to keep the target</t>
        </is>
      </c>
      <c r="B28" s="9">
        <f>ROUNDUP(B4/B27,0)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6" customWidth="1" min="15" max="15"/>
  </cols>
  <sheetData>
    <row r="1">
      <c r="A1" s="1" t="inlineStr">
        <is>
          <t>Williams design for 12 ads: row 1 = 0, 1, 11, 2, 10, 3, ...; row r adds r - 1 (mod 12). Labels: even symbols ALTAVO, odd symbols BRENLOW.</t>
        </is>
      </c>
    </row>
    <row r="3">
      <c r="A3" t="inlineStr">
        <is>
          <t>Number of ads (t)</t>
        </is>
      </c>
      <c r="B3" t="n">
        <v>12</v>
      </c>
      <c r="C3" s="2" t="inlineStr">
        <is>
          <t>Fixed at 12 for this layout (the chosen design). The construction works for any even t.</t>
        </is>
      </c>
    </row>
    <row r="5">
      <c r="B5" s="6" t="inlineStr">
        <is>
          <t>Position</t>
        </is>
      </c>
      <c r="C5" s="6" t="n">
        <v>1</v>
      </c>
      <c r="D5" s="6" t="n">
        <v>2</v>
      </c>
      <c r="E5" s="6" t="n">
        <v>3</v>
      </c>
      <c r="F5" s="6" t="n">
        <v>4</v>
      </c>
      <c r="G5" s="6" t="n">
        <v>5</v>
      </c>
      <c r="H5" s="6" t="n">
        <v>6</v>
      </c>
      <c r="I5" s="6" t="n">
        <v>7</v>
      </c>
      <c r="J5" s="6" t="n">
        <v>8</v>
      </c>
      <c r="K5" s="6" t="n">
        <v>9</v>
      </c>
      <c r="L5" s="6" t="n">
        <v>10</v>
      </c>
      <c r="M5" s="6" t="n">
        <v>11</v>
      </c>
      <c r="N5" s="6" t="n">
        <v>12</v>
      </c>
    </row>
    <row r="6">
      <c r="B6" t="inlineStr">
        <is>
          <t>Row 1 (symbols)</t>
        </is>
      </c>
      <c r="C6">
        <f>IF(C$5=1,0,IF(MOD(C$5,2)=0,C$5/2,$B$3-(C$5-1)/2))</f>
        <v/>
      </c>
      <c r="D6">
        <f>IF(D$5=1,0,IF(MOD(D$5,2)=0,D$5/2,$B$3-(D$5-1)/2))</f>
        <v/>
      </c>
      <c r="E6">
        <f>IF(E$5=1,0,IF(MOD(E$5,2)=0,E$5/2,$B$3-(E$5-1)/2))</f>
        <v/>
      </c>
      <c r="F6">
        <f>IF(F$5=1,0,IF(MOD(F$5,2)=0,F$5/2,$B$3-(F$5-1)/2))</f>
        <v/>
      </c>
      <c r="G6">
        <f>IF(G$5=1,0,IF(MOD(G$5,2)=0,G$5/2,$B$3-(G$5-1)/2))</f>
        <v/>
      </c>
      <c r="H6">
        <f>IF(H$5=1,0,IF(MOD(H$5,2)=0,H$5/2,$B$3-(H$5-1)/2))</f>
        <v/>
      </c>
      <c r="I6">
        <f>IF(I$5=1,0,IF(MOD(I$5,2)=0,I$5/2,$B$3-(I$5-1)/2))</f>
        <v/>
      </c>
      <c r="J6">
        <f>IF(J$5=1,0,IF(MOD(J$5,2)=0,J$5/2,$B$3-(J$5-1)/2))</f>
        <v/>
      </c>
      <c r="K6">
        <f>IF(K$5=1,0,IF(MOD(K$5,2)=0,K$5/2,$B$3-(K$5-1)/2))</f>
        <v/>
      </c>
      <c r="L6">
        <f>IF(L$5=1,0,IF(MOD(L$5,2)=0,L$5/2,$B$3-(L$5-1)/2))</f>
        <v/>
      </c>
      <c r="M6">
        <f>IF(M$5=1,0,IF(MOD(M$5,2)=0,M$5/2,$B$3-(M$5-1)/2))</f>
        <v/>
      </c>
      <c r="N6">
        <f>IF(N$5=1,0,IF(MOD(N$5,2)=0,N$5/2,$B$3-(N$5-1)/2))</f>
        <v/>
      </c>
    </row>
    <row r="8">
      <c r="A8" t="inlineStr">
        <is>
          <t>Symbols</t>
        </is>
      </c>
      <c r="B8" t="n">
        <v>1</v>
      </c>
      <c r="C8">
        <f>MOD(C$6+$B8-1,$B$3)</f>
        <v/>
      </c>
      <c r="D8">
        <f>MOD(D$6+$B8-1,$B$3)</f>
        <v/>
      </c>
      <c r="E8">
        <f>MOD(E$6+$B8-1,$B$3)</f>
        <v/>
      </c>
      <c r="F8">
        <f>MOD(F$6+$B8-1,$B$3)</f>
        <v/>
      </c>
      <c r="G8">
        <f>MOD(G$6+$B8-1,$B$3)</f>
        <v/>
      </c>
      <c r="H8">
        <f>MOD(H$6+$B8-1,$B$3)</f>
        <v/>
      </c>
      <c r="I8">
        <f>MOD(I$6+$B8-1,$B$3)</f>
        <v/>
      </c>
      <c r="J8">
        <f>MOD(J$6+$B8-1,$B$3)</f>
        <v/>
      </c>
      <c r="K8">
        <f>MOD(K$6+$B8-1,$B$3)</f>
        <v/>
      </c>
      <c r="L8">
        <f>MOD(L$6+$B8-1,$B$3)</f>
        <v/>
      </c>
      <c r="M8">
        <f>MOD(M$6+$B8-1,$B$3)</f>
        <v/>
      </c>
      <c r="N8">
        <f>MOD(N$6+$B8-1,$B$3)</f>
        <v/>
      </c>
    </row>
    <row r="9">
      <c r="B9" t="n">
        <v>2</v>
      </c>
      <c r="C9">
        <f>MOD(C$6+$B9-1,$B$3)</f>
        <v/>
      </c>
      <c r="D9">
        <f>MOD(D$6+$B9-1,$B$3)</f>
        <v/>
      </c>
      <c r="E9">
        <f>MOD(E$6+$B9-1,$B$3)</f>
        <v/>
      </c>
      <c r="F9">
        <f>MOD(F$6+$B9-1,$B$3)</f>
        <v/>
      </c>
      <c r="G9">
        <f>MOD(G$6+$B9-1,$B$3)</f>
        <v/>
      </c>
      <c r="H9">
        <f>MOD(H$6+$B9-1,$B$3)</f>
        <v/>
      </c>
      <c r="I9">
        <f>MOD(I$6+$B9-1,$B$3)</f>
        <v/>
      </c>
      <c r="J9">
        <f>MOD(J$6+$B9-1,$B$3)</f>
        <v/>
      </c>
      <c r="K9">
        <f>MOD(K$6+$B9-1,$B$3)</f>
        <v/>
      </c>
      <c r="L9">
        <f>MOD(L$6+$B9-1,$B$3)</f>
        <v/>
      </c>
      <c r="M9">
        <f>MOD(M$6+$B9-1,$B$3)</f>
        <v/>
      </c>
      <c r="N9">
        <f>MOD(N$6+$B9-1,$B$3)</f>
        <v/>
      </c>
    </row>
    <row r="10">
      <c r="B10" t="n">
        <v>3</v>
      </c>
      <c r="C10">
        <f>MOD(C$6+$B10-1,$B$3)</f>
        <v/>
      </c>
      <c r="D10">
        <f>MOD(D$6+$B10-1,$B$3)</f>
        <v/>
      </c>
      <c r="E10">
        <f>MOD(E$6+$B10-1,$B$3)</f>
        <v/>
      </c>
      <c r="F10">
        <f>MOD(F$6+$B10-1,$B$3)</f>
        <v/>
      </c>
      <c r="G10">
        <f>MOD(G$6+$B10-1,$B$3)</f>
        <v/>
      </c>
      <c r="H10">
        <f>MOD(H$6+$B10-1,$B$3)</f>
        <v/>
      </c>
      <c r="I10">
        <f>MOD(I$6+$B10-1,$B$3)</f>
        <v/>
      </c>
      <c r="J10">
        <f>MOD(J$6+$B10-1,$B$3)</f>
        <v/>
      </c>
      <c r="K10">
        <f>MOD(K$6+$B10-1,$B$3)</f>
        <v/>
      </c>
      <c r="L10">
        <f>MOD(L$6+$B10-1,$B$3)</f>
        <v/>
      </c>
      <c r="M10">
        <f>MOD(M$6+$B10-1,$B$3)</f>
        <v/>
      </c>
      <c r="N10">
        <f>MOD(N$6+$B10-1,$B$3)</f>
        <v/>
      </c>
    </row>
    <row r="11">
      <c r="B11" t="n">
        <v>4</v>
      </c>
      <c r="C11">
        <f>MOD(C$6+$B11-1,$B$3)</f>
        <v/>
      </c>
      <c r="D11">
        <f>MOD(D$6+$B11-1,$B$3)</f>
        <v/>
      </c>
      <c r="E11">
        <f>MOD(E$6+$B11-1,$B$3)</f>
        <v/>
      </c>
      <c r="F11">
        <f>MOD(F$6+$B11-1,$B$3)</f>
        <v/>
      </c>
      <c r="G11">
        <f>MOD(G$6+$B11-1,$B$3)</f>
        <v/>
      </c>
      <c r="H11">
        <f>MOD(H$6+$B11-1,$B$3)</f>
        <v/>
      </c>
      <c r="I11">
        <f>MOD(I$6+$B11-1,$B$3)</f>
        <v/>
      </c>
      <c r="J11">
        <f>MOD(J$6+$B11-1,$B$3)</f>
        <v/>
      </c>
      <c r="K11">
        <f>MOD(K$6+$B11-1,$B$3)</f>
        <v/>
      </c>
      <c r="L11">
        <f>MOD(L$6+$B11-1,$B$3)</f>
        <v/>
      </c>
      <c r="M11">
        <f>MOD(M$6+$B11-1,$B$3)</f>
        <v/>
      </c>
      <c r="N11">
        <f>MOD(N$6+$B11-1,$B$3)</f>
        <v/>
      </c>
    </row>
    <row r="12">
      <c r="B12" t="n">
        <v>5</v>
      </c>
      <c r="C12">
        <f>MOD(C$6+$B12-1,$B$3)</f>
        <v/>
      </c>
      <c r="D12">
        <f>MOD(D$6+$B12-1,$B$3)</f>
        <v/>
      </c>
      <c r="E12">
        <f>MOD(E$6+$B12-1,$B$3)</f>
        <v/>
      </c>
      <c r="F12">
        <f>MOD(F$6+$B12-1,$B$3)</f>
        <v/>
      </c>
      <c r="G12">
        <f>MOD(G$6+$B12-1,$B$3)</f>
        <v/>
      </c>
      <c r="H12">
        <f>MOD(H$6+$B12-1,$B$3)</f>
        <v/>
      </c>
      <c r="I12">
        <f>MOD(I$6+$B12-1,$B$3)</f>
        <v/>
      </c>
      <c r="J12">
        <f>MOD(J$6+$B12-1,$B$3)</f>
        <v/>
      </c>
      <c r="K12">
        <f>MOD(K$6+$B12-1,$B$3)</f>
        <v/>
      </c>
      <c r="L12">
        <f>MOD(L$6+$B12-1,$B$3)</f>
        <v/>
      </c>
      <c r="M12">
        <f>MOD(M$6+$B12-1,$B$3)</f>
        <v/>
      </c>
      <c r="N12">
        <f>MOD(N$6+$B12-1,$B$3)</f>
        <v/>
      </c>
    </row>
    <row r="13">
      <c r="B13" t="n">
        <v>6</v>
      </c>
      <c r="C13">
        <f>MOD(C$6+$B13-1,$B$3)</f>
        <v/>
      </c>
      <c r="D13">
        <f>MOD(D$6+$B13-1,$B$3)</f>
        <v/>
      </c>
      <c r="E13">
        <f>MOD(E$6+$B13-1,$B$3)</f>
        <v/>
      </c>
      <c r="F13">
        <f>MOD(F$6+$B13-1,$B$3)</f>
        <v/>
      </c>
      <c r="G13">
        <f>MOD(G$6+$B13-1,$B$3)</f>
        <v/>
      </c>
      <c r="H13">
        <f>MOD(H$6+$B13-1,$B$3)</f>
        <v/>
      </c>
      <c r="I13">
        <f>MOD(I$6+$B13-1,$B$3)</f>
        <v/>
      </c>
      <c r="J13">
        <f>MOD(J$6+$B13-1,$B$3)</f>
        <v/>
      </c>
      <c r="K13">
        <f>MOD(K$6+$B13-1,$B$3)</f>
        <v/>
      </c>
      <c r="L13">
        <f>MOD(L$6+$B13-1,$B$3)</f>
        <v/>
      </c>
      <c r="M13">
        <f>MOD(M$6+$B13-1,$B$3)</f>
        <v/>
      </c>
      <c r="N13">
        <f>MOD(N$6+$B13-1,$B$3)</f>
        <v/>
      </c>
    </row>
    <row r="14">
      <c r="B14" t="n">
        <v>7</v>
      </c>
      <c r="C14">
        <f>MOD(C$6+$B14-1,$B$3)</f>
        <v/>
      </c>
      <c r="D14">
        <f>MOD(D$6+$B14-1,$B$3)</f>
        <v/>
      </c>
      <c r="E14">
        <f>MOD(E$6+$B14-1,$B$3)</f>
        <v/>
      </c>
      <c r="F14">
        <f>MOD(F$6+$B14-1,$B$3)</f>
        <v/>
      </c>
      <c r="G14">
        <f>MOD(G$6+$B14-1,$B$3)</f>
        <v/>
      </c>
      <c r="H14">
        <f>MOD(H$6+$B14-1,$B$3)</f>
        <v/>
      </c>
      <c r="I14">
        <f>MOD(I$6+$B14-1,$B$3)</f>
        <v/>
      </c>
      <c r="J14">
        <f>MOD(J$6+$B14-1,$B$3)</f>
        <v/>
      </c>
      <c r="K14">
        <f>MOD(K$6+$B14-1,$B$3)</f>
        <v/>
      </c>
      <c r="L14">
        <f>MOD(L$6+$B14-1,$B$3)</f>
        <v/>
      </c>
      <c r="M14">
        <f>MOD(M$6+$B14-1,$B$3)</f>
        <v/>
      </c>
      <c r="N14">
        <f>MOD(N$6+$B14-1,$B$3)</f>
        <v/>
      </c>
    </row>
    <row r="15">
      <c r="B15" t="n">
        <v>8</v>
      </c>
      <c r="C15">
        <f>MOD(C$6+$B15-1,$B$3)</f>
        <v/>
      </c>
      <c r="D15">
        <f>MOD(D$6+$B15-1,$B$3)</f>
        <v/>
      </c>
      <c r="E15">
        <f>MOD(E$6+$B15-1,$B$3)</f>
        <v/>
      </c>
      <c r="F15">
        <f>MOD(F$6+$B15-1,$B$3)</f>
        <v/>
      </c>
      <c r="G15">
        <f>MOD(G$6+$B15-1,$B$3)</f>
        <v/>
      </c>
      <c r="H15">
        <f>MOD(H$6+$B15-1,$B$3)</f>
        <v/>
      </c>
      <c r="I15">
        <f>MOD(I$6+$B15-1,$B$3)</f>
        <v/>
      </c>
      <c r="J15">
        <f>MOD(J$6+$B15-1,$B$3)</f>
        <v/>
      </c>
      <c r="K15">
        <f>MOD(K$6+$B15-1,$B$3)</f>
        <v/>
      </c>
      <c r="L15">
        <f>MOD(L$6+$B15-1,$B$3)</f>
        <v/>
      </c>
      <c r="M15">
        <f>MOD(M$6+$B15-1,$B$3)</f>
        <v/>
      </c>
      <c r="N15">
        <f>MOD(N$6+$B15-1,$B$3)</f>
        <v/>
      </c>
    </row>
    <row r="16">
      <c r="B16" t="n">
        <v>9</v>
      </c>
      <c r="C16">
        <f>MOD(C$6+$B16-1,$B$3)</f>
        <v/>
      </c>
      <c r="D16">
        <f>MOD(D$6+$B16-1,$B$3)</f>
        <v/>
      </c>
      <c r="E16">
        <f>MOD(E$6+$B16-1,$B$3)</f>
        <v/>
      </c>
      <c r="F16">
        <f>MOD(F$6+$B16-1,$B$3)</f>
        <v/>
      </c>
      <c r="G16">
        <f>MOD(G$6+$B16-1,$B$3)</f>
        <v/>
      </c>
      <c r="H16">
        <f>MOD(H$6+$B16-1,$B$3)</f>
        <v/>
      </c>
      <c r="I16">
        <f>MOD(I$6+$B16-1,$B$3)</f>
        <v/>
      </c>
      <c r="J16">
        <f>MOD(J$6+$B16-1,$B$3)</f>
        <v/>
      </c>
      <c r="K16">
        <f>MOD(K$6+$B16-1,$B$3)</f>
        <v/>
      </c>
      <c r="L16">
        <f>MOD(L$6+$B16-1,$B$3)</f>
        <v/>
      </c>
      <c r="M16">
        <f>MOD(M$6+$B16-1,$B$3)</f>
        <v/>
      </c>
      <c r="N16">
        <f>MOD(N$6+$B16-1,$B$3)</f>
        <v/>
      </c>
    </row>
    <row r="17">
      <c r="B17" t="n">
        <v>10</v>
      </c>
      <c r="C17">
        <f>MOD(C$6+$B17-1,$B$3)</f>
        <v/>
      </c>
      <c r="D17">
        <f>MOD(D$6+$B17-1,$B$3)</f>
        <v/>
      </c>
      <c r="E17">
        <f>MOD(E$6+$B17-1,$B$3)</f>
        <v/>
      </c>
      <c r="F17">
        <f>MOD(F$6+$B17-1,$B$3)</f>
        <v/>
      </c>
      <c r="G17">
        <f>MOD(G$6+$B17-1,$B$3)</f>
        <v/>
      </c>
      <c r="H17">
        <f>MOD(H$6+$B17-1,$B$3)</f>
        <v/>
      </c>
      <c r="I17">
        <f>MOD(I$6+$B17-1,$B$3)</f>
        <v/>
      </c>
      <c r="J17">
        <f>MOD(J$6+$B17-1,$B$3)</f>
        <v/>
      </c>
      <c r="K17">
        <f>MOD(K$6+$B17-1,$B$3)</f>
        <v/>
      </c>
      <c r="L17">
        <f>MOD(L$6+$B17-1,$B$3)</f>
        <v/>
      </c>
      <c r="M17">
        <f>MOD(M$6+$B17-1,$B$3)</f>
        <v/>
      </c>
      <c r="N17">
        <f>MOD(N$6+$B17-1,$B$3)</f>
        <v/>
      </c>
    </row>
    <row r="18">
      <c r="B18" t="n">
        <v>11</v>
      </c>
      <c r="C18">
        <f>MOD(C$6+$B18-1,$B$3)</f>
        <v/>
      </c>
      <c r="D18">
        <f>MOD(D$6+$B18-1,$B$3)</f>
        <v/>
      </c>
      <c r="E18">
        <f>MOD(E$6+$B18-1,$B$3)</f>
        <v/>
      </c>
      <c r="F18">
        <f>MOD(F$6+$B18-1,$B$3)</f>
        <v/>
      </c>
      <c r="G18">
        <f>MOD(G$6+$B18-1,$B$3)</f>
        <v/>
      </c>
      <c r="H18">
        <f>MOD(H$6+$B18-1,$B$3)</f>
        <v/>
      </c>
      <c r="I18">
        <f>MOD(I$6+$B18-1,$B$3)</f>
        <v/>
      </c>
      <c r="J18">
        <f>MOD(J$6+$B18-1,$B$3)</f>
        <v/>
      </c>
      <c r="K18">
        <f>MOD(K$6+$B18-1,$B$3)</f>
        <v/>
      </c>
      <c r="L18">
        <f>MOD(L$6+$B18-1,$B$3)</f>
        <v/>
      </c>
      <c r="M18">
        <f>MOD(M$6+$B18-1,$B$3)</f>
        <v/>
      </c>
      <c r="N18">
        <f>MOD(N$6+$B18-1,$B$3)</f>
        <v/>
      </c>
    </row>
    <row r="19">
      <c r="B19" t="n">
        <v>12</v>
      </c>
      <c r="C19">
        <f>MOD(C$6+$B19-1,$B$3)</f>
        <v/>
      </c>
      <c r="D19">
        <f>MOD(D$6+$B19-1,$B$3)</f>
        <v/>
      </c>
      <c r="E19">
        <f>MOD(E$6+$B19-1,$B$3)</f>
        <v/>
      </c>
      <c r="F19">
        <f>MOD(F$6+$B19-1,$B$3)</f>
        <v/>
      </c>
      <c r="G19">
        <f>MOD(G$6+$B19-1,$B$3)</f>
        <v/>
      </c>
      <c r="H19">
        <f>MOD(H$6+$B19-1,$B$3)</f>
        <v/>
      </c>
      <c r="I19">
        <f>MOD(I$6+$B19-1,$B$3)</f>
        <v/>
      </c>
      <c r="J19">
        <f>MOD(J$6+$B19-1,$B$3)</f>
        <v/>
      </c>
      <c r="K19">
        <f>MOD(K$6+$B19-1,$B$3)</f>
        <v/>
      </c>
      <c r="L19">
        <f>MOD(L$6+$B19-1,$B$3)</f>
        <v/>
      </c>
      <c r="M19">
        <f>MOD(M$6+$B19-1,$B$3)</f>
        <v/>
      </c>
      <c r="N19">
        <f>MOD(N$6+$B19-1,$B$3)</f>
        <v/>
      </c>
    </row>
    <row r="21">
      <c r="O21" t="inlineStr">
        <is>
          <t>Brand sequence</t>
        </is>
      </c>
    </row>
    <row r="22">
      <c r="A22" t="inlineStr">
        <is>
          <t>Ad labels</t>
        </is>
      </c>
      <c r="B22" t="n">
        <v>1</v>
      </c>
      <c r="C22">
        <f>IF(MOD(C8,2)=0,"ALTAVO_"&amp;(C8/2+1),"BRENLOW_"&amp;((C8+1)/2))</f>
        <v/>
      </c>
      <c r="D22">
        <f>IF(MOD(D8,2)=0,"ALTAVO_"&amp;(D8/2+1),"BRENLOW_"&amp;((D8+1)/2))</f>
        <v/>
      </c>
      <c r="E22">
        <f>IF(MOD(E8,2)=0,"ALTAVO_"&amp;(E8/2+1),"BRENLOW_"&amp;((E8+1)/2))</f>
        <v/>
      </c>
      <c r="F22">
        <f>IF(MOD(F8,2)=0,"ALTAVO_"&amp;(F8/2+1),"BRENLOW_"&amp;((F8+1)/2))</f>
        <v/>
      </c>
      <c r="G22">
        <f>IF(MOD(G8,2)=0,"ALTAVO_"&amp;(G8/2+1),"BRENLOW_"&amp;((G8+1)/2))</f>
        <v/>
      </c>
      <c r="H22">
        <f>IF(MOD(H8,2)=0,"ALTAVO_"&amp;(H8/2+1),"BRENLOW_"&amp;((H8+1)/2))</f>
        <v/>
      </c>
      <c r="I22">
        <f>IF(MOD(I8,2)=0,"ALTAVO_"&amp;(I8/2+1),"BRENLOW_"&amp;((I8+1)/2))</f>
        <v/>
      </c>
      <c r="J22">
        <f>IF(MOD(J8,2)=0,"ALTAVO_"&amp;(J8/2+1),"BRENLOW_"&amp;((J8+1)/2))</f>
        <v/>
      </c>
      <c r="K22">
        <f>IF(MOD(K8,2)=0,"ALTAVO_"&amp;(K8/2+1),"BRENLOW_"&amp;((K8+1)/2))</f>
        <v/>
      </c>
      <c r="L22">
        <f>IF(MOD(L8,2)=0,"ALTAVO_"&amp;(L8/2+1),"BRENLOW_"&amp;((L8+1)/2))</f>
        <v/>
      </c>
      <c r="M22">
        <f>IF(MOD(M8,2)=0,"ALTAVO_"&amp;(M8/2+1),"BRENLOW_"&amp;((M8+1)/2))</f>
        <v/>
      </c>
      <c r="N22">
        <f>IF(MOD(N8,2)=0,"ALTAVO_"&amp;(N8/2+1),"BRENLOW_"&amp;((N8+1)/2))</f>
        <v/>
      </c>
      <c r="O22">
        <f>IF(MOD(C8,2)=0,"A","B")&amp;IF(MOD(D8,2)=0,"A","B")&amp;IF(MOD(E8,2)=0,"A","B")&amp;IF(MOD(F8,2)=0,"A","B")&amp;IF(MOD(G8,2)=0,"A","B")&amp;IF(MOD(H8,2)=0,"A","B")&amp;IF(MOD(I8,2)=0,"A","B")&amp;IF(MOD(J8,2)=0,"A","B")&amp;IF(MOD(K8,2)=0,"A","B")&amp;IF(MOD(L8,2)=0,"A","B")&amp;IF(MOD(M8,2)=0,"A","B")&amp;IF(MOD(N8,2)=0,"A","B")</f>
        <v/>
      </c>
    </row>
    <row r="23">
      <c r="B23" t="n">
        <v>2</v>
      </c>
      <c r="C23">
        <f>IF(MOD(C9,2)=0,"ALTAVO_"&amp;(C9/2+1),"BRENLOW_"&amp;((C9+1)/2))</f>
        <v/>
      </c>
      <c r="D23">
        <f>IF(MOD(D9,2)=0,"ALTAVO_"&amp;(D9/2+1),"BRENLOW_"&amp;((D9+1)/2))</f>
        <v/>
      </c>
      <c r="E23">
        <f>IF(MOD(E9,2)=0,"ALTAVO_"&amp;(E9/2+1),"BRENLOW_"&amp;((E9+1)/2))</f>
        <v/>
      </c>
      <c r="F23">
        <f>IF(MOD(F9,2)=0,"ALTAVO_"&amp;(F9/2+1),"BRENLOW_"&amp;((F9+1)/2))</f>
        <v/>
      </c>
      <c r="G23">
        <f>IF(MOD(G9,2)=0,"ALTAVO_"&amp;(G9/2+1),"BRENLOW_"&amp;((G9+1)/2))</f>
        <v/>
      </c>
      <c r="H23">
        <f>IF(MOD(H9,2)=0,"ALTAVO_"&amp;(H9/2+1),"BRENLOW_"&amp;((H9+1)/2))</f>
        <v/>
      </c>
      <c r="I23">
        <f>IF(MOD(I9,2)=0,"ALTAVO_"&amp;(I9/2+1),"BRENLOW_"&amp;((I9+1)/2))</f>
        <v/>
      </c>
      <c r="J23">
        <f>IF(MOD(J9,2)=0,"ALTAVO_"&amp;(J9/2+1),"BRENLOW_"&amp;((J9+1)/2))</f>
        <v/>
      </c>
      <c r="K23">
        <f>IF(MOD(K9,2)=0,"ALTAVO_"&amp;(K9/2+1),"BRENLOW_"&amp;((K9+1)/2))</f>
        <v/>
      </c>
      <c r="L23">
        <f>IF(MOD(L9,2)=0,"ALTAVO_"&amp;(L9/2+1),"BRENLOW_"&amp;((L9+1)/2))</f>
        <v/>
      </c>
      <c r="M23">
        <f>IF(MOD(M9,2)=0,"ALTAVO_"&amp;(M9/2+1),"BRENLOW_"&amp;((M9+1)/2))</f>
        <v/>
      </c>
      <c r="N23">
        <f>IF(MOD(N9,2)=0,"ALTAVO_"&amp;(N9/2+1),"BRENLOW_"&amp;((N9+1)/2))</f>
        <v/>
      </c>
      <c r="O23">
        <f>IF(MOD(C9,2)=0,"A","B")&amp;IF(MOD(D9,2)=0,"A","B")&amp;IF(MOD(E9,2)=0,"A","B")&amp;IF(MOD(F9,2)=0,"A","B")&amp;IF(MOD(G9,2)=0,"A","B")&amp;IF(MOD(H9,2)=0,"A","B")&amp;IF(MOD(I9,2)=0,"A","B")&amp;IF(MOD(J9,2)=0,"A","B")&amp;IF(MOD(K9,2)=0,"A","B")&amp;IF(MOD(L9,2)=0,"A","B")&amp;IF(MOD(M9,2)=0,"A","B")&amp;IF(MOD(N9,2)=0,"A","B")</f>
        <v/>
      </c>
    </row>
    <row r="24">
      <c r="B24" t="n">
        <v>3</v>
      </c>
      <c r="C24">
        <f>IF(MOD(C10,2)=0,"ALTAVO_"&amp;(C10/2+1),"BRENLOW_"&amp;((C10+1)/2))</f>
        <v/>
      </c>
      <c r="D24">
        <f>IF(MOD(D10,2)=0,"ALTAVO_"&amp;(D10/2+1),"BRENLOW_"&amp;((D10+1)/2))</f>
        <v/>
      </c>
      <c r="E24">
        <f>IF(MOD(E10,2)=0,"ALTAVO_"&amp;(E10/2+1),"BRENLOW_"&amp;((E10+1)/2))</f>
        <v/>
      </c>
      <c r="F24">
        <f>IF(MOD(F10,2)=0,"ALTAVO_"&amp;(F10/2+1),"BRENLOW_"&amp;((F10+1)/2))</f>
        <v/>
      </c>
      <c r="G24">
        <f>IF(MOD(G10,2)=0,"ALTAVO_"&amp;(G10/2+1),"BRENLOW_"&amp;((G10+1)/2))</f>
        <v/>
      </c>
      <c r="H24">
        <f>IF(MOD(H10,2)=0,"ALTAVO_"&amp;(H10/2+1),"BRENLOW_"&amp;((H10+1)/2))</f>
        <v/>
      </c>
      <c r="I24">
        <f>IF(MOD(I10,2)=0,"ALTAVO_"&amp;(I10/2+1),"BRENLOW_"&amp;((I10+1)/2))</f>
        <v/>
      </c>
      <c r="J24">
        <f>IF(MOD(J10,2)=0,"ALTAVO_"&amp;(J10/2+1),"BRENLOW_"&amp;((J10+1)/2))</f>
        <v/>
      </c>
      <c r="K24">
        <f>IF(MOD(K10,2)=0,"ALTAVO_"&amp;(K10/2+1),"BRENLOW_"&amp;((K10+1)/2))</f>
        <v/>
      </c>
      <c r="L24">
        <f>IF(MOD(L10,2)=0,"ALTAVO_"&amp;(L10/2+1),"BRENLOW_"&amp;((L10+1)/2))</f>
        <v/>
      </c>
      <c r="M24">
        <f>IF(MOD(M10,2)=0,"ALTAVO_"&amp;(M10/2+1),"BRENLOW_"&amp;((M10+1)/2))</f>
        <v/>
      </c>
      <c r="N24">
        <f>IF(MOD(N10,2)=0,"ALTAVO_"&amp;(N10/2+1),"BRENLOW_"&amp;((N10+1)/2))</f>
        <v/>
      </c>
      <c r="O24">
        <f>IF(MOD(C10,2)=0,"A","B")&amp;IF(MOD(D10,2)=0,"A","B")&amp;IF(MOD(E10,2)=0,"A","B")&amp;IF(MOD(F10,2)=0,"A","B")&amp;IF(MOD(G10,2)=0,"A","B")&amp;IF(MOD(H10,2)=0,"A","B")&amp;IF(MOD(I10,2)=0,"A","B")&amp;IF(MOD(J10,2)=0,"A","B")&amp;IF(MOD(K10,2)=0,"A","B")&amp;IF(MOD(L10,2)=0,"A","B")&amp;IF(MOD(M10,2)=0,"A","B")&amp;IF(MOD(N10,2)=0,"A","B")</f>
        <v/>
      </c>
    </row>
    <row r="25">
      <c r="B25" t="n">
        <v>4</v>
      </c>
      <c r="C25">
        <f>IF(MOD(C11,2)=0,"ALTAVO_"&amp;(C11/2+1),"BRENLOW_"&amp;((C11+1)/2))</f>
        <v/>
      </c>
      <c r="D25">
        <f>IF(MOD(D11,2)=0,"ALTAVO_"&amp;(D11/2+1),"BRENLOW_"&amp;((D11+1)/2))</f>
        <v/>
      </c>
      <c r="E25">
        <f>IF(MOD(E11,2)=0,"ALTAVO_"&amp;(E11/2+1),"BRENLOW_"&amp;((E11+1)/2))</f>
        <v/>
      </c>
      <c r="F25">
        <f>IF(MOD(F11,2)=0,"ALTAVO_"&amp;(F11/2+1),"BRENLOW_"&amp;((F11+1)/2))</f>
        <v/>
      </c>
      <c r="G25">
        <f>IF(MOD(G11,2)=0,"ALTAVO_"&amp;(G11/2+1),"BRENLOW_"&amp;((G11+1)/2))</f>
        <v/>
      </c>
      <c r="H25">
        <f>IF(MOD(H11,2)=0,"ALTAVO_"&amp;(H11/2+1),"BRENLOW_"&amp;((H11+1)/2))</f>
        <v/>
      </c>
      <c r="I25">
        <f>IF(MOD(I11,2)=0,"ALTAVO_"&amp;(I11/2+1),"BRENLOW_"&amp;((I11+1)/2))</f>
        <v/>
      </c>
      <c r="J25">
        <f>IF(MOD(J11,2)=0,"ALTAVO_"&amp;(J11/2+1),"BRENLOW_"&amp;((J11+1)/2))</f>
        <v/>
      </c>
      <c r="K25">
        <f>IF(MOD(K11,2)=0,"ALTAVO_"&amp;(K11/2+1),"BRENLOW_"&amp;((K11+1)/2))</f>
        <v/>
      </c>
      <c r="L25">
        <f>IF(MOD(L11,2)=0,"ALTAVO_"&amp;(L11/2+1),"BRENLOW_"&amp;((L11+1)/2))</f>
        <v/>
      </c>
      <c r="M25">
        <f>IF(MOD(M11,2)=0,"ALTAVO_"&amp;(M11/2+1),"BRENLOW_"&amp;((M11+1)/2))</f>
        <v/>
      </c>
      <c r="N25">
        <f>IF(MOD(N11,2)=0,"ALTAVO_"&amp;(N11/2+1),"BRENLOW_"&amp;((N11+1)/2))</f>
        <v/>
      </c>
      <c r="O25">
        <f>IF(MOD(C11,2)=0,"A","B")&amp;IF(MOD(D11,2)=0,"A","B")&amp;IF(MOD(E11,2)=0,"A","B")&amp;IF(MOD(F11,2)=0,"A","B")&amp;IF(MOD(G11,2)=0,"A","B")&amp;IF(MOD(H11,2)=0,"A","B")&amp;IF(MOD(I11,2)=0,"A","B")&amp;IF(MOD(J11,2)=0,"A","B")&amp;IF(MOD(K11,2)=0,"A","B")&amp;IF(MOD(L11,2)=0,"A","B")&amp;IF(MOD(M11,2)=0,"A","B")&amp;IF(MOD(N11,2)=0,"A","B")</f>
        <v/>
      </c>
    </row>
    <row r="26">
      <c r="B26" t="n">
        <v>5</v>
      </c>
      <c r="C26">
        <f>IF(MOD(C12,2)=0,"ALTAVO_"&amp;(C12/2+1),"BRENLOW_"&amp;((C12+1)/2))</f>
        <v/>
      </c>
      <c r="D26">
        <f>IF(MOD(D12,2)=0,"ALTAVO_"&amp;(D12/2+1),"BRENLOW_"&amp;((D12+1)/2))</f>
        <v/>
      </c>
      <c r="E26">
        <f>IF(MOD(E12,2)=0,"ALTAVO_"&amp;(E12/2+1),"BRENLOW_"&amp;((E12+1)/2))</f>
        <v/>
      </c>
      <c r="F26">
        <f>IF(MOD(F12,2)=0,"ALTAVO_"&amp;(F12/2+1),"BRENLOW_"&amp;((F12+1)/2))</f>
        <v/>
      </c>
      <c r="G26">
        <f>IF(MOD(G12,2)=0,"ALTAVO_"&amp;(G12/2+1),"BRENLOW_"&amp;((G12+1)/2))</f>
        <v/>
      </c>
      <c r="H26">
        <f>IF(MOD(H12,2)=0,"ALTAVO_"&amp;(H12/2+1),"BRENLOW_"&amp;((H12+1)/2))</f>
        <v/>
      </c>
      <c r="I26">
        <f>IF(MOD(I12,2)=0,"ALTAVO_"&amp;(I12/2+1),"BRENLOW_"&amp;((I12+1)/2))</f>
        <v/>
      </c>
      <c r="J26">
        <f>IF(MOD(J12,2)=0,"ALTAVO_"&amp;(J12/2+1),"BRENLOW_"&amp;((J12+1)/2))</f>
        <v/>
      </c>
      <c r="K26">
        <f>IF(MOD(K12,2)=0,"ALTAVO_"&amp;(K12/2+1),"BRENLOW_"&amp;((K12+1)/2))</f>
        <v/>
      </c>
      <c r="L26">
        <f>IF(MOD(L12,2)=0,"ALTAVO_"&amp;(L12/2+1),"BRENLOW_"&amp;((L12+1)/2))</f>
        <v/>
      </c>
      <c r="M26">
        <f>IF(MOD(M12,2)=0,"ALTAVO_"&amp;(M12/2+1),"BRENLOW_"&amp;((M12+1)/2))</f>
        <v/>
      </c>
      <c r="N26">
        <f>IF(MOD(N12,2)=0,"ALTAVO_"&amp;(N12/2+1),"BRENLOW_"&amp;((N12+1)/2))</f>
        <v/>
      </c>
      <c r="O26">
        <f>IF(MOD(C12,2)=0,"A","B")&amp;IF(MOD(D12,2)=0,"A","B")&amp;IF(MOD(E12,2)=0,"A","B")&amp;IF(MOD(F12,2)=0,"A","B")&amp;IF(MOD(G12,2)=0,"A","B")&amp;IF(MOD(H12,2)=0,"A","B")&amp;IF(MOD(I12,2)=0,"A","B")&amp;IF(MOD(J12,2)=0,"A","B")&amp;IF(MOD(K12,2)=0,"A","B")&amp;IF(MOD(L12,2)=0,"A","B")&amp;IF(MOD(M12,2)=0,"A","B")&amp;IF(MOD(N12,2)=0,"A","B")</f>
        <v/>
      </c>
    </row>
    <row r="27">
      <c r="B27" t="n">
        <v>6</v>
      </c>
      <c r="C27">
        <f>IF(MOD(C13,2)=0,"ALTAVO_"&amp;(C13/2+1),"BRENLOW_"&amp;((C13+1)/2))</f>
        <v/>
      </c>
      <c r="D27">
        <f>IF(MOD(D13,2)=0,"ALTAVO_"&amp;(D13/2+1),"BRENLOW_"&amp;((D13+1)/2))</f>
        <v/>
      </c>
      <c r="E27">
        <f>IF(MOD(E13,2)=0,"ALTAVO_"&amp;(E13/2+1),"BRENLOW_"&amp;((E13+1)/2))</f>
        <v/>
      </c>
      <c r="F27">
        <f>IF(MOD(F13,2)=0,"ALTAVO_"&amp;(F13/2+1),"BRENLOW_"&amp;((F13+1)/2))</f>
        <v/>
      </c>
      <c r="G27">
        <f>IF(MOD(G13,2)=0,"ALTAVO_"&amp;(G13/2+1),"BRENLOW_"&amp;((G13+1)/2))</f>
        <v/>
      </c>
      <c r="H27">
        <f>IF(MOD(H13,2)=0,"ALTAVO_"&amp;(H13/2+1),"BRENLOW_"&amp;((H13+1)/2))</f>
        <v/>
      </c>
      <c r="I27">
        <f>IF(MOD(I13,2)=0,"ALTAVO_"&amp;(I13/2+1),"BRENLOW_"&amp;((I13+1)/2))</f>
        <v/>
      </c>
      <c r="J27">
        <f>IF(MOD(J13,2)=0,"ALTAVO_"&amp;(J13/2+1),"BRENLOW_"&amp;((J13+1)/2))</f>
        <v/>
      </c>
      <c r="K27">
        <f>IF(MOD(K13,2)=0,"ALTAVO_"&amp;(K13/2+1),"BRENLOW_"&amp;((K13+1)/2))</f>
        <v/>
      </c>
      <c r="L27">
        <f>IF(MOD(L13,2)=0,"ALTAVO_"&amp;(L13/2+1),"BRENLOW_"&amp;((L13+1)/2))</f>
        <v/>
      </c>
      <c r="M27">
        <f>IF(MOD(M13,2)=0,"ALTAVO_"&amp;(M13/2+1),"BRENLOW_"&amp;((M13+1)/2))</f>
        <v/>
      </c>
      <c r="N27">
        <f>IF(MOD(N13,2)=0,"ALTAVO_"&amp;(N13/2+1),"BRENLOW_"&amp;((N13+1)/2))</f>
        <v/>
      </c>
      <c r="O27">
        <f>IF(MOD(C13,2)=0,"A","B")&amp;IF(MOD(D13,2)=0,"A","B")&amp;IF(MOD(E13,2)=0,"A","B")&amp;IF(MOD(F13,2)=0,"A","B")&amp;IF(MOD(G13,2)=0,"A","B")&amp;IF(MOD(H13,2)=0,"A","B")&amp;IF(MOD(I13,2)=0,"A","B")&amp;IF(MOD(J13,2)=0,"A","B")&amp;IF(MOD(K13,2)=0,"A","B")&amp;IF(MOD(L13,2)=0,"A","B")&amp;IF(MOD(M13,2)=0,"A","B")&amp;IF(MOD(N13,2)=0,"A","B")</f>
        <v/>
      </c>
    </row>
    <row r="28">
      <c r="B28" t="n">
        <v>7</v>
      </c>
      <c r="C28">
        <f>IF(MOD(C14,2)=0,"ALTAVO_"&amp;(C14/2+1),"BRENLOW_"&amp;((C14+1)/2))</f>
        <v/>
      </c>
      <c r="D28">
        <f>IF(MOD(D14,2)=0,"ALTAVO_"&amp;(D14/2+1),"BRENLOW_"&amp;((D14+1)/2))</f>
        <v/>
      </c>
      <c r="E28">
        <f>IF(MOD(E14,2)=0,"ALTAVO_"&amp;(E14/2+1),"BRENLOW_"&amp;((E14+1)/2))</f>
        <v/>
      </c>
      <c r="F28">
        <f>IF(MOD(F14,2)=0,"ALTAVO_"&amp;(F14/2+1),"BRENLOW_"&amp;((F14+1)/2))</f>
        <v/>
      </c>
      <c r="G28">
        <f>IF(MOD(G14,2)=0,"ALTAVO_"&amp;(G14/2+1),"BRENLOW_"&amp;((G14+1)/2))</f>
        <v/>
      </c>
      <c r="H28">
        <f>IF(MOD(H14,2)=0,"ALTAVO_"&amp;(H14/2+1),"BRENLOW_"&amp;((H14+1)/2))</f>
        <v/>
      </c>
      <c r="I28">
        <f>IF(MOD(I14,2)=0,"ALTAVO_"&amp;(I14/2+1),"BRENLOW_"&amp;((I14+1)/2))</f>
        <v/>
      </c>
      <c r="J28">
        <f>IF(MOD(J14,2)=0,"ALTAVO_"&amp;(J14/2+1),"BRENLOW_"&amp;((J14+1)/2))</f>
        <v/>
      </c>
      <c r="K28">
        <f>IF(MOD(K14,2)=0,"ALTAVO_"&amp;(K14/2+1),"BRENLOW_"&amp;((K14+1)/2))</f>
        <v/>
      </c>
      <c r="L28">
        <f>IF(MOD(L14,2)=0,"ALTAVO_"&amp;(L14/2+1),"BRENLOW_"&amp;((L14+1)/2))</f>
        <v/>
      </c>
      <c r="M28">
        <f>IF(MOD(M14,2)=0,"ALTAVO_"&amp;(M14/2+1),"BRENLOW_"&amp;((M14+1)/2))</f>
        <v/>
      </c>
      <c r="N28">
        <f>IF(MOD(N14,2)=0,"ALTAVO_"&amp;(N14/2+1),"BRENLOW_"&amp;((N14+1)/2))</f>
        <v/>
      </c>
      <c r="O28">
        <f>IF(MOD(C14,2)=0,"A","B")&amp;IF(MOD(D14,2)=0,"A","B")&amp;IF(MOD(E14,2)=0,"A","B")&amp;IF(MOD(F14,2)=0,"A","B")&amp;IF(MOD(G14,2)=0,"A","B")&amp;IF(MOD(H14,2)=0,"A","B")&amp;IF(MOD(I14,2)=0,"A","B")&amp;IF(MOD(J14,2)=0,"A","B")&amp;IF(MOD(K14,2)=0,"A","B")&amp;IF(MOD(L14,2)=0,"A","B")&amp;IF(MOD(M14,2)=0,"A","B")&amp;IF(MOD(N14,2)=0,"A","B")</f>
        <v/>
      </c>
    </row>
    <row r="29">
      <c r="B29" t="n">
        <v>8</v>
      </c>
      <c r="C29">
        <f>IF(MOD(C15,2)=0,"ALTAVO_"&amp;(C15/2+1),"BRENLOW_"&amp;((C15+1)/2))</f>
        <v/>
      </c>
      <c r="D29">
        <f>IF(MOD(D15,2)=0,"ALTAVO_"&amp;(D15/2+1),"BRENLOW_"&amp;((D15+1)/2))</f>
        <v/>
      </c>
      <c r="E29">
        <f>IF(MOD(E15,2)=0,"ALTAVO_"&amp;(E15/2+1),"BRENLOW_"&amp;((E15+1)/2))</f>
        <v/>
      </c>
      <c r="F29">
        <f>IF(MOD(F15,2)=0,"ALTAVO_"&amp;(F15/2+1),"BRENLOW_"&amp;((F15+1)/2))</f>
        <v/>
      </c>
      <c r="G29">
        <f>IF(MOD(G15,2)=0,"ALTAVO_"&amp;(G15/2+1),"BRENLOW_"&amp;((G15+1)/2))</f>
        <v/>
      </c>
      <c r="H29">
        <f>IF(MOD(H15,2)=0,"ALTAVO_"&amp;(H15/2+1),"BRENLOW_"&amp;((H15+1)/2))</f>
        <v/>
      </c>
      <c r="I29">
        <f>IF(MOD(I15,2)=0,"ALTAVO_"&amp;(I15/2+1),"BRENLOW_"&amp;((I15+1)/2))</f>
        <v/>
      </c>
      <c r="J29">
        <f>IF(MOD(J15,2)=0,"ALTAVO_"&amp;(J15/2+1),"BRENLOW_"&amp;((J15+1)/2))</f>
        <v/>
      </c>
      <c r="K29">
        <f>IF(MOD(K15,2)=0,"ALTAVO_"&amp;(K15/2+1),"BRENLOW_"&amp;((K15+1)/2))</f>
        <v/>
      </c>
      <c r="L29">
        <f>IF(MOD(L15,2)=0,"ALTAVO_"&amp;(L15/2+1),"BRENLOW_"&amp;((L15+1)/2))</f>
        <v/>
      </c>
      <c r="M29">
        <f>IF(MOD(M15,2)=0,"ALTAVO_"&amp;(M15/2+1),"BRENLOW_"&amp;((M15+1)/2))</f>
        <v/>
      </c>
      <c r="N29">
        <f>IF(MOD(N15,2)=0,"ALTAVO_"&amp;(N15/2+1),"BRENLOW_"&amp;((N15+1)/2))</f>
        <v/>
      </c>
      <c r="O29">
        <f>IF(MOD(C15,2)=0,"A","B")&amp;IF(MOD(D15,2)=0,"A","B")&amp;IF(MOD(E15,2)=0,"A","B")&amp;IF(MOD(F15,2)=0,"A","B")&amp;IF(MOD(G15,2)=0,"A","B")&amp;IF(MOD(H15,2)=0,"A","B")&amp;IF(MOD(I15,2)=0,"A","B")&amp;IF(MOD(J15,2)=0,"A","B")&amp;IF(MOD(K15,2)=0,"A","B")&amp;IF(MOD(L15,2)=0,"A","B")&amp;IF(MOD(M15,2)=0,"A","B")&amp;IF(MOD(N15,2)=0,"A","B")</f>
        <v/>
      </c>
    </row>
    <row r="30">
      <c r="B30" t="n">
        <v>9</v>
      </c>
      <c r="C30">
        <f>IF(MOD(C16,2)=0,"ALTAVO_"&amp;(C16/2+1),"BRENLOW_"&amp;((C16+1)/2))</f>
        <v/>
      </c>
      <c r="D30">
        <f>IF(MOD(D16,2)=0,"ALTAVO_"&amp;(D16/2+1),"BRENLOW_"&amp;((D16+1)/2))</f>
        <v/>
      </c>
      <c r="E30">
        <f>IF(MOD(E16,2)=0,"ALTAVO_"&amp;(E16/2+1),"BRENLOW_"&amp;((E16+1)/2))</f>
        <v/>
      </c>
      <c r="F30">
        <f>IF(MOD(F16,2)=0,"ALTAVO_"&amp;(F16/2+1),"BRENLOW_"&amp;((F16+1)/2))</f>
        <v/>
      </c>
      <c r="G30">
        <f>IF(MOD(G16,2)=0,"ALTAVO_"&amp;(G16/2+1),"BRENLOW_"&amp;((G16+1)/2))</f>
        <v/>
      </c>
      <c r="H30">
        <f>IF(MOD(H16,2)=0,"ALTAVO_"&amp;(H16/2+1),"BRENLOW_"&amp;((H16+1)/2))</f>
        <v/>
      </c>
      <c r="I30">
        <f>IF(MOD(I16,2)=0,"ALTAVO_"&amp;(I16/2+1),"BRENLOW_"&amp;((I16+1)/2))</f>
        <v/>
      </c>
      <c r="J30">
        <f>IF(MOD(J16,2)=0,"ALTAVO_"&amp;(J16/2+1),"BRENLOW_"&amp;((J16+1)/2))</f>
        <v/>
      </c>
      <c r="K30">
        <f>IF(MOD(K16,2)=0,"ALTAVO_"&amp;(K16/2+1),"BRENLOW_"&amp;((K16+1)/2))</f>
        <v/>
      </c>
      <c r="L30">
        <f>IF(MOD(L16,2)=0,"ALTAVO_"&amp;(L16/2+1),"BRENLOW_"&amp;((L16+1)/2))</f>
        <v/>
      </c>
      <c r="M30">
        <f>IF(MOD(M16,2)=0,"ALTAVO_"&amp;(M16/2+1),"BRENLOW_"&amp;((M16+1)/2))</f>
        <v/>
      </c>
      <c r="N30">
        <f>IF(MOD(N16,2)=0,"ALTAVO_"&amp;(N16/2+1),"BRENLOW_"&amp;((N16+1)/2))</f>
        <v/>
      </c>
      <c r="O30">
        <f>IF(MOD(C16,2)=0,"A","B")&amp;IF(MOD(D16,2)=0,"A","B")&amp;IF(MOD(E16,2)=0,"A","B")&amp;IF(MOD(F16,2)=0,"A","B")&amp;IF(MOD(G16,2)=0,"A","B")&amp;IF(MOD(H16,2)=0,"A","B")&amp;IF(MOD(I16,2)=0,"A","B")&amp;IF(MOD(J16,2)=0,"A","B")&amp;IF(MOD(K16,2)=0,"A","B")&amp;IF(MOD(L16,2)=0,"A","B")&amp;IF(MOD(M16,2)=0,"A","B")&amp;IF(MOD(N16,2)=0,"A","B")</f>
        <v/>
      </c>
    </row>
    <row r="31">
      <c r="B31" t="n">
        <v>10</v>
      </c>
      <c r="C31">
        <f>IF(MOD(C17,2)=0,"ALTAVO_"&amp;(C17/2+1),"BRENLOW_"&amp;((C17+1)/2))</f>
        <v/>
      </c>
      <c r="D31">
        <f>IF(MOD(D17,2)=0,"ALTAVO_"&amp;(D17/2+1),"BRENLOW_"&amp;((D17+1)/2))</f>
        <v/>
      </c>
      <c r="E31">
        <f>IF(MOD(E17,2)=0,"ALTAVO_"&amp;(E17/2+1),"BRENLOW_"&amp;((E17+1)/2))</f>
        <v/>
      </c>
      <c r="F31">
        <f>IF(MOD(F17,2)=0,"ALTAVO_"&amp;(F17/2+1),"BRENLOW_"&amp;((F17+1)/2))</f>
        <v/>
      </c>
      <c r="G31">
        <f>IF(MOD(G17,2)=0,"ALTAVO_"&amp;(G17/2+1),"BRENLOW_"&amp;((G17+1)/2))</f>
        <v/>
      </c>
      <c r="H31">
        <f>IF(MOD(H17,2)=0,"ALTAVO_"&amp;(H17/2+1),"BRENLOW_"&amp;((H17+1)/2))</f>
        <v/>
      </c>
      <c r="I31">
        <f>IF(MOD(I17,2)=0,"ALTAVO_"&amp;(I17/2+1),"BRENLOW_"&amp;((I17+1)/2))</f>
        <v/>
      </c>
      <c r="J31">
        <f>IF(MOD(J17,2)=0,"ALTAVO_"&amp;(J17/2+1),"BRENLOW_"&amp;((J17+1)/2))</f>
        <v/>
      </c>
      <c r="K31">
        <f>IF(MOD(K17,2)=0,"ALTAVO_"&amp;(K17/2+1),"BRENLOW_"&amp;((K17+1)/2))</f>
        <v/>
      </c>
      <c r="L31">
        <f>IF(MOD(L17,2)=0,"ALTAVO_"&amp;(L17/2+1),"BRENLOW_"&amp;((L17+1)/2))</f>
        <v/>
      </c>
      <c r="M31">
        <f>IF(MOD(M17,2)=0,"ALTAVO_"&amp;(M17/2+1),"BRENLOW_"&amp;((M17+1)/2))</f>
        <v/>
      </c>
      <c r="N31">
        <f>IF(MOD(N17,2)=0,"ALTAVO_"&amp;(N17/2+1),"BRENLOW_"&amp;((N17+1)/2))</f>
        <v/>
      </c>
      <c r="O31">
        <f>IF(MOD(C17,2)=0,"A","B")&amp;IF(MOD(D17,2)=0,"A","B")&amp;IF(MOD(E17,2)=0,"A","B")&amp;IF(MOD(F17,2)=0,"A","B")&amp;IF(MOD(G17,2)=0,"A","B")&amp;IF(MOD(H17,2)=0,"A","B")&amp;IF(MOD(I17,2)=0,"A","B")&amp;IF(MOD(J17,2)=0,"A","B")&amp;IF(MOD(K17,2)=0,"A","B")&amp;IF(MOD(L17,2)=0,"A","B")&amp;IF(MOD(M17,2)=0,"A","B")&amp;IF(MOD(N17,2)=0,"A","B")</f>
        <v/>
      </c>
    </row>
    <row r="32">
      <c r="B32" t="n">
        <v>11</v>
      </c>
      <c r="C32">
        <f>IF(MOD(C18,2)=0,"ALTAVO_"&amp;(C18/2+1),"BRENLOW_"&amp;((C18+1)/2))</f>
        <v/>
      </c>
      <c r="D32">
        <f>IF(MOD(D18,2)=0,"ALTAVO_"&amp;(D18/2+1),"BRENLOW_"&amp;((D18+1)/2))</f>
        <v/>
      </c>
      <c r="E32">
        <f>IF(MOD(E18,2)=0,"ALTAVO_"&amp;(E18/2+1),"BRENLOW_"&amp;((E18+1)/2))</f>
        <v/>
      </c>
      <c r="F32">
        <f>IF(MOD(F18,2)=0,"ALTAVO_"&amp;(F18/2+1),"BRENLOW_"&amp;((F18+1)/2))</f>
        <v/>
      </c>
      <c r="G32">
        <f>IF(MOD(G18,2)=0,"ALTAVO_"&amp;(G18/2+1),"BRENLOW_"&amp;((G18+1)/2))</f>
        <v/>
      </c>
      <c r="H32">
        <f>IF(MOD(H18,2)=0,"ALTAVO_"&amp;(H18/2+1),"BRENLOW_"&amp;((H18+1)/2))</f>
        <v/>
      </c>
      <c r="I32">
        <f>IF(MOD(I18,2)=0,"ALTAVO_"&amp;(I18/2+1),"BRENLOW_"&amp;((I18+1)/2))</f>
        <v/>
      </c>
      <c r="J32">
        <f>IF(MOD(J18,2)=0,"ALTAVO_"&amp;(J18/2+1),"BRENLOW_"&amp;((J18+1)/2))</f>
        <v/>
      </c>
      <c r="K32">
        <f>IF(MOD(K18,2)=0,"ALTAVO_"&amp;(K18/2+1),"BRENLOW_"&amp;((K18+1)/2))</f>
        <v/>
      </c>
      <c r="L32">
        <f>IF(MOD(L18,2)=0,"ALTAVO_"&amp;(L18/2+1),"BRENLOW_"&amp;((L18+1)/2))</f>
        <v/>
      </c>
      <c r="M32">
        <f>IF(MOD(M18,2)=0,"ALTAVO_"&amp;(M18/2+1),"BRENLOW_"&amp;((M18+1)/2))</f>
        <v/>
      </c>
      <c r="N32">
        <f>IF(MOD(N18,2)=0,"ALTAVO_"&amp;(N18/2+1),"BRENLOW_"&amp;((N18+1)/2))</f>
        <v/>
      </c>
      <c r="O32">
        <f>IF(MOD(C18,2)=0,"A","B")&amp;IF(MOD(D18,2)=0,"A","B")&amp;IF(MOD(E18,2)=0,"A","B")&amp;IF(MOD(F18,2)=0,"A","B")&amp;IF(MOD(G18,2)=0,"A","B")&amp;IF(MOD(H18,2)=0,"A","B")&amp;IF(MOD(I18,2)=0,"A","B")&amp;IF(MOD(J18,2)=0,"A","B")&amp;IF(MOD(K18,2)=0,"A","B")&amp;IF(MOD(L18,2)=0,"A","B")&amp;IF(MOD(M18,2)=0,"A","B")&amp;IF(MOD(N18,2)=0,"A","B")</f>
        <v/>
      </c>
    </row>
    <row r="33">
      <c r="B33" t="n">
        <v>12</v>
      </c>
      <c r="C33">
        <f>IF(MOD(C19,2)=0,"ALTAVO_"&amp;(C19/2+1),"BRENLOW_"&amp;((C19+1)/2))</f>
        <v/>
      </c>
      <c r="D33">
        <f>IF(MOD(D19,2)=0,"ALTAVO_"&amp;(D19/2+1),"BRENLOW_"&amp;((D19+1)/2))</f>
        <v/>
      </c>
      <c r="E33">
        <f>IF(MOD(E19,2)=0,"ALTAVO_"&amp;(E19/2+1),"BRENLOW_"&amp;((E19+1)/2))</f>
        <v/>
      </c>
      <c r="F33">
        <f>IF(MOD(F19,2)=0,"ALTAVO_"&amp;(F19/2+1),"BRENLOW_"&amp;((F19+1)/2))</f>
        <v/>
      </c>
      <c r="G33">
        <f>IF(MOD(G19,2)=0,"ALTAVO_"&amp;(G19/2+1),"BRENLOW_"&amp;((G19+1)/2))</f>
        <v/>
      </c>
      <c r="H33">
        <f>IF(MOD(H19,2)=0,"ALTAVO_"&amp;(H19/2+1),"BRENLOW_"&amp;((H19+1)/2))</f>
        <v/>
      </c>
      <c r="I33">
        <f>IF(MOD(I19,2)=0,"ALTAVO_"&amp;(I19/2+1),"BRENLOW_"&amp;((I19+1)/2))</f>
        <v/>
      </c>
      <c r="J33">
        <f>IF(MOD(J19,2)=0,"ALTAVO_"&amp;(J19/2+1),"BRENLOW_"&amp;((J19+1)/2))</f>
        <v/>
      </c>
      <c r="K33">
        <f>IF(MOD(K19,2)=0,"ALTAVO_"&amp;(K19/2+1),"BRENLOW_"&amp;((K19+1)/2))</f>
        <v/>
      </c>
      <c r="L33">
        <f>IF(MOD(L19,2)=0,"ALTAVO_"&amp;(L19/2+1),"BRENLOW_"&amp;((L19+1)/2))</f>
        <v/>
      </c>
      <c r="M33">
        <f>IF(MOD(M19,2)=0,"ALTAVO_"&amp;(M19/2+1),"BRENLOW_"&amp;((M19+1)/2))</f>
        <v/>
      </c>
      <c r="N33">
        <f>IF(MOD(N19,2)=0,"ALTAVO_"&amp;(N19/2+1),"BRENLOW_"&amp;((N19+1)/2))</f>
        <v/>
      </c>
      <c r="O33">
        <f>IF(MOD(C19,2)=0,"A","B")&amp;IF(MOD(D19,2)=0,"A","B")&amp;IF(MOD(E19,2)=0,"A","B")&amp;IF(MOD(F19,2)=0,"A","B")&amp;IF(MOD(G19,2)=0,"A","B")&amp;IF(MOD(H19,2)=0,"A","B")&amp;IF(MOD(I19,2)=0,"A","B")&amp;IF(MOD(J19,2)=0,"A","B")&amp;IF(MOD(K19,2)=0,"A","B")&amp;IF(MOD(L19,2)=0,"A","B")&amp;IF(MOD(M19,2)=0,"A","B")&amp;IF(MOD(N19,2)=0,"A","B")</f>
        <v/>
      </c>
    </row>
    <row r="35">
      <c r="A35" s="1" t="inlineStr">
        <is>
          <t>Checks</t>
        </is>
      </c>
    </row>
    <row r="36">
      <c r="B36" t="inlineStr">
        <is>
          <t>Symbol -&gt;</t>
        </is>
      </c>
      <c r="C36" t="n">
        <v>0</v>
      </c>
      <c r="D36" t="n">
        <v>1</v>
      </c>
      <c r="E36" t="n">
        <v>2</v>
      </c>
      <c r="F36" t="n">
        <v>3</v>
      </c>
      <c r="G36" t="n">
        <v>4</v>
      </c>
      <c r="H36" t="n">
        <v>5</v>
      </c>
      <c r="I36" t="n">
        <v>6</v>
      </c>
      <c r="J36" t="n">
        <v>7</v>
      </c>
      <c r="K36" t="n">
        <v>8</v>
      </c>
      <c r="L36" t="n">
        <v>9</v>
      </c>
      <c r="M36" t="n">
        <v>10</v>
      </c>
      <c r="N36" t="n">
        <v>11</v>
      </c>
    </row>
    <row r="37">
      <c r="B37" t="inlineStr">
        <is>
          <t>row 1</t>
        </is>
      </c>
      <c r="C37">
        <f>COUNTIF($C8:$N8,C$36)</f>
        <v/>
      </c>
      <c r="D37">
        <f>COUNTIF($C8:$N8,D$36)</f>
        <v/>
      </c>
      <c r="E37">
        <f>COUNTIF($C8:$N8,E$36)</f>
        <v/>
      </c>
      <c r="F37">
        <f>COUNTIF($C8:$N8,F$36)</f>
        <v/>
      </c>
      <c r="G37">
        <f>COUNTIF($C8:$N8,G$36)</f>
        <v/>
      </c>
      <c r="H37">
        <f>COUNTIF($C8:$N8,H$36)</f>
        <v/>
      </c>
      <c r="I37">
        <f>COUNTIF($C8:$N8,I$36)</f>
        <v/>
      </c>
      <c r="J37">
        <f>COUNTIF($C8:$N8,J$36)</f>
        <v/>
      </c>
      <c r="K37">
        <f>COUNTIF($C8:$N8,K$36)</f>
        <v/>
      </c>
      <c r="L37">
        <f>COUNTIF($C8:$N8,L$36)</f>
        <v/>
      </c>
      <c r="M37">
        <f>COUNTIF($C8:$N8,M$36)</f>
        <v/>
      </c>
      <c r="N37">
        <f>COUNTIF($C8:$N8,N$36)</f>
        <v/>
      </c>
    </row>
    <row r="38">
      <c r="B38" t="inlineStr">
        <is>
          <t>row 2</t>
        </is>
      </c>
      <c r="C38">
        <f>COUNTIF($C9:$N9,C$36)</f>
        <v/>
      </c>
      <c r="D38">
        <f>COUNTIF($C9:$N9,D$36)</f>
        <v/>
      </c>
      <c r="E38">
        <f>COUNTIF($C9:$N9,E$36)</f>
        <v/>
      </c>
      <c r="F38">
        <f>COUNTIF($C9:$N9,F$36)</f>
        <v/>
      </c>
      <c r="G38">
        <f>COUNTIF($C9:$N9,G$36)</f>
        <v/>
      </c>
      <c r="H38">
        <f>COUNTIF($C9:$N9,H$36)</f>
        <v/>
      </c>
      <c r="I38">
        <f>COUNTIF($C9:$N9,I$36)</f>
        <v/>
      </c>
      <c r="J38">
        <f>COUNTIF($C9:$N9,J$36)</f>
        <v/>
      </c>
      <c r="K38">
        <f>COUNTIF($C9:$N9,K$36)</f>
        <v/>
      </c>
      <c r="L38">
        <f>COUNTIF($C9:$N9,L$36)</f>
        <v/>
      </c>
      <c r="M38">
        <f>COUNTIF($C9:$N9,M$36)</f>
        <v/>
      </c>
      <c r="N38">
        <f>COUNTIF($C9:$N9,N$36)</f>
        <v/>
      </c>
    </row>
    <row r="39">
      <c r="B39" t="inlineStr">
        <is>
          <t>row 3</t>
        </is>
      </c>
      <c r="C39">
        <f>COUNTIF($C10:$N10,C$36)</f>
        <v/>
      </c>
      <c r="D39">
        <f>COUNTIF($C10:$N10,D$36)</f>
        <v/>
      </c>
      <c r="E39">
        <f>COUNTIF($C10:$N10,E$36)</f>
        <v/>
      </c>
      <c r="F39">
        <f>COUNTIF($C10:$N10,F$36)</f>
        <v/>
      </c>
      <c r="G39">
        <f>COUNTIF($C10:$N10,G$36)</f>
        <v/>
      </c>
      <c r="H39">
        <f>COUNTIF($C10:$N10,H$36)</f>
        <v/>
      </c>
      <c r="I39">
        <f>COUNTIF($C10:$N10,I$36)</f>
        <v/>
      </c>
      <c r="J39">
        <f>COUNTIF($C10:$N10,J$36)</f>
        <v/>
      </c>
      <c r="K39">
        <f>COUNTIF($C10:$N10,K$36)</f>
        <v/>
      </c>
      <c r="L39">
        <f>COUNTIF($C10:$N10,L$36)</f>
        <v/>
      </c>
      <c r="M39">
        <f>COUNTIF($C10:$N10,M$36)</f>
        <v/>
      </c>
      <c r="N39">
        <f>COUNTIF($C10:$N10,N$36)</f>
        <v/>
      </c>
    </row>
    <row r="40">
      <c r="B40" t="inlineStr">
        <is>
          <t>row 4</t>
        </is>
      </c>
      <c r="C40">
        <f>COUNTIF($C11:$N11,C$36)</f>
        <v/>
      </c>
      <c r="D40">
        <f>COUNTIF($C11:$N11,D$36)</f>
        <v/>
      </c>
      <c r="E40">
        <f>COUNTIF($C11:$N11,E$36)</f>
        <v/>
      </c>
      <c r="F40">
        <f>COUNTIF($C11:$N11,F$36)</f>
        <v/>
      </c>
      <c r="G40">
        <f>COUNTIF($C11:$N11,G$36)</f>
        <v/>
      </c>
      <c r="H40">
        <f>COUNTIF($C11:$N11,H$36)</f>
        <v/>
      </c>
      <c r="I40">
        <f>COUNTIF($C11:$N11,I$36)</f>
        <v/>
      </c>
      <c r="J40">
        <f>COUNTIF($C11:$N11,J$36)</f>
        <v/>
      </c>
      <c r="K40">
        <f>COUNTIF($C11:$N11,K$36)</f>
        <v/>
      </c>
      <c r="L40">
        <f>COUNTIF($C11:$N11,L$36)</f>
        <v/>
      </c>
      <c r="M40">
        <f>COUNTIF($C11:$N11,M$36)</f>
        <v/>
      </c>
      <c r="N40">
        <f>COUNTIF($C11:$N11,N$36)</f>
        <v/>
      </c>
    </row>
    <row r="41">
      <c r="B41" t="inlineStr">
        <is>
          <t>row 5</t>
        </is>
      </c>
      <c r="C41">
        <f>COUNTIF($C12:$N12,C$36)</f>
        <v/>
      </c>
      <c r="D41">
        <f>COUNTIF($C12:$N12,D$36)</f>
        <v/>
      </c>
      <c r="E41">
        <f>COUNTIF($C12:$N12,E$36)</f>
        <v/>
      </c>
      <c r="F41">
        <f>COUNTIF($C12:$N12,F$36)</f>
        <v/>
      </c>
      <c r="G41">
        <f>COUNTIF($C12:$N12,G$36)</f>
        <v/>
      </c>
      <c r="H41">
        <f>COUNTIF($C12:$N12,H$36)</f>
        <v/>
      </c>
      <c r="I41">
        <f>COUNTIF($C12:$N12,I$36)</f>
        <v/>
      </c>
      <c r="J41">
        <f>COUNTIF($C12:$N12,J$36)</f>
        <v/>
      </c>
      <c r="K41">
        <f>COUNTIF($C12:$N12,K$36)</f>
        <v/>
      </c>
      <c r="L41">
        <f>COUNTIF($C12:$N12,L$36)</f>
        <v/>
      </c>
      <c r="M41">
        <f>COUNTIF($C12:$N12,M$36)</f>
        <v/>
      </c>
      <c r="N41">
        <f>COUNTIF($C12:$N12,N$36)</f>
        <v/>
      </c>
    </row>
    <row r="42">
      <c r="B42" t="inlineStr">
        <is>
          <t>row 6</t>
        </is>
      </c>
      <c r="C42">
        <f>COUNTIF($C13:$N13,C$36)</f>
        <v/>
      </c>
      <c r="D42">
        <f>COUNTIF($C13:$N13,D$36)</f>
        <v/>
      </c>
      <c r="E42">
        <f>COUNTIF($C13:$N13,E$36)</f>
        <v/>
      </c>
      <c r="F42">
        <f>COUNTIF($C13:$N13,F$36)</f>
        <v/>
      </c>
      <c r="G42">
        <f>COUNTIF($C13:$N13,G$36)</f>
        <v/>
      </c>
      <c r="H42">
        <f>COUNTIF($C13:$N13,H$36)</f>
        <v/>
      </c>
      <c r="I42">
        <f>COUNTIF($C13:$N13,I$36)</f>
        <v/>
      </c>
      <c r="J42">
        <f>COUNTIF($C13:$N13,J$36)</f>
        <v/>
      </c>
      <c r="K42">
        <f>COUNTIF($C13:$N13,K$36)</f>
        <v/>
      </c>
      <c r="L42">
        <f>COUNTIF($C13:$N13,L$36)</f>
        <v/>
      </c>
      <c r="M42">
        <f>COUNTIF($C13:$N13,M$36)</f>
        <v/>
      </c>
      <c r="N42">
        <f>COUNTIF($C13:$N13,N$36)</f>
        <v/>
      </c>
    </row>
    <row r="43">
      <c r="B43" t="inlineStr">
        <is>
          <t>row 7</t>
        </is>
      </c>
      <c r="C43">
        <f>COUNTIF($C14:$N14,C$36)</f>
        <v/>
      </c>
      <c r="D43">
        <f>COUNTIF($C14:$N14,D$36)</f>
        <v/>
      </c>
      <c r="E43">
        <f>COUNTIF($C14:$N14,E$36)</f>
        <v/>
      </c>
      <c r="F43">
        <f>COUNTIF($C14:$N14,F$36)</f>
        <v/>
      </c>
      <c r="G43">
        <f>COUNTIF($C14:$N14,G$36)</f>
        <v/>
      </c>
      <c r="H43">
        <f>COUNTIF($C14:$N14,H$36)</f>
        <v/>
      </c>
      <c r="I43">
        <f>COUNTIF($C14:$N14,I$36)</f>
        <v/>
      </c>
      <c r="J43">
        <f>COUNTIF($C14:$N14,J$36)</f>
        <v/>
      </c>
      <c r="K43">
        <f>COUNTIF($C14:$N14,K$36)</f>
        <v/>
      </c>
      <c r="L43">
        <f>COUNTIF($C14:$N14,L$36)</f>
        <v/>
      </c>
      <c r="M43">
        <f>COUNTIF($C14:$N14,M$36)</f>
        <v/>
      </c>
      <c r="N43">
        <f>COUNTIF($C14:$N14,N$36)</f>
        <v/>
      </c>
    </row>
    <row r="44">
      <c r="B44" t="inlineStr">
        <is>
          <t>row 8</t>
        </is>
      </c>
      <c r="C44">
        <f>COUNTIF($C15:$N15,C$36)</f>
        <v/>
      </c>
      <c r="D44">
        <f>COUNTIF($C15:$N15,D$36)</f>
        <v/>
      </c>
      <c r="E44">
        <f>COUNTIF($C15:$N15,E$36)</f>
        <v/>
      </c>
      <c r="F44">
        <f>COUNTIF($C15:$N15,F$36)</f>
        <v/>
      </c>
      <c r="G44">
        <f>COUNTIF($C15:$N15,G$36)</f>
        <v/>
      </c>
      <c r="H44">
        <f>COUNTIF($C15:$N15,H$36)</f>
        <v/>
      </c>
      <c r="I44">
        <f>COUNTIF($C15:$N15,I$36)</f>
        <v/>
      </c>
      <c r="J44">
        <f>COUNTIF($C15:$N15,J$36)</f>
        <v/>
      </c>
      <c r="K44">
        <f>COUNTIF($C15:$N15,K$36)</f>
        <v/>
      </c>
      <c r="L44">
        <f>COUNTIF($C15:$N15,L$36)</f>
        <v/>
      </c>
      <c r="M44">
        <f>COUNTIF($C15:$N15,M$36)</f>
        <v/>
      </c>
      <c r="N44">
        <f>COUNTIF($C15:$N15,N$36)</f>
        <v/>
      </c>
    </row>
    <row r="45">
      <c r="B45" t="inlineStr">
        <is>
          <t>row 9</t>
        </is>
      </c>
      <c r="C45">
        <f>COUNTIF($C16:$N16,C$36)</f>
        <v/>
      </c>
      <c r="D45">
        <f>COUNTIF($C16:$N16,D$36)</f>
        <v/>
      </c>
      <c r="E45">
        <f>COUNTIF($C16:$N16,E$36)</f>
        <v/>
      </c>
      <c r="F45">
        <f>COUNTIF($C16:$N16,F$36)</f>
        <v/>
      </c>
      <c r="G45">
        <f>COUNTIF($C16:$N16,G$36)</f>
        <v/>
      </c>
      <c r="H45">
        <f>COUNTIF($C16:$N16,H$36)</f>
        <v/>
      </c>
      <c r="I45">
        <f>COUNTIF($C16:$N16,I$36)</f>
        <v/>
      </c>
      <c r="J45">
        <f>COUNTIF($C16:$N16,J$36)</f>
        <v/>
      </c>
      <c r="K45">
        <f>COUNTIF($C16:$N16,K$36)</f>
        <v/>
      </c>
      <c r="L45">
        <f>COUNTIF($C16:$N16,L$36)</f>
        <v/>
      </c>
      <c r="M45">
        <f>COUNTIF($C16:$N16,M$36)</f>
        <v/>
      </c>
      <c r="N45">
        <f>COUNTIF($C16:$N16,N$36)</f>
        <v/>
      </c>
    </row>
    <row r="46">
      <c r="B46" t="inlineStr">
        <is>
          <t>row 10</t>
        </is>
      </c>
      <c r="C46">
        <f>COUNTIF($C17:$N17,C$36)</f>
        <v/>
      </c>
      <c r="D46">
        <f>COUNTIF($C17:$N17,D$36)</f>
        <v/>
      </c>
      <c r="E46">
        <f>COUNTIF($C17:$N17,E$36)</f>
        <v/>
      </c>
      <c r="F46">
        <f>COUNTIF($C17:$N17,F$36)</f>
        <v/>
      </c>
      <c r="G46">
        <f>COUNTIF($C17:$N17,G$36)</f>
        <v/>
      </c>
      <c r="H46">
        <f>COUNTIF($C17:$N17,H$36)</f>
        <v/>
      </c>
      <c r="I46">
        <f>COUNTIF($C17:$N17,I$36)</f>
        <v/>
      </c>
      <c r="J46">
        <f>COUNTIF($C17:$N17,J$36)</f>
        <v/>
      </c>
      <c r="K46">
        <f>COUNTIF($C17:$N17,K$36)</f>
        <v/>
      </c>
      <c r="L46">
        <f>COUNTIF($C17:$N17,L$36)</f>
        <v/>
      </c>
      <c r="M46">
        <f>COUNTIF($C17:$N17,M$36)</f>
        <v/>
      </c>
      <c r="N46">
        <f>COUNTIF($C17:$N17,N$36)</f>
        <v/>
      </c>
    </row>
    <row r="47">
      <c r="B47" t="inlineStr">
        <is>
          <t>row 11</t>
        </is>
      </c>
      <c r="C47">
        <f>COUNTIF($C18:$N18,C$36)</f>
        <v/>
      </c>
      <c r="D47">
        <f>COUNTIF($C18:$N18,D$36)</f>
        <v/>
      </c>
      <c r="E47">
        <f>COUNTIF($C18:$N18,E$36)</f>
        <v/>
      </c>
      <c r="F47">
        <f>COUNTIF($C18:$N18,F$36)</f>
        <v/>
      </c>
      <c r="G47">
        <f>COUNTIF($C18:$N18,G$36)</f>
        <v/>
      </c>
      <c r="H47">
        <f>COUNTIF($C18:$N18,H$36)</f>
        <v/>
      </c>
      <c r="I47">
        <f>COUNTIF($C18:$N18,I$36)</f>
        <v/>
      </c>
      <c r="J47">
        <f>COUNTIF($C18:$N18,J$36)</f>
        <v/>
      </c>
      <c r="K47">
        <f>COUNTIF($C18:$N18,K$36)</f>
        <v/>
      </c>
      <c r="L47">
        <f>COUNTIF($C18:$N18,L$36)</f>
        <v/>
      </c>
      <c r="M47">
        <f>COUNTIF($C18:$N18,M$36)</f>
        <v/>
      </c>
      <c r="N47">
        <f>COUNTIF($C18:$N18,N$36)</f>
        <v/>
      </c>
    </row>
    <row r="48">
      <c r="B48" t="inlineStr">
        <is>
          <t>row 12</t>
        </is>
      </c>
      <c r="C48">
        <f>COUNTIF($C19:$N19,C$36)</f>
        <v/>
      </c>
      <c r="D48">
        <f>COUNTIF($C19:$N19,D$36)</f>
        <v/>
      </c>
      <c r="E48">
        <f>COUNTIF($C19:$N19,E$36)</f>
        <v/>
      </c>
      <c r="F48">
        <f>COUNTIF($C19:$N19,F$36)</f>
        <v/>
      </c>
      <c r="G48">
        <f>COUNTIF($C19:$N19,G$36)</f>
        <v/>
      </c>
      <c r="H48">
        <f>COUNTIF($C19:$N19,H$36)</f>
        <v/>
      </c>
      <c r="I48">
        <f>COUNTIF($C19:$N19,I$36)</f>
        <v/>
      </c>
      <c r="J48">
        <f>COUNTIF($C19:$N19,J$36)</f>
        <v/>
      </c>
      <c r="K48">
        <f>COUNTIF($C19:$N19,K$36)</f>
        <v/>
      </c>
      <c r="L48">
        <f>COUNTIF($C19:$N19,L$36)</f>
        <v/>
      </c>
      <c r="M48">
        <f>COUNTIF($C19:$N19,M$36)</f>
        <v/>
      </c>
      <c r="N48">
        <f>COUNTIF($C19:$N19,N$36)</f>
        <v/>
      </c>
    </row>
    <row r="50">
      <c r="B50" t="inlineStr">
        <is>
          <t>smallest count</t>
        </is>
      </c>
      <c r="C50" s="9">
        <f>MIN(C37:N48)</f>
        <v/>
      </c>
    </row>
    <row r="51">
      <c r="B51" t="inlineStr">
        <is>
          <t>largest count</t>
        </is>
      </c>
      <c r="C51" s="9">
        <f>MAX(C37:N48)</f>
        <v/>
      </c>
    </row>
    <row r="53">
      <c r="B53" t="inlineStr">
        <is>
          <t>Symbol (rows) x position (columns)</t>
        </is>
      </c>
    </row>
    <row r="54">
      <c r="B54" t="n">
        <v>0</v>
      </c>
      <c r="C54">
        <f>COUNTIF(C$8:C$19,$B54)</f>
        <v/>
      </c>
      <c r="D54">
        <f>COUNTIF(D$8:D$19,$B54)</f>
        <v/>
      </c>
      <c r="E54">
        <f>COUNTIF(E$8:E$19,$B54)</f>
        <v/>
      </c>
      <c r="F54">
        <f>COUNTIF(F$8:F$19,$B54)</f>
        <v/>
      </c>
      <c r="G54">
        <f>COUNTIF(G$8:G$19,$B54)</f>
        <v/>
      </c>
      <c r="H54">
        <f>COUNTIF(H$8:H$19,$B54)</f>
        <v/>
      </c>
      <c r="I54">
        <f>COUNTIF(I$8:I$19,$B54)</f>
        <v/>
      </c>
      <c r="J54">
        <f>COUNTIF(J$8:J$19,$B54)</f>
        <v/>
      </c>
      <c r="K54">
        <f>COUNTIF(K$8:K$19,$B54)</f>
        <v/>
      </c>
      <c r="L54">
        <f>COUNTIF(L$8:L$19,$B54)</f>
        <v/>
      </c>
      <c r="M54">
        <f>COUNTIF(M$8:M$19,$B54)</f>
        <v/>
      </c>
      <c r="N54">
        <f>COUNTIF(N$8:N$19,$B54)</f>
        <v/>
      </c>
    </row>
    <row r="55">
      <c r="B55" t="n">
        <v>1</v>
      </c>
      <c r="C55">
        <f>COUNTIF(C$8:C$19,$B55)</f>
        <v/>
      </c>
      <c r="D55">
        <f>COUNTIF(D$8:D$19,$B55)</f>
        <v/>
      </c>
      <c r="E55">
        <f>COUNTIF(E$8:E$19,$B55)</f>
        <v/>
      </c>
      <c r="F55">
        <f>COUNTIF(F$8:F$19,$B55)</f>
        <v/>
      </c>
      <c r="G55">
        <f>COUNTIF(G$8:G$19,$B55)</f>
        <v/>
      </c>
      <c r="H55">
        <f>COUNTIF(H$8:H$19,$B55)</f>
        <v/>
      </c>
      <c r="I55">
        <f>COUNTIF(I$8:I$19,$B55)</f>
        <v/>
      </c>
      <c r="J55">
        <f>COUNTIF(J$8:J$19,$B55)</f>
        <v/>
      </c>
      <c r="K55">
        <f>COUNTIF(K$8:K$19,$B55)</f>
        <v/>
      </c>
      <c r="L55">
        <f>COUNTIF(L$8:L$19,$B55)</f>
        <v/>
      </c>
      <c r="M55">
        <f>COUNTIF(M$8:M$19,$B55)</f>
        <v/>
      </c>
      <c r="N55">
        <f>COUNTIF(N$8:N$19,$B55)</f>
        <v/>
      </c>
    </row>
    <row r="56">
      <c r="B56" t="n">
        <v>2</v>
      </c>
      <c r="C56">
        <f>COUNTIF(C$8:C$19,$B56)</f>
        <v/>
      </c>
      <c r="D56">
        <f>COUNTIF(D$8:D$19,$B56)</f>
        <v/>
      </c>
      <c r="E56">
        <f>COUNTIF(E$8:E$19,$B56)</f>
        <v/>
      </c>
      <c r="F56">
        <f>COUNTIF(F$8:F$19,$B56)</f>
        <v/>
      </c>
      <c r="G56">
        <f>COUNTIF(G$8:G$19,$B56)</f>
        <v/>
      </c>
      <c r="H56">
        <f>COUNTIF(H$8:H$19,$B56)</f>
        <v/>
      </c>
      <c r="I56">
        <f>COUNTIF(I$8:I$19,$B56)</f>
        <v/>
      </c>
      <c r="J56">
        <f>COUNTIF(J$8:J$19,$B56)</f>
        <v/>
      </c>
      <c r="K56">
        <f>COUNTIF(K$8:K$19,$B56)</f>
        <v/>
      </c>
      <c r="L56">
        <f>COUNTIF(L$8:L$19,$B56)</f>
        <v/>
      </c>
      <c r="M56">
        <f>COUNTIF(M$8:M$19,$B56)</f>
        <v/>
      </c>
      <c r="N56">
        <f>COUNTIF(N$8:N$19,$B56)</f>
        <v/>
      </c>
    </row>
    <row r="57">
      <c r="B57" t="n">
        <v>3</v>
      </c>
      <c r="C57">
        <f>COUNTIF(C$8:C$19,$B57)</f>
        <v/>
      </c>
      <c r="D57">
        <f>COUNTIF(D$8:D$19,$B57)</f>
        <v/>
      </c>
      <c r="E57">
        <f>COUNTIF(E$8:E$19,$B57)</f>
        <v/>
      </c>
      <c r="F57">
        <f>COUNTIF(F$8:F$19,$B57)</f>
        <v/>
      </c>
      <c r="G57">
        <f>COUNTIF(G$8:G$19,$B57)</f>
        <v/>
      </c>
      <c r="H57">
        <f>COUNTIF(H$8:H$19,$B57)</f>
        <v/>
      </c>
      <c r="I57">
        <f>COUNTIF(I$8:I$19,$B57)</f>
        <v/>
      </c>
      <c r="J57">
        <f>COUNTIF(J$8:J$19,$B57)</f>
        <v/>
      </c>
      <c r="K57">
        <f>COUNTIF(K$8:K$19,$B57)</f>
        <v/>
      </c>
      <c r="L57">
        <f>COUNTIF(L$8:L$19,$B57)</f>
        <v/>
      </c>
      <c r="M57">
        <f>COUNTIF(M$8:M$19,$B57)</f>
        <v/>
      </c>
      <c r="N57">
        <f>COUNTIF(N$8:N$19,$B57)</f>
        <v/>
      </c>
    </row>
    <row r="58">
      <c r="B58" t="n">
        <v>4</v>
      </c>
      <c r="C58">
        <f>COUNTIF(C$8:C$19,$B58)</f>
        <v/>
      </c>
      <c r="D58">
        <f>COUNTIF(D$8:D$19,$B58)</f>
        <v/>
      </c>
      <c r="E58">
        <f>COUNTIF(E$8:E$19,$B58)</f>
        <v/>
      </c>
      <c r="F58">
        <f>COUNTIF(F$8:F$19,$B58)</f>
        <v/>
      </c>
      <c r="G58">
        <f>COUNTIF(G$8:G$19,$B58)</f>
        <v/>
      </c>
      <c r="H58">
        <f>COUNTIF(H$8:H$19,$B58)</f>
        <v/>
      </c>
      <c r="I58">
        <f>COUNTIF(I$8:I$19,$B58)</f>
        <v/>
      </c>
      <c r="J58">
        <f>COUNTIF(J$8:J$19,$B58)</f>
        <v/>
      </c>
      <c r="K58">
        <f>COUNTIF(K$8:K$19,$B58)</f>
        <v/>
      </c>
      <c r="L58">
        <f>COUNTIF(L$8:L$19,$B58)</f>
        <v/>
      </c>
      <c r="M58">
        <f>COUNTIF(M$8:M$19,$B58)</f>
        <v/>
      </c>
      <c r="N58">
        <f>COUNTIF(N$8:N$19,$B58)</f>
        <v/>
      </c>
    </row>
    <row r="59">
      <c r="B59" t="n">
        <v>5</v>
      </c>
      <c r="C59">
        <f>COUNTIF(C$8:C$19,$B59)</f>
        <v/>
      </c>
      <c r="D59">
        <f>COUNTIF(D$8:D$19,$B59)</f>
        <v/>
      </c>
      <c r="E59">
        <f>COUNTIF(E$8:E$19,$B59)</f>
        <v/>
      </c>
      <c r="F59">
        <f>COUNTIF(F$8:F$19,$B59)</f>
        <v/>
      </c>
      <c r="G59">
        <f>COUNTIF(G$8:G$19,$B59)</f>
        <v/>
      </c>
      <c r="H59">
        <f>COUNTIF(H$8:H$19,$B59)</f>
        <v/>
      </c>
      <c r="I59">
        <f>COUNTIF(I$8:I$19,$B59)</f>
        <v/>
      </c>
      <c r="J59">
        <f>COUNTIF(J$8:J$19,$B59)</f>
        <v/>
      </c>
      <c r="K59">
        <f>COUNTIF(K$8:K$19,$B59)</f>
        <v/>
      </c>
      <c r="L59">
        <f>COUNTIF(L$8:L$19,$B59)</f>
        <v/>
      </c>
      <c r="M59">
        <f>COUNTIF(M$8:M$19,$B59)</f>
        <v/>
      </c>
      <c r="N59">
        <f>COUNTIF(N$8:N$19,$B59)</f>
        <v/>
      </c>
    </row>
    <row r="60">
      <c r="B60" t="n">
        <v>6</v>
      </c>
      <c r="C60">
        <f>COUNTIF(C$8:C$19,$B60)</f>
        <v/>
      </c>
      <c r="D60">
        <f>COUNTIF(D$8:D$19,$B60)</f>
        <v/>
      </c>
      <c r="E60">
        <f>COUNTIF(E$8:E$19,$B60)</f>
        <v/>
      </c>
      <c r="F60">
        <f>COUNTIF(F$8:F$19,$B60)</f>
        <v/>
      </c>
      <c r="G60">
        <f>COUNTIF(G$8:G$19,$B60)</f>
        <v/>
      </c>
      <c r="H60">
        <f>COUNTIF(H$8:H$19,$B60)</f>
        <v/>
      </c>
      <c r="I60">
        <f>COUNTIF(I$8:I$19,$B60)</f>
        <v/>
      </c>
      <c r="J60">
        <f>COUNTIF(J$8:J$19,$B60)</f>
        <v/>
      </c>
      <c r="K60">
        <f>COUNTIF(K$8:K$19,$B60)</f>
        <v/>
      </c>
      <c r="L60">
        <f>COUNTIF(L$8:L$19,$B60)</f>
        <v/>
      </c>
      <c r="M60">
        <f>COUNTIF(M$8:M$19,$B60)</f>
        <v/>
      </c>
      <c r="N60">
        <f>COUNTIF(N$8:N$19,$B60)</f>
        <v/>
      </c>
    </row>
    <row r="61">
      <c r="B61" t="n">
        <v>7</v>
      </c>
      <c r="C61">
        <f>COUNTIF(C$8:C$19,$B61)</f>
        <v/>
      </c>
      <c r="D61">
        <f>COUNTIF(D$8:D$19,$B61)</f>
        <v/>
      </c>
      <c r="E61">
        <f>COUNTIF(E$8:E$19,$B61)</f>
        <v/>
      </c>
      <c r="F61">
        <f>COUNTIF(F$8:F$19,$B61)</f>
        <v/>
      </c>
      <c r="G61">
        <f>COUNTIF(G$8:G$19,$B61)</f>
        <v/>
      </c>
      <c r="H61">
        <f>COUNTIF(H$8:H$19,$B61)</f>
        <v/>
      </c>
      <c r="I61">
        <f>COUNTIF(I$8:I$19,$B61)</f>
        <v/>
      </c>
      <c r="J61">
        <f>COUNTIF(J$8:J$19,$B61)</f>
        <v/>
      </c>
      <c r="K61">
        <f>COUNTIF(K$8:K$19,$B61)</f>
        <v/>
      </c>
      <c r="L61">
        <f>COUNTIF(L$8:L$19,$B61)</f>
        <v/>
      </c>
      <c r="M61">
        <f>COUNTIF(M$8:M$19,$B61)</f>
        <v/>
      </c>
      <c r="N61">
        <f>COUNTIF(N$8:N$19,$B61)</f>
        <v/>
      </c>
    </row>
    <row r="62">
      <c r="B62" t="n">
        <v>8</v>
      </c>
      <c r="C62">
        <f>COUNTIF(C$8:C$19,$B62)</f>
        <v/>
      </c>
      <c r="D62">
        <f>COUNTIF(D$8:D$19,$B62)</f>
        <v/>
      </c>
      <c r="E62">
        <f>COUNTIF(E$8:E$19,$B62)</f>
        <v/>
      </c>
      <c r="F62">
        <f>COUNTIF(F$8:F$19,$B62)</f>
        <v/>
      </c>
      <c r="G62">
        <f>COUNTIF(G$8:G$19,$B62)</f>
        <v/>
      </c>
      <c r="H62">
        <f>COUNTIF(H$8:H$19,$B62)</f>
        <v/>
      </c>
      <c r="I62">
        <f>COUNTIF(I$8:I$19,$B62)</f>
        <v/>
      </c>
      <c r="J62">
        <f>COUNTIF(J$8:J$19,$B62)</f>
        <v/>
      </c>
      <c r="K62">
        <f>COUNTIF(K$8:K$19,$B62)</f>
        <v/>
      </c>
      <c r="L62">
        <f>COUNTIF(L$8:L$19,$B62)</f>
        <v/>
      </c>
      <c r="M62">
        <f>COUNTIF(M$8:M$19,$B62)</f>
        <v/>
      </c>
      <c r="N62">
        <f>COUNTIF(N$8:N$19,$B62)</f>
        <v/>
      </c>
    </row>
    <row r="63">
      <c r="B63" t="n">
        <v>9</v>
      </c>
      <c r="C63">
        <f>COUNTIF(C$8:C$19,$B63)</f>
        <v/>
      </c>
      <c r="D63">
        <f>COUNTIF(D$8:D$19,$B63)</f>
        <v/>
      </c>
      <c r="E63">
        <f>COUNTIF(E$8:E$19,$B63)</f>
        <v/>
      </c>
      <c r="F63">
        <f>COUNTIF(F$8:F$19,$B63)</f>
        <v/>
      </c>
      <c r="G63">
        <f>COUNTIF(G$8:G$19,$B63)</f>
        <v/>
      </c>
      <c r="H63">
        <f>COUNTIF(H$8:H$19,$B63)</f>
        <v/>
      </c>
      <c r="I63">
        <f>COUNTIF(I$8:I$19,$B63)</f>
        <v/>
      </c>
      <c r="J63">
        <f>COUNTIF(J$8:J$19,$B63)</f>
        <v/>
      </c>
      <c r="K63">
        <f>COUNTIF(K$8:K$19,$B63)</f>
        <v/>
      </c>
      <c r="L63">
        <f>COUNTIF(L$8:L$19,$B63)</f>
        <v/>
      </c>
      <c r="M63">
        <f>COUNTIF(M$8:M$19,$B63)</f>
        <v/>
      </c>
      <c r="N63">
        <f>COUNTIF(N$8:N$19,$B63)</f>
        <v/>
      </c>
    </row>
    <row r="64">
      <c r="B64" t="n">
        <v>10</v>
      </c>
      <c r="C64">
        <f>COUNTIF(C$8:C$19,$B64)</f>
        <v/>
      </c>
      <c r="D64">
        <f>COUNTIF(D$8:D$19,$B64)</f>
        <v/>
      </c>
      <c r="E64">
        <f>COUNTIF(E$8:E$19,$B64)</f>
        <v/>
      </c>
      <c r="F64">
        <f>COUNTIF(F$8:F$19,$B64)</f>
        <v/>
      </c>
      <c r="G64">
        <f>COUNTIF(G$8:G$19,$B64)</f>
        <v/>
      </c>
      <c r="H64">
        <f>COUNTIF(H$8:H$19,$B64)</f>
        <v/>
      </c>
      <c r="I64">
        <f>COUNTIF(I$8:I$19,$B64)</f>
        <v/>
      </c>
      <c r="J64">
        <f>COUNTIF(J$8:J$19,$B64)</f>
        <v/>
      </c>
      <c r="K64">
        <f>COUNTIF(K$8:K$19,$B64)</f>
        <v/>
      </c>
      <c r="L64">
        <f>COUNTIF(L$8:L$19,$B64)</f>
        <v/>
      </c>
      <c r="M64">
        <f>COUNTIF(M$8:M$19,$B64)</f>
        <v/>
      </c>
      <c r="N64">
        <f>COUNTIF(N$8:N$19,$B64)</f>
        <v/>
      </c>
    </row>
    <row r="65">
      <c r="B65" t="n">
        <v>11</v>
      </c>
      <c r="C65">
        <f>COUNTIF(C$8:C$19,$B65)</f>
        <v/>
      </c>
      <c r="D65">
        <f>COUNTIF(D$8:D$19,$B65)</f>
        <v/>
      </c>
      <c r="E65">
        <f>COUNTIF(E$8:E$19,$B65)</f>
        <v/>
      </c>
      <c r="F65">
        <f>COUNTIF(F$8:F$19,$B65)</f>
        <v/>
      </c>
      <c r="G65">
        <f>COUNTIF(G$8:G$19,$B65)</f>
        <v/>
      </c>
      <c r="H65">
        <f>COUNTIF(H$8:H$19,$B65)</f>
        <v/>
      </c>
      <c r="I65">
        <f>COUNTIF(I$8:I$19,$B65)</f>
        <v/>
      </c>
      <c r="J65">
        <f>COUNTIF(J$8:J$19,$B65)</f>
        <v/>
      </c>
      <c r="K65">
        <f>COUNTIF(K$8:K$19,$B65)</f>
        <v/>
      </c>
      <c r="L65">
        <f>COUNTIF(L$8:L$19,$B65)</f>
        <v/>
      </c>
      <c r="M65">
        <f>COUNTIF(M$8:M$19,$B65)</f>
        <v/>
      </c>
      <c r="N65">
        <f>COUNTIF(N$8:N$19,$B65)</f>
        <v/>
      </c>
    </row>
    <row r="67">
      <c r="B67" t="inlineStr">
        <is>
          <t>smallest count</t>
        </is>
      </c>
      <c r="C67" s="9">
        <f>MIN(C54:N65)</f>
        <v/>
      </c>
    </row>
    <row r="68">
      <c r="B68" t="inlineStr">
        <is>
          <t>largest count</t>
        </is>
      </c>
      <c r="C68" s="9">
        <f>MAX(C54:N65)</f>
        <v/>
      </c>
    </row>
    <row r="70">
      <c r="B70" t="inlineStr">
        <is>
          <t>Pairs: ad i (rows) immediately followed by ad j (columns)</t>
        </is>
      </c>
    </row>
    <row r="71">
      <c r="C71" t="n">
        <v>0</v>
      </c>
      <c r="D71" t="n">
        <v>1</v>
      </c>
      <c r="E71" t="n">
        <v>2</v>
      </c>
      <c r="F71" t="n">
        <v>3</v>
      </c>
      <c r="G71" t="n">
        <v>4</v>
      </c>
      <c r="H71" t="n">
        <v>5</v>
      </c>
      <c r="I71" t="n">
        <v>6</v>
      </c>
      <c r="J71" t="n">
        <v>7</v>
      </c>
      <c r="K71" t="n">
        <v>8</v>
      </c>
      <c r="L71" t="n">
        <v>9</v>
      </c>
      <c r="M71" t="n">
        <v>10</v>
      </c>
      <c r="N71" t="n">
        <v>11</v>
      </c>
    </row>
    <row r="72">
      <c r="B72" t="n">
        <v>0</v>
      </c>
      <c r="C72">
        <f>SUMPRODUCT(($C$8:$M$19=$B72)*($D$8:$N$19=C$71))</f>
        <v/>
      </c>
      <c r="D72">
        <f>SUMPRODUCT(($C$8:$M$19=$B72)*($D$8:$N$19=D$71))</f>
        <v/>
      </c>
      <c r="E72">
        <f>SUMPRODUCT(($C$8:$M$19=$B72)*($D$8:$N$19=E$71))</f>
        <v/>
      </c>
      <c r="F72">
        <f>SUMPRODUCT(($C$8:$M$19=$B72)*($D$8:$N$19=F$71))</f>
        <v/>
      </c>
      <c r="G72">
        <f>SUMPRODUCT(($C$8:$M$19=$B72)*($D$8:$N$19=G$71))</f>
        <v/>
      </c>
      <c r="H72">
        <f>SUMPRODUCT(($C$8:$M$19=$B72)*($D$8:$N$19=H$71))</f>
        <v/>
      </c>
      <c r="I72">
        <f>SUMPRODUCT(($C$8:$M$19=$B72)*($D$8:$N$19=I$71))</f>
        <v/>
      </c>
      <c r="J72">
        <f>SUMPRODUCT(($C$8:$M$19=$B72)*($D$8:$N$19=J$71))</f>
        <v/>
      </c>
      <c r="K72">
        <f>SUMPRODUCT(($C$8:$M$19=$B72)*($D$8:$N$19=K$71))</f>
        <v/>
      </c>
      <c r="L72">
        <f>SUMPRODUCT(($C$8:$M$19=$B72)*($D$8:$N$19=L$71))</f>
        <v/>
      </c>
      <c r="M72">
        <f>SUMPRODUCT(($C$8:$M$19=$B72)*($D$8:$N$19=M$71))</f>
        <v/>
      </c>
      <c r="N72">
        <f>SUMPRODUCT(($C$8:$M$19=$B72)*($D$8:$N$19=N$71))</f>
        <v/>
      </c>
    </row>
    <row r="73">
      <c r="B73" t="n">
        <v>1</v>
      </c>
      <c r="C73">
        <f>SUMPRODUCT(($C$8:$M$19=$B73)*($D$8:$N$19=C$71))</f>
        <v/>
      </c>
      <c r="D73">
        <f>SUMPRODUCT(($C$8:$M$19=$B73)*($D$8:$N$19=D$71))</f>
        <v/>
      </c>
      <c r="E73">
        <f>SUMPRODUCT(($C$8:$M$19=$B73)*($D$8:$N$19=E$71))</f>
        <v/>
      </c>
      <c r="F73">
        <f>SUMPRODUCT(($C$8:$M$19=$B73)*($D$8:$N$19=F$71))</f>
        <v/>
      </c>
      <c r="G73">
        <f>SUMPRODUCT(($C$8:$M$19=$B73)*($D$8:$N$19=G$71))</f>
        <v/>
      </c>
      <c r="H73">
        <f>SUMPRODUCT(($C$8:$M$19=$B73)*($D$8:$N$19=H$71))</f>
        <v/>
      </c>
      <c r="I73">
        <f>SUMPRODUCT(($C$8:$M$19=$B73)*($D$8:$N$19=I$71))</f>
        <v/>
      </c>
      <c r="J73">
        <f>SUMPRODUCT(($C$8:$M$19=$B73)*($D$8:$N$19=J$71))</f>
        <v/>
      </c>
      <c r="K73">
        <f>SUMPRODUCT(($C$8:$M$19=$B73)*($D$8:$N$19=K$71))</f>
        <v/>
      </c>
      <c r="L73">
        <f>SUMPRODUCT(($C$8:$M$19=$B73)*($D$8:$N$19=L$71))</f>
        <v/>
      </c>
      <c r="M73">
        <f>SUMPRODUCT(($C$8:$M$19=$B73)*($D$8:$N$19=M$71))</f>
        <v/>
      </c>
      <c r="N73">
        <f>SUMPRODUCT(($C$8:$M$19=$B73)*($D$8:$N$19=N$71))</f>
        <v/>
      </c>
    </row>
    <row r="74">
      <c r="B74" t="n">
        <v>2</v>
      </c>
      <c r="C74">
        <f>SUMPRODUCT(($C$8:$M$19=$B74)*($D$8:$N$19=C$71))</f>
        <v/>
      </c>
      <c r="D74">
        <f>SUMPRODUCT(($C$8:$M$19=$B74)*($D$8:$N$19=D$71))</f>
        <v/>
      </c>
      <c r="E74">
        <f>SUMPRODUCT(($C$8:$M$19=$B74)*($D$8:$N$19=E$71))</f>
        <v/>
      </c>
      <c r="F74">
        <f>SUMPRODUCT(($C$8:$M$19=$B74)*($D$8:$N$19=F$71))</f>
        <v/>
      </c>
      <c r="G74">
        <f>SUMPRODUCT(($C$8:$M$19=$B74)*($D$8:$N$19=G$71))</f>
        <v/>
      </c>
      <c r="H74">
        <f>SUMPRODUCT(($C$8:$M$19=$B74)*($D$8:$N$19=H$71))</f>
        <v/>
      </c>
      <c r="I74">
        <f>SUMPRODUCT(($C$8:$M$19=$B74)*($D$8:$N$19=I$71))</f>
        <v/>
      </c>
      <c r="J74">
        <f>SUMPRODUCT(($C$8:$M$19=$B74)*($D$8:$N$19=J$71))</f>
        <v/>
      </c>
      <c r="K74">
        <f>SUMPRODUCT(($C$8:$M$19=$B74)*($D$8:$N$19=K$71))</f>
        <v/>
      </c>
      <c r="L74">
        <f>SUMPRODUCT(($C$8:$M$19=$B74)*($D$8:$N$19=L$71))</f>
        <v/>
      </c>
      <c r="M74">
        <f>SUMPRODUCT(($C$8:$M$19=$B74)*($D$8:$N$19=M$71))</f>
        <v/>
      </c>
      <c r="N74">
        <f>SUMPRODUCT(($C$8:$M$19=$B74)*($D$8:$N$19=N$71))</f>
        <v/>
      </c>
    </row>
    <row r="75">
      <c r="B75" t="n">
        <v>3</v>
      </c>
      <c r="C75">
        <f>SUMPRODUCT(($C$8:$M$19=$B75)*($D$8:$N$19=C$71))</f>
        <v/>
      </c>
      <c r="D75">
        <f>SUMPRODUCT(($C$8:$M$19=$B75)*($D$8:$N$19=D$71))</f>
        <v/>
      </c>
      <c r="E75">
        <f>SUMPRODUCT(($C$8:$M$19=$B75)*($D$8:$N$19=E$71))</f>
        <v/>
      </c>
      <c r="F75">
        <f>SUMPRODUCT(($C$8:$M$19=$B75)*($D$8:$N$19=F$71))</f>
        <v/>
      </c>
      <c r="G75">
        <f>SUMPRODUCT(($C$8:$M$19=$B75)*($D$8:$N$19=G$71))</f>
        <v/>
      </c>
      <c r="H75">
        <f>SUMPRODUCT(($C$8:$M$19=$B75)*($D$8:$N$19=H$71))</f>
        <v/>
      </c>
      <c r="I75">
        <f>SUMPRODUCT(($C$8:$M$19=$B75)*($D$8:$N$19=I$71))</f>
        <v/>
      </c>
      <c r="J75">
        <f>SUMPRODUCT(($C$8:$M$19=$B75)*($D$8:$N$19=J$71))</f>
        <v/>
      </c>
      <c r="K75">
        <f>SUMPRODUCT(($C$8:$M$19=$B75)*($D$8:$N$19=K$71))</f>
        <v/>
      </c>
      <c r="L75">
        <f>SUMPRODUCT(($C$8:$M$19=$B75)*($D$8:$N$19=L$71))</f>
        <v/>
      </c>
      <c r="M75">
        <f>SUMPRODUCT(($C$8:$M$19=$B75)*($D$8:$N$19=M$71))</f>
        <v/>
      </c>
      <c r="N75">
        <f>SUMPRODUCT(($C$8:$M$19=$B75)*($D$8:$N$19=N$71))</f>
        <v/>
      </c>
    </row>
    <row r="76">
      <c r="B76" t="n">
        <v>4</v>
      </c>
      <c r="C76">
        <f>SUMPRODUCT(($C$8:$M$19=$B76)*($D$8:$N$19=C$71))</f>
        <v/>
      </c>
      <c r="D76">
        <f>SUMPRODUCT(($C$8:$M$19=$B76)*($D$8:$N$19=D$71))</f>
        <v/>
      </c>
      <c r="E76">
        <f>SUMPRODUCT(($C$8:$M$19=$B76)*($D$8:$N$19=E$71))</f>
        <v/>
      </c>
      <c r="F76">
        <f>SUMPRODUCT(($C$8:$M$19=$B76)*($D$8:$N$19=F$71))</f>
        <v/>
      </c>
      <c r="G76">
        <f>SUMPRODUCT(($C$8:$M$19=$B76)*($D$8:$N$19=G$71))</f>
        <v/>
      </c>
      <c r="H76">
        <f>SUMPRODUCT(($C$8:$M$19=$B76)*($D$8:$N$19=H$71))</f>
        <v/>
      </c>
      <c r="I76">
        <f>SUMPRODUCT(($C$8:$M$19=$B76)*($D$8:$N$19=I$71))</f>
        <v/>
      </c>
      <c r="J76">
        <f>SUMPRODUCT(($C$8:$M$19=$B76)*($D$8:$N$19=J$71))</f>
        <v/>
      </c>
      <c r="K76">
        <f>SUMPRODUCT(($C$8:$M$19=$B76)*($D$8:$N$19=K$71))</f>
        <v/>
      </c>
      <c r="L76">
        <f>SUMPRODUCT(($C$8:$M$19=$B76)*($D$8:$N$19=L$71))</f>
        <v/>
      </c>
      <c r="M76">
        <f>SUMPRODUCT(($C$8:$M$19=$B76)*($D$8:$N$19=M$71))</f>
        <v/>
      </c>
      <c r="N76">
        <f>SUMPRODUCT(($C$8:$M$19=$B76)*($D$8:$N$19=N$71))</f>
        <v/>
      </c>
    </row>
    <row r="77">
      <c r="B77" t="n">
        <v>5</v>
      </c>
      <c r="C77">
        <f>SUMPRODUCT(($C$8:$M$19=$B77)*($D$8:$N$19=C$71))</f>
        <v/>
      </c>
      <c r="D77">
        <f>SUMPRODUCT(($C$8:$M$19=$B77)*($D$8:$N$19=D$71))</f>
        <v/>
      </c>
      <c r="E77">
        <f>SUMPRODUCT(($C$8:$M$19=$B77)*($D$8:$N$19=E$71))</f>
        <v/>
      </c>
      <c r="F77">
        <f>SUMPRODUCT(($C$8:$M$19=$B77)*($D$8:$N$19=F$71))</f>
        <v/>
      </c>
      <c r="G77">
        <f>SUMPRODUCT(($C$8:$M$19=$B77)*($D$8:$N$19=G$71))</f>
        <v/>
      </c>
      <c r="H77">
        <f>SUMPRODUCT(($C$8:$M$19=$B77)*($D$8:$N$19=H$71))</f>
        <v/>
      </c>
      <c r="I77">
        <f>SUMPRODUCT(($C$8:$M$19=$B77)*($D$8:$N$19=I$71))</f>
        <v/>
      </c>
      <c r="J77">
        <f>SUMPRODUCT(($C$8:$M$19=$B77)*($D$8:$N$19=J$71))</f>
        <v/>
      </c>
      <c r="K77">
        <f>SUMPRODUCT(($C$8:$M$19=$B77)*($D$8:$N$19=K$71))</f>
        <v/>
      </c>
      <c r="L77">
        <f>SUMPRODUCT(($C$8:$M$19=$B77)*($D$8:$N$19=L$71))</f>
        <v/>
      </c>
      <c r="M77">
        <f>SUMPRODUCT(($C$8:$M$19=$B77)*($D$8:$N$19=M$71))</f>
        <v/>
      </c>
      <c r="N77">
        <f>SUMPRODUCT(($C$8:$M$19=$B77)*($D$8:$N$19=N$71))</f>
        <v/>
      </c>
    </row>
    <row r="78">
      <c r="B78" t="n">
        <v>6</v>
      </c>
      <c r="C78">
        <f>SUMPRODUCT(($C$8:$M$19=$B78)*($D$8:$N$19=C$71))</f>
        <v/>
      </c>
      <c r="D78">
        <f>SUMPRODUCT(($C$8:$M$19=$B78)*($D$8:$N$19=D$71))</f>
        <v/>
      </c>
      <c r="E78">
        <f>SUMPRODUCT(($C$8:$M$19=$B78)*($D$8:$N$19=E$71))</f>
        <v/>
      </c>
      <c r="F78">
        <f>SUMPRODUCT(($C$8:$M$19=$B78)*($D$8:$N$19=F$71))</f>
        <v/>
      </c>
      <c r="G78">
        <f>SUMPRODUCT(($C$8:$M$19=$B78)*($D$8:$N$19=G$71))</f>
        <v/>
      </c>
      <c r="H78">
        <f>SUMPRODUCT(($C$8:$M$19=$B78)*($D$8:$N$19=H$71))</f>
        <v/>
      </c>
      <c r="I78">
        <f>SUMPRODUCT(($C$8:$M$19=$B78)*($D$8:$N$19=I$71))</f>
        <v/>
      </c>
      <c r="J78">
        <f>SUMPRODUCT(($C$8:$M$19=$B78)*($D$8:$N$19=J$71))</f>
        <v/>
      </c>
      <c r="K78">
        <f>SUMPRODUCT(($C$8:$M$19=$B78)*($D$8:$N$19=K$71))</f>
        <v/>
      </c>
      <c r="L78">
        <f>SUMPRODUCT(($C$8:$M$19=$B78)*($D$8:$N$19=L$71))</f>
        <v/>
      </c>
      <c r="M78">
        <f>SUMPRODUCT(($C$8:$M$19=$B78)*($D$8:$N$19=M$71))</f>
        <v/>
      </c>
      <c r="N78">
        <f>SUMPRODUCT(($C$8:$M$19=$B78)*($D$8:$N$19=N$71))</f>
        <v/>
      </c>
    </row>
    <row r="79">
      <c r="B79" t="n">
        <v>7</v>
      </c>
      <c r="C79">
        <f>SUMPRODUCT(($C$8:$M$19=$B79)*($D$8:$N$19=C$71))</f>
        <v/>
      </c>
      <c r="D79">
        <f>SUMPRODUCT(($C$8:$M$19=$B79)*($D$8:$N$19=D$71))</f>
        <v/>
      </c>
      <c r="E79">
        <f>SUMPRODUCT(($C$8:$M$19=$B79)*($D$8:$N$19=E$71))</f>
        <v/>
      </c>
      <c r="F79">
        <f>SUMPRODUCT(($C$8:$M$19=$B79)*($D$8:$N$19=F$71))</f>
        <v/>
      </c>
      <c r="G79">
        <f>SUMPRODUCT(($C$8:$M$19=$B79)*($D$8:$N$19=G$71))</f>
        <v/>
      </c>
      <c r="H79">
        <f>SUMPRODUCT(($C$8:$M$19=$B79)*($D$8:$N$19=H$71))</f>
        <v/>
      </c>
      <c r="I79">
        <f>SUMPRODUCT(($C$8:$M$19=$B79)*($D$8:$N$19=I$71))</f>
        <v/>
      </c>
      <c r="J79">
        <f>SUMPRODUCT(($C$8:$M$19=$B79)*($D$8:$N$19=J$71))</f>
        <v/>
      </c>
      <c r="K79">
        <f>SUMPRODUCT(($C$8:$M$19=$B79)*($D$8:$N$19=K$71))</f>
        <v/>
      </c>
      <c r="L79">
        <f>SUMPRODUCT(($C$8:$M$19=$B79)*($D$8:$N$19=L$71))</f>
        <v/>
      </c>
      <c r="M79">
        <f>SUMPRODUCT(($C$8:$M$19=$B79)*($D$8:$N$19=M$71))</f>
        <v/>
      </c>
      <c r="N79">
        <f>SUMPRODUCT(($C$8:$M$19=$B79)*($D$8:$N$19=N$71))</f>
        <v/>
      </c>
    </row>
    <row r="80">
      <c r="B80" t="n">
        <v>8</v>
      </c>
      <c r="C80">
        <f>SUMPRODUCT(($C$8:$M$19=$B80)*($D$8:$N$19=C$71))</f>
        <v/>
      </c>
      <c r="D80">
        <f>SUMPRODUCT(($C$8:$M$19=$B80)*($D$8:$N$19=D$71))</f>
        <v/>
      </c>
      <c r="E80">
        <f>SUMPRODUCT(($C$8:$M$19=$B80)*($D$8:$N$19=E$71))</f>
        <v/>
      </c>
      <c r="F80">
        <f>SUMPRODUCT(($C$8:$M$19=$B80)*($D$8:$N$19=F$71))</f>
        <v/>
      </c>
      <c r="G80">
        <f>SUMPRODUCT(($C$8:$M$19=$B80)*($D$8:$N$19=G$71))</f>
        <v/>
      </c>
      <c r="H80">
        <f>SUMPRODUCT(($C$8:$M$19=$B80)*($D$8:$N$19=H$71))</f>
        <v/>
      </c>
      <c r="I80">
        <f>SUMPRODUCT(($C$8:$M$19=$B80)*($D$8:$N$19=I$71))</f>
        <v/>
      </c>
      <c r="J80">
        <f>SUMPRODUCT(($C$8:$M$19=$B80)*($D$8:$N$19=J$71))</f>
        <v/>
      </c>
      <c r="K80">
        <f>SUMPRODUCT(($C$8:$M$19=$B80)*($D$8:$N$19=K$71))</f>
        <v/>
      </c>
      <c r="L80">
        <f>SUMPRODUCT(($C$8:$M$19=$B80)*($D$8:$N$19=L$71))</f>
        <v/>
      </c>
      <c r="M80">
        <f>SUMPRODUCT(($C$8:$M$19=$B80)*($D$8:$N$19=M$71))</f>
        <v/>
      </c>
      <c r="N80">
        <f>SUMPRODUCT(($C$8:$M$19=$B80)*($D$8:$N$19=N$71))</f>
        <v/>
      </c>
    </row>
    <row r="81">
      <c r="B81" t="n">
        <v>9</v>
      </c>
      <c r="C81">
        <f>SUMPRODUCT(($C$8:$M$19=$B81)*($D$8:$N$19=C$71))</f>
        <v/>
      </c>
      <c r="D81">
        <f>SUMPRODUCT(($C$8:$M$19=$B81)*($D$8:$N$19=D$71))</f>
        <v/>
      </c>
      <c r="E81">
        <f>SUMPRODUCT(($C$8:$M$19=$B81)*($D$8:$N$19=E$71))</f>
        <v/>
      </c>
      <c r="F81">
        <f>SUMPRODUCT(($C$8:$M$19=$B81)*($D$8:$N$19=F$71))</f>
        <v/>
      </c>
      <c r="G81">
        <f>SUMPRODUCT(($C$8:$M$19=$B81)*($D$8:$N$19=G$71))</f>
        <v/>
      </c>
      <c r="H81">
        <f>SUMPRODUCT(($C$8:$M$19=$B81)*($D$8:$N$19=H$71))</f>
        <v/>
      </c>
      <c r="I81">
        <f>SUMPRODUCT(($C$8:$M$19=$B81)*($D$8:$N$19=I$71))</f>
        <v/>
      </c>
      <c r="J81">
        <f>SUMPRODUCT(($C$8:$M$19=$B81)*($D$8:$N$19=J$71))</f>
        <v/>
      </c>
      <c r="K81">
        <f>SUMPRODUCT(($C$8:$M$19=$B81)*($D$8:$N$19=K$71))</f>
        <v/>
      </c>
      <c r="L81">
        <f>SUMPRODUCT(($C$8:$M$19=$B81)*($D$8:$N$19=L$71))</f>
        <v/>
      </c>
      <c r="M81">
        <f>SUMPRODUCT(($C$8:$M$19=$B81)*($D$8:$N$19=M$71))</f>
        <v/>
      </c>
      <c r="N81">
        <f>SUMPRODUCT(($C$8:$M$19=$B81)*($D$8:$N$19=N$71))</f>
        <v/>
      </c>
    </row>
    <row r="82">
      <c r="B82" t="n">
        <v>10</v>
      </c>
      <c r="C82">
        <f>SUMPRODUCT(($C$8:$M$19=$B82)*($D$8:$N$19=C$71))</f>
        <v/>
      </c>
      <c r="D82">
        <f>SUMPRODUCT(($C$8:$M$19=$B82)*($D$8:$N$19=D$71))</f>
        <v/>
      </c>
      <c r="E82">
        <f>SUMPRODUCT(($C$8:$M$19=$B82)*($D$8:$N$19=E$71))</f>
        <v/>
      </c>
      <c r="F82">
        <f>SUMPRODUCT(($C$8:$M$19=$B82)*($D$8:$N$19=F$71))</f>
        <v/>
      </c>
      <c r="G82">
        <f>SUMPRODUCT(($C$8:$M$19=$B82)*($D$8:$N$19=G$71))</f>
        <v/>
      </c>
      <c r="H82">
        <f>SUMPRODUCT(($C$8:$M$19=$B82)*($D$8:$N$19=H$71))</f>
        <v/>
      </c>
      <c r="I82">
        <f>SUMPRODUCT(($C$8:$M$19=$B82)*($D$8:$N$19=I$71))</f>
        <v/>
      </c>
      <c r="J82">
        <f>SUMPRODUCT(($C$8:$M$19=$B82)*($D$8:$N$19=J$71))</f>
        <v/>
      </c>
      <c r="K82">
        <f>SUMPRODUCT(($C$8:$M$19=$B82)*($D$8:$N$19=K$71))</f>
        <v/>
      </c>
      <c r="L82">
        <f>SUMPRODUCT(($C$8:$M$19=$B82)*($D$8:$N$19=L$71))</f>
        <v/>
      </c>
      <c r="M82">
        <f>SUMPRODUCT(($C$8:$M$19=$B82)*($D$8:$N$19=M$71))</f>
        <v/>
      </c>
      <c r="N82">
        <f>SUMPRODUCT(($C$8:$M$19=$B82)*($D$8:$N$19=N$71))</f>
        <v/>
      </c>
    </row>
    <row r="83">
      <c r="B83" t="n">
        <v>11</v>
      </c>
      <c r="C83">
        <f>SUMPRODUCT(($C$8:$M$19=$B83)*($D$8:$N$19=C$71))</f>
        <v/>
      </c>
      <c r="D83">
        <f>SUMPRODUCT(($C$8:$M$19=$B83)*($D$8:$N$19=D$71))</f>
        <v/>
      </c>
      <c r="E83">
        <f>SUMPRODUCT(($C$8:$M$19=$B83)*($D$8:$N$19=E$71))</f>
        <v/>
      </c>
      <c r="F83">
        <f>SUMPRODUCT(($C$8:$M$19=$B83)*($D$8:$N$19=F$71))</f>
        <v/>
      </c>
      <c r="G83">
        <f>SUMPRODUCT(($C$8:$M$19=$B83)*($D$8:$N$19=G$71))</f>
        <v/>
      </c>
      <c r="H83">
        <f>SUMPRODUCT(($C$8:$M$19=$B83)*($D$8:$N$19=H$71))</f>
        <v/>
      </c>
      <c r="I83">
        <f>SUMPRODUCT(($C$8:$M$19=$B83)*($D$8:$N$19=I$71))</f>
        <v/>
      </c>
      <c r="J83">
        <f>SUMPRODUCT(($C$8:$M$19=$B83)*($D$8:$N$19=J$71))</f>
        <v/>
      </c>
      <c r="K83">
        <f>SUMPRODUCT(($C$8:$M$19=$B83)*($D$8:$N$19=K$71))</f>
        <v/>
      </c>
      <c r="L83">
        <f>SUMPRODUCT(($C$8:$M$19=$B83)*($D$8:$N$19=L$71))</f>
        <v/>
      </c>
      <c r="M83">
        <f>SUMPRODUCT(($C$8:$M$19=$B83)*($D$8:$N$19=M$71))</f>
        <v/>
      </c>
      <c r="N83">
        <f>SUMPRODUCT(($C$8:$M$19=$B83)*($D$8:$N$19=N$71))</f>
        <v/>
      </c>
    </row>
    <row r="85">
      <c r="B85" t="inlineStr">
        <is>
          <t>sum of all pair counts</t>
        </is>
      </c>
      <c r="C85" s="9">
        <f>SUM(C72:N83)</f>
        <v/>
      </c>
    </row>
    <row r="86">
      <c r="B86" t="inlineStr">
        <is>
          <t>diagonal (an ad after itself)</t>
        </is>
      </c>
      <c r="C86" s="9">
        <f>C72+D73+E74+F75+G76+H77+I78+J79+K80+L81+M82+N83</f>
        <v/>
      </c>
    </row>
    <row r="87">
      <c r="B87" t="inlineStr">
        <is>
          <t>largest pair count</t>
        </is>
      </c>
      <c r="C87" s="9">
        <f>MAX(C72:N83)</f>
        <v/>
      </c>
    </row>
    <row r="89">
      <c r="B89" t="inlineStr">
        <is>
          <t>ALTAVO ads per position</t>
        </is>
      </c>
      <c r="C89" s="9">
        <f>SUMPRODUCT(--(MOD(C8:C19,2)=0))</f>
        <v/>
      </c>
      <c r="D89" s="9">
        <f>SUMPRODUCT(--(MOD(D8:D19,2)=0))</f>
        <v/>
      </c>
      <c r="E89" s="9">
        <f>SUMPRODUCT(--(MOD(E8:E19,2)=0))</f>
        <v/>
      </c>
      <c r="F89" s="9">
        <f>SUMPRODUCT(--(MOD(F8:F19,2)=0))</f>
        <v/>
      </c>
      <c r="G89" s="9">
        <f>SUMPRODUCT(--(MOD(G8:G19,2)=0))</f>
        <v/>
      </c>
      <c r="H89" s="9">
        <f>SUMPRODUCT(--(MOD(H8:H19,2)=0))</f>
        <v/>
      </c>
      <c r="I89" s="9">
        <f>SUMPRODUCT(--(MOD(I8:I19,2)=0))</f>
        <v/>
      </c>
      <c r="J89" s="9">
        <f>SUMPRODUCT(--(MOD(J8:J19,2)=0))</f>
        <v/>
      </c>
      <c r="K89" s="9">
        <f>SUMPRODUCT(--(MOD(K8:K19,2)=0))</f>
        <v/>
      </c>
      <c r="L89" s="9">
        <f>SUMPRODUCT(--(MOD(L8:L19,2)=0))</f>
        <v/>
      </c>
      <c r="M89" s="9">
        <f>SUMPRODUCT(--(MOD(M8:M19,2)=0))</f>
        <v/>
      </c>
      <c r="N89" s="9">
        <f>SUMPRODUCT(--(MOD(N8:N19,2)=0))</f>
        <v/>
      </c>
    </row>
    <row r="90">
      <c r="B90" t="inlineStr">
        <is>
          <t>smallest</t>
        </is>
      </c>
      <c r="C90" s="9">
        <f>MIN(C89:N89)</f>
        <v/>
      </c>
    </row>
    <row r="91">
      <c r="B91" t="inlineStr">
        <is>
          <t>largest</t>
        </is>
      </c>
      <c r="C91" s="9">
        <f>MAX(C89:N89)</f>
        <v/>
      </c>
    </row>
    <row r="93">
      <c r="B93" t="inlineStr">
        <is>
          <t>The square from R (SIMULATED_latin_square.csv), for comparison</t>
        </is>
      </c>
    </row>
    <row r="94">
      <c r="B94" t="n">
        <v>1</v>
      </c>
      <c r="C94" s="12" t="inlineStr">
        <is>
          <t>ALTAVO_1</t>
        </is>
      </c>
      <c r="D94" s="12" t="inlineStr">
        <is>
          <t>BRENLOW_1</t>
        </is>
      </c>
      <c r="E94" s="12" t="inlineStr">
        <is>
          <t>BRENLOW_6</t>
        </is>
      </c>
      <c r="F94" s="12" t="inlineStr">
        <is>
          <t>ALTAVO_2</t>
        </is>
      </c>
      <c r="G94" s="12" t="inlineStr">
        <is>
          <t>ALTAVO_6</t>
        </is>
      </c>
      <c r="H94" s="12" t="inlineStr">
        <is>
          <t>BRENLOW_2</t>
        </is>
      </c>
      <c r="I94" s="12" t="inlineStr">
        <is>
          <t>BRENLOW_5</t>
        </is>
      </c>
      <c r="J94" s="12" t="inlineStr">
        <is>
          <t>ALTAVO_3</t>
        </is>
      </c>
      <c r="K94" s="12" t="inlineStr">
        <is>
          <t>ALTAVO_5</t>
        </is>
      </c>
      <c r="L94" s="12" t="inlineStr">
        <is>
          <t>BRENLOW_3</t>
        </is>
      </c>
      <c r="M94" s="12" t="inlineStr">
        <is>
          <t>BRENLOW_4</t>
        </is>
      </c>
      <c r="N94" s="12" t="inlineStr">
        <is>
          <t>ALTAVO_4</t>
        </is>
      </c>
    </row>
    <row r="95">
      <c r="B95" t="n">
        <v>2</v>
      </c>
      <c r="C95" s="12" t="inlineStr">
        <is>
          <t>BRENLOW_1</t>
        </is>
      </c>
      <c r="D95" s="12" t="inlineStr">
        <is>
          <t>ALTAVO_2</t>
        </is>
      </c>
      <c r="E95" s="12" t="inlineStr">
        <is>
          <t>ALTAVO_1</t>
        </is>
      </c>
      <c r="F95" s="12" t="inlineStr">
        <is>
          <t>BRENLOW_2</t>
        </is>
      </c>
      <c r="G95" s="12" t="inlineStr">
        <is>
          <t>BRENLOW_6</t>
        </is>
      </c>
      <c r="H95" s="12" t="inlineStr">
        <is>
          <t>ALTAVO_3</t>
        </is>
      </c>
      <c r="I95" s="12" t="inlineStr">
        <is>
          <t>ALTAVO_6</t>
        </is>
      </c>
      <c r="J95" s="12" t="inlineStr">
        <is>
          <t>BRENLOW_3</t>
        </is>
      </c>
      <c r="K95" s="12" t="inlineStr">
        <is>
          <t>BRENLOW_5</t>
        </is>
      </c>
      <c r="L95" s="12" t="inlineStr">
        <is>
          <t>ALTAVO_4</t>
        </is>
      </c>
      <c r="M95" s="12" t="inlineStr">
        <is>
          <t>ALTAVO_5</t>
        </is>
      </c>
      <c r="N95" s="12" t="inlineStr">
        <is>
          <t>BRENLOW_4</t>
        </is>
      </c>
    </row>
    <row r="96">
      <c r="B96" t="n">
        <v>3</v>
      </c>
      <c r="C96" s="12" t="inlineStr">
        <is>
          <t>ALTAVO_2</t>
        </is>
      </c>
      <c r="D96" s="12" t="inlineStr">
        <is>
          <t>BRENLOW_2</t>
        </is>
      </c>
      <c r="E96" s="12" t="inlineStr">
        <is>
          <t>BRENLOW_1</t>
        </is>
      </c>
      <c r="F96" s="12" t="inlineStr">
        <is>
          <t>ALTAVO_3</t>
        </is>
      </c>
      <c r="G96" s="12" t="inlineStr">
        <is>
          <t>ALTAVO_1</t>
        </is>
      </c>
      <c r="H96" s="12" t="inlineStr">
        <is>
          <t>BRENLOW_3</t>
        </is>
      </c>
      <c r="I96" s="12" t="inlineStr">
        <is>
          <t>BRENLOW_6</t>
        </is>
      </c>
      <c r="J96" s="12" t="inlineStr">
        <is>
          <t>ALTAVO_4</t>
        </is>
      </c>
      <c r="K96" s="12" t="inlineStr">
        <is>
          <t>ALTAVO_6</t>
        </is>
      </c>
      <c r="L96" s="12" t="inlineStr">
        <is>
          <t>BRENLOW_4</t>
        </is>
      </c>
      <c r="M96" s="12" t="inlineStr">
        <is>
          <t>BRENLOW_5</t>
        </is>
      </c>
      <c r="N96" s="12" t="inlineStr">
        <is>
          <t>ALTAVO_5</t>
        </is>
      </c>
    </row>
    <row r="97">
      <c r="B97" t="n">
        <v>4</v>
      </c>
      <c r="C97" s="12" t="inlineStr">
        <is>
          <t>BRENLOW_2</t>
        </is>
      </c>
      <c r="D97" s="12" t="inlineStr">
        <is>
          <t>ALTAVO_3</t>
        </is>
      </c>
      <c r="E97" s="12" t="inlineStr">
        <is>
          <t>ALTAVO_2</t>
        </is>
      </c>
      <c r="F97" s="12" t="inlineStr">
        <is>
          <t>BRENLOW_3</t>
        </is>
      </c>
      <c r="G97" s="12" t="inlineStr">
        <is>
          <t>BRENLOW_1</t>
        </is>
      </c>
      <c r="H97" s="12" t="inlineStr">
        <is>
          <t>ALTAVO_4</t>
        </is>
      </c>
      <c r="I97" s="12" t="inlineStr">
        <is>
          <t>ALTAVO_1</t>
        </is>
      </c>
      <c r="J97" s="12" t="inlineStr">
        <is>
          <t>BRENLOW_4</t>
        </is>
      </c>
      <c r="K97" s="12" t="inlineStr">
        <is>
          <t>BRENLOW_6</t>
        </is>
      </c>
      <c r="L97" s="12" t="inlineStr">
        <is>
          <t>ALTAVO_5</t>
        </is>
      </c>
      <c r="M97" s="12" t="inlineStr">
        <is>
          <t>ALTAVO_6</t>
        </is>
      </c>
      <c r="N97" s="12" t="inlineStr">
        <is>
          <t>BRENLOW_5</t>
        </is>
      </c>
    </row>
    <row r="98">
      <c r="B98" t="n">
        <v>5</v>
      </c>
      <c r="C98" s="12" t="inlineStr">
        <is>
          <t>ALTAVO_3</t>
        </is>
      </c>
      <c r="D98" s="12" t="inlineStr">
        <is>
          <t>BRENLOW_3</t>
        </is>
      </c>
      <c r="E98" s="12" t="inlineStr">
        <is>
          <t>BRENLOW_2</t>
        </is>
      </c>
      <c r="F98" s="12" t="inlineStr">
        <is>
          <t>ALTAVO_4</t>
        </is>
      </c>
      <c r="G98" s="12" t="inlineStr">
        <is>
          <t>ALTAVO_2</t>
        </is>
      </c>
      <c r="H98" s="12" t="inlineStr">
        <is>
          <t>BRENLOW_4</t>
        </is>
      </c>
      <c r="I98" s="12" t="inlineStr">
        <is>
          <t>BRENLOW_1</t>
        </is>
      </c>
      <c r="J98" s="12" t="inlineStr">
        <is>
          <t>ALTAVO_5</t>
        </is>
      </c>
      <c r="K98" s="12" t="inlineStr">
        <is>
          <t>ALTAVO_1</t>
        </is>
      </c>
      <c r="L98" s="12" t="inlineStr">
        <is>
          <t>BRENLOW_5</t>
        </is>
      </c>
      <c r="M98" s="12" t="inlineStr">
        <is>
          <t>BRENLOW_6</t>
        </is>
      </c>
      <c r="N98" s="12" t="inlineStr">
        <is>
          <t>ALTAVO_6</t>
        </is>
      </c>
    </row>
    <row r="99">
      <c r="B99" t="n">
        <v>6</v>
      </c>
      <c r="C99" s="12" t="inlineStr">
        <is>
          <t>BRENLOW_3</t>
        </is>
      </c>
      <c r="D99" s="12" t="inlineStr">
        <is>
          <t>ALTAVO_4</t>
        </is>
      </c>
      <c r="E99" s="12" t="inlineStr">
        <is>
          <t>ALTAVO_3</t>
        </is>
      </c>
      <c r="F99" s="12" t="inlineStr">
        <is>
          <t>BRENLOW_4</t>
        </is>
      </c>
      <c r="G99" s="12" t="inlineStr">
        <is>
          <t>BRENLOW_2</t>
        </is>
      </c>
      <c r="H99" s="12" t="inlineStr">
        <is>
          <t>ALTAVO_5</t>
        </is>
      </c>
      <c r="I99" s="12" t="inlineStr">
        <is>
          <t>ALTAVO_2</t>
        </is>
      </c>
      <c r="J99" s="12" t="inlineStr">
        <is>
          <t>BRENLOW_5</t>
        </is>
      </c>
      <c r="K99" s="12" t="inlineStr">
        <is>
          <t>BRENLOW_1</t>
        </is>
      </c>
      <c r="L99" s="12" t="inlineStr">
        <is>
          <t>ALTAVO_6</t>
        </is>
      </c>
      <c r="M99" s="12" t="inlineStr">
        <is>
          <t>ALTAVO_1</t>
        </is>
      </c>
      <c r="N99" s="12" t="inlineStr">
        <is>
          <t>BRENLOW_6</t>
        </is>
      </c>
    </row>
    <row r="100">
      <c r="B100" t="n">
        <v>7</v>
      </c>
      <c r="C100" s="12" t="inlineStr">
        <is>
          <t>ALTAVO_4</t>
        </is>
      </c>
      <c r="D100" s="12" t="inlineStr">
        <is>
          <t>BRENLOW_4</t>
        </is>
      </c>
      <c r="E100" s="12" t="inlineStr">
        <is>
          <t>BRENLOW_3</t>
        </is>
      </c>
      <c r="F100" s="12" t="inlineStr">
        <is>
          <t>ALTAVO_5</t>
        </is>
      </c>
      <c r="G100" s="12" t="inlineStr">
        <is>
          <t>ALTAVO_3</t>
        </is>
      </c>
      <c r="H100" s="12" t="inlineStr">
        <is>
          <t>BRENLOW_5</t>
        </is>
      </c>
      <c r="I100" s="12" t="inlineStr">
        <is>
          <t>BRENLOW_2</t>
        </is>
      </c>
      <c r="J100" s="12" t="inlineStr">
        <is>
          <t>ALTAVO_6</t>
        </is>
      </c>
      <c r="K100" s="12" t="inlineStr">
        <is>
          <t>ALTAVO_2</t>
        </is>
      </c>
      <c r="L100" s="12" t="inlineStr">
        <is>
          <t>BRENLOW_6</t>
        </is>
      </c>
      <c r="M100" s="12" t="inlineStr">
        <is>
          <t>BRENLOW_1</t>
        </is>
      </c>
      <c r="N100" s="12" t="inlineStr">
        <is>
          <t>ALTAVO_1</t>
        </is>
      </c>
    </row>
    <row r="101">
      <c r="B101" t="n">
        <v>8</v>
      </c>
      <c r="C101" s="12" t="inlineStr">
        <is>
          <t>BRENLOW_4</t>
        </is>
      </c>
      <c r="D101" s="12" t="inlineStr">
        <is>
          <t>ALTAVO_5</t>
        </is>
      </c>
      <c r="E101" s="12" t="inlineStr">
        <is>
          <t>ALTAVO_4</t>
        </is>
      </c>
      <c r="F101" s="12" t="inlineStr">
        <is>
          <t>BRENLOW_5</t>
        </is>
      </c>
      <c r="G101" s="12" t="inlineStr">
        <is>
          <t>BRENLOW_3</t>
        </is>
      </c>
      <c r="H101" s="12" t="inlineStr">
        <is>
          <t>ALTAVO_6</t>
        </is>
      </c>
      <c r="I101" s="12" t="inlineStr">
        <is>
          <t>ALTAVO_3</t>
        </is>
      </c>
      <c r="J101" s="12" t="inlineStr">
        <is>
          <t>BRENLOW_6</t>
        </is>
      </c>
      <c r="K101" s="12" t="inlineStr">
        <is>
          <t>BRENLOW_2</t>
        </is>
      </c>
      <c r="L101" s="12" t="inlineStr">
        <is>
          <t>ALTAVO_1</t>
        </is>
      </c>
      <c r="M101" s="12" t="inlineStr">
        <is>
          <t>ALTAVO_2</t>
        </is>
      </c>
      <c r="N101" s="12" t="inlineStr">
        <is>
          <t>BRENLOW_1</t>
        </is>
      </c>
    </row>
    <row r="102">
      <c r="B102" t="n">
        <v>9</v>
      </c>
      <c r="C102" s="12" t="inlineStr">
        <is>
          <t>ALTAVO_5</t>
        </is>
      </c>
      <c r="D102" s="12" t="inlineStr">
        <is>
          <t>BRENLOW_5</t>
        </is>
      </c>
      <c r="E102" s="12" t="inlineStr">
        <is>
          <t>BRENLOW_4</t>
        </is>
      </c>
      <c r="F102" s="12" t="inlineStr">
        <is>
          <t>ALTAVO_6</t>
        </is>
      </c>
      <c r="G102" s="12" t="inlineStr">
        <is>
          <t>ALTAVO_4</t>
        </is>
      </c>
      <c r="H102" s="12" t="inlineStr">
        <is>
          <t>BRENLOW_6</t>
        </is>
      </c>
      <c r="I102" s="12" t="inlineStr">
        <is>
          <t>BRENLOW_3</t>
        </is>
      </c>
      <c r="J102" s="12" t="inlineStr">
        <is>
          <t>ALTAVO_1</t>
        </is>
      </c>
      <c r="K102" s="12" t="inlineStr">
        <is>
          <t>ALTAVO_3</t>
        </is>
      </c>
      <c r="L102" s="12" t="inlineStr">
        <is>
          <t>BRENLOW_1</t>
        </is>
      </c>
      <c r="M102" s="12" t="inlineStr">
        <is>
          <t>BRENLOW_2</t>
        </is>
      </c>
      <c r="N102" s="12" t="inlineStr">
        <is>
          <t>ALTAVO_2</t>
        </is>
      </c>
    </row>
    <row r="103">
      <c r="B103" t="n">
        <v>10</v>
      </c>
      <c r="C103" s="12" t="inlineStr">
        <is>
          <t>BRENLOW_5</t>
        </is>
      </c>
      <c r="D103" s="12" t="inlineStr">
        <is>
          <t>ALTAVO_6</t>
        </is>
      </c>
      <c r="E103" s="12" t="inlineStr">
        <is>
          <t>ALTAVO_5</t>
        </is>
      </c>
      <c r="F103" s="12" t="inlineStr">
        <is>
          <t>BRENLOW_6</t>
        </is>
      </c>
      <c r="G103" s="12" t="inlineStr">
        <is>
          <t>BRENLOW_4</t>
        </is>
      </c>
      <c r="H103" s="12" t="inlineStr">
        <is>
          <t>ALTAVO_1</t>
        </is>
      </c>
      <c r="I103" s="12" t="inlineStr">
        <is>
          <t>ALTAVO_4</t>
        </is>
      </c>
      <c r="J103" s="12" t="inlineStr">
        <is>
          <t>BRENLOW_1</t>
        </is>
      </c>
      <c r="K103" s="12" t="inlineStr">
        <is>
          <t>BRENLOW_3</t>
        </is>
      </c>
      <c r="L103" s="12" t="inlineStr">
        <is>
          <t>ALTAVO_2</t>
        </is>
      </c>
      <c r="M103" s="12" t="inlineStr">
        <is>
          <t>ALTAVO_3</t>
        </is>
      </c>
      <c r="N103" s="12" t="inlineStr">
        <is>
          <t>BRENLOW_2</t>
        </is>
      </c>
    </row>
    <row r="104">
      <c r="B104" t="n">
        <v>11</v>
      </c>
      <c r="C104" s="12" t="inlineStr">
        <is>
          <t>ALTAVO_6</t>
        </is>
      </c>
      <c r="D104" s="12" t="inlineStr">
        <is>
          <t>BRENLOW_6</t>
        </is>
      </c>
      <c r="E104" s="12" t="inlineStr">
        <is>
          <t>BRENLOW_5</t>
        </is>
      </c>
      <c r="F104" s="12" t="inlineStr">
        <is>
          <t>ALTAVO_1</t>
        </is>
      </c>
      <c r="G104" s="12" t="inlineStr">
        <is>
          <t>ALTAVO_5</t>
        </is>
      </c>
      <c r="H104" s="12" t="inlineStr">
        <is>
          <t>BRENLOW_1</t>
        </is>
      </c>
      <c r="I104" s="12" t="inlineStr">
        <is>
          <t>BRENLOW_4</t>
        </is>
      </c>
      <c r="J104" s="12" t="inlineStr">
        <is>
          <t>ALTAVO_2</t>
        </is>
      </c>
      <c r="K104" s="12" t="inlineStr">
        <is>
          <t>ALTAVO_4</t>
        </is>
      </c>
      <c r="L104" s="12" t="inlineStr">
        <is>
          <t>BRENLOW_2</t>
        </is>
      </c>
      <c r="M104" s="12" t="inlineStr">
        <is>
          <t>BRENLOW_3</t>
        </is>
      </c>
      <c r="N104" s="12" t="inlineStr">
        <is>
          <t>ALTAVO_3</t>
        </is>
      </c>
    </row>
    <row r="105">
      <c r="B105" t="n">
        <v>12</v>
      </c>
      <c r="C105" s="12" t="inlineStr">
        <is>
          <t>BRENLOW_6</t>
        </is>
      </c>
      <c r="D105" s="12" t="inlineStr">
        <is>
          <t>ALTAVO_1</t>
        </is>
      </c>
      <c r="E105" s="12" t="inlineStr">
        <is>
          <t>ALTAVO_6</t>
        </is>
      </c>
      <c r="F105" s="12" t="inlineStr">
        <is>
          <t>BRENLOW_1</t>
        </is>
      </c>
      <c r="G105" s="12" t="inlineStr">
        <is>
          <t>BRENLOW_5</t>
        </is>
      </c>
      <c r="H105" s="12" t="inlineStr">
        <is>
          <t>ALTAVO_2</t>
        </is>
      </c>
      <c r="I105" s="12" t="inlineStr">
        <is>
          <t>ALTAVO_5</t>
        </is>
      </c>
      <c r="J105" s="12" t="inlineStr">
        <is>
          <t>BRENLOW_2</t>
        </is>
      </c>
      <c r="K105" s="12" t="inlineStr">
        <is>
          <t>BRENLOW_4</t>
        </is>
      </c>
      <c r="L105" s="12" t="inlineStr">
        <is>
          <t>ALTAVO_3</t>
        </is>
      </c>
      <c r="M105" s="12" t="inlineStr">
        <is>
          <t>ALTAVO_4</t>
        </is>
      </c>
      <c r="N105" s="12" t="inlineStr">
        <is>
          <t>BRENLOW_3</t>
        </is>
      </c>
    </row>
    <row r="107">
      <c r="B107" t="inlineStr">
        <is>
          <t>labels that differ from R</t>
        </is>
      </c>
      <c r="C107" s="9">
        <f>SUMPRODUCT(--(C22:N33&lt;&gt;C94:N105))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3" customWidth="1" min="4" max="4"/>
    <col width="13" customWidth="1" min="5" max="5"/>
    <col width="22" customWidth="1" min="7" max="7"/>
  </cols>
  <sheetData>
    <row r="1">
      <c r="A1" s="1" t="inlineStr">
        <is>
          <t>Latin square row of each participant code: blocks of 12, every row once per block, random order within a block (drawn in R, seed fixed)</t>
        </is>
      </c>
    </row>
    <row r="3">
      <c r="A3" s="6" t="inlineStr">
        <is>
          <t>Participant code</t>
        </is>
      </c>
      <c r="B3" s="6" t="inlineStr">
        <is>
          <t>Block</t>
        </is>
      </c>
      <c r="C3" s="6" t="inlineStr">
        <is>
          <t>Latin square row</t>
        </is>
      </c>
      <c r="D3" s="6" t="inlineStr">
        <is>
          <t>First ad</t>
        </is>
      </c>
      <c r="E3" s="6" t="inlineStr">
        <is>
          <t>First brand</t>
        </is>
      </c>
      <c r="G3" t="inlineStr">
        <is>
          <t>Row (down) x block (across): participants</t>
        </is>
      </c>
    </row>
    <row r="4">
      <c r="A4" s="13" t="inlineStr">
        <is>
          <t>P01</t>
        </is>
      </c>
      <c r="B4" s="4" t="n">
        <v>1</v>
      </c>
      <c r="C4" s="4" t="n">
        <v>4</v>
      </c>
      <c r="D4">
        <f>INDEX(LatinSquare!$C$22:$C$33,C4)</f>
        <v/>
      </c>
      <c r="E4">
        <f>IF(LEFT(D4,6)="ALTAVO","ALTAVO","BRENLOW")</f>
        <v/>
      </c>
      <c r="H4" t="n">
        <v>1</v>
      </c>
      <c r="I4" t="n">
        <v>2</v>
      </c>
      <c r="J4" t="n">
        <v>3</v>
      </c>
      <c r="K4" t="n">
        <v>4</v>
      </c>
    </row>
    <row r="5">
      <c r="A5" s="13" t="inlineStr">
        <is>
          <t>P02</t>
        </is>
      </c>
      <c r="B5" s="4" t="n">
        <v>1</v>
      </c>
      <c r="C5" s="4" t="n">
        <v>3</v>
      </c>
      <c r="D5">
        <f>INDEX(LatinSquare!$C$22:$C$33,C5)</f>
        <v/>
      </c>
      <c r="E5">
        <f>IF(LEFT(D5,6)="ALTAVO","ALTAVO","BRENLOW")</f>
        <v/>
      </c>
      <c r="G5" t="n">
        <v>1</v>
      </c>
      <c r="H5">
        <f>COUNTIFS($B$4:$B$51,H$4,$C$4:$C$51,$G5)</f>
        <v/>
      </c>
      <c r="I5">
        <f>COUNTIFS($B$4:$B$51,I$4,$C$4:$C$51,$G5)</f>
        <v/>
      </c>
      <c r="J5">
        <f>COUNTIFS($B$4:$B$51,J$4,$C$4:$C$51,$G5)</f>
        <v/>
      </c>
      <c r="K5">
        <f>COUNTIFS($B$4:$B$51,K$4,$C$4:$C$51,$G5)</f>
        <v/>
      </c>
    </row>
    <row r="6">
      <c r="A6" s="13" t="inlineStr">
        <is>
          <t>P03</t>
        </is>
      </c>
      <c r="B6" s="4" t="n">
        <v>1</v>
      </c>
      <c r="C6" s="4" t="n">
        <v>2</v>
      </c>
      <c r="D6">
        <f>INDEX(LatinSquare!$C$22:$C$33,C6)</f>
        <v/>
      </c>
      <c r="E6">
        <f>IF(LEFT(D6,6)="ALTAVO","ALTAVO","BRENLOW")</f>
        <v/>
      </c>
      <c r="G6" t="n">
        <v>2</v>
      </c>
      <c r="H6">
        <f>COUNTIFS($B$4:$B$51,H$4,$C$4:$C$51,$G6)</f>
        <v/>
      </c>
      <c r="I6">
        <f>COUNTIFS($B$4:$B$51,I$4,$C$4:$C$51,$G6)</f>
        <v/>
      </c>
      <c r="J6">
        <f>COUNTIFS($B$4:$B$51,J$4,$C$4:$C$51,$G6)</f>
        <v/>
      </c>
      <c r="K6">
        <f>COUNTIFS($B$4:$B$51,K$4,$C$4:$C$51,$G6)</f>
        <v/>
      </c>
    </row>
    <row r="7">
      <c r="A7" s="13" t="inlineStr">
        <is>
          <t>P04</t>
        </is>
      </c>
      <c r="B7" s="4" t="n">
        <v>1</v>
      </c>
      <c r="C7" s="4" t="n">
        <v>9</v>
      </c>
      <c r="D7">
        <f>INDEX(LatinSquare!$C$22:$C$33,C7)</f>
        <v/>
      </c>
      <c r="E7">
        <f>IF(LEFT(D7,6)="ALTAVO","ALTAVO","BRENLOW")</f>
        <v/>
      </c>
      <c r="G7" t="n">
        <v>3</v>
      </c>
      <c r="H7">
        <f>COUNTIFS($B$4:$B$51,H$4,$C$4:$C$51,$G7)</f>
        <v/>
      </c>
      <c r="I7">
        <f>COUNTIFS($B$4:$B$51,I$4,$C$4:$C$51,$G7)</f>
        <v/>
      </c>
      <c r="J7">
        <f>COUNTIFS($B$4:$B$51,J$4,$C$4:$C$51,$G7)</f>
        <v/>
      </c>
      <c r="K7">
        <f>COUNTIFS($B$4:$B$51,K$4,$C$4:$C$51,$G7)</f>
        <v/>
      </c>
    </row>
    <row r="8">
      <c r="A8" s="13" t="inlineStr">
        <is>
          <t>P05</t>
        </is>
      </c>
      <c r="B8" s="4" t="n">
        <v>1</v>
      </c>
      <c r="C8" s="4" t="n">
        <v>1</v>
      </c>
      <c r="D8">
        <f>INDEX(LatinSquare!$C$22:$C$33,C8)</f>
        <v/>
      </c>
      <c r="E8">
        <f>IF(LEFT(D8,6)="ALTAVO","ALTAVO","BRENLOW")</f>
        <v/>
      </c>
      <c r="G8" t="n">
        <v>4</v>
      </c>
      <c r="H8">
        <f>COUNTIFS($B$4:$B$51,H$4,$C$4:$C$51,$G8)</f>
        <v/>
      </c>
      <c r="I8">
        <f>COUNTIFS($B$4:$B$51,I$4,$C$4:$C$51,$G8)</f>
        <v/>
      </c>
      <c r="J8">
        <f>COUNTIFS($B$4:$B$51,J$4,$C$4:$C$51,$G8)</f>
        <v/>
      </c>
      <c r="K8">
        <f>COUNTIFS($B$4:$B$51,K$4,$C$4:$C$51,$G8)</f>
        <v/>
      </c>
    </row>
    <row r="9">
      <c r="A9" s="13" t="inlineStr">
        <is>
          <t>P06</t>
        </is>
      </c>
      <c r="B9" s="4" t="n">
        <v>1</v>
      </c>
      <c r="C9" s="4" t="n">
        <v>5</v>
      </c>
      <c r="D9">
        <f>INDEX(LatinSquare!$C$22:$C$33,C9)</f>
        <v/>
      </c>
      <c r="E9">
        <f>IF(LEFT(D9,6)="ALTAVO","ALTAVO","BRENLOW")</f>
        <v/>
      </c>
      <c r="G9" t="n">
        <v>5</v>
      </c>
      <c r="H9">
        <f>COUNTIFS($B$4:$B$51,H$4,$C$4:$C$51,$G9)</f>
        <v/>
      </c>
      <c r="I9">
        <f>COUNTIFS($B$4:$B$51,I$4,$C$4:$C$51,$G9)</f>
        <v/>
      </c>
      <c r="J9">
        <f>COUNTIFS($B$4:$B$51,J$4,$C$4:$C$51,$G9)</f>
        <v/>
      </c>
      <c r="K9">
        <f>COUNTIFS($B$4:$B$51,K$4,$C$4:$C$51,$G9)</f>
        <v/>
      </c>
    </row>
    <row r="10">
      <c r="A10" s="13" t="inlineStr">
        <is>
          <t>P07</t>
        </is>
      </c>
      <c r="B10" s="4" t="n">
        <v>1</v>
      </c>
      <c r="C10" s="4" t="n">
        <v>12</v>
      </c>
      <c r="D10">
        <f>INDEX(LatinSquare!$C$22:$C$33,C10)</f>
        <v/>
      </c>
      <c r="E10">
        <f>IF(LEFT(D10,6)="ALTAVO","ALTAVO","BRENLOW")</f>
        <v/>
      </c>
      <c r="G10" t="n">
        <v>6</v>
      </c>
      <c r="H10">
        <f>COUNTIFS($B$4:$B$51,H$4,$C$4:$C$51,$G10)</f>
        <v/>
      </c>
      <c r="I10">
        <f>COUNTIFS($B$4:$B$51,I$4,$C$4:$C$51,$G10)</f>
        <v/>
      </c>
      <c r="J10">
        <f>COUNTIFS($B$4:$B$51,J$4,$C$4:$C$51,$G10)</f>
        <v/>
      </c>
      <c r="K10">
        <f>COUNTIFS($B$4:$B$51,K$4,$C$4:$C$51,$G10)</f>
        <v/>
      </c>
    </row>
    <row r="11">
      <c r="A11" s="13" t="inlineStr">
        <is>
          <t>P08</t>
        </is>
      </c>
      <c r="B11" s="4" t="n">
        <v>1</v>
      </c>
      <c r="C11" s="4" t="n">
        <v>8</v>
      </c>
      <c r="D11">
        <f>INDEX(LatinSquare!$C$22:$C$33,C11)</f>
        <v/>
      </c>
      <c r="E11">
        <f>IF(LEFT(D11,6)="ALTAVO","ALTAVO","BRENLOW")</f>
        <v/>
      </c>
      <c r="G11" t="n">
        <v>7</v>
      </c>
      <c r="H11">
        <f>COUNTIFS($B$4:$B$51,H$4,$C$4:$C$51,$G11)</f>
        <v/>
      </c>
      <c r="I11">
        <f>COUNTIFS($B$4:$B$51,I$4,$C$4:$C$51,$G11)</f>
        <v/>
      </c>
      <c r="J11">
        <f>COUNTIFS($B$4:$B$51,J$4,$C$4:$C$51,$G11)</f>
        <v/>
      </c>
      <c r="K11">
        <f>COUNTIFS($B$4:$B$51,K$4,$C$4:$C$51,$G11)</f>
        <v/>
      </c>
    </row>
    <row r="12">
      <c r="A12" s="13" t="inlineStr">
        <is>
          <t>P09</t>
        </is>
      </c>
      <c r="B12" s="4" t="n">
        <v>1</v>
      </c>
      <c r="C12" s="4" t="n">
        <v>7</v>
      </c>
      <c r="D12">
        <f>INDEX(LatinSquare!$C$22:$C$33,C12)</f>
        <v/>
      </c>
      <c r="E12">
        <f>IF(LEFT(D12,6)="ALTAVO","ALTAVO","BRENLOW")</f>
        <v/>
      </c>
      <c r="G12" t="n">
        <v>8</v>
      </c>
      <c r="H12">
        <f>COUNTIFS($B$4:$B$51,H$4,$C$4:$C$51,$G12)</f>
        <v/>
      </c>
      <c r="I12">
        <f>COUNTIFS($B$4:$B$51,I$4,$C$4:$C$51,$G12)</f>
        <v/>
      </c>
      <c r="J12">
        <f>COUNTIFS($B$4:$B$51,J$4,$C$4:$C$51,$G12)</f>
        <v/>
      </c>
      <c r="K12">
        <f>COUNTIFS($B$4:$B$51,K$4,$C$4:$C$51,$G12)</f>
        <v/>
      </c>
    </row>
    <row r="13">
      <c r="A13" s="13" t="inlineStr">
        <is>
          <t>P10</t>
        </is>
      </c>
      <c r="B13" s="4" t="n">
        <v>1</v>
      </c>
      <c r="C13" s="4" t="n">
        <v>11</v>
      </c>
      <c r="D13">
        <f>INDEX(LatinSquare!$C$22:$C$33,C13)</f>
        <v/>
      </c>
      <c r="E13">
        <f>IF(LEFT(D13,6)="ALTAVO","ALTAVO","BRENLOW")</f>
        <v/>
      </c>
      <c r="G13" t="n">
        <v>9</v>
      </c>
      <c r="H13">
        <f>COUNTIFS($B$4:$B$51,H$4,$C$4:$C$51,$G13)</f>
        <v/>
      </c>
      <c r="I13">
        <f>COUNTIFS($B$4:$B$51,I$4,$C$4:$C$51,$G13)</f>
        <v/>
      </c>
      <c r="J13">
        <f>COUNTIFS($B$4:$B$51,J$4,$C$4:$C$51,$G13)</f>
        <v/>
      </c>
      <c r="K13">
        <f>COUNTIFS($B$4:$B$51,K$4,$C$4:$C$51,$G13)</f>
        <v/>
      </c>
    </row>
    <row r="14">
      <c r="A14" s="13" t="inlineStr">
        <is>
          <t>P11</t>
        </is>
      </c>
      <c r="B14" s="4" t="n">
        <v>1</v>
      </c>
      <c r="C14" s="4" t="n">
        <v>6</v>
      </c>
      <c r="D14">
        <f>INDEX(LatinSquare!$C$22:$C$33,C14)</f>
        <v/>
      </c>
      <c r="E14">
        <f>IF(LEFT(D14,6)="ALTAVO","ALTAVO","BRENLOW")</f>
        <v/>
      </c>
      <c r="G14" t="n">
        <v>10</v>
      </c>
      <c r="H14">
        <f>COUNTIFS($B$4:$B$51,H$4,$C$4:$C$51,$G14)</f>
        <v/>
      </c>
      <c r="I14">
        <f>COUNTIFS($B$4:$B$51,I$4,$C$4:$C$51,$G14)</f>
        <v/>
      </c>
      <c r="J14">
        <f>COUNTIFS($B$4:$B$51,J$4,$C$4:$C$51,$G14)</f>
        <v/>
      </c>
      <c r="K14">
        <f>COUNTIFS($B$4:$B$51,K$4,$C$4:$C$51,$G14)</f>
        <v/>
      </c>
    </row>
    <row r="15">
      <c r="A15" s="13" t="inlineStr">
        <is>
          <t>P12</t>
        </is>
      </c>
      <c r="B15" s="4" t="n">
        <v>1</v>
      </c>
      <c r="C15" s="4" t="n">
        <v>10</v>
      </c>
      <c r="D15">
        <f>INDEX(LatinSquare!$C$22:$C$33,C15)</f>
        <v/>
      </c>
      <c r="E15">
        <f>IF(LEFT(D15,6)="ALTAVO","ALTAVO","BRENLOW")</f>
        <v/>
      </c>
      <c r="G15" t="n">
        <v>11</v>
      </c>
      <c r="H15">
        <f>COUNTIFS($B$4:$B$51,H$4,$C$4:$C$51,$G15)</f>
        <v/>
      </c>
      <c r="I15">
        <f>COUNTIFS($B$4:$B$51,I$4,$C$4:$C$51,$G15)</f>
        <v/>
      </c>
      <c r="J15">
        <f>COUNTIFS($B$4:$B$51,J$4,$C$4:$C$51,$G15)</f>
        <v/>
      </c>
      <c r="K15">
        <f>COUNTIFS($B$4:$B$51,K$4,$C$4:$C$51,$G15)</f>
        <v/>
      </c>
    </row>
    <row r="16">
      <c r="A16" s="13" t="inlineStr">
        <is>
          <t>P13</t>
        </is>
      </c>
      <c r="B16" s="4" t="n">
        <v>2</v>
      </c>
      <c r="C16" s="4" t="n">
        <v>7</v>
      </c>
      <c r="D16">
        <f>INDEX(LatinSquare!$C$22:$C$33,C16)</f>
        <v/>
      </c>
      <c r="E16">
        <f>IF(LEFT(D16,6)="ALTAVO","ALTAVO","BRENLOW")</f>
        <v/>
      </c>
      <c r="G16" t="n">
        <v>12</v>
      </c>
      <c r="H16">
        <f>COUNTIFS($B$4:$B$51,H$4,$C$4:$C$51,$G16)</f>
        <v/>
      </c>
      <c r="I16">
        <f>COUNTIFS($B$4:$B$51,I$4,$C$4:$C$51,$G16)</f>
        <v/>
      </c>
      <c r="J16">
        <f>COUNTIFS($B$4:$B$51,J$4,$C$4:$C$51,$G16)</f>
        <v/>
      </c>
      <c r="K16">
        <f>COUNTIFS($B$4:$B$51,K$4,$C$4:$C$51,$G16)</f>
        <v/>
      </c>
    </row>
    <row r="17">
      <c r="A17" s="13" t="inlineStr">
        <is>
          <t>P14</t>
        </is>
      </c>
      <c r="B17" s="4" t="n">
        <v>2</v>
      </c>
      <c r="C17" s="4" t="n">
        <v>9</v>
      </c>
      <c r="D17">
        <f>INDEX(LatinSquare!$C$22:$C$33,C17)</f>
        <v/>
      </c>
      <c r="E17">
        <f>IF(LEFT(D17,6)="ALTAVO","ALTAVO","BRENLOW")</f>
        <v/>
      </c>
    </row>
    <row r="18">
      <c r="A18" s="13" t="inlineStr">
        <is>
          <t>P15</t>
        </is>
      </c>
      <c r="B18" s="4" t="n">
        <v>2</v>
      </c>
      <c r="C18" s="4" t="n">
        <v>6</v>
      </c>
      <c r="D18">
        <f>INDEX(LatinSquare!$C$22:$C$33,C18)</f>
        <v/>
      </c>
      <c r="E18">
        <f>IF(LEFT(D18,6)="ALTAVO","ALTAVO","BRENLOW")</f>
        <v/>
      </c>
      <c r="G18" t="inlineStr">
        <is>
          <t>smallest count</t>
        </is>
      </c>
      <c r="H18" s="9">
        <f>MIN(H5:K16)</f>
        <v/>
      </c>
    </row>
    <row r="19">
      <c r="A19" s="13" t="inlineStr">
        <is>
          <t>P16</t>
        </is>
      </c>
      <c r="B19" s="4" t="n">
        <v>2</v>
      </c>
      <c r="C19" s="4" t="n">
        <v>3</v>
      </c>
      <c r="D19">
        <f>INDEX(LatinSquare!$C$22:$C$33,C19)</f>
        <v/>
      </c>
      <c r="E19">
        <f>IF(LEFT(D19,6)="ALTAVO","ALTAVO","BRENLOW")</f>
        <v/>
      </c>
      <c r="G19" t="inlineStr">
        <is>
          <t>largest count</t>
        </is>
      </c>
      <c r="H19" s="9">
        <f>MAX(H5:K16)</f>
        <v/>
      </c>
    </row>
    <row r="20">
      <c r="A20" s="13" t="inlineStr">
        <is>
          <t>P17</t>
        </is>
      </c>
      <c r="B20" s="4" t="n">
        <v>2</v>
      </c>
      <c r="C20" s="4" t="n">
        <v>12</v>
      </c>
      <c r="D20">
        <f>INDEX(LatinSquare!$C$22:$C$33,C20)</f>
        <v/>
      </c>
      <c r="E20">
        <f>IF(LEFT(D20,6)="ALTAVO","ALTAVO","BRENLOW")</f>
        <v/>
      </c>
      <c r="G20" t="inlineStr">
        <is>
          <t>ALTAVO first</t>
        </is>
      </c>
      <c r="H20" s="9">
        <f>COUNTIF(E4:E51,"ALTAVO")</f>
        <v/>
      </c>
    </row>
    <row r="21">
      <c r="A21" s="13" t="inlineStr">
        <is>
          <t>P18</t>
        </is>
      </c>
      <c r="B21" s="4" t="n">
        <v>2</v>
      </c>
      <c r="C21" s="4" t="n">
        <v>5</v>
      </c>
      <c r="D21">
        <f>INDEX(LatinSquare!$C$22:$C$33,C21)</f>
        <v/>
      </c>
      <c r="E21">
        <f>IF(LEFT(D21,6)="ALTAVO","ALTAVO","BRENLOW")</f>
        <v/>
      </c>
    </row>
    <row r="22">
      <c r="A22" s="13" t="inlineStr">
        <is>
          <t>P19</t>
        </is>
      </c>
      <c r="B22" s="4" t="n">
        <v>2</v>
      </c>
      <c r="C22" s="4" t="n">
        <v>11</v>
      </c>
      <c r="D22">
        <f>INDEX(LatinSquare!$C$22:$C$33,C22)</f>
        <v/>
      </c>
      <c r="E22">
        <f>IF(LEFT(D22,6)="ALTAVO","ALTAVO","BRENLOW")</f>
        <v/>
      </c>
    </row>
    <row r="23">
      <c r="A23" s="13" t="inlineStr">
        <is>
          <t>P20</t>
        </is>
      </c>
      <c r="B23" s="4" t="n">
        <v>2</v>
      </c>
      <c r="C23" s="4" t="n">
        <v>4</v>
      </c>
      <c r="D23">
        <f>INDEX(LatinSquare!$C$22:$C$33,C23)</f>
        <v/>
      </c>
      <c r="E23">
        <f>IF(LEFT(D23,6)="ALTAVO","ALTAVO","BRENLOW")</f>
        <v/>
      </c>
    </row>
    <row r="24">
      <c r="A24" s="13" t="inlineStr">
        <is>
          <t>P21</t>
        </is>
      </c>
      <c r="B24" s="4" t="n">
        <v>2</v>
      </c>
      <c r="C24" s="4" t="n">
        <v>8</v>
      </c>
      <c r="D24">
        <f>INDEX(LatinSquare!$C$22:$C$33,C24)</f>
        <v/>
      </c>
      <c r="E24">
        <f>IF(LEFT(D24,6)="ALTAVO","ALTAVO","BRENLOW")</f>
        <v/>
      </c>
    </row>
    <row r="25">
      <c r="A25" s="13" t="inlineStr">
        <is>
          <t>P22</t>
        </is>
      </c>
      <c r="B25" s="4" t="n">
        <v>2</v>
      </c>
      <c r="C25" s="4" t="n">
        <v>1</v>
      </c>
      <c r="D25">
        <f>INDEX(LatinSquare!$C$22:$C$33,C25)</f>
        <v/>
      </c>
      <c r="E25">
        <f>IF(LEFT(D25,6)="ALTAVO","ALTAVO","BRENLOW")</f>
        <v/>
      </c>
    </row>
    <row r="26">
      <c r="A26" s="13" t="inlineStr">
        <is>
          <t>P23</t>
        </is>
      </c>
      <c r="B26" s="4" t="n">
        <v>2</v>
      </c>
      <c r="C26" s="4" t="n">
        <v>2</v>
      </c>
      <c r="D26">
        <f>INDEX(LatinSquare!$C$22:$C$33,C26)</f>
        <v/>
      </c>
      <c r="E26">
        <f>IF(LEFT(D26,6)="ALTAVO","ALTAVO","BRENLOW")</f>
        <v/>
      </c>
    </row>
    <row r="27">
      <c r="A27" s="13" t="inlineStr">
        <is>
          <t>P24</t>
        </is>
      </c>
      <c r="B27" s="4" t="n">
        <v>2</v>
      </c>
      <c r="C27" s="4" t="n">
        <v>10</v>
      </c>
      <c r="D27">
        <f>INDEX(LatinSquare!$C$22:$C$33,C27)</f>
        <v/>
      </c>
      <c r="E27">
        <f>IF(LEFT(D27,6)="ALTAVO","ALTAVO","BRENLOW")</f>
        <v/>
      </c>
    </row>
    <row r="28">
      <c r="A28" s="13" t="inlineStr">
        <is>
          <t>P25</t>
        </is>
      </c>
      <c r="B28" s="4" t="n">
        <v>3</v>
      </c>
      <c r="C28" s="4" t="n">
        <v>11</v>
      </c>
      <c r="D28">
        <f>INDEX(LatinSquare!$C$22:$C$33,C28)</f>
        <v/>
      </c>
      <c r="E28">
        <f>IF(LEFT(D28,6)="ALTAVO","ALTAVO","BRENLOW")</f>
        <v/>
      </c>
    </row>
    <row r="29">
      <c r="A29" s="13" t="inlineStr">
        <is>
          <t>P26</t>
        </is>
      </c>
      <c r="B29" s="4" t="n">
        <v>3</v>
      </c>
      <c r="C29" s="4" t="n">
        <v>10</v>
      </c>
      <c r="D29">
        <f>INDEX(LatinSquare!$C$22:$C$33,C29)</f>
        <v/>
      </c>
      <c r="E29">
        <f>IF(LEFT(D29,6)="ALTAVO","ALTAVO","BRENLOW")</f>
        <v/>
      </c>
    </row>
    <row r="30">
      <c r="A30" s="13" t="inlineStr">
        <is>
          <t>P27</t>
        </is>
      </c>
      <c r="B30" s="4" t="n">
        <v>3</v>
      </c>
      <c r="C30" s="4" t="n">
        <v>5</v>
      </c>
      <c r="D30">
        <f>INDEX(LatinSquare!$C$22:$C$33,C30)</f>
        <v/>
      </c>
      <c r="E30">
        <f>IF(LEFT(D30,6)="ALTAVO","ALTAVO","BRENLOW")</f>
        <v/>
      </c>
    </row>
    <row r="31">
      <c r="A31" s="13" t="inlineStr">
        <is>
          <t>P28</t>
        </is>
      </c>
      <c r="B31" s="4" t="n">
        <v>3</v>
      </c>
      <c r="C31" s="4" t="n">
        <v>8</v>
      </c>
      <c r="D31">
        <f>INDEX(LatinSquare!$C$22:$C$33,C31)</f>
        <v/>
      </c>
      <c r="E31">
        <f>IF(LEFT(D31,6)="ALTAVO","ALTAVO","BRENLOW")</f>
        <v/>
      </c>
    </row>
    <row r="32">
      <c r="A32" s="13" t="inlineStr">
        <is>
          <t>P29</t>
        </is>
      </c>
      <c r="B32" s="4" t="n">
        <v>3</v>
      </c>
      <c r="C32" s="4" t="n">
        <v>3</v>
      </c>
      <c r="D32">
        <f>INDEX(LatinSquare!$C$22:$C$33,C32)</f>
        <v/>
      </c>
      <c r="E32">
        <f>IF(LEFT(D32,6)="ALTAVO","ALTAVO","BRENLOW")</f>
        <v/>
      </c>
    </row>
    <row r="33">
      <c r="A33" s="13" t="inlineStr">
        <is>
          <t>P30</t>
        </is>
      </c>
      <c r="B33" s="4" t="n">
        <v>3</v>
      </c>
      <c r="C33" s="4" t="n">
        <v>7</v>
      </c>
      <c r="D33">
        <f>INDEX(LatinSquare!$C$22:$C$33,C33)</f>
        <v/>
      </c>
      <c r="E33">
        <f>IF(LEFT(D33,6)="ALTAVO","ALTAVO","BRENLOW")</f>
        <v/>
      </c>
    </row>
    <row r="34">
      <c r="A34" s="13" t="inlineStr">
        <is>
          <t>P31</t>
        </is>
      </c>
      <c r="B34" s="4" t="n">
        <v>3</v>
      </c>
      <c r="C34" s="4" t="n">
        <v>9</v>
      </c>
      <c r="D34">
        <f>INDEX(LatinSquare!$C$22:$C$33,C34)</f>
        <v/>
      </c>
      <c r="E34">
        <f>IF(LEFT(D34,6)="ALTAVO","ALTAVO","BRENLOW")</f>
        <v/>
      </c>
    </row>
    <row r="35">
      <c r="A35" s="13" t="inlineStr">
        <is>
          <t>P32</t>
        </is>
      </c>
      <c r="B35" s="4" t="n">
        <v>3</v>
      </c>
      <c r="C35" s="4" t="n">
        <v>1</v>
      </c>
      <c r="D35">
        <f>INDEX(LatinSquare!$C$22:$C$33,C35)</f>
        <v/>
      </c>
      <c r="E35">
        <f>IF(LEFT(D35,6)="ALTAVO","ALTAVO","BRENLOW")</f>
        <v/>
      </c>
    </row>
    <row r="36">
      <c r="A36" s="13" t="inlineStr">
        <is>
          <t>P33</t>
        </is>
      </c>
      <c r="B36" s="4" t="n">
        <v>3</v>
      </c>
      <c r="C36" s="4" t="n">
        <v>4</v>
      </c>
      <c r="D36">
        <f>INDEX(LatinSquare!$C$22:$C$33,C36)</f>
        <v/>
      </c>
      <c r="E36">
        <f>IF(LEFT(D36,6)="ALTAVO","ALTAVO","BRENLOW")</f>
        <v/>
      </c>
    </row>
    <row r="37">
      <c r="A37" s="13" t="inlineStr">
        <is>
          <t>P34</t>
        </is>
      </c>
      <c r="B37" s="4" t="n">
        <v>3</v>
      </c>
      <c r="C37" s="4" t="n">
        <v>2</v>
      </c>
      <c r="D37">
        <f>INDEX(LatinSquare!$C$22:$C$33,C37)</f>
        <v/>
      </c>
      <c r="E37">
        <f>IF(LEFT(D37,6)="ALTAVO","ALTAVO","BRENLOW")</f>
        <v/>
      </c>
    </row>
    <row r="38">
      <c r="A38" s="13" t="inlineStr">
        <is>
          <t>P35</t>
        </is>
      </c>
      <c r="B38" s="4" t="n">
        <v>3</v>
      </c>
      <c r="C38" s="4" t="n">
        <v>12</v>
      </c>
      <c r="D38">
        <f>INDEX(LatinSquare!$C$22:$C$33,C38)</f>
        <v/>
      </c>
      <c r="E38">
        <f>IF(LEFT(D38,6)="ALTAVO","ALTAVO","BRENLOW")</f>
        <v/>
      </c>
    </row>
    <row r="39">
      <c r="A39" s="13" t="inlineStr">
        <is>
          <t>P36</t>
        </is>
      </c>
      <c r="B39" s="4" t="n">
        <v>3</v>
      </c>
      <c r="C39" s="4" t="n">
        <v>6</v>
      </c>
      <c r="D39">
        <f>INDEX(LatinSquare!$C$22:$C$33,C39)</f>
        <v/>
      </c>
      <c r="E39">
        <f>IF(LEFT(D39,6)="ALTAVO","ALTAVO","BRENLOW")</f>
        <v/>
      </c>
    </row>
    <row r="40">
      <c r="A40" s="13" t="inlineStr">
        <is>
          <t>P37</t>
        </is>
      </c>
      <c r="B40" s="4" t="n">
        <v>4</v>
      </c>
      <c r="C40" s="4" t="n">
        <v>2</v>
      </c>
      <c r="D40">
        <f>INDEX(LatinSquare!$C$22:$C$33,C40)</f>
        <v/>
      </c>
      <c r="E40">
        <f>IF(LEFT(D40,6)="ALTAVO","ALTAVO","BRENLOW")</f>
        <v/>
      </c>
    </row>
    <row r="41">
      <c r="A41" s="13" t="inlineStr">
        <is>
          <t>P38</t>
        </is>
      </c>
      <c r="B41" s="4" t="n">
        <v>4</v>
      </c>
      <c r="C41" s="4" t="n">
        <v>5</v>
      </c>
      <c r="D41">
        <f>INDEX(LatinSquare!$C$22:$C$33,C41)</f>
        <v/>
      </c>
      <c r="E41">
        <f>IF(LEFT(D41,6)="ALTAVO","ALTAVO","BRENLOW")</f>
        <v/>
      </c>
    </row>
    <row r="42">
      <c r="A42" s="13" t="inlineStr">
        <is>
          <t>P39</t>
        </is>
      </c>
      <c r="B42" s="4" t="n">
        <v>4</v>
      </c>
      <c r="C42" s="4" t="n">
        <v>12</v>
      </c>
      <c r="D42">
        <f>INDEX(LatinSquare!$C$22:$C$33,C42)</f>
        <v/>
      </c>
      <c r="E42">
        <f>IF(LEFT(D42,6)="ALTAVO","ALTAVO","BRENLOW")</f>
        <v/>
      </c>
    </row>
    <row r="43">
      <c r="A43" s="13" t="inlineStr">
        <is>
          <t>P40</t>
        </is>
      </c>
      <c r="B43" s="4" t="n">
        <v>4</v>
      </c>
      <c r="C43" s="4" t="n">
        <v>10</v>
      </c>
      <c r="D43">
        <f>INDEX(LatinSquare!$C$22:$C$33,C43)</f>
        <v/>
      </c>
      <c r="E43">
        <f>IF(LEFT(D43,6)="ALTAVO","ALTAVO","BRENLOW")</f>
        <v/>
      </c>
    </row>
    <row r="44">
      <c r="A44" s="13" t="inlineStr">
        <is>
          <t>P41</t>
        </is>
      </c>
      <c r="B44" s="4" t="n">
        <v>4</v>
      </c>
      <c r="C44" s="4" t="n">
        <v>9</v>
      </c>
      <c r="D44">
        <f>INDEX(LatinSquare!$C$22:$C$33,C44)</f>
        <v/>
      </c>
      <c r="E44">
        <f>IF(LEFT(D44,6)="ALTAVO","ALTAVO","BRENLOW")</f>
        <v/>
      </c>
    </row>
    <row r="45">
      <c r="A45" s="13" t="inlineStr">
        <is>
          <t>P42</t>
        </is>
      </c>
      <c r="B45" s="4" t="n">
        <v>4</v>
      </c>
      <c r="C45" s="4" t="n">
        <v>11</v>
      </c>
      <c r="D45">
        <f>INDEX(LatinSquare!$C$22:$C$33,C45)</f>
        <v/>
      </c>
      <c r="E45">
        <f>IF(LEFT(D45,6)="ALTAVO","ALTAVO","BRENLOW")</f>
        <v/>
      </c>
    </row>
    <row r="46">
      <c r="A46" s="13" t="inlineStr">
        <is>
          <t>P43</t>
        </is>
      </c>
      <c r="B46" s="4" t="n">
        <v>4</v>
      </c>
      <c r="C46" s="4" t="n">
        <v>1</v>
      </c>
      <c r="D46">
        <f>INDEX(LatinSquare!$C$22:$C$33,C46)</f>
        <v/>
      </c>
      <c r="E46">
        <f>IF(LEFT(D46,6)="ALTAVO","ALTAVO","BRENLOW")</f>
        <v/>
      </c>
    </row>
    <row r="47">
      <c r="A47" s="13" t="inlineStr">
        <is>
          <t>P44</t>
        </is>
      </c>
      <c r="B47" s="4" t="n">
        <v>4</v>
      </c>
      <c r="C47" s="4" t="n">
        <v>4</v>
      </c>
      <c r="D47">
        <f>INDEX(LatinSquare!$C$22:$C$33,C47)</f>
        <v/>
      </c>
      <c r="E47">
        <f>IF(LEFT(D47,6)="ALTAVO","ALTAVO","BRENLOW")</f>
        <v/>
      </c>
    </row>
    <row r="48">
      <c r="A48" s="13" t="inlineStr">
        <is>
          <t>P45</t>
        </is>
      </c>
      <c r="B48" s="4" t="n">
        <v>4</v>
      </c>
      <c r="C48" s="4" t="n">
        <v>6</v>
      </c>
      <c r="D48">
        <f>INDEX(LatinSquare!$C$22:$C$33,C48)</f>
        <v/>
      </c>
      <c r="E48">
        <f>IF(LEFT(D48,6)="ALTAVO","ALTAVO","BRENLOW")</f>
        <v/>
      </c>
    </row>
    <row r="49">
      <c r="A49" s="13" t="inlineStr">
        <is>
          <t>P46</t>
        </is>
      </c>
      <c r="B49" s="4" t="n">
        <v>4</v>
      </c>
      <c r="C49" s="4" t="n">
        <v>8</v>
      </c>
      <c r="D49">
        <f>INDEX(LatinSquare!$C$22:$C$33,C49)</f>
        <v/>
      </c>
      <c r="E49">
        <f>IF(LEFT(D49,6)="ALTAVO","ALTAVO","BRENLOW")</f>
        <v/>
      </c>
    </row>
    <row r="50">
      <c r="A50" s="13" t="inlineStr">
        <is>
          <t>P47</t>
        </is>
      </c>
      <c r="B50" s="4" t="n">
        <v>4</v>
      </c>
      <c r="C50" s="4" t="n">
        <v>7</v>
      </c>
      <c r="D50">
        <f>INDEX(LatinSquare!$C$22:$C$33,C50)</f>
        <v/>
      </c>
      <c r="E50">
        <f>IF(LEFT(D50,6)="ALTAVO","ALTAVO","BRENLOW")</f>
        <v/>
      </c>
    </row>
    <row r="51">
      <c r="A51" s="13" t="inlineStr">
        <is>
          <t>P48</t>
        </is>
      </c>
      <c r="B51" s="4" t="n">
        <v>4</v>
      </c>
      <c r="C51" s="4" t="n">
        <v>3</v>
      </c>
      <c r="D51">
        <f>INDEX(LatinSquare!$C$22:$C$33,C51)</f>
        <v/>
      </c>
      <c r="E51">
        <f>IF(LEFT(D51,6)="ALTAVO","ALTAVO","BRENLOW")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1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9" customWidth="1" min="11" max="11"/>
    <col width="11" customWidth="1" min="12" max="12"/>
    <col width="10" customWidth="1" min="13" max="13"/>
    <col width="7" customWidth="1" min="14" max="14"/>
    <col width="7" customWidth="1" min="15" max="15"/>
    <col width="9" customWidth="1" min="16" max="16"/>
    <col width="9" customWidth="1" min="17" max="17"/>
    <col width="38" customWidth="1" min="19" max="19"/>
    <col width="12" customWidth="1" min="20" max="20"/>
    <col width="9" customWidth="1" min="21" max="21"/>
    <col width="9" customWidth="1" min="22" max="22"/>
    <col width="7" customWidth="1" min="23" max="23"/>
    <col width="7" customWidth="1" min="24" max="24"/>
    <col width="9" customWidth="1" min="25" max="25"/>
  </cols>
  <sheetData>
    <row r="1">
      <c r="A1" s="1" t="inlineStr">
        <is>
          <t>Session calendar for one Aurora seat (PLACEHOLDER dates: set them after IRB approval; check the JSU academic calendar for closures)</t>
        </is>
      </c>
    </row>
    <row r="3">
      <c r="A3" t="inlineStr">
        <is>
          <t>First day of data collection</t>
        </is>
      </c>
      <c r="B3" s="14" t="n">
        <v>46426</v>
      </c>
      <c r="S3" t="inlineStr">
        <is>
          <t>dates that differ from R</t>
        </is>
      </c>
      <c r="T3" s="9">
        <f>SUMPRODUCT(--(C12:C66&lt;&gt;T12:T66))</f>
        <v/>
      </c>
    </row>
    <row r="4">
      <c r="A4" t="inlineStr">
        <is>
          <t>Slots per day</t>
        </is>
      </c>
      <c r="B4" s="9">
        <f>Attrition!B12</f>
        <v/>
      </c>
      <c r="S4" t="inlineStr">
        <is>
          <t>arrival times that differ from R</t>
        </is>
      </c>
      <c r="T4" s="9">
        <f>SUMPRODUCT(--(ROUND(F12:F66*1440,0)&lt;&gt;ROUND(U12:U66*1440,0)))</f>
        <v/>
      </c>
    </row>
    <row r="5">
      <c r="A5" t="inlineStr">
        <is>
          <t>First slot</t>
        </is>
      </c>
      <c r="B5" s="15" t="n">
        <v>0.375</v>
      </c>
      <c r="S5" t="inlineStr">
        <is>
          <t>participant codes that differ from R</t>
        </is>
      </c>
      <c r="T5" s="9">
        <f>SUMPRODUCT(--(L12:L66&amp;""&lt;&gt;V12:V66&amp;""))</f>
        <v/>
      </c>
    </row>
    <row r="6">
      <c r="A6" t="inlineStr">
        <is>
          <t>Slot length (minutes)</t>
        </is>
      </c>
      <c r="B6" s="4" t="n">
        <v>90</v>
      </c>
      <c r="S6" t="inlineStr">
        <is>
          <t>Latin square rows that differ from R</t>
        </is>
      </c>
      <c r="T6" s="9">
        <f>SUMPRODUCT(--(M12:M66&amp;""&lt;&gt;W12:W66&amp;""))</f>
        <v/>
      </c>
    </row>
    <row r="7">
      <c r="A7" t="inlineStr">
        <is>
          <t>Main participants</t>
        </is>
      </c>
      <c r="B7" s="9">
        <f>Attrition!B4</f>
        <v/>
      </c>
      <c r="S7" t="inlineStr">
        <is>
          <t>lead operators that differ from R</t>
        </is>
      </c>
      <c r="T7" s="9">
        <f>SUMPRODUCT(--(P12:P66&lt;&gt;X12:X66))</f>
        <v/>
      </c>
    </row>
    <row r="8">
      <c r="A8" t="inlineStr">
        <is>
          <t>Reserve sessions</t>
        </is>
      </c>
      <c r="B8" s="9">
        <f>Attrition!B18</f>
        <v/>
      </c>
      <c r="S8" t="inlineStr">
        <is>
          <t>assistants that differ from R</t>
        </is>
      </c>
      <c r="T8" s="9">
        <f>SUMPRODUCT(--(Q12:Q66&lt;&gt;Y12:Y66))</f>
        <v/>
      </c>
    </row>
    <row r="9">
      <c r="A9" t="inlineStr">
        <is>
          <t>Slots in all</t>
        </is>
      </c>
      <c r="B9" s="9">
        <f>Attrition!B21</f>
        <v/>
      </c>
      <c r="S9" t="inlineStr">
        <is>
          <t>last day of data collection</t>
        </is>
      </c>
      <c r="T9" s="16">
        <f>MAX(C12:C66)</f>
        <v/>
      </c>
    </row>
    <row r="11">
      <c r="A11" s="6" t="inlineStr">
        <is>
          <t>k</t>
        </is>
      </c>
      <c r="B11" s="6" t="inlineStr">
        <is>
          <t>Day index</t>
        </is>
      </c>
      <c r="C11" s="6" t="inlineStr">
        <is>
          <t>Date</t>
        </is>
      </c>
      <c r="D11" s="6" t="inlineStr">
        <is>
          <t>Weekday</t>
        </is>
      </c>
      <c r="E11" s="6" t="inlineStr">
        <is>
          <t>Slot</t>
        </is>
      </c>
      <c r="F11" s="6" t="inlineStr">
        <is>
          <t>Arrive</t>
        </is>
      </c>
      <c r="G11" s="6" t="inlineStr">
        <is>
          <t>Recording starts</t>
        </is>
      </c>
      <c r="H11" s="6" t="inlineStr">
        <is>
          <t>Recording ends</t>
        </is>
      </c>
      <c r="I11" s="6" t="inlineStr">
        <is>
          <t>Participant leaves</t>
        </is>
      </c>
      <c r="J11" s="6" t="inlineStr">
        <is>
          <t>Room ready</t>
        </is>
      </c>
      <c r="K11" s="6" t="inlineStr">
        <is>
          <t>Phase</t>
        </is>
      </c>
      <c r="L11" s="6" t="inlineStr">
        <is>
          <t>Participant code</t>
        </is>
      </c>
      <c r="M11" s="6" t="inlineStr">
        <is>
          <t>Latin square row</t>
        </is>
      </c>
      <c r="N11" s="6" t="inlineStr">
        <is>
          <t>Shift</t>
        </is>
      </c>
      <c r="O11" s="6" t="inlineStr">
        <is>
          <t>Staff pair</t>
        </is>
      </c>
      <c r="P11" s="6" t="inlineStr">
        <is>
          <t>Lead operator</t>
        </is>
      </c>
      <c r="Q11" s="6" t="inlineStr">
        <is>
          <t>Assistant</t>
        </is>
      </c>
      <c r="T11" s="17" t="inlineStr">
        <is>
          <t>R: date</t>
        </is>
      </c>
      <c r="U11" s="17" t="inlineStr">
        <is>
          <t>R: arrive</t>
        </is>
      </c>
      <c r="V11" s="17" t="inlineStr">
        <is>
          <t>R: code</t>
        </is>
      </c>
      <c r="W11" s="17" t="inlineStr">
        <is>
          <t>R: row</t>
        </is>
      </c>
      <c r="X11" s="17" t="inlineStr">
        <is>
          <t>R: lead</t>
        </is>
      </c>
      <c r="Y11" s="17" t="inlineStr">
        <is>
          <t>R: assistant</t>
        </is>
      </c>
    </row>
    <row r="12">
      <c r="A12" t="n">
        <v>1</v>
      </c>
      <c r="B12">
        <f>INT((A12-1)/$B$4)</f>
        <v/>
      </c>
      <c r="C12" s="16">
        <f>WORKDAY($B$3,B12)</f>
        <v/>
      </c>
      <c r="D12">
        <f>TEXT(C12,"dddd")</f>
        <v/>
      </c>
      <c r="E12">
        <f>MOD(A12-1,$B$4)+1</f>
        <v/>
      </c>
      <c r="F12" s="18">
        <f>$B$5+(E12-1)*$B$6/1440</f>
        <v/>
      </c>
      <c r="G12" s="18">
        <f>F12+25/1440</f>
        <v/>
      </c>
      <c r="H12" s="18">
        <f>F12+45/1440</f>
        <v/>
      </c>
      <c r="I12" s="18">
        <f>F12+60/1440</f>
        <v/>
      </c>
      <c r="J12" s="18">
        <f>F12+$B$6/1440</f>
        <v/>
      </c>
      <c r="K12">
        <f>IF(A12&lt;=$B$7,"main",IF(A12&lt;=$B$7+$B$8,"reserve","open"))</f>
        <v/>
      </c>
      <c r="L12">
        <f>IF(K12="main","P"&amp;TEXT(A12,"00"),IF(K12="reserve","R"&amp;TEXT(A12-$B$7,"00"),""))</f>
        <v/>
      </c>
      <c r="M12">
        <f>IF(K12="main",INDEX(Assignment!$C$4:$C$51,MATCH(L12,Assignment!$A$4:$A$51,0)),"")</f>
        <v/>
      </c>
      <c r="N12">
        <f>2*B12+IF(E12&gt;=4,1,0)</f>
        <v/>
      </c>
      <c r="O12">
        <f>MOD(N12,3)+1</f>
        <v/>
      </c>
      <c r="P12">
        <f>CHOOSE(O12,"S1","S3","S5")</f>
        <v/>
      </c>
      <c r="Q12">
        <f>CHOOSE(O12,"S2","S4","S6")</f>
        <v/>
      </c>
      <c r="T12" s="19" t="n">
        <v>46426</v>
      </c>
      <c r="U12" s="20" t="n">
        <v>0.375</v>
      </c>
      <c r="V12" s="12" t="inlineStr">
        <is>
          <t>P01</t>
        </is>
      </c>
      <c r="W12" s="12" t="n">
        <v>4</v>
      </c>
      <c r="X12" s="12" t="inlineStr">
        <is>
          <t>S1</t>
        </is>
      </c>
      <c r="Y12" s="12" t="inlineStr">
        <is>
          <t>S2</t>
        </is>
      </c>
    </row>
    <row r="13">
      <c r="A13" t="n">
        <v>2</v>
      </c>
      <c r="B13">
        <f>INT((A13-1)/$B$4)</f>
        <v/>
      </c>
      <c r="C13" s="16">
        <f>WORKDAY($B$3,B13)</f>
        <v/>
      </c>
      <c r="D13">
        <f>TEXT(C13,"dddd")</f>
        <v/>
      </c>
      <c r="E13">
        <f>MOD(A13-1,$B$4)+1</f>
        <v/>
      </c>
      <c r="F13" s="18">
        <f>$B$5+(E13-1)*$B$6/1440</f>
        <v/>
      </c>
      <c r="G13" s="18">
        <f>F13+25/1440</f>
        <v/>
      </c>
      <c r="H13" s="18">
        <f>F13+45/1440</f>
        <v/>
      </c>
      <c r="I13" s="18">
        <f>F13+60/1440</f>
        <v/>
      </c>
      <c r="J13" s="18">
        <f>F13+$B$6/1440</f>
        <v/>
      </c>
      <c r="K13">
        <f>IF(A13&lt;=$B$7,"main",IF(A13&lt;=$B$7+$B$8,"reserve","open"))</f>
        <v/>
      </c>
      <c r="L13">
        <f>IF(K13="main","P"&amp;TEXT(A13,"00"),IF(K13="reserve","R"&amp;TEXT(A13-$B$7,"00"),""))</f>
        <v/>
      </c>
      <c r="M13">
        <f>IF(K13="main",INDEX(Assignment!$C$4:$C$51,MATCH(L13,Assignment!$A$4:$A$51,0)),"")</f>
        <v/>
      </c>
      <c r="N13">
        <f>2*B13+IF(E13&gt;=4,1,0)</f>
        <v/>
      </c>
      <c r="O13">
        <f>MOD(N13,3)+1</f>
        <v/>
      </c>
      <c r="P13">
        <f>CHOOSE(O13,"S1","S3","S5")</f>
        <v/>
      </c>
      <c r="Q13">
        <f>CHOOSE(O13,"S2","S4","S6")</f>
        <v/>
      </c>
      <c r="T13" s="19" t="n">
        <v>46426</v>
      </c>
      <c r="U13" s="20" t="n">
        <v>0.4375</v>
      </c>
      <c r="V13" s="12" t="inlineStr">
        <is>
          <t>P02</t>
        </is>
      </c>
      <c r="W13" s="12" t="n">
        <v>3</v>
      </c>
      <c r="X13" s="12" t="inlineStr">
        <is>
          <t>S1</t>
        </is>
      </c>
      <c r="Y13" s="12" t="inlineStr">
        <is>
          <t>S2</t>
        </is>
      </c>
    </row>
    <row r="14">
      <c r="A14" t="n">
        <v>3</v>
      </c>
      <c r="B14">
        <f>INT((A14-1)/$B$4)</f>
        <v/>
      </c>
      <c r="C14" s="16">
        <f>WORKDAY($B$3,B14)</f>
        <v/>
      </c>
      <c r="D14">
        <f>TEXT(C14,"dddd")</f>
        <v/>
      </c>
      <c r="E14">
        <f>MOD(A14-1,$B$4)+1</f>
        <v/>
      </c>
      <c r="F14" s="18">
        <f>$B$5+(E14-1)*$B$6/1440</f>
        <v/>
      </c>
      <c r="G14" s="18">
        <f>F14+25/1440</f>
        <v/>
      </c>
      <c r="H14" s="18">
        <f>F14+45/1440</f>
        <v/>
      </c>
      <c r="I14" s="18">
        <f>F14+60/1440</f>
        <v/>
      </c>
      <c r="J14" s="18">
        <f>F14+$B$6/1440</f>
        <v/>
      </c>
      <c r="K14">
        <f>IF(A14&lt;=$B$7,"main",IF(A14&lt;=$B$7+$B$8,"reserve","open"))</f>
        <v/>
      </c>
      <c r="L14">
        <f>IF(K14="main","P"&amp;TEXT(A14,"00"),IF(K14="reserve","R"&amp;TEXT(A14-$B$7,"00"),""))</f>
        <v/>
      </c>
      <c r="M14">
        <f>IF(K14="main",INDEX(Assignment!$C$4:$C$51,MATCH(L14,Assignment!$A$4:$A$51,0)),"")</f>
        <v/>
      </c>
      <c r="N14">
        <f>2*B14+IF(E14&gt;=4,1,0)</f>
        <v/>
      </c>
      <c r="O14">
        <f>MOD(N14,3)+1</f>
        <v/>
      </c>
      <c r="P14">
        <f>CHOOSE(O14,"S1","S3","S5")</f>
        <v/>
      </c>
      <c r="Q14">
        <f>CHOOSE(O14,"S2","S4","S6")</f>
        <v/>
      </c>
      <c r="T14" s="19" t="n">
        <v>46426</v>
      </c>
      <c r="U14" s="20" t="n">
        <v>0.5</v>
      </c>
      <c r="V14" s="12" t="inlineStr">
        <is>
          <t>P03</t>
        </is>
      </c>
      <c r="W14" s="12" t="n">
        <v>2</v>
      </c>
      <c r="X14" s="12" t="inlineStr">
        <is>
          <t>S1</t>
        </is>
      </c>
      <c r="Y14" s="12" t="inlineStr">
        <is>
          <t>S2</t>
        </is>
      </c>
    </row>
    <row r="15">
      <c r="A15" t="n">
        <v>4</v>
      </c>
      <c r="B15">
        <f>INT((A15-1)/$B$4)</f>
        <v/>
      </c>
      <c r="C15" s="16">
        <f>WORKDAY($B$3,B15)</f>
        <v/>
      </c>
      <c r="D15">
        <f>TEXT(C15,"dddd")</f>
        <v/>
      </c>
      <c r="E15">
        <f>MOD(A15-1,$B$4)+1</f>
        <v/>
      </c>
      <c r="F15" s="18">
        <f>$B$5+(E15-1)*$B$6/1440</f>
        <v/>
      </c>
      <c r="G15" s="18">
        <f>F15+25/1440</f>
        <v/>
      </c>
      <c r="H15" s="18">
        <f>F15+45/1440</f>
        <v/>
      </c>
      <c r="I15" s="18">
        <f>F15+60/1440</f>
        <v/>
      </c>
      <c r="J15" s="18">
        <f>F15+$B$6/1440</f>
        <v/>
      </c>
      <c r="K15">
        <f>IF(A15&lt;=$B$7,"main",IF(A15&lt;=$B$7+$B$8,"reserve","open"))</f>
        <v/>
      </c>
      <c r="L15">
        <f>IF(K15="main","P"&amp;TEXT(A15,"00"),IF(K15="reserve","R"&amp;TEXT(A15-$B$7,"00"),""))</f>
        <v/>
      </c>
      <c r="M15">
        <f>IF(K15="main",INDEX(Assignment!$C$4:$C$51,MATCH(L15,Assignment!$A$4:$A$51,0)),"")</f>
        <v/>
      </c>
      <c r="N15">
        <f>2*B15+IF(E15&gt;=4,1,0)</f>
        <v/>
      </c>
      <c r="O15">
        <f>MOD(N15,3)+1</f>
        <v/>
      </c>
      <c r="P15">
        <f>CHOOSE(O15,"S1","S3","S5")</f>
        <v/>
      </c>
      <c r="Q15">
        <f>CHOOSE(O15,"S2","S4","S6")</f>
        <v/>
      </c>
      <c r="T15" s="19" t="n">
        <v>46426</v>
      </c>
      <c r="U15" s="20" t="n">
        <v>0.5625</v>
      </c>
      <c r="V15" s="12" t="inlineStr">
        <is>
          <t>P04</t>
        </is>
      </c>
      <c r="W15" s="12" t="n">
        <v>9</v>
      </c>
      <c r="X15" s="12" t="inlineStr">
        <is>
          <t>S3</t>
        </is>
      </c>
      <c r="Y15" s="12" t="inlineStr">
        <is>
          <t>S4</t>
        </is>
      </c>
    </row>
    <row r="16">
      <c r="A16" t="n">
        <v>5</v>
      </c>
      <c r="B16">
        <f>INT((A16-1)/$B$4)</f>
        <v/>
      </c>
      <c r="C16" s="16">
        <f>WORKDAY($B$3,B16)</f>
        <v/>
      </c>
      <c r="D16">
        <f>TEXT(C16,"dddd")</f>
        <v/>
      </c>
      <c r="E16">
        <f>MOD(A16-1,$B$4)+1</f>
        <v/>
      </c>
      <c r="F16" s="18">
        <f>$B$5+(E16-1)*$B$6/1440</f>
        <v/>
      </c>
      <c r="G16" s="18">
        <f>F16+25/1440</f>
        <v/>
      </c>
      <c r="H16" s="18">
        <f>F16+45/1440</f>
        <v/>
      </c>
      <c r="I16" s="18">
        <f>F16+60/1440</f>
        <v/>
      </c>
      <c r="J16" s="18">
        <f>F16+$B$6/1440</f>
        <v/>
      </c>
      <c r="K16">
        <f>IF(A16&lt;=$B$7,"main",IF(A16&lt;=$B$7+$B$8,"reserve","open"))</f>
        <v/>
      </c>
      <c r="L16">
        <f>IF(K16="main","P"&amp;TEXT(A16,"00"),IF(K16="reserve","R"&amp;TEXT(A16-$B$7,"00"),""))</f>
        <v/>
      </c>
      <c r="M16">
        <f>IF(K16="main",INDEX(Assignment!$C$4:$C$51,MATCH(L16,Assignment!$A$4:$A$51,0)),"")</f>
        <v/>
      </c>
      <c r="N16">
        <f>2*B16+IF(E16&gt;=4,1,0)</f>
        <v/>
      </c>
      <c r="O16">
        <f>MOD(N16,3)+1</f>
        <v/>
      </c>
      <c r="P16">
        <f>CHOOSE(O16,"S1","S3","S5")</f>
        <v/>
      </c>
      <c r="Q16">
        <f>CHOOSE(O16,"S2","S4","S6")</f>
        <v/>
      </c>
      <c r="T16" s="19" t="n">
        <v>46426</v>
      </c>
      <c r="U16" s="20" t="n">
        <v>0.625</v>
      </c>
      <c r="V16" s="12" t="inlineStr">
        <is>
          <t>P05</t>
        </is>
      </c>
      <c r="W16" s="12" t="n">
        <v>1</v>
      </c>
      <c r="X16" s="12" t="inlineStr">
        <is>
          <t>S3</t>
        </is>
      </c>
      <c r="Y16" s="12" t="inlineStr">
        <is>
          <t>S4</t>
        </is>
      </c>
    </row>
    <row r="17">
      <c r="A17" t="n">
        <v>6</v>
      </c>
      <c r="B17">
        <f>INT((A17-1)/$B$4)</f>
        <v/>
      </c>
      <c r="C17" s="16">
        <f>WORKDAY($B$3,B17)</f>
        <v/>
      </c>
      <c r="D17">
        <f>TEXT(C17,"dddd")</f>
        <v/>
      </c>
      <c r="E17">
        <f>MOD(A17-1,$B$4)+1</f>
        <v/>
      </c>
      <c r="F17" s="18">
        <f>$B$5+(E17-1)*$B$6/1440</f>
        <v/>
      </c>
      <c r="G17" s="18">
        <f>F17+25/1440</f>
        <v/>
      </c>
      <c r="H17" s="18">
        <f>F17+45/1440</f>
        <v/>
      </c>
      <c r="I17" s="18">
        <f>F17+60/1440</f>
        <v/>
      </c>
      <c r="J17" s="18">
        <f>F17+$B$6/1440</f>
        <v/>
      </c>
      <c r="K17">
        <f>IF(A17&lt;=$B$7,"main",IF(A17&lt;=$B$7+$B$8,"reserve","open"))</f>
        <v/>
      </c>
      <c r="L17">
        <f>IF(K17="main","P"&amp;TEXT(A17,"00"),IF(K17="reserve","R"&amp;TEXT(A17-$B$7,"00"),""))</f>
        <v/>
      </c>
      <c r="M17">
        <f>IF(K17="main",INDEX(Assignment!$C$4:$C$51,MATCH(L17,Assignment!$A$4:$A$51,0)),"")</f>
        <v/>
      </c>
      <c r="N17">
        <f>2*B17+IF(E17&gt;=4,1,0)</f>
        <v/>
      </c>
      <c r="O17">
        <f>MOD(N17,3)+1</f>
        <v/>
      </c>
      <c r="P17">
        <f>CHOOSE(O17,"S1","S3","S5")</f>
        <v/>
      </c>
      <c r="Q17">
        <f>CHOOSE(O17,"S2","S4","S6")</f>
        <v/>
      </c>
      <c r="T17" s="19" t="n">
        <v>46427</v>
      </c>
      <c r="U17" s="20" t="n">
        <v>0.375</v>
      </c>
      <c r="V17" s="12" t="inlineStr">
        <is>
          <t>P06</t>
        </is>
      </c>
      <c r="W17" s="12" t="n">
        <v>5</v>
      </c>
      <c r="X17" s="12" t="inlineStr">
        <is>
          <t>S5</t>
        </is>
      </c>
      <c r="Y17" s="12" t="inlineStr">
        <is>
          <t>S6</t>
        </is>
      </c>
    </row>
    <row r="18">
      <c r="A18" t="n">
        <v>7</v>
      </c>
      <c r="B18">
        <f>INT((A18-1)/$B$4)</f>
        <v/>
      </c>
      <c r="C18" s="16">
        <f>WORKDAY($B$3,B18)</f>
        <v/>
      </c>
      <c r="D18">
        <f>TEXT(C18,"dddd")</f>
        <v/>
      </c>
      <c r="E18">
        <f>MOD(A18-1,$B$4)+1</f>
        <v/>
      </c>
      <c r="F18" s="18">
        <f>$B$5+(E18-1)*$B$6/1440</f>
        <v/>
      </c>
      <c r="G18" s="18">
        <f>F18+25/1440</f>
        <v/>
      </c>
      <c r="H18" s="18">
        <f>F18+45/1440</f>
        <v/>
      </c>
      <c r="I18" s="18">
        <f>F18+60/1440</f>
        <v/>
      </c>
      <c r="J18" s="18">
        <f>F18+$B$6/1440</f>
        <v/>
      </c>
      <c r="K18">
        <f>IF(A18&lt;=$B$7,"main",IF(A18&lt;=$B$7+$B$8,"reserve","open"))</f>
        <v/>
      </c>
      <c r="L18">
        <f>IF(K18="main","P"&amp;TEXT(A18,"00"),IF(K18="reserve","R"&amp;TEXT(A18-$B$7,"00"),""))</f>
        <v/>
      </c>
      <c r="M18">
        <f>IF(K18="main",INDEX(Assignment!$C$4:$C$51,MATCH(L18,Assignment!$A$4:$A$51,0)),"")</f>
        <v/>
      </c>
      <c r="N18">
        <f>2*B18+IF(E18&gt;=4,1,0)</f>
        <v/>
      </c>
      <c r="O18">
        <f>MOD(N18,3)+1</f>
        <v/>
      </c>
      <c r="P18">
        <f>CHOOSE(O18,"S1","S3","S5")</f>
        <v/>
      </c>
      <c r="Q18">
        <f>CHOOSE(O18,"S2","S4","S6")</f>
        <v/>
      </c>
      <c r="T18" s="19" t="n">
        <v>46427</v>
      </c>
      <c r="U18" s="20" t="n">
        <v>0.4375</v>
      </c>
      <c r="V18" s="12" t="inlineStr">
        <is>
          <t>P07</t>
        </is>
      </c>
      <c r="W18" s="12" t="n">
        <v>12</v>
      </c>
      <c r="X18" s="12" t="inlineStr">
        <is>
          <t>S5</t>
        </is>
      </c>
      <c r="Y18" s="12" t="inlineStr">
        <is>
          <t>S6</t>
        </is>
      </c>
    </row>
    <row r="19">
      <c r="A19" t="n">
        <v>8</v>
      </c>
      <c r="B19">
        <f>INT((A19-1)/$B$4)</f>
        <v/>
      </c>
      <c r="C19" s="16">
        <f>WORKDAY($B$3,B19)</f>
        <v/>
      </c>
      <c r="D19">
        <f>TEXT(C19,"dddd")</f>
        <v/>
      </c>
      <c r="E19">
        <f>MOD(A19-1,$B$4)+1</f>
        <v/>
      </c>
      <c r="F19" s="18">
        <f>$B$5+(E19-1)*$B$6/1440</f>
        <v/>
      </c>
      <c r="G19" s="18">
        <f>F19+25/1440</f>
        <v/>
      </c>
      <c r="H19" s="18">
        <f>F19+45/1440</f>
        <v/>
      </c>
      <c r="I19" s="18">
        <f>F19+60/1440</f>
        <v/>
      </c>
      <c r="J19" s="18">
        <f>F19+$B$6/1440</f>
        <v/>
      </c>
      <c r="K19">
        <f>IF(A19&lt;=$B$7,"main",IF(A19&lt;=$B$7+$B$8,"reserve","open"))</f>
        <v/>
      </c>
      <c r="L19">
        <f>IF(K19="main","P"&amp;TEXT(A19,"00"),IF(K19="reserve","R"&amp;TEXT(A19-$B$7,"00"),""))</f>
        <v/>
      </c>
      <c r="M19">
        <f>IF(K19="main",INDEX(Assignment!$C$4:$C$51,MATCH(L19,Assignment!$A$4:$A$51,0)),"")</f>
        <v/>
      </c>
      <c r="N19">
        <f>2*B19+IF(E19&gt;=4,1,0)</f>
        <v/>
      </c>
      <c r="O19">
        <f>MOD(N19,3)+1</f>
        <v/>
      </c>
      <c r="P19">
        <f>CHOOSE(O19,"S1","S3","S5")</f>
        <v/>
      </c>
      <c r="Q19">
        <f>CHOOSE(O19,"S2","S4","S6")</f>
        <v/>
      </c>
      <c r="T19" s="19" t="n">
        <v>46427</v>
      </c>
      <c r="U19" s="20" t="n">
        <v>0.5</v>
      </c>
      <c r="V19" s="12" t="inlineStr">
        <is>
          <t>P08</t>
        </is>
      </c>
      <c r="W19" s="12" t="n">
        <v>8</v>
      </c>
      <c r="X19" s="12" t="inlineStr">
        <is>
          <t>S5</t>
        </is>
      </c>
      <c r="Y19" s="12" t="inlineStr">
        <is>
          <t>S6</t>
        </is>
      </c>
    </row>
    <row r="20">
      <c r="A20" t="n">
        <v>9</v>
      </c>
      <c r="B20">
        <f>INT((A20-1)/$B$4)</f>
        <v/>
      </c>
      <c r="C20" s="16">
        <f>WORKDAY($B$3,B20)</f>
        <v/>
      </c>
      <c r="D20">
        <f>TEXT(C20,"dddd")</f>
        <v/>
      </c>
      <c r="E20">
        <f>MOD(A20-1,$B$4)+1</f>
        <v/>
      </c>
      <c r="F20" s="18">
        <f>$B$5+(E20-1)*$B$6/1440</f>
        <v/>
      </c>
      <c r="G20" s="18">
        <f>F20+25/1440</f>
        <v/>
      </c>
      <c r="H20" s="18">
        <f>F20+45/1440</f>
        <v/>
      </c>
      <c r="I20" s="18">
        <f>F20+60/1440</f>
        <v/>
      </c>
      <c r="J20" s="18">
        <f>F20+$B$6/1440</f>
        <v/>
      </c>
      <c r="K20">
        <f>IF(A20&lt;=$B$7,"main",IF(A20&lt;=$B$7+$B$8,"reserve","open"))</f>
        <v/>
      </c>
      <c r="L20">
        <f>IF(K20="main","P"&amp;TEXT(A20,"00"),IF(K20="reserve","R"&amp;TEXT(A20-$B$7,"00"),""))</f>
        <v/>
      </c>
      <c r="M20">
        <f>IF(K20="main",INDEX(Assignment!$C$4:$C$51,MATCH(L20,Assignment!$A$4:$A$51,0)),"")</f>
        <v/>
      </c>
      <c r="N20">
        <f>2*B20+IF(E20&gt;=4,1,0)</f>
        <v/>
      </c>
      <c r="O20">
        <f>MOD(N20,3)+1</f>
        <v/>
      </c>
      <c r="P20">
        <f>CHOOSE(O20,"S1","S3","S5")</f>
        <v/>
      </c>
      <c r="Q20">
        <f>CHOOSE(O20,"S2","S4","S6")</f>
        <v/>
      </c>
      <c r="T20" s="19" t="n">
        <v>46427</v>
      </c>
      <c r="U20" s="20" t="n">
        <v>0.5625</v>
      </c>
      <c r="V20" s="12" t="inlineStr">
        <is>
          <t>P09</t>
        </is>
      </c>
      <c r="W20" s="12" t="n">
        <v>7</v>
      </c>
      <c r="X20" s="12" t="inlineStr">
        <is>
          <t>S1</t>
        </is>
      </c>
      <c r="Y20" s="12" t="inlineStr">
        <is>
          <t>S2</t>
        </is>
      </c>
    </row>
    <row r="21">
      <c r="A21" t="n">
        <v>10</v>
      </c>
      <c r="B21">
        <f>INT((A21-1)/$B$4)</f>
        <v/>
      </c>
      <c r="C21" s="16">
        <f>WORKDAY($B$3,B21)</f>
        <v/>
      </c>
      <c r="D21">
        <f>TEXT(C21,"dddd")</f>
        <v/>
      </c>
      <c r="E21">
        <f>MOD(A21-1,$B$4)+1</f>
        <v/>
      </c>
      <c r="F21" s="18">
        <f>$B$5+(E21-1)*$B$6/1440</f>
        <v/>
      </c>
      <c r="G21" s="18">
        <f>F21+25/1440</f>
        <v/>
      </c>
      <c r="H21" s="18">
        <f>F21+45/1440</f>
        <v/>
      </c>
      <c r="I21" s="18">
        <f>F21+60/1440</f>
        <v/>
      </c>
      <c r="J21" s="18">
        <f>F21+$B$6/1440</f>
        <v/>
      </c>
      <c r="K21">
        <f>IF(A21&lt;=$B$7,"main",IF(A21&lt;=$B$7+$B$8,"reserve","open"))</f>
        <v/>
      </c>
      <c r="L21">
        <f>IF(K21="main","P"&amp;TEXT(A21,"00"),IF(K21="reserve","R"&amp;TEXT(A21-$B$7,"00"),""))</f>
        <v/>
      </c>
      <c r="M21">
        <f>IF(K21="main",INDEX(Assignment!$C$4:$C$51,MATCH(L21,Assignment!$A$4:$A$51,0)),"")</f>
        <v/>
      </c>
      <c r="N21">
        <f>2*B21+IF(E21&gt;=4,1,0)</f>
        <v/>
      </c>
      <c r="O21">
        <f>MOD(N21,3)+1</f>
        <v/>
      </c>
      <c r="P21">
        <f>CHOOSE(O21,"S1","S3","S5")</f>
        <v/>
      </c>
      <c r="Q21">
        <f>CHOOSE(O21,"S2","S4","S6")</f>
        <v/>
      </c>
      <c r="T21" s="19" t="n">
        <v>46427</v>
      </c>
      <c r="U21" s="20" t="n">
        <v>0.625</v>
      </c>
      <c r="V21" s="12" t="inlineStr">
        <is>
          <t>P10</t>
        </is>
      </c>
      <c r="W21" s="12" t="n">
        <v>11</v>
      </c>
      <c r="X21" s="12" t="inlineStr">
        <is>
          <t>S1</t>
        </is>
      </c>
      <c r="Y21" s="12" t="inlineStr">
        <is>
          <t>S2</t>
        </is>
      </c>
    </row>
    <row r="22">
      <c r="A22" t="n">
        <v>11</v>
      </c>
      <c r="B22">
        <f>INT((A22-1)/$B$4)</f>
        <v/>
      </c>
      <c r="C22" s="16">
        <f>WORKDAY($B$3,B22)</f>
        <v/>
      </c>
      <c r="D22">
        <f>TEXT(C22,"dddd")</f>
        <v/>
      </c>
      <c r="E22">
        <f>MOD(A22-1,$B$4)+1</f>
        <v/>
      </c>
      <c r="F22" s="18">
        <f>$B$5+(E22-1)*$B$6/1440</f>
        <v/>
      </c>
      <c r="G22" s="18">
        <f>F22+25/1440</f>
        <v/>
      </c>
      <c r="H22" s="18">
        <f>F22+45/1440</f>
        <v/>
      </c>
      <c r="I22" s="18">
        <f>F22+60/1440</f>
        <v/>
      </c>
      <c r="J22" s="18">
        <f>F22+$B$6/1440</f>
        <v/>
      </c>
      <c r="K22">
        <f>IF(A22&lt;=$B$7,"main",IF(A22&lt;=$B$7+$B$8,"reserve","open"))</f>
        <v/>
      </c>
      <c r="L22">
        <f>IF(K22="main","P"&amp;TEXT(A22,"00"),IF(K22="reserve","R"&amp;TEXT(A22-$B$7,"00"),""))</f>
        <v/>
      </c>
      <c r="M22">
        <f>IF(K22="main",INDEX(Assignment!$C$4:$C$51,MATCH(L22,Assignment!$A$4:$A$51,0)),"")</f>
        <v/>
      </c>
      <c r="N22">
        <f>2*B22+IF(E22&gt;=4,1,0)</f>
        <v/>
      </c>
      <c r="O22">
        <f>MOD(N22,3)+1</f>
        <v/>
      </c>
      <c r="P22">
        <f>CHOOSE(O22,"S1","S3","S5")</f>
        <v/>
      </c>
      <c r="Q22">
        <f>CHOOSE(O22,"S2","S4","S6")</f>
        <v/>
      </c>
      <c r="T22" s="19" t="n">
        <v>46428</v>
      </c>
      <c r="U22" s="20" t="n">
        <v>0.375</v>
      </c>
      <c r="V22" s="12" t="inlineStr">
        <is>
          <t>P11</t>
        </is>
      </c>
      <c r="W22" s="12" t="n">
        <v>6</v>
      </c>
      <c r="X22" s="12" t="inlineStr">
        <is>
          <t>S3</t>
        </is>
      </c>
      <c r="Y22" s="12" t="inlineStr">
        <is>
          <t>S4</t>
        </is>
      </c>
    </row>
    <row r="23">
      <c r="A23" t="n">
        <v>12</v>
      </c>
      <c r="B23">
        <f>INT((A23-1)/$B$4)</f>
        <v/>
      </c>
      <c r="C23" s="16">
        <f>WORKDAY($B$3,B23)</f>
        <v/>
      </c>
      <c r="D23">
        <f>TEXT(C23,"dddd")</f>
        <v/>
      </c>
      <c r="E23">
        <f>MOD(A23-1,$B$4)+1</f>
        <v/>
      </c>
      <c r="F23" s="18">
        <f>$B$5+(E23-1)*$B$6/1440</f>
        <v/>
      </c>
      <c r="G23" s="18">
        <f>F23+25/1440</f>
        <v/>
      </c>
      <c r="H23" s="18">
        <f>F23+45/1440</f>
        <v/>
      </c>
      <c r="I23" s="18">
        <f>F23+60/1440</f>
        <v/>
      </c>
      <c r="J23" s="18">
        <f>F23+$B$6/1440</f>
        <v/>
      </c>
      <c r="K23">
        <f>IF(A23&lt;=$B$7,"main",IF(A23&lt;=$B$7+$B$8,"reserve","open"))</f>
        <v/>
      </c>
      <c r="L23">
        <f>IF(K23="main","P"&amp;TEXT(A23,"00"),IF(K23="reserve","R"&amp;TEXT(A23-$B$7,"00"),""))</f>
        <v/>
      </c>
      <c r="M23">
        <f>IF(K23="main",INDEX(Assignment!$C$4:$C$51,MATCH(L23,Assignment!$A$4:$A$51,0)),"")</f>
        <v/>
      </c>
      <c r="N23">
        <f>2*B23+IF(E23&gt;=4,1,0)</f>
        <v/>
      </c>
      <c r="O23">
        <f>MOD(N23,3)+1</f>
        <v/>
      </c>
      <c r="P23">
        <f>CHOOSE(O23,"S1","S3","S5")</f>
        <v/>
      </c>
      <c r="Q23">
        <f>CHOOSE(O23,"S2","S4","S6")</f>
        <v/>
      </c>
      <c r="T23" s="19" t="n">
        <v>46428</v>
      </c>
      <c r="U23" s="20" t="n">
        <v>0.4375</v>
      </c>
      <c r="V23" s="12" t="inlineStr">
        <is>
          <t>P12</t>
        </is>
      </c>
      <c r="W23" s="12" t="n">
        <v>10</v>
      </c>
      <c r="X23" s="12" t="inlineStr">
        <is>
          <t>S3</t>
        </is>
      </c>
      <c r="Y23" s="12" t="inlineStr">
        <is>
          <t>S4</t>
        </is>
      </c>
    </row>
    <row r="24">
      <c r="A24" t="n">
        <v>13</v>
      </c>
      <c r="B24">
        <f>INT((A24-1)/$B$4)</f>
        <v/>
      </c>
      <c r="C24" s="16">
        <f>WORKDAY($B$3,B24)</f>
        <v/>
      </c>
      <c r="D24">
        <f>TEXT(C24,"dddd")</f>
        <v/>
      </c>
      <c r="E24">
        <f>MOD(A24-1,$B$4)+1</f>
        <v/>
      </c>
      <c r="F24" s="18">
        <f>$B$5+(E24-1)*$B$6/1440</f>
        <v/>
      </c>
      <c r="G24" s="18">
        <f>F24+25/1440</f>
        <v/>
      </c>
      <c r="H24" s="18">
        <f>F24+45/1440</f>
        <v/>
      </c>
      <c r="I24" s="18">
        <f>F24+60/1440</f>
        <v/>
      </c>
      <c r="J24" s="18">
        <f>F24+$B$6/1440</f>
        <v/>
      </c>
      <c r="K24">
        <f>IF(A24&lt;=$B$7,"main",IF(A24&lt;=$B$7+$B$8,"reserve","open"))</f>
        <v/>
      </c>
      <c r="L24">
        <f>IF(K24="main","P"&amp;TEXT(A24,"00"),IF(K24="reserve","R"&amp;TEXT(A24-$B$7,"00"),""))</f>
        <v/>
      </c>
      <c r="M24">
        <f>IF(K24="main",INDEX(Assignment!$C$4:$C$51,MATCH(L24,Assignment!$A$4:$A$51,0)),"")</f>
        <v/>
      </c>
      <c r="N24">
        <f>2*B24+IF(E24&gt;=4,1,0)</f>
        <v/>
      </c>
      <c r="O24">
        <f>MOD(N24,3)+1</f>
        <v/>
      </c>
      <c r="P24">
        <f>CHOOSE(O24,"S1","S3","S5")</f>
        <v/>
      </c>
      <c r="Q24">
        <f>CHOOSE(O24,"S2","S4","S6")</f>
        <v/>
      </c>
      <c r="T24" s="19" t="n">
        <v>46428</v>
      </c>
      <c r="U24" s="20" t="n">
        <v>0.5</v>
      </c>
      <c r="V24" s="12" t="inlineStr">
        <is>
          <t>P13</t>
        </is>
      </c>
      <c r="W24" s="12" t="n">
        <v>7</v>
      </c>
      <c r="X24" s="12" t="inlineStr">
        <is>
          <t>S3</t>
        </is>
      </c>
      <c r="Y24" s="12" t="inlineStr">
        <is>
          <t>S4</t>
        </is>
      </c>
    </row>
    <row r="25">
      <c r="A25" t="n">
        <v>14</v>
      </c>
      <c r="B25">
        <f>INT((A25-1)/$B$4)</f>
        <v/>
      </c>
      <c r="C25" s="16">
        <f>WORKDAY($B$3,B25)</f>
        <v/>
      </c>
      <c r="D25">
        <f>TEXT(C25,"dddd")</f>
        <v/>
      </c>
      <c r="E25">
        <f>MOD(A25-1,$B$4)+1</f>
        <v/>
      </c>
      <c r="F25" s="18">
        <f>$B$5+(E25-1)*$B$6/1440</f>
        <v/>
      </c>
      <c r="G25" s="18">
        <f>F25+25/1440</f>
        <v/>
      </c>
      <c r="H25" s="18">
        <f>F25+45/1440</f>
        <v/>
      </c>
      <c r="I25" s="18">
        <f>F25+60/1440</f>
        <v/>
      </c>
      <c r="J25" s="18">
        <f>F25+$B$6/1440</f>
        <v/>
      </c>
      <c r="K25">
        <f>IF(A25&lt;=$B$7,"main",IF(A25&lt;=$B$7+$B$8,"reserve","open"))</f>
        <v/>
      </c>
      <c r="L25">
        <f>IF(K25="main","P"&amp;TEXT(A25,"00"),IF(K25="reserve","R"&amp;TEXT(A25-$B$7,"00"),""))</f>
        <v/>
      </c>
      <c r="M25">
        <f>IF(K25="main",INDEX(Assignment!$C$4:$C$51,MATCH(L25,Assignment!$A$4:$A$51,0)),"")</f>
        <v/>
      </c>
      <c r="N25">
        <f>2*B25+IF(E25&gt;=4,1,0)</f>
        <v/>
      </c>
      <c r="O25">
        <f>MOD(N25,3)+1</f>
        <v/>
      </c>
      <c r="P25">
        <f>CHOOSE(O25,"S1","S3","S5")</f>
        <v/>
      </c>
      <c r="Q25">
        <f>CHOOSE(O25,"S2","S4","S6")</f>
        <v/>
      </c>
      <c r="T25" s="19" t="n">
        <v>46428</v>
      </c>
      <c r="U25" s="20" t="n">
        <v>0.5625</v>
      </c>
      <c r="V25" s="12" t="inlineStr">
        <is>
          <t>P14</t>
        </is>
      </c>
      <c r="W25" s="12" t="n">
        <v>9</v>
      </c>
      <c r="X25" s="12" t="inlineStr">
        <is>
          <t>S5</t>
        </is>
      </c>
      <c r="Y25" s="12" t="inlineStr">
        <is>
          <t>S6</t>
        </is>
      </c>
    </row>
    <row r="26">
      <c r="A26" t="n">
        <v>15</v>
      </c>
      <c r="B26">
        <f>INT((A26-1)/$B$4)</f>
        <v/>
      </c>
      <c r="C26" s="16">
        <f>WORKDAY($B$3,B26)</f>
        <v/>
      </c>
      <c r="D26">
        <f>TEXT(C26,"dddd")</f>
        <v/>
      </c>
      <c r="E26">
        <f>MOD(A26-1,$B$4)+1</f>
        <v/>
      </c>
      <c r="F26" s="18">
        <f>$B$5+(E26-1)*$B$6/1440</f>
        <v/>
      </c>
      <c r="G26" s="18">
        <f>F26+25/1440</f>
        <v/>
      </c>
      <c r="H26" s="18">
        <f>F26+45/1440</f>
        <v/>
      </c>
      <c r="I26" s="18">
        <f>F26+60/1440</f>
        <v/>
      </c>
      <c r="J26" s="18">
        <f>F26+$B$6/1440</f>
        <v/>
      </c>
      <c r="K26">
        <f>IF(A26&lt;=$B$7,"main",IF(A26&lt;=$B$7+$B$8,"reserve","open"))</f>
        <v/>
      </c>
      <c r="L26">
        <f>IF(K26="main","P"&amp;TEXT(A26,"00"),IF(K26="reserve","R"&amp;TEXT(A26-$B$7,"00"),""))</f>
        <v/>
      </c>
      <c r="M26">
        <f>IF(K26="main",INDEX(Assignment!$C$4:$C$51,MATCH(L26,Assignment!$A$4:$A$51,0)),"")</f>
        <v/>
      </c>
      <c r="N26">
        <f>2*B26+IF(E26&gt;=4,1,0)</f>
        <v/>
      </c>
      <c r="O26">
        <f>MOD(N26,3)+1</f>
        <v/>
      </c>
      <c r="P26">
        <f>CHOOSE(O26,"S1","S3","S5")</f>
        <v/>
      </c>
      <c r="Q26">
        <f>CHOOSE(O26,"S2","S4","S6")</f>
        <v/>
      </c>
      <c r="T26" s="19" t="n">
        <v>46428</v>
      </c>
      <c r="U26" s="20" t="n">
        <v>0.625</v>
      </c>
      <c r="V26" s="12" t="inlineStr">
        <is>
          <t>P15</t>
        </is>
      </c>
      <c r="W26" s="12" t="n">
        <v>6</v>
      </c>
      <c r="X26" s="12" t="inlineStr">
        <is>
          <t>S5</t>
        </is>
      </c>
      <c r="Y26" s="12" t="inlineStr">
        <is>
          <t>S6</t>
        </is>
      </c>
    </row>
    <row r="27">
      <c r="A27" t="n">
        <v>16</v>
      </c>
      <c r="B27">
        <f>INT((A27-1)/$B$4)</f>
        <v/>
      </c>
      <c r="C27" s="16">
        <f>WORKDAY($B$3,B27)</f>
        <v/>
      </c>
      <c r="D27">
        <f>TEXT(C27,"dddd")</f>
        <v/>
      </c>
      <c r="E27">
        <f>MOD(A27-1,$B$4)+1</f>
        <v/>
      </c>
      <c r="F27" s="18">
        <f>$B$5+(E27-1)*$B$6/1440</f>
        <v/>
      </c>
      <c r="G27" s="18">
        <f>F27+25/1440</f>
        <v/>
      </c>
      <c r="H27" s="18">
        <f>F27+45/1440</f>
        <v/>
      </c>
      <c r="I27" s="18">
        <f>F27+60/1440</f>
        <v/>
      </c>
      <c r="J27" s="18">
        <f>F27+$B$6/1440</f>
        <v/>
      </c>
      <c r="K27">
        <f>IF(A27&lt;=$B$7,"main",IF(A27&lt;=$B$7+$B$8,"reserve","open"))</f>
        <v/>
      </c>
      <c r="L27">
        <f>IF(K27="main","P"&amp;TEXT(A27,"00"),IF(K27="reserve","R"&amp;TEXT(A27-$B$7,"00"),""))</f>
        <v/>
      </c>
      <c r="M27">
        <f>IF(K27="main",INDEX(Assignment!$C$4:$C$51,MATCH(L27,Assignment!$A$4:$A$51,0)),"")</f>
        <v/>
      </c>
      <c r="N27">
        <f>2*B27+IF(E27&gt;=4,1,0)</f>
        <v/>
      </c>
      <c r="O27">
        <f>MOD(N27,3)+1</f>
        <v/>
      </c>
      <c r="P27">
        <f>CHOOSE(O27,"S1","S3","S5")</f>
        <v/>
      </c>
      <c r="Q27">
        <f>CHOOSE(O27,"S2","S4","S6")</f>
        <v/>
      </c>
      <c r="T27" s="19" t="n">
        <v>46429</v>
      </c>
      <c r="U27" s="20" t="n">
        <v>0.375</v>
      </c>
      <c r="V27" s="12" t="inlineStr">
        <is>
          <t>P16</t>
        </is>
      </c>
      <c r="W27" s="12" t="n">
        <v>3</v>
      </c>
      <c r="X27" s="12" t="inlineStr">
        <is>
          <t>S1</t>
        </is>
      </c>
      <c r="Y27" s="12" t="inlineStr">
        <is>
          <t>S2</t>
        </is>
      </c>
    </row>
    <row r="28">
      <c r="A28" t="n">
        <v>17</v>
      </c>
      <c r="B28">
        <f>INT((A28-1)/$B$4)</f>
        <v/>
      </c>
      <c r="C28" s="16">
        <f>WORKDAY($B$3,B28)</f>
        <v/>
      </c>
      <c r="D28">
        <f>TEXT(C28,"dddd")</f>
        <v/>
      </c>
      <c r="E28">
        <f>MOD(A28-1,$B$4)+1</f>
        <v/>
      </c>
      <c r="F28" s="18">
        <f>$B$5+(E28-1)*$B$6/1440</f>
        <v/>
      </c>
      <c r="G28" s="18">
        <f>F28+25/1440</f>
        <v/>
      </c>
      <c r="H28" s="18">
        <f>F28+45/1440</f>
        <v/>
      </c>
      <c r="I28" s="18">
        <f>F28+60/1440</f>
        <v/>
      </c>
      <c r="J28" s="18">
        <f>F28+$B$6/1440</f>
        <v/>
      </c>
      <c r="K28">
        <f>IF(A28&lt;=$B$7,"main",IF(A28&lt;=$B$7+$B$8,"reserve","open"))</f>
        <v/>
      </c>
      <c r="L28">
        <f>IF(K28="main","P"&amp;TEXT(A28,"00"),IF(K28="reserve","R"&amp;TEXT(A28-$B$7,"00"),""))</f>
        <v/>
      </c>
      <c r="M28">
        <f>IF(K28="main",INDEX(Assignment!$C$4:$C$51,MATCH(L28,Assignment!$A$4:$A$51,0)),"")</f>
        <v/>
      </c>
      <c r="N28">
        <f>2*B28+IF(E28&gt;=4,1,0)</f>
        <v/>
      </c>
      <c r="O28">
        <f>MOD(N28,3)+1</f>
        <v/>
      </c>
      <c r="P28">
        <f>CHOOSE(O28,"S1","S3","S5")</f>
        <v/>
      </c>
      <c r="Q28">
        <f>CHOOSE(O28,"S2","S4","S6")</f>
        <v/>
      </c>
      <c r="T28" s="19" t="n">
        <v>46429</v>
      </c>
      <c r="U28" s="20" t="n">
        <v>0.4375</v>
      </c>
      <c r="V28" s="12" t="inlineStr">
        <is>
          <t>P17</t>
        </is>
      </c>
      <c r="W28" s="12" t="n">
        <v>12</v>
      </c>
      <c r="X28" s="12" t="inlineStr">
        <is>
          <t>S1</t>
        </is>
      </c>
      <c r="Y28" s="12" t="inlineStr">
        <is>
          <t>S2</t>
        </is>
      </c>
    </row>
    <row r="29">
      <c r="A29" t="n">
        <v>18</v>
      </c>
      <c r="B29">
        <f>INT((A29-1)/$B$4)</f>
        <v/>
      </c>
      <c r="C29" s="16">
        <f>WORKDAY($B$3,B29)</f>
        <v/>
      </c>
      <c r="D29">
        <f>TEXT(C29,"dddd")</f>
        <v/>
      </c>
      <c r="E29">
        <f>MOD(A29-1,$B$4)+1</f>
        <v/>
      </c>
      <c r="F29" s="18">
        <f>$B$5+(E29-1)*$B$6/1440</f>
        <v/>
      </c>
      <c r="G29" s="18">
        <f>F29+25/1440</f>
        <v/>
      </c>
      <c r="H29" s="18">
        <f>F29+45/1440</f>
        <v/>
      </c>
      <c r="I29" s="18">
        <f>F29+60/1440</f>
        <v/>
      </c>
      <c r="J29" s="18">
        <f>F29+$B$6/1440</f>
        <v/>
      </c>
      <c r="K29">
        <f>IF(A29&lt;=$B$7,"main",IF(A29&lt;=$B$7+$B$8,"reserve","open"))</f>
        <v/>
      </c>
      <c r="L29">
        <f>IF(K29="main","P"&amp;TEXT(A29,"00"),IF(K29="reserve","R"&amp;TEXT(A29-$B$7,"00"),""))</f>
        <v/>
      </c>
      <c r="M29">
        <f>IF(K29="main",INDEX(Assignment!$C$4:$C$51,MATCH(L29,Assignment!$A$4:$A$51,0)),"")</f>
        <v/>
      </c>
      <c r="N29">
        <f>2*B29+IF(E29&gt;=4,1,0)</f>
        <v/>
      </c>
      <c r="O29">
        <f>MOD(N29,3)+1</f>
        <v/>
      </c>
      <c r="P29">
        <f>CHOOSE(O29,"S1","S3","S5")</f>
        <v/>
      </c>
      <c r="Q29">
        <f>CHOOSE(O29,"S2","S4","S6")</f>
        <v/>
      </c>
      <c r="T29" s="19" t="n">
        <v>46429</v>
      </c>
      <c r="U29" s="20" t="n">
        <v>0.5</v>
      </c>
      <c r="V29" s="12" t="inlineStr">
        <is>
          <t>P18</t>
        </is>
      </c>
      <c r="W29" s="12" t="n">
        <v>5</v>
      </c>
      <c r="X29" s="12" t="inlineStr">
        <is>
          <t>S1</t>
        </is>
      </c>
      <c r="Y29" s="12" t="inlineStr">
        <is>
          <t>S2</t>
        </is>
      </c>
    </row>
    <row r="30">
      <c r="A30" t="n">
        <v>19</v>
      </c>
      <c r="B30">
        <f>INT((A30-1)/$B$4)</f>
        <v/>
      </c>
      <c r="C30" s="16">
        <f>WORKDAY($B$3,B30)</f>
        <v/>
      </c>
      <c r="D30">
        <f>TEXT(C30,"dddd")</f>
        <v/>
      </c>
      <c r="E30">
        <f>MOD(A30-1,$B$4)+1</f>
        <v/>
      </c>
      <c r="F30" s="18">
        <f>$B$5+(E30-1)*$B$6/1440</f>
        <v/>
      </c>
      <c r="G30" s="18">
        <f>F30+25/1440</f>
        <v/>
      </c>
      <c r="H30" s="18">
        <f>F30+45/1440</f>
        <v/>
      </c>
      <c r="I30" s="18">
        <f>F30+60/1440</f>
        <v/>
      </c>
      <c r="J30" s="18">
        <f>F30+$B$6/1440</f>
        <v/>
      </c>
      <c r="K30">
        <f>IF(A30&lt;=$B$7,"main",IF(A30&lt;=$B$7+$B$8,"reserve","open"))</f>
        <v/>
      </c>
      <c r="L30">
        <f>IF(K30="main","P"&amp;TEXT(A30,"00"),IF(K30="reserve","R"&amp;TEXT(A30-$B$7,"00"),""))</f>
        <v/>
      </c>
      <c r="M30">
        <f>IF(K30="main",INDEX(Assignment!$C$4:$C$51,MATCH(L30,Assignment!$A$4:$A$51,0)),"")</f>
        <v/>
      </c>
      <c r="N30">
        <f>2*B30+IF(E30&gt;=4,1,0)</f>
        <v/>
      </c>
      <c r="O30">
        <f>MOD(N30,3)+1</f>
        <v/>
      </c>
      <c r="P30">
        <f>CHOOSE(O30,"S1","S3","S5")</f>
        <v/>
      </c>
      <c r="Q30">
        <f>CHOOSE(O30,"S2","S4","S6")</f>
        <v/>
      </c>
      <c r="T30" s="19" t="n">
        <v>46429</v>
      </c>
      <c r="U30" s="20" t="n">
        <v>0.5625</v>
      </c>
      <c r="V30" s="12" t="inlineStr">
        <is>
          <t>P19</t>
        </is>
      </c>
      <c r="W30" s="12" t="n">
        <v>11</v>
      </c>
      <c r="X30" s="12" t="inlineStr">
        <is>
          <t>S3</t>
        </is>
      </c>
      <c r="Y30" s="12" t="inlineStr">
        <is>
          <t>S4</t>
        </is>
      </c>
    </row>
    <row r="31">
      <c r="A31" t="n">
        <v>20</v>
      </c>
      <c r="B31">
        <f>INT((A31-1)/$B$4)</f>
        <v/>
      </c>
      <c r="C31" s="16">
        <f>WORKDAY($B$3,B31)</f>
        <v/>
      </c>
      <c r="D31">
        <f>TEXT(C31,"dddd")</f>
        <v/>
      </c>
      <c r="E31">
        <f>MOD(A31-1,$B$4)+1</f>
        <v/>
      </c>
      <c r="F31" s="18">
        <f>$B$5+(E31-1)*$B$6/1440</f>
        <v/>
      </c>
      <c r="G31" s="18">
        <f>F31+25/1440</f>
        <v/>
      </c>
      <c r="H31" s="18">
        <f>F31+45/1440</f>
        <v/>
      </c>
      <c r="I31" s="18">
        <f>F31+60/1440</f>
        <v/>
      </c>
      <c r="J31" s="18">
        <f>F31+$B$6/1440</f>
        <v/>
      </c>
      <c r="K31">
        <f>IF(A31&lt;=$B$7,"main",IF(A31&lt;=$B$7+$B$8,"reserve","open"))</f>
        <v/>
      </c>
      <c r="L31">
        <f>IF(K31="main","P"&amp;TEXT(A31,"00"),IF(K31="reserve","R"&amp;TEXT(A31-$B$7,"00"),""))</f>
        <v/>
      </c>
      <c r="M31">
        <f>IF(K31="main",INDEX(Assignment!$C$4:$C$51,MATCH(L31,Assignment!$A$4:$A$51,0)),"")</f>
        <v/>
      </c>
      <c r="N31">
        <f>2*B31+IF(E31&gt;=4,1,0)</f>
        <v/>
      </c>
      <c r="O31">
        <f>MOD(N31,3)+1</f>
        <v/>
      </c>
      <c r="P31">
        <f>CHOOSE(O31,"S1","S3","S5")</f>
        <v/>
      </c>
      <c r="Q31">
        <f>CHOOSE(O31,"S2","S4","S6")</f>
        <v/>
      </c>
      <c r="T31" s="19" t="n">
        <v>46429</v>
      </c>
      <c r="U31" s="20" t="n">
        <v>0.625</v>
      </c>
      <c r="V31" s="12" t="inlineStr">
        <is>
          <t>P20</t>
        </is>
      </c>
      <c r="W31" s="12" t="n">
        <v>4</v>
      </c>
      <c r="X31" s="12" t="inlineStr">
        <is>
          <t>S3</t>
        </is>
      </c>
      <c r="Y31" s="12" t="inlineStr">
        <is>
          <t>S4</t>
        </is>
      </c>
    </row>
    <row r="32">
      <c r="A32" t="n">
        <v>21</v>
      </c>
      <c r="B32">
        <f>INT((A32-1)/$B$4)</f>
        <v/>
      </c>
      <c r="C32" s="16">
        <f>WORKDAY($B$3,B32)</f>
        <v/>
      </c>
      <c r="D32">
        <f>TEXT(C32,"dddd")</f>
        <v/>
      </c>
      <c r="E32">
        <f>MOD(A32-1,$B$4)+1</f>
        <v/>
      </c>
      <c r="F32" s="18">
        <f>$B$5+(E32-1)*$B$6/1440</f>
        <v/>
      </c>
      <c r="G32" s="18">
        <f>F32+25/1440</f>
        <v/>
      </c>
      <c r="H32" s="18">
        <f>F32+45/1440</f>
        <v/>
      </c>
      <c r="I32" s="18">
        <f>F32+60/1440</f>
        <v/>
      </c>
      <c r="J32" s="18">
        <f>F32+$B$6/1440</f>
        <v/>
      </c>
      <c r="K32">
        <f>IF(A32&lt;=$B$7,"main",IF(A32&lt;=$B$7+$B$8,"reserve","open"))</f>
        <v/>
      </c>
      <c r="L32">
        <f>IF(K32="main","P"&amp;TEXT(A32,"00"),IF(K32="reserve","R"&amp;TEXT(A32-$B$7,"00"),""))</f>
        <v/>
      </c>
      <c r="M32">
        <f>IF(K32="main",INDEX(Assignment!$C$4:$C$51,MATCH(L32,Assignment!$A$4:$A$51,0)),"")</f>
        <v/>
      </c>
      <c r="N32">
        <f>2*B32+IF(E32&gt;=4,1,0)</f>
        <v/>
      </c>
      <c r="O32">
        <f>MOD(N32,3)+1</f>
        <v/>
      </c>
      <c r="P32">
        <f>CHOOSE(O32,"S1","S3","S5")</f>
        <v/>
      </c>
      <c r="Q32">
        <f>CHOOSE(O32,"S2","S4","S6")</f>
        <v/>
      </c>
      <c r="T32" s="19" t="n">
        <v>46430</v>
      </c>
      <c r="U32" s="20" t="n">
        <v>0.375</v>
      </c>
      <c r="V32" s="12" t="inlineStr">
        <is>
          <t>P21</t>
        </is>
      </c>
      <c r="W32" s="12" t="n">
        <v>8</v>
      </c>
      <c r="X32" s="12" t="inlineStr">
        <is>
          <t>S5</t>
        </is>
      </c>
      <c r="Y32" s="12" t="inlineStr">
        <is>
          <t>S6</t>
        </is>
      </c>
    </row>
    <row r="33">
      <c r="A33" t="n">
        <v>22</v>
      </c>
      <c r="B33">
        <f>INT((A33-1)/$B$4)</f>
        <v/>
      </c>
      <c r="C33" s="16">
        <f>WORKDAY($B$3,B33)</f>
        <v/>
      </c>
      <c r="D33">
        <f>TEXT(C33,"dddd")</f>
        <v/>
      </c>
      <c r="E33">
        <f>MOD(A33-1,$B$4)+1</f>
        <v/>
      </c>
      <c r="F33" s="18">
        <f>$B$5+(E33-1)*$B$6/1440</f>
        <v/>
      </c>
      <c r="G33" s="18">
        <f>F33+25/1440</f>
        <v/>
      </c>
      <c r="H33" s="18">
        <f>F33+45/1440</f>
        <v/>
      </c>
      <c r="I33" s="18">
        <f>F33+60/1440</f>
        <v/>
      </c>
      <c r="J33" s="18">
        <f>F33+$B$6/1440</f>
        <v/>
      </c>
      <c r="K33">
        <f>IF(A33&lt;=$B$7,"main",IF(A33&lt;=$B$7+$B$8,"reserve","open"))</f>
        <v/>
      </c>
      <c r="L33">
        <f>IF(K33="main","P"&amp;TEXT(A33,"00"),IF(K33="reserve","R"&amp;TEXT(A33-$B$7,"00"),""))</f>
        <v/>
      </c>
      <c r="M33">
        <f>IF(K33="main",INDEX(Assignment!$C$4:$C$51,MATCH(L33,Assignment!$A$4:$A$51,0)),"")</f>
        <v/>
      </c>
      <c r="N33">
        <f>2*B33+IF(E33&gt;=4,1,0)</f>
        <v/>
      </c>
      <c r="O33">
        <f>MOD(N33,3)+1</f>
        <v/>
      </c>
      <c r="P33">
        <f>CHOOSE(O33,"S1","S3","S5")</f>
        <v/>
      </c>
      <c r="Q33">
        <f>CHOOSE(O33,"S2","S4","S6")</f>
        <v/>
      </c>
      <c r="T33" s="19" t="n">
        <v>46430</v>
      </c>
      <c r="U33" s="20" t="n">
        <v>0.4375</v>
      </c>
      <c r="V33" s="12" t="inlineStr">
        <is>
          <t>P22</t>
        </is>
      </c>
      <c r="W33" s="12" t="n">
        <v>1</v>
      </c>
      <c r="X33" s="12" t="inlineStr">
        <is>
          <t>S5</t>
        </is>
      </c>
      <c r="Y33" s="12" t="inlineStr">
        <is>
          <t>S6</t>
        </is>
      </c>
    </row>
    <row r="34">
      <c r="A34" t="n">
        <v>23</v>
      </c>
      <c r="B34">
        <f>INT((A34-1)/$B$4)</f>
        <v/>
      </c>
      <c r="C34" s="16">
        <f>WORKDAY($B$3,B34)</f>
        <v/>
      </c>
      <c r="D34">
        <f>TEXT(C34,"dddd")</f>
        <v/>
      </c>
      <c r="E34">
        <f>MOD(A34-1,$B$4)+1</f>
        <v/>
      </c>
      <c r="F34" s="18">
        <f>$B$5+(E34-1)*$B$6/1440</f>
        <v/>
      </c>
      <c r="G34" s="18">
        <f>F34+25/1440</f>
        <v/>
      </c>
      <c r="H34" s="18">
        <f>F34+45/1440</f>
        <v/>
      </c>
      <c r="I34" s="18">
        <f>F34+60/1440</f>
        <v/>
      </c>
      <c r="J34" s="18">
        <f>F34+$B$6/1440</f>
        <v/>
      </c>
      <c r="K34">
        <f>IF(A34&lt;=$B$7,"main",IF(A34&lt;=$B$7+$B$8,"reserve","open"))</f>
        <v/>
      </c>
      <c r="L34">
        <f>IF(K34="main","P"&amp;TEXT(A34,"00"),IF(K34="reserve","R"&amp;TEXT(A34-$B$7,"00"),""))</f>
        <v/>
      </c>
      <c r="M34">
        <f>IF(K34="main",INDEX(Assignment!$C$4:$C$51,MATCH(L34,Assignment!$A$4:$A$51,0)),"")</f>
        <v/>
      </c>
      <c r="N34">
        <f>2*B34+IF(E34&gt;=4,1,0)</f>
        <v/>
      </c>
      <c r="O34">
        <f>MOD(N34,3)+1</f>
        <v/>
      </c>
      <c r="P34">
        <f>CHOOSE(O34,"S1","S3","S5")</f>
        <v/>
      </c>
      <c r="Q34">
        <f>CHOOSE(O34,"S2","S4","S6")</f>
        <v/>
      </c>
      <c r="T34" s="19" t="n">
        <v>46430</v>
      </c>
      <c r="U34" s="20" t="n">
        <v>0.5</v>
      </c>
      <c r="V34" s="12" t="inlineStr">
        <is>
          <t>P23</t>
        </is>
      </c>
      <c r="W34" s="12" t="n">
        <v>2</v>
      </c>
      <c r="X34" s="12" t="inlineStr">
        <is>
          <t>S5</t>
        </is>
      </c>
      <c r="Y34" s="12" t="inlineStr">
        <is>
          <t>S6</t>
        </is>
      </c>
    </row>
    <row r="35">
      <c r="A35" t="n">
        <v>24</v>
      </c>
      <c r="B35">
        <f>INT((A35-1)/$B$4)</f>
        <v/>
      </c>
      <c r="C35" s="16">
        <f>WORKDAY($B$3,B35)</f>
        <v/>
      </c>
      <c r="D35">
        <f>TEXT(C35,"dddd")</f>
        <v/>
      </c>
      <c r="E35">
        <f>MOD(A35-1,$B$4)+1</f>
        <v/>
      </c>
      <c r="F35" s="18">
        <f>$B$5+(E35-1)*$B$6/1440</f>
        <v/>
      </c>
      <c r="G35" s="18">
        <f>F35+25/1440</f>
        <v/>
      </c>
      <c r="H35" s="18">
        <f>F35+45/1440</f>
        <v/>
      </c>
      <c r="I35" s="18">
        <f>F35+60/1440</f>
        <v/>
      </c>
      <c r="J35" s="18">
        <f>F35+$B$6/1440</f>
        <v/>
      </c>
      <c r="K35">
        <f>IF(A35&lt;=$B$7,"main",IF(A35&lt;=$B$7+$B$8,"reserve","open"))</f>
        <v/>
      </c>
      <c r="L35">
        <f>IF(K35="main","P"&amp;TEXT(A35,"00"),IF(K35="reserve","R"&amp;TEXT(A35-$B$7,"00"),""))</f>
        <v/>
      </c>
      <c r="M35">
        <f>IF(K35="main",INDEX(Assignment!$C$4:$C$51,MATCH(L35,Assignment!$A$4:$A$51,0)),"")</f>
        <v/>
      </c>
      <c r="N35">
        <f>2*B35+IF(E35&gt;=4,1,0)</f>
        <v/>
      </c>
      <c r="O35">
        <f>MOD(N35,3)+1</f>
        <v/>
      </c>
      <c r="P35">
        <f>CHOOSE(O35,"S1","S3","S5")</f>
        <v/>
      </c>
      <c r="Q35">
        <f>CHOOSE(O35,"S2","S4","S6")</f>
        <v/>
      </c>
      <c r="T35" s="19" t="n">
        <v>46430</v>
      </c>
      <c r="U35" s="20" t="n">
        <v>0.5625</v>
      </c>
      <c r="V35" s="12" t="inlineStr">
        <is>
          <t>P24</t>
        </is>
      </c>
      <c r="W35" s="12" t="n">
        <v>10</v>
      </c>
      <c r="X35" s="12" t="inlineStr">
        <is>
          <t>S1</t>
        </is>
      </c>
      <c r="Y35" s="12" t="inlineStr">
        <is>
          <t>S2</t>
        </is>
      </c>
    </row>
    <row r="36">
      <c r="A36" t="n">
        <v>25</v>
      </c>
      <c r="B36">
        <f>INT((A36-1)/$B$4)</f>
        <v/>
      </c>
      <c r="C36" s="16">
        <f>WORKDAY($B$3,B36)</f>
        <v/>
      </c>
      <c r="D36">
        <f>TEXT(C36,"dddd")</f>
        <v/>
      </c>
      <c r="E36">
        <f>MOD(A36-1,$B$4)+1</f>
        <v/>
      </c>
      <c r="F36" s="18">
        <f>$B$5+(E36-1)*$B$6/1440</f>
        <v/>
      </c>
      <c r="G36" s="18">
        <f>F36+25/1440</f>
        <v/>
      </c>
      <c r="H36" s="18">
        <f>F36+45/1440</f>
        <v/>
      </c>
      <c r="I36" s="18">
        <f>F36+60/1440</f>
        <v/>
      </c>
      <c r="J36" s="18">
        <f>F36+$B$6/1440</f>
        <v/>
      </c>
      <c r="K36">
        <f>IF(A36&lt;=$B$7,"main",IF(A36&lt;=$B$7+$B$8,"reserve","open"))</f>
        <v/>
      </c>
      <c r="L36">
        <f>IF(K36="main","P"&amp;TEXT(A36,"00"),IF(K36="reserve","R"&amp;TEXT(A36-$B$7,"00"),""))</f>
        <v/>
      </c>
      <c r="M36">
        <f>IF(K36="main",INDEX(Assignment!$C$4:$C$51,MATCH(L36,Assignment!$A$4:$A$51,0)),"")</f>
        <v/>
      </c>
      <c r="N36">
        <f>2*B36+IF(E36&gt;=4,1,0)</f>
        <v/>
      </c>
      <c r="O36">
        <f>MOD(N36,3)+1</f>
        <v/>
      </c>
      <c r="P36">
        <f>CHOOSE(O36,"S1","S3","S5")</f>
        <v/>
      </c>
      <c r="Q36">
        <f>CHOOSE(O36,"S2","S4","S6")</f>
        <v/>
      </c>
      <c r="T36" s="19" t="n">
        <v>46430</v>
      </c>
      <c r="U36" s="20" t="n">
        <v>0.625</v>
      </c>
      <c r="V36" s="12" t="inlineStr">
        <is>
          <t>P25</t>
        </is>
      </c>
      <c r="W36" s="12" t="n">
        <v>11</v>
      </c>
      <c r="X36" s="12" t="inlineStr">
        <is>
          <t>S1</t>
        </is>
      </c>
      <c r="Y36" s="12" t="inlineStr">
        <is>
          <t>S2</t>
        </is>
      </c>
    </row>
    <row r="37">
      <c r="A37" t="n">
        <v>26</v>
      </c>
      <c r="B37">
        <f>INT((A37-1)/$B$4)</f>
        <v/>
      </c>
      <c r="C37" s="16">
        <f>WORKDAY($B$3,B37)</f>
        <v/>
      </c>
      <c r="D37">
        <f>TEXT(C37,"dddd")</f>
        <v/>
      </c>
      <c r="E37">
        <f>MOD(A37-1,$B$4)+1</f>
        <v/>
      </c>
      <c r="F37" s="18">
        <f>$B$5+(E37-1)*$B$6/1440</f>
        <v/>
      </c>
      <c r="G37" s="18">
        <f>F37+25/1440</f>
        <v/>
      </c>
      <c r="H37" s="18">
        <f>F37+45/1440</f>
        <v/>
      </c>
      <c r="I37" s="18">
        <f>F37+60/1440</f>
        <v/>
      </c>
      <c r="J37" s="18">
        <f>F37+$B$6/1440</f>
        <v/>
      </c>
      <c r="K37">
        <f>IF(A37&lt;=$B$7,"main",IF(A37&lt;=$B$7+$B$8,"reserve","open"))</f>
        <v/>
      </c>
      <c r="L37">
        <f>IF(K37="main","P"&amp;TEXT(A37,"00"),IF(K37="reserve","R"&amp;TEXT(A37-$B$7,"00"),""))</f>
        <v/>
      </c>
      <c r="M37">
        <f>IF(K37="main",INDEX(Assignment!$C$4:$C$51,MATCH(L37,Assignment!$A$4:$A$51,0)),"")</f>
        <v/>
      </c>
      <c r="N37">
        <f>2*B37+IF(E37&gt;=4,1,0)</f>
        <v/>
      </c>
      <c r="O37">
        <f>MOD(N37,3)+1</f>
        <v/>
      </c>
      <c r="P37">
        <f>CHOOSE(O37,"S1","S3","S5")</f>
        <v/>
      </c>
      <c r="Q37">
        <f>CHOOSE(O37,"S2","S4","S6")</f>
        <v/>
      </c>
      <c r="T37" s="19" t="n">
        <v>46433</v>
      </c>
      <c r="U37" s="20" t="n">
        <v>0.375</v>
      </c>
      <c r="V37" s="12" t="inlineStr">
        <is>
          <t>P26</t>
        </is>
      </c>
      <c r="W37" s="12" t="n">
        <v>10</v>
      </c>
      <c r="X37" s="12" t="inlineStr">
        <is>
          <t>S3</t>
        </is>
      </c>
      <c r="Y37" s="12" t="inlineStr">
        <is>
          <t>S4</t>
        </is>
      </c>
    </row>
    <row r="38">
      <c r="A38" t="n">
        <v>27</v>
      </c>
      <c r="B38">
        <f>INT((A38-1)/$B$4)</f>
        <v/>
      </c>
      <c r="C38" s="16">
        <f>WORKDAY($B$3,B38)</f>
        <v/>
      </c>
      <c r="D38">
        <f>TEXT(C38,"dddd")</f>
        <v/>
      </c>
      <c r="E38">
        <f>MOD(A38-1,$B$4)+1</f>
        <v/>
      </c>
      <c r="F38" s="18">
        <f>$B$5+(E38-1)*$B$6/1440</f>
        <v/>
      </c>
      <c r="G38" s="18">
        <f>F38+25/1440</f>
        <v/>
      </c>
      <c r="H38" s="18">
        <f>F38+45/1440</f>
        <v/>
      </c>
      <c r="I38" s="18">
        <f>F38+60/1440</f>
        <v/>
      </c>
      <c r="J38" s="18">
        <f>F38+$B$6/1440</f>
        <v/>
      </c>
      <c r="K38">
        <f>IF(A38&lt;=$B$7,"main",IF(A38&lt;=$B$7+$B$8,"reserve","open"))</f>
        <v/>
      </c>
      <c r="L38">
        <f>IF(K38="main","P"&amp;TEXT(A38,"00"),IF(K38="reserve","R"&amp;TEXT(A38-$B$7,"00"),""))</f>
        <v/>
      </c>
      <c r="M38">
        <f>IF(K38="main",INDEX(Assignment!$C$4:$C$51,MATCH(L38,Assignment!$A$4:$A$51,0)),"")</f>
        <v/>
      </c>
      <c r="N38">
        <f>2*B38+IF(E38&gt;=4,1,0)</f>
        <v/>
      </c>
      <c r="O38">
        <f>MOD(N38,3)+1</f>
        <v/>
      </c>
      <c r="P38">
        <f>CHOOSE(O38,"S1","S3","S5")</f>
        <v/>
      </c>
      <c r="Q38">
        <f>CHOOSE(O38,"S2","S4","S6")</f>
        <v/>
      </c>
      <c r="T38" s="19" t="n">
        <v>46433</v>
      </c>
      <c r="U38" s="20" t="n">
        <v>0.4375</v>
      </c>
      <c r="V38" s="12" t="inlineStr">
        <is>
          <t>P27</t>
        </is>
      </c>
      <c r="W38" s="12" t="n">
        <v>5</v>
      </c>
      <c r="X38" s="12" t="inlineStr">
        <is>
          <t>S3</t>
        </is>
      </c>
      <c r="Y38" s="12" t="inlineStr">
        <is>
          <t>S4</t>
        </is>
      </c>
    </row>
    <row r="39">
      <c r="A39" t="n">
        <v>28</v>
      </c>
      <c r="B39">
        <f>INT((A39-1)/$B$4)</f>
        <v/>
      </c>
      <c r="C39" s="16">
        <f>WORKDAY($B$3,B39)</f>
        <v/>
      </c>
      <c r="D39">
        <f>TEXT(C39,"dddd")</f>
        <v/>
      </c>
      <c r="E39">
        <f>MOD(A39-1,$B$4)+1</f>
        <v/>
      </c>
      <c r="F39" s="18">
        <f>$B$5+(E39-1)*$B$6/1440</f>
        <v/>
      </c>
      <c r="G39" s="18">
        <f>F39+25/1440</f>
        <v/>
      </c>
      <c r="H39" s="18">
        <f>F39+45/1440</f>
        <v/>
      </c>
      <c r="I39" s="18">
        <f>F39+60/1440</f>
        <v/>
      </c>
      <c r="J39" s="18">
        <f>F39+$B$6/1440</f>
        <v/>
      </c>
      <c r="K39">
        <f>IF(A39&lt;=$B$7,"main",IF(A39&lt;=$B$7+$B$8,"reserve","open"))</f>
        <v/>
      </c>
      <c r="L39">
        <f>IF(K39="main","P"&amp;TEXT(A39,"00"),IF(K39="reserve","R"&amp;TEXT(A39-$B$7,"00"),""))</f>
        <v/>
      </c>
      <c r="M39">
        <f>IF(K39="main",INDEX(Assignment!$C$4:$C$51,MATCH(L39,Assignment!$A$4:$A$51,0)),"")</f>
        <v/>
      </c>
      <c r="N39">
        <f>2*B39+IF(E39&gt;=4,1,0)</f>
        <v/>
      </c>
      <c r="O39">
        <f>MOD(N39,3)+1</f>
        <v/>
      </c>
      <c r="P39">
        <f>CHOOSE(O39,"S1","S3","S5")</f>
        <v/>
      </c>
      <c r="Q39">
        <f>CHOOSE(O39,"S2","S4","S6")</f>
        <v/>
      </c>
      <c r="T39" s="19" t="n">
        <v>46433</v>
      </c>
      <c r="U39" s="20" t="n">
        <v>0.5</v>
      </c>
      <c r="V39" s="12" t="inlineStr">
        <is>
          <t>P28</t>
        </is>
      </c>
      <c r="W39" s="12" t="n">
        <v>8</v>
      </c>
      <c r="X39" s="12" t="inlineStr">
        <is>
          <t>S3</t>
        </is>
      </c>
      <c r="Y39" s="12" t="inlineStr">
        <is>
          <t>S4</t>
        </is>
      </c>
    </row>
    <row r="40">
      <c r="A40" t="n">
        <v>29</v>
      </c>
      <c r="B40">
        <f>INT((A40-1)/$B$4)</f>
        <v/>
      </c>
      <c r="C40" s="16">
        <f>WORKDAY($B$3,B40)</f>
        <v/>
      </c>
      <c r="D40">
        <f>TEXT(C40,"dddd")</f>
        <v/>
      </c>
      <c r="E40">
        <f>MOD(A40-1,$B$4)+1</f>
        <v/>
      </c>
      <c r="F40" s="18">
        <f>$B$5+(E40-1)*$B$6/1440</f>
        <v/>
      </c>
      <c r="G40" s="18">
        <f>F40+25/1440</f>
        <v/>
      </c>
      <c r="H40" s="18">
        <f>F40+45/1440</f>
        <v/>
      </c>
      <c r="I40" s="18">
        <f>F40+60/1440</f>
        <v/>
      </c>
      <c r="J40" s="18">
        <f>F40+$B$6/1440</f>
        <v/>
      </c>
      <c r="K40">
        <f>IF(A40&lt;=$B$7,"main",IF(A40&lt;=$B$7+$B$8,"reserve","open"))</f>
        <v/>
      </c>
      <c r="L40">
        <f>IF(K40="main","P"&amp;TEXT(A40,"00"),IF(K40="reserve","R"&amp;TEXT(A40-$B$7,"00"),""))</f>
        <v/>
      </c>
      <c r="M40">
        <f>IF(K40="main",INDEX(Assignment!$C$4:$C$51,MATCH(L40,Assignment!$A$4:$A$51,0)),"")</f>
        <v/>
      </c>
      <c r="N40">
        <f>2*B40+IF(E40&gt;=4,1,0)</f>
        <v/>
      </c>
      <c r="O40">
        <f>MOD(N40,3)+1</f>
        <v/>
      </c>
      <c r="P40">
        <f>CHOOSE(O40,"S1","S3","S5")</f>
        <v/>
      </c>
      <c r="Q40">
        <f>CHOOSE(O40,"S2","S4","S6")</f>
        <v/>
      </c>
      <c r="T40" s="19" t="n">
        <v>46433</v>
      </c>
      <c r="U40" s="20" t="n">
        <v>0.5625</v>
      </c>
      <c r="V40" s="12" t="inlineStr">
        <is>
          <t>P29</t>
        </is>
      </c>
      <c r="W40" s="12" t="n">
        <v>3</v>
      </c>
      <c r="X40" s="12" t="inlineStr">
        <is>
          <t>S5</t>
        </is>
      </c>
      <c r="Y40" s="12" t="inlineStr">
        <is>
          <t>S6</t>
        </is>
      </c>
    </row>
    <row r="41">
      <c r="A41" t="n">
        <v>30</v>
      </c>
      <c r="B41">
        <f>INT((A41-1)/$B$4)</f>
        <v/>
      </c>
      <c r="C41" s="16">
        <f>WORKDAY($B$3,B41)</f>
        <v/>
      </c>
      <c r="D41">
        <f>TEXT(C41,"dddd")</f>
        <v/>
      </c>
      <c r="E41">
        <f>MOD(A41-1,$B$4)+1</f>
        <v/>
      </c>
      <c r="F41" s="18">
        <f>$B$5+(E41-1)*$B$6/1440</f>
        <v/>
      </c>
      <c r="G41" s="18">
        <f>F41+25/1440</f>
        <v/>
      </c>
      <c r="H41" s="18">
        <f>F41+45/1440</f>
        <v/>
      </c>
      <c r="I41" s="18">
        <f>F41+60/1440</f>
        <v/>
      </c>
      <c r="J41" s="18">
        <f>F41+$B$6/1440</f>
        <v/>
      </c>
      <c r="K41">
        <f>IF(A41&lt;=$B$7,"main",IF(A41&lt;=$B$7+$B$8,"reserve","open"))</f>
        <v/>
      </c>
      <c r="L41">
        <f>IF(K41="main","P"&amp;TEXT(A41,"00"),IF(K41="reserve","R"&amp;TEXT(A41-$B$7,"00"),""))</f>
        <v/>
      </c>
      <c r="M41">
        <f>IF(K41="main",INDEX(Assignment!$C$4:$C$51,MATCH(L41,Assignment!$A$4:$A$51,0)),"")</f>
        <v/>
      </c>
      <c r="N41">
        <f>2*B41+IF(E41&gt;=4,1,0)</f>
        <v/>
      </c>
      <c r="O41">
        <f>MOD(N41,3)+1</f>
        <v/>
      </c>
      <c r="P41">
        <f>CHOOSE(O41,"S1","S3","S5")</f>
        <v/>
      </c>
      <c r="Q41">
        <f>CHOOSE(O41,"S2","S4","S6")</f>
        <v/>
      </c>
      <c r="T41" s="19" t="n">
        <v>46433</v>
      </c>
      <c r="U41" s="20" t="n">
        <v>0.625</v>
      </c>
      <c r="V41" s="12" t="inlineStr">
        <is>
          <t>P30</t>
        </is>
      </c>
      <c r="W41" s="12" t="n">
        <v>7</v>
      </c>
      <c r="X41" s="12" t="inlineStr">
        <is>
          <t>S5</t>
        </is>
      </c>
      <c r="Y41" s="12" t="inlineStr">
        <is>
          <t>S6</t>
        </is>
      </c>
    </row>
    <row r="42">
      <c r="A42" t="n">
        <v>31</v>
      </c>
      <c r="B42">
        <f>INT((A42-1)/$B$4)</f>
        <v/>
      </c>
      <c r="C42" s="16">
        <f>WORKDAY($B$3,B42)</f>
        <v/>
      </c>
      <c r="D42">
        <f>TEXT(C42,"dddd")</f>
        <v/>
      </c>
      <c r="E42">
        <f>MOD(A42-1,$B$4)+1</f>
        <v/>
      </c>
      <c r="F42" s="18">
        <f>$B$5+(E42-1)*$B$6/1440</f>
        <v/>
      </c>
      <c r="G42" s="18">
        <f>F42+25/1440</f>
        <v/>
      </c>
      <c r="H42" s="18">
        <f>F42+45/1440</f>
        <v/>
      </c>
      <c r="I42" s="18">
        <f>F42+60/1440</f>
        <v/>
      </c>
      <c r="J42" s="18">
        <f>F42+$B$6/1440</f>
        <v/>
      </c>
      <c r="K42">
        <f>IF(A42&lt;=$B$7,"main",IF(A42&lt;=$B$7+$B$8,"reserve","open"))</f>
        <v/>
      </c>
      <c r="L42">
        <f>IF(K42="main","P"&amp;TEXT(A42,"00"),IF(K42="reserve","R"&amp;TEXT(A42-$B$7,"00"),""))</f>
        <v/>
      </c>
      <c r="M42">
        <f>IF(K42="main",INDEX(Assignment!$C$4:$C$51,MATCH(L42,Assignment!$A$4:$A$51,0)),"")</f>
        <v/>
      </c>
      <c r="N42">
        <f>2*B42+IF(E42&gt;=4,1,0)</f>
        <v/>
      </c>
      <c r="O42">
        <f>MOD(N42,3)+1</f>
        <v/>
      </c>
      <c r="P42">
        <f>CHOOSE(O42,"S1","S3","S5")</f>
        <v/>
      </c>
      <c r="Q42">
        <f>CHOOSE(O42,"S2","S4","S6")</f>
        <v/>
      </c>
      <c r="T42" s="19" t="n">
        <v>46434</v>
      </c>
      <c r="U42" s="20" t="n">
        <v>0.375</v>
      </c>
      <c r="V42" s="12" t="inlineStr">
        <is>
          <t>P31</t>
        </is>
      </c>
      <c r="W42" s="12" t="n">
        <v>9</v>
      </c>
      <c r="X42" s="12" t="inlineStr">
        <is>
          <t>S1</t>
        </is>
      </c>
      <c r="Y42" s="12" t="inlineStr">
        <is>
          <t>S2</t>
        </is>
      </c>
    </row>
    <row r="43">
      <c r="A43" t="n">
        <v>32</v>
      </c>
      <c r="B43">
        <f>INT((A43-1)/$B$4)</f>
        <v/>
      </c>
      <c r="C43" s="16">
        <f>WORKDAY($B$3,B43)</f>
        <v/>
      </c>
      <c r="D43">
        <f>TEXT(C43,"dddd")</f>
        <v/>
      </c>
      <c r="E43">
        <f>MOD(A43-1,$B$4)+1</f>
        <v/>
      </c>
      <c r="F43" s="18">
        <f>$B$5+(E43-1)*$B$6/1440</f>
        <v/>
      </c>
      <c r="G43" s="18">
        <f>F43+25/1440</f>
        <v/>
      </c>
      <c r="H43" s="18">
        <f>F43+45/1440</f>
        <v/>
      </c>
      <c r="I43" s="18">
        <f>F43+60/1440</f>
        <v/>
      </c>
      <c r="J43" s="18">
        <f>F43+$B$6/1440</f>
        <v/>
      </c>
      <c r="K43">
        <f>IF(A43&lt;=$B$7,"main",IF(A43&lt;=$B$7+$B$8,"reserve","open"))</f>
        <v/>
      </c>
      <c r="L43">
        <f>IF(K43="main","P"&amp;TEXT(A43,"00"),IF(K43="reserve","R"&amp;TEXT(A43-$B$7,"00"),""))</f>
        <v/>
      </c>
      <c r="M43">
        <f>IF(K43="main",INDEX(Assignment!$C$4:$C$51,MATCH(L43,Assignment!$A$4:$A$51,0)),"")</f>
        <v/>
      </c>
      <c r="N43">
        <f>2*B43+IF(E43&gt;=4,1,0)</f>
        <v/>
      </c>
      <c r="O43">
        <f>MOD(N43,3)+1</f>
        <v/>
      </c>
      <c r="P43">
        <f>CHOOSE(O43,"S1","S3","S5")</f>
        <v/>
      </c>
      <c r="Q43">
        <f>CHOOSE(O43,"S2","S4","S6")</f>
        <v/>
      </c>
      <c r="T43" s="19" t="n">
        <v>46434</v>
      </c>
      <c r="U43" s="20" t="n">
        <v>0.4375</v>
      </c>
      <c r="V43" s="12" t="inlineStr">
        <is>
          <t>P32</t>
        </is>
      </c>
      <c r="W43" s="12" t="n">
        <v>1</v>
      </c>
      <c r="X43" s="12" t="inlineStr">
        <is>
          <t>S1</t>
        </is>
      </c>
      <c r="Y43" s="12" t="inlineStr">
        <is>
          <t>S2</t>
        </is>
      </c>
    </row>
    <row r="44">
      <c r="A44" t="n">
        <v>33</v>
      </c>
      <c r="B44">
        <f>INT((A44-1)/$B$4)</f>
        <v/>
      </c>
      <c r="C44" s="16">
        <f>WORKDAY($B$3,B44)</f>
        <v/>
      </c>
      <c r="D44">
        <f>TEXT(C44,"dddd")</f>
        <v/>
      </c>
      <c r="E44">
        <f>MOD(A44-1,$B$4)+1</f>
        <v/>
      </c>
      <c r="F44" s="18">
        <f>$B$5+(E44-1)*$B$6/1440</f>
        <v/>
      </c>
      <c r="G44" s="18">
        <f>F44+25/1440</f>
        <v/>
      </c>
      <c r="H44" s="18">
        <f>F44+45/1440</f>
        <v/>
      </c>
      <c r="I44" s="18">
        <f>F44+60/1440</f>
        <v/>
      </c>
      <c r="J44" s="18">
        <f>F44+$B$6/1440</f>
        <v/>
      </c>
      <c r="K44">
        <f>IF(A44&lt;=$B$7,"main",IF(A44&lt;=$B$7+$B$8,"reserve","open"))</f>
        <v/>
      </c>
      <c r="L44">
        <f>IF(K44="main","P"&amp;TEXT(A44,"00"),IF(K44="reserve","R"&amp;TEXT(A44-$B$7,"00"),""))</f>
        <v/>
      </c>
      <c r="M44">
        <f>IF(K44="main",INDEX(Assignment!$C$4:$C$51,MATCH(L44,Assignment!$A$4:$A$51,0)),"")</f>
        <v/>
      </c>
      <c r="N44">
        <f>2*B44+IF(E44&gt;=4,1,0)</f>
        <v/>
      </c>
      <c r="O44">
        <f>MOD(N44,3)+1</f>
        <v/>
      </c>
      <c r="P44">
        <f>CHOOSE(O44,"S1","S3","S5")</f>
        <v/>
      </c>
      <c r="Q44">
        <f>CHOOSE(O44,"S2","S4","S6")</f>
        <v/>
      </c>
      <c r="T44" s="19" t="n">
        <v>46434</v>
      </c>
      <c r="U44" s="20" t="n">
        <v>0.5</v>
      </c>
      <c r="V44" s="12" t="inlineStr">
        <is>
          <t>P33</t>
        </is>
      </c>
      <c r="W44" s="12" t="n">
        <v>4</v>
      </c>
      <c r="X44" s="12" t="inlineStr">
        <is>
          <t>S1</t>
        </is>
      </c>
      <c r="Y44" s="12" t="inlineStr">
        <is>
          <t>S2</t>
        </is>
      </c>
    </row>
    <row r="45">
      <c r="A45" t="n">
        <v>34</v>
      </c>
      <c r="B45">
        <f>INT((A45-1)/$B$4)</f>
        <v/>
      </c>
      <c r="C45" s="16">
        <f>WORKDAY($B$3,B45)</f>
        <v/>
      </c>
      <c r="D45">
        <f>TEXT(C45,"dddd")</f>
        <v/>
      </c>
      <c r="E45">
        <f>MOD(A45-1,$B$4)+1</f>
        <v/>
      </c>
      <c r="F45" s="18">
        <f>$B$5+(E45-1)*$B$6/1440</f>
        <v/>
      </c>
      <c r="G45" s="18">
        <f>F45+25/1440</f>
        <v/>
      </c>
      <c r="H45" s="18">
        <f>F45+45/1440</f>
        <v/>
      </c>
      <c r="I45" s="18">
        <f>F45+60/1440</f>
        <v/>
      </c>
      <c r="J45" s="18">
        <f>F45+$B$6/1440</f>
        <v/>
      </c>
      <c r="K45">
        <f>IF(A45&lt;=$B$7,"main",IF(A45&lt;=$B$7+$B$8,"reserve","open"))</f>
        <v/>
      </c>
      <c r="L45">
        <f>IF(K45="main","P"&amp;TEXT(A45,"00"),IF(K45="reserve","R"&amp;TEXT(A45-$B$7,"00"),""))</f>
        <v/>
      </c>
      <c r="M45">
        <f>IF(K45="main",INDEX(Assignment!$C$4:$C$51,MATCH(L45,Assignment!$A$4:$A$51,0)),"")</f>
        <v/>
      </c>
      <c r="N45">
        <f>2*B45+IF(E45&gt;=4,1,0)</f>
        <v/>
      </c>
      <c r="O45">
        <f>MOD(N45,3)+1</f>
        <v/>
      </c>
      <c r="P45">
        <f>CHOOSE(O45,"S1","S3","S5")</f>
        <v/>
      </c>
      <c r="Q45">
        <f>CHOOSE(O45,"S2","S4","S6")</f>
        <v/>
      </c>
      <c r="T45" s="19" t="n">
        <v>46434</v>
      </c>
      <c r="U45" s="20" t="n">
        <v>0.5625</v>
      </c>
      <c r="V45" s="12" t="inlineStr">
        <is>
          <t>P34</t>
        </is>
      </c>
      <c r="W45" s="12" t="n">
        <v>2</v>
      </c>
      <c r="X45" s="12" t="inlineStr">
        <is>
          <t>S3</t>
        </is>
      </c>
      <c r="Y45" s="12" t="inlineStr">
        <is>
          <t>S4</t>
        </is>
      </c>
    </row>
    <row r="46">
      <c r="A46" t="n">
        <v>35</v>
      </c>
      <c r="B46">
        <f>INT((A46-1)/$B$4)</f>
        <v/>
      </c>
      <c r="C46" s="16">
        <f>WORKDAY($B$3,B46)</f>
        <v/>
      </c>
      <c r="D46">
        <f>TEXT(C46,"dddd")</f>
        <v/>
      </c>
      <c r="E46">
        <f>MOD(A46-1,$B$4)+1</f>
        <v/>
      </c>
      <c r="F46" s="18">
        <f>$B$5+(E46-1)*$B$6/1440</f>
        <v/>
      </c>
      <c r="G46" s="18">
        <f>F46+25/1440</f>
        <v/>
      </c>
      <c r="H46" s="18">
        <f>F46+45/1440</f>
        <v/>
      </c>
      <c r="I46" s="18">
        <f>F46+60/1440</f>
        <v/>
      </c>
      <c r="J46" s="18">
        <f>F46+$B$6/1440</f>
        <v/>
      </c>
      <c r="K46">
        <f>IF(A46&lt;=$B$7,"main",IF(A46&lt;=$B$7+$B$8,"reserve","open"))</f>
        <v/>
      </c>
      <c r="L46">
        <f>IF(K46="main","P"&amp;TEXT(A46,"00"),IF(K46="reserve","R"&amp;TEXT(A46-$B$7,"00"),""))</f>
        <v/>
      </c>
      <c r="M46">
        <f>IF(K46="main",INDEX(Assignment!$C$4:$C$51,MATCH(L46,Assignment!$A$4:$A$51,0)),"")</f>
        <v/>
      </c>
      <c r="N46">
        <f>2*B46+IF(E46&gt;=4,1,0)</f>
        <v/>
      </c>
      <c r="O46">
        <f>MOD(N46,3)+1</f>
        <v/>
      </c>
      <c r="P46">
        <f>CHOOSE(O46,"S1","S3","S5")</f>
        <v/>
      </c>
      <c r="Q46">
        <f>CHOOSE(O46,"S2","S4","S6")</f>
        <v/>
      </c>
      <c r="T46" s="19" t="n">
        <v>46434</v>
      </c>
      <c r="U46" s="20" t="n">
        <v>0.625</v>
      </c>
      <c r="V46" s="12" t="inlineStr">
        <is>
          <t>P35</t>
        </is>
      </c>
      <c r="W46" s="12" t="n">
        <v>12</v>
      </c>
      <c r="X46" s="12" t="inlineStr">
        <is>
          <t>S3</t>
        </is>
      </c>
      <c r="Y46" s="12" t="inlineStr">
        <is>
          <t>S4</t>
        </is>
      </c>
    </row>
    <row r="47">
      <c r="A47" t="n">
        <v>36</v>
      </c>
      <c r="B47">
        <f>INT((A47-1)/$B$4)</f>
        <v/>
      </c>
      <c r="C47" s="16">
        <f>WORKDAY($B$3,B47)</f>
        <v/>
      </c>
      <c r="D47">
        <f>TEXT(C47,"dddd")</f>
        <v/>
      </c>
      <c r="E47">
        <f>MOD(A47-1,$B$4)+1</f>
        <v/>
      </c>
      <c r="F47" s="18">
        <f>$B$5+(E47-1)*$B$6/1440</f>
        <v/>
      </c>
      <c r="G47" s="18">
        <f>F47+25/1440</f>
        <v/>
      </c>
      <c r="H47" s="18">
        <f>F47+45/1440</f>
        <v/>
      </c>
      <c r="I47" s="18">
        <f>F47+60/1440</f>
        <v/>
      </c>
      <c r="J47" s="18">
        <f>F47+$B$6/1440</f>
        <v/>
      </c>
      <c r="K47">
        <f>IF(A47&lt;=$B$7,"main",IF(A47&lt;=$B$7+$B$8,"reserve","open"))</f>
        <v/>
      </c>
      <c r="L47">
        <f>IF(K47="main","P"&amp;TEXT(A47,"00"),IF(K47="reserve","R"&amp;TEXT(A47-$B$7,"00"),""))</f>
        <v/>
      </c>
      <c r="M47">
        <f>IF(K47="main",INDEX(Assignment!$C$4:$C$51,MATCH(L47,Assignment!$A$4:$A$51,0)),"")</f>
        <v/>
      </c>
      <c r="N47">
        <f>2*B47+IF(E47&gt;=4,1,0)</f>
        <v/>
      </c>
      <c r="O47">
        <f>MOD(N47,3)+1</f>
        <v/>
      </c>
      <c r="P47">
        <f>CHOOSE(O47,"S1","S3","S5")</f>
        <v/>
      </c>
      <c r="Q47">
        <f>CHOOSE(O47,"S2","S4","S6")</f>
        <v/>
      </c>
      <c r="T47" s="19" t="n">
        <v>46435</v>
      </c>
      <c r="U47" s="20" t="n">
        <v>0.375</v>
      </c>
      <c r="V47" s="12" t="inlineStr">
        <is>
          <t>P36</t>
        </is>
      </c>
      <c r="W47" s="12" t="n">
        <v>6</v>
      </c>
      <c r="X47" s="12" t="inlineStr">
        <is>
          <t>S5</t>
        </is>
      </c>
      <c r="Y47" s="12" t="inlineStr">
        <is>
          <t>S6</t>
        </is>
      </c>
    </row>
    <row r="48">
      <c r="A48" t="n">
        <v>37</v>
      </c>
      <c r="B48">
        <f>INT((A48-1)/$B$4)</f>
        <v/>
      </c>
      <c r="C48" s="16">
        <f>WORKDAY($B$3,B48)</f>
        <v/>
      </c>
      <c r="D48">
        <f>TEXT(C48,"dddd")</f>
        <v/>
      </c>
      <c r="E48">
        <f>MOD(A48-1,$B$4)+1</f>
        <v/>
      </c>
      <c r="F48" s="18">
        <f>$B$5+(E48-1)*$B$6/1440</f>
        <v/>
      </c>
      <c r="G48" s="18">
        <f>F48+25/1440</f>
        <v/>
      </c>
      <c r="H48" s="18">
        <f>F48+45/1440</f>
        <v/>
      </c>
      <c r="I48" s="18">
        <f>F48+60/1440</f>
        <v/>
      </c>
      <c r="J48" s="18">
        <f>F48+$B$6/1440</f>
        <v/>
      </c>
      <c r="K48">
        <f>IF(A48&lt;=$B$7,"main",IF(A48&lt;=$B$7+$B$8,"reserve","open"))</f>
        <v/>
      </c>
      <c r="L48">
        <f>IF(K48="main","P"&amp;TEXT(A48,"00"),IF(K48="reserve","R"&amp;TEXT(A48-$B$7,"00"),""))</f>
        <v/>
      </c>
      <c r="M48">
        <f>IF(K48="main",INDEX(Assignment!$C$4:$C$51,MATCH(L48,Assignment!$A$4:$A$51,0)),"")</f>
        <v/>
      </c>
      <c r="N48">
        <f>2*B48+IF(E48&gt;=4,1,0)</f>
        <v/>
      </c>
      <c r="O48">
        <f>MOD(N48,3)+1</f>
        <v/>
      </c>
      <c r="P48">
        <f>CHOOSE(O48,"S1","S3","S5")</f>
        <v/>
      </c>
      <c r="Q48">
        <f>CHOOSE(O48,"S2","S4","S6")</f>
        <v/>
      </c>
      <c r="T48" s="19" t="n">
        <v>46435</v>
      </c>
      <c r="U48" s="20" t="n">
        <v>0.4375</v>
      </c>
      <c r="V48" s="12" t="inlineStr">
        <is>
          <t>P37</t>
        </is>
      </c>
      <c r="W48" s="12" t="n">
        <v>2</v>
      </c>
      <c r="X48" s="12" t="inlineStr">
        <is>
          <t>S5</t>
        </is>
      </c>
      <c r="Y48" s="12" t="inlineStr">
        <is>
          <t>S6</t>
        </is>
      </c>
    </row>
    <row r="49">
      <c r="A49" t="n">
        <v>38</v>
      </c>
      <c r="B49">
        <f>INT((A49-1)/$B$4)</f>
        <v/>
      </c>
      <c r="C49" s="16">
        <f>WORKDAY($B$3,B49)</f>
        <v/>
      </c>
      <c r="D49">
        <f>TEXT(C49,"dddd")</f>
        <v/>
      </c>
      <c r="E49">
        <f>MOD(A49-1,$B$4)+1</f>
        <v/>
      </c>
      <c r="F49" s="18">
        <f>$B$5+(E49-1)*$B$6/1440</f>
        <v/>
      </c>
      <c r="G49" s="18">
        <f>F49+25/1440</f>
        <v/>
      </c>
      <c r="H49" s="18">
        <f>F49+45/1440</f>
        <v/>
      </c>
      <c r="I49" s="18">
        <f>F49+60/1440</f>
        <v/>
      </c>
      <c r="J49" s="18">
        <f>F49+$B$6/1440</f>
        <v/>
      </c>
      <c r="K49">
        <f>IF(A49&lt;=$B$7,"main",IF(A49&lt;=$B$7+$B$8,"reserve","open"))</f>
        <v/>
      </c>
      <c r="L49">
        <f>IF(K49="main","P"&amp;TEXT(A49,"00"),IF(K49="reserve","R"&amp;TEXT(A49-$B$7,"00"),""))</f>
        <v/>
      </c>
      <c r="M49">
        <f>IF(K49="main",INDEX(Assignment!$C$4:$C$51,MATCH(L49,Assignment!$A$4:$A$51,0)),"")</f>
        <v/>
      </c>
      <c r="N49">
        <f>2*B49+IF(E49&gt;=4,1,0)</f>
        <v/>
      </c>
      <c r="O49">
        <f>MOD(N49,3)+1</f>
        <v/>
      </c>
      <c r="P49">
        <f>CHOOSE(O49,"S1","S3","S5")</f>
        <v/>
      </c>
      <c r="Q49">
        <f>CHOOSE(O49,"S2","S4","S6")</f>
        <v/>
      </c>
      <c r="T49" s="19" t="n">
        <v>46435</v>
      </c>
      <c r="U49" s="20" t="n">
        <v>0.5</v>
      </c>
      <c r="V49" s="12" t="inlineStr">
        <is>
          <t>P38</t>
        </is>
      </c>
      <c r="W49" s="12" t="n">
        <v>5</v>
      </c>
      <c r="X49" s="12" t="inlineStr">
        <is>
          <t>S5</t>
        </is>
      </c>
      <c r="Y49" s="12" t="inlineStr">
        <is>
          <t>S6</t>
        </is>
      </c>
    </row>
    <row r="50">
      <c r="A50" t="n">
        <v>39</v>
      </c>
      <c r="B50">
        <f>INT((A50-1)/$B$4)</f>
        <v/>
      </c>
      <c r="C50" s="16">
        <f>WORKDAY($B$3,B50)</f>
        <v/>
      </c>
      <c r="D50">
        <f>TEXT(C50,"dddd")</f>
        <v/>
      </c>
      <c r="E50">
        <f>MOD(A50-1,$B$4)+1</f>
        <v/>
      </c>
      <c r="F50" s="18">
        <f>$B$5+(E50-1)*$B$6/1440</f>
        <v/>
      </c>
      <c r="G50" s="18">
        <f>F50+25/1440</f>
        <v/>
      </c>
      <c r="H50" s="18">
        <f>F50+45/1440</f>
        <v/>
      </c>
      <c r="I50" s="18">
        <f>F50+60/1440</f>
        <v/>
      </c>
      <c r="J50" s="18">
        <f>F50+$B$6/1440</f>
        <v/>
      </c>
      <c r="K50">
        <f>IF(A50&lt;=$B$7,"main",IF(A50&lt;=$B$7+$B$8,"reserve","open"))</f>
        <v/>
      </c>
      <c r="L50">
        <f>IF(K50="main","P"&amp;TEXT(A50,"00"),IF(K50="reserve","R"&amp;TEXT(A50-$B$7,"00"),""))</f>
        <v/>
      </c>
      <c r="M50">
        <f>IF(K50="main",INDEX(Assignment!$C$4:$C$51,MATCH(L50,Assignment!$A$4:$A$51,0)),"")</f>
        <v/>
      </c>
      <c r="N50">
        <f>2*B50+IF(E50&gt;=4,1,0)</f>
        <v/>
      </c>
      <c r="O50">
        <f>MOD(N50,3)+1</f>
        <v/>
      </c>
      <c r="P50">
        <f>CHOOSE(O50,"S1","S3","S5")</f>
        <v/>
      </c>
      <c r="Q50">
        <f>CHOOSE(O50,"S2","S4","S6")</f>
        <v/>
      </c>
      <c r="T50" s="19" t="n">
        <v>46435</v>
      </c>
      <c r="U50" s="20" t="n">
        <v>0.5625</v>
      </c>
      <c r="V50" s="12" t="inlineStr">
        <is>
          <t>P39</t>
        </is>
      </c>
      <c r="W50" s="12" t="n">
        <v>12</v>
      </c>
      <c r="X50" s="12" t="inlineStr">
        <is>
          <t>S1</t>
        </is>
      </c>
      <c r="Y50" s="12" t="inlineStr">
        <is>
          <t>S2</t>
        </is>
      </c>
    </row>
    <row r="51">
      <c r="A51" t="n">
        <v>40</v>
      </c>
      <c r="B51">
        <f>INT((A51-1)/$B$4)</f>
        <v/>
      </c>
      <c r="C51" s="16">
        <f>WORKDAY($B$3,B51)</f>
        <v/>
      </c>
      <c r="D51">
        <f>TEXT(C51,"dddd")</f>
        <v/>
      </c>
      <c r="E51">
        <f>MOD(A51-1,$B$4)+1</f>
        <v/>
      </c>
      <c r="F51" s="18">
        <f>$B$5+(E51-1)*$B$6/1440</f>
        <v/>
      </c>
      <c r="G51" s="18">
        <f>F51+25/1440</f>
        <v/>
      </c>
      <c r="H51" s="18">
        <f>F51+45/1440</f>
        <v/>
      </c>
      <c r="I51" s="18">
        <f>F51+60/1440</f>
        <v/>
      </c>
      <c r="J51" s="18">
        <f>F51+$B$6/1440</f>
        <v/>
      </c>
      <c r="K51">
        <f>IF(A51&lt;=$B$7,"main",IF(A51&lt;=$B$7+$B$8,"reserve","open"))</f>
        <v/>
      </c>
      <c r="L51">
        <f>IF(K51="main","P"&amp;TEXT(A51,"00"),IF(K51="reserve","R"&amp;TEXT(A51-$B$7,"00"),""))</f>
        <v/>
      </c>
      <c r="M51">
        <f>IF(K51="main",INDEX(Assignment!$C$4:$C$51,MATCH(L51,Assignment!$A$4:$A$51,0)),"")</f>
        <v/>
      </c>
      <c r="N51">
        <f>2*B51+IF(E51&gt;=4,1,0)</f>
        <v/>
      </c>
      <c r="O51">
        <f>MOD(N51,3)+1</f>
        <v/>
      </c>
      <c r="P51">
        <f>CHOOSE(O51,"S1","S3","S5")</f>
        <v/>
      </c>
      <c r="Q51">
        <f>CHOOSE(O51,"S2","S4","S6")</f>
        <v/>
      </c>
      <c r="T51" s="19" t="n">
        <v>46435</v>
      </c>
      <c r="U51" s="20" t="n">
        <v>0.625</v>
      </c>
      <c r="V51" s="12" t="inlineStr">
        <is>
          <t>P40</t>
        </is>
      </c>
      <c r="W51" s="12" t="n">
        <v>10</v>
      </c>
      <c r="X51" s="12" t="inlineStr">
        <is>
          <t>S1</t>
        </is>
      </c>
      <c r="Y51" s="12" t="inlineStr">
        <is>
          <t>S2</t>
        </is>
      </c>
    </row>
    <row r="52">
      <c r="A52" t="n">
        <v>41</v>
      </c>
      <c r="B52">
        <f>INT((A52-1)/$B$4)</f>
        <v/>
      </c>
      <c r="C52" s="16">
        <f>WORKDAY($B$3,B52)</f>
        <v/>
      </c>
      <c r="D52">
        <f>TEXT(C52,"dddd")</f>
        <v/>
      </c>
      <c r="E52">
        <f>MOD(A52-1,$B$4)+1</f>
        <v/>
      </c>
      <c r="F52" s="18">
        <f>$B$5+(E52-1)*$B$6/1440</f>
        <v/>
      </c>
      <c r="G52" s="18">
        <f>F52+25/1440</f>
        <v/>
      </c>
      <c r="H52" s="18">
        <f>F52+45/1440</f>
        <v/>
      </c>
      <c r="I52" s="18">
        <f>F52+60/1440</f>
        <v/>
      </c>
      <c r="J52" s="18">
        <f>F52+$B$6/1440</f>
        <v/>
      </c>
      <c r="K52">
        <f>IF(A52&lt;=$B$7,"main",IF(A52&lt;=$B$7+$B$8,"reserve","open"))</f>
        <v/>
      </c>
      <c r="L52">
        <f>IF(K52="main","P"&amp;TEXT(A52,"00"),IF(K52="reserve","R"&amp;TEXT(A52-$B$7,"00"),""))</f>
        <v/>
      </c>
      <c r="M52">
        <f>IF(K52="main",INDEX(Assignment!$C$4:$C$51,MATCH(L52,Assignment!$A$4:$A$51,0)),"")</f>
        <v/>
      </c>
      <c r="N52">
        <f>2*B52+IF(E52&gt;=4,1,0)</f>
        <v/>
      </c>
      <c r="O52">
        <f>MOD(N52,3)+1</f>
        <v/>
      </c>
      <c r="P52">
        <f>CHOOSE(O52,"S1","S3","S5")</f>
        <v/>
      </c>
      <c r="Q52">
        <f>CHOOSE(O52,"S2","S4","S6")</f>
        <v/>
      </c>
      <c r="T52" s="19" t="n">
        <v>46436</v>
      </c>
      <c r="U52" s="20" t="n">
        <v>0.375</v>
      </c>
      <c r="V52" s="12" t="inlineStr">
        <is>
          <t>P41</t>
        </is>
      </c>
      <c r="W52" s="12" t="n">
        <v>9</v>
      </c>
      <c r="X52" s="12" t="inlineStr">
        <is>
          <t>S3</t>
        </is>
      </c>
      <c r="Y52" s="12" t="inlineStr">
        <is>
          <t>S4</t>
        </is>
      </c>
    </row>
    <row r="53">
      <c r="A53" t="n">
        <v>42</v>
      </c>
      <c r="B53">
        <f>INT((A53-1)/$B$4)</f>
        <v/>
      </c>
      <c r="C53" s="16">
        <f>WORKDAY($B$3,B53)</f>
        <v/>
      </c>
      <c r="D53">
        <f>TEXT(C53,"dddd")</f>
        <v/>
      </c>
      <c r="E53">
        <f>MOD(A53-1,$B$4)+1</f>
        <v/>
      </c>
      <c r="F53" s="18">
        <f>$B$5+(E53-1)*$B$6/1440</f>
        <v/>
      </c>
      <c r="G53" s="18">
        <f>F53+25/1440</f>
        <v/>
      </c>
      <c r="H53" s="18">
        <f>F53+45/1440</f>
        <v/>
      </c>
      <c r="I53" s="18">
        <f>F53+60/1440</f>
        <v/>
      </c>
      <c r="J53" s="18">
        <f>F53+$B$6/1440</f>
        <v/>
      </c>
      <c r="K53">
        <f>IF(A53&lt;=$B$7,"main",IF(A53&lt;=$B$7+$B$8,"reserve","open"))</f>
        <v/>
      </c>
      <c r="L53">
        <f>IF(K53="main","P"&amp;TEXT(A53,"00"),IF(K53="reserve","R"&amp;TEXT(A53-$B$7,"00"),""))</f>
        <v/>
      </c>
      <c r="M53">
        <f>IF(K53="main",INDEX(Assignment!$C$4:$C$51,MATCH(L53,Assignment!$A$4:$A$51,0)),"")</f>
        <v/>
      </c>
      <c r="N53">
        <f>2*B53+IF(E53&gt;=4,1,0)</f>
        <v/>
      </c>
      <c r="O53">
        <f>MOD(N53,3)+1</f>
        <v/>
      </c>
      <c r="P53">
        <f>CHOOSE(O53,"S1","S3","S5")</f>
        <v/>
      </c>
      <c r="Q53">
        <f>CHOOSE(O53,"S2","S4","S6")</f>
        <v/>
      </c>
      <c r="T53" s="19" t="n">
        <v>46436</v>
      </c>
      <c r="U53" s="20" t="n">
        <v>0.4375</v>
      </c>
      <c r="V53" s="12" t="inlineStr">
        <is>
          <t>P42</t>
        </is>
      </c>
      <c r="W53" s="12" t="n">
        <v>11</v>
      </c>
      <c r="X53" s="12" t="inlineStr">
        <is>
          <t>S3</t>
        </is>
      </c>
      <c r="Y53" s="12" t="inlineStr">
        <is>
          <t>S4</t>
        </is>
      </c>
    </row>
    <row r="54">
      <c r="A54" t="n">
        <v>43</v>
      </c>
      <c r="B54">
        <f>INT((A54-1)/$B$4)</f>
        <v/>
      </c>
      <c r="C54" s="16">
        <f>WORKDAY($B$3,B54)</f>
        <v/>
      </c>
      <c r="D54">
        <f>TEXT(C54,"dddd")</f>
        <v/>
      </c>
      <c r="E54">
        <f>MOD(A54-1,$B$4)+1</f>
        <v/>
      </c>
      <c r="F54" s="18">
        <f>$B$5+(E54-1)*$B$6/1440</f>
        <v/>
      </c>
      <c r="G54" s="18">
        <f>F54+25/1440</f>
        <v/>
      </c>
      <c r="H54" s="18">
        <f>F54+45/1440</f>
        <v/>
      </c>
      <c r="I54" s="18">
        <f>F54+60/1440</f>
        <v/>
      </c>
      <c r="J54" s="18">
        <f>F54+$B$6/1440</f>
        <v/>
      </c>
      <c r="K54">
        <f>IF(A54&lt;=$B$7,"main",IF(A54&lt;=$B$7+$B$8,"reserve","open"))</f>
        <v/>
      </c>
      <c r="L54">
        <f>IF(K54="main","P"&amp;TEXT(A54,"00"),IF(K54="reserve","R"&amp;TEXT(A54-$B$7,"00"),""))</f>
        <v/>
      </c>
      <c r="M54">
        <f>IF(K54="main",INDEX(Assignment!$C$4:$C$51,MATCH(L54,Assignment!$A$4:$A$51,0)),"")</f>
        <v/>
      </c>
      <c r="N54">
        <f>2*B54+IF(E54&gt;=4,1,0)</f>
        <v/>
      </c>
      <c r="O54">
        <f>MOD(N54,3)+1</f>
        <v/>
      </c>
      <c r="P54">
        <f>CHOOSE(O54,"S1","S3","S5")</f>
        <v/>
      </c>
      <c r="Q54">
        <f>CHOOSE(O54,"S2","S4","S6")</f>
        <v/>
      </c>
      <c r="T54" s="19" t="n">
        <v>46436</v>
      </c>
      <c r="U54" s="20" t="n">
        <v>0.5</v>
      </c>
      <c r="V54" s="12" t="inlineStr">
        <is>
          <t>P43</t>
        </is>
      </c>
      <c r="W54" s="12" t="n">
        <v>1</v>
      </c>
      <c r="X54" s="12" t="inlineStr">
        <is>
          <t>S3</t>
        </is>
      </c>
      <c r="Y54" s="12" t="inlineStr">
        <is>
          <t>S4</t>
        </is>
      </c>
    </row>
    <row r="55">
      <c r="A55" t="n">
        <v>44</v>
      </c>
      <c r="B55">
        <f>INT((A55-1)/$B$4)</f>
        <v/>
      </c>
      <c r="C55" s="16">
        <f>WORKDAY($B$3,B55)</f>
        <v/>
      </c>
      <c r="D55">
        <f>TEXT(C55,"dddd")</f>
        <v/>
      </c>
      <c r="E55">
        <f>MOD(A55-1,$B$4)+1</f>
        <v/>
      </c>
      <c r="F55" s="18">
        <f>$B$5+(E55-1)*$B$6/1440</f>
        <v/>
      </c>
      <c r="G55" s="18">
        <f>F55+25/1440</f>
        <v/>
      </c>
      <c r="H55" s="18">
        <f>F55+45/1440</f>
        <v/>
      </c>
      <c r="I55" s="18">
        <f>F55+60/1440</f>
        <v/>
      </c>
      <c r="J55" s="18">
        <f>F55+$B$6/1440</f>
        <v/>
      </c>
      <c r="K55">
        <f>IF(A55&lt;=$B$7,"main",IF(A55&lt;=$B$7+$B$8,"reserve","open"))</f>
        <v/>
      </c>
      <c r="L55">
        <f>IF(K55="main","P"&amp;TEXT(A55,"00"),IF(K55="reserve","R"&amp;TEXT(A55-$B$7,"00"),""))</f>
        <v/>
      </c>
      <c r="M55">
        <f>IF(K55="main",INDEX(Assignment!$C$4:$C$51,MATCH(L55,Assignment!$A$4:$A$51,0)),"")</f>
        <v/>
      </c>
      <c r="N55">
        <f>2*B55+IF(E55&gt;=4,1,0)</f>
        <v/>
      </c>
      <c r="O55">
        <f>MOD(N55,3)+1</f>
        <v/>
      </c>
      <c r="P55">
        <f>CHOOSE(O55,"S1","S3","S5")</f>
        <v/>
      </c>
      <c r="Q55">
        <f>CHOOSE(O55,"S2","S4","S6")</f>
        <v/>
      </c>
      <c r="T55" s="19" t="n">
        <v>46436</v>
      </c>
      <c r="U55" s="20" t="n">
        <v>0.5625</v>
      </c>
      <c r="V55" s="12" t="inlineStr">
        <is>
          <t>P44</t>
        </is>
      </c>
      <c r="W55" s="12" t="n">
        <v>4</v>
      </c>
      <c r="X55" s="12" t="inlineStr">
        <is>
          <t>S5</t>
        </is>
      </c>
      <c r="Y55" s="12" t="inlineStr">
        <is>
          <t>S6</t>
        </is>
      </c>
    </row>
    <row r="56">
      <c r="A56" t="n">
        <v>45</v>
      </c>
      <c r="B56">
        <f>INT((A56-1)/$B$4)</f>
        <v/>
      </c>
      <c r="C56" s="16">
        <f>WORKDAY($B$3,B56)</f>
        <v/>
      </c>
      <c r="D56">
        <f>TEXT(C56,"dddd")</f>
        <v/>
      </c>
      <c r="E56">
        <f>MOD(A56-1,$B$4)+1</f>
        <v/>
      </c>
      <c r="F56" s="18">
        <f>$B$5+(E56-1)*$B$6/1440</f>
        <v/>
      </c>
      <c r="G56" s="18">
        <f>F56+25/1440</f>
        <v/>
      </c>
      <c r="H56" s="18">
        <f>F56+45/1440</f>
        <v/>
      </c>
      <c r="I56" s="18">
        <f>F56+60/1440</f>
        <v/>
      </c>
      <c r="J56" s="18">
        <f>F56+$B$6/1440</f>
        <v/>
      </c>
      <c r="K56">
        <f>IF(A56&lt;=$B$7,"main",IF(A56&lt;=$B$7+$B$8,"reserve","open"))</f>
        <v/>
      </c>
      <c r="L56">
        <f>IF(K56="main","P"&amp;TEXT(A56,"00"),IF(K56="reserve","R"&amp;TEXT(A56-$B$7,"00"),""))</f>
        <v/>
      </c>
      <c r="M56">
        <f>IF(K56="main",INDEX(Assignment!$C$4:$C$51,MATCH(L56,Assignment!$A$4:$A$51,0)),"")</f>
        <v/>
      </c>
      <c r="N56">
        <f>2*B56+IF(E56&gt;=4,1,0)</f>
        <v/>
      </c>
      <c r="O56">
        <f>MOD(N56,3)+1</f>
        <v/>
      </c>
      <c r="P56">
        <f>CHOOSE(O56,"S1","S3","S5")</f>
        <v/>
      </c>
      <c r="Q56">
        <f>CHOOSE(O56,"S2","S4","S6")</f>
        <v/>
      </c>
      <c r="T56" s="19" t="n">
        <v>46436</v>
      </c>
      <c r="U56" s="20" t="n">
        <v>0.625</v>
      </c>
      <c r="V56" s="12" t="inlineStr">
        <is>
          <t>P45</t>
        </is>
      </c>
      <c r="W56" s="12" t="n">
        <v>6</v>
      </c>
      <c r="X56" s="12" t="inlineStr">
        <is>
          <t>S5</t>
        </is>
      </c>
      <c r="Y56" s="12" t="inlineStr">
        <is>
          <t>S6</t>
        </is>
      </c>
    </row>
    <row r="57">
      <c r="A57" t="n">
        <v>46</v>
      </c>
      <c r="B57">
        <f>INT((A57-1)/$B$4)</f>
        <v/>
      </c>
      <c r="C57" s="16">
        <f>WORKDAY($B$3,B57)</f>
        <v/>
      </c>
      <c r="D57">
        <f>TEXT(C57,"dddd")</f>
        <v/>
      </c>
      <c r="E57">
        <f>MOD(A57-1,$B$4)+1</f>
        <v/>
      </c>
      <c r="F57" s="18">
        <f>$B$5+(E57-1)*$B$6/1440</f>
        <v/>
      </c>
      <c r="G57" s="18">
        <f>F57+25/1440</f>
        <v/>
      </c>
      <c r="H57" s="18">
        <f>F57+45/1440</f>
        <v/>
      </c>
      <c r="I57" s="18">
        <f>F57+60/1440</f>
        <v/>
      </c>
      <c r="J57" s="18">
        <f>F57+$B$6/1440</f>
        <v/>
      </c>
      <c r="K57">
        <f>IF(A57&lt;=$B$7,"main",IF(A57&lt;=$B$7+$B$8,"reserve","open"))</f>
        <v/>
      </c>
      <c r="L57">
        <f>IF(K57="main","P"&amp;TEXT(A57,"00"),IF(K57="reserve","R"&amp;TEXT(A57-$B$7,"00"),""))</f>
        <v/>
      </c>
      <c r="M57">
        <f>IF(K57="main",INDEX(Assignment!$C$4:$C$51,MATCH(L57,Assignment!$A$4:$A$51,0)),"")</f>
        <v/>
      </c>
      <c r="N57">
        <f>2*B57+IF(E57&gt;=4,1,0)</f>
        <v/>
      </c>
      <c r="O57">
        <f>MOD(N57,3)+1</f>
        <v/>
      </c>
      <c r="P57">
        <f>CHOOSE(O57,"S1","S3","S5")</f>
        <v/>
      </c>
      <c r="Q57">
        <f>CHOOSE(O57,"S2","S4","S6")</f>
        <v/>
      </c>
      <c r="T57" s="19" t="n">
        <v>46437</v>
      </c>
      <c r="U57" s="20" t="n">
        <v>0.375</v>
      </c>
      <c r="V57" s="12" t="inlineStr">
        <is>
          <t>P46</t>
        </is>
      </c>
      <c r="W57" s="12" t="n">
        <v>8</v>
      </c>
      <c r="X57" s="12" t="inlineStr">
        <is>
          <t>S1</t>
        </is>
      </c>
      <c r="Y57" s="12" t="inlineStr">
        <is>
          <t>S2</t>
        </is>
      </c>
    </row>
    <row r="58">
      <c r="A58" t="n">
        <v>47</v>
      </c>
      <c r="B58">
        <f>INT((A58-1)/$B$4)</f>
        <v/>
      </c>
      <c r="C58" s="16">
        <f>WORKDAY($B$3,B58)</f>
        <v/>
      </c>
      <c r="D58">
        <f>TEXT(C58,"dddd")</f>
        <v/>
      </c>
      <c r="E58">
        <f>MOD(A58-1,$B$4)+1</f>
        <v/>
      </c>
      <c r="F58" s="18">
        <f>$B$5+(E58-1)*$B$6/1440</f>
        <v/>
      </c>
      <c r="G58" s="18">
        <f>F58+25/1440</f>
        <v/>
      </c>
      <c r="H58" s="18">
        <f>F58+45/1440</f>
        <v/>
      </c>
      <c r="I58" s="18">
        <f>F58+60/1440</f>
        <v/>
      </c>
      <c r="J58" s="18">
        <f>F58+$B$6/1440</f>
        <v/>
      </c>
      <c r="K58">
        <f>IF(A58&lt;=$B$7,"main",IF(A58&lt;=$B$7+$B$8,"reserve","open"))</f>
        <v/>
      </c>
      <c r="L58">
        <f>IF(K58="main","P"&amp;TEXT(A58,"00"),IF(K58="reserve","R"&amp;TEXT(A58-$B$7,"00"),""))</f>
        <v/>
      </c>
      <c r="M58">
        <f>IF(K58="main",INDEX(Assignment!$C$4:$C$51,MATCH(L58,Assignment!$A$4:$A$51,0)),"")</f>
        <v/>
      </c>
      <c r="N58">
        <f>2*B58+IF(E58&gt;=4,1,0)</f>
        <v/>
      </c>
      <c r="O58">
        <f>MOD(N58,3)+1</f>
        <v/>
      </c>
      <c r="P58">
        <f>CHOOSE(O58,"S1","S3","S5")</f>
        <v/>
      </c>
      <c r="Q58">
        <f>CHOOSE(O58,"S2","S4","S6")</f>
        <v/>
      </c>
      <c r="T58" s="19" t="n">
        <v>46437</v>
      </c>
      <c r="U58" s="20" t="n">
        <v>0.4375</v>
      </c>
      <c r="V58" s="12" t="inlineStr">
        <is>
          <t>P47</t>
        </is>
      </c>
      <c r="W58" s="12" t="n">
        <v>7</v>
      </c>
      <c r="X58" s="12" t="inlineStr">
        <is>
          <t>S1</t>
        </is>
      </c>
      <c r="Y58" s="12" t="inlineStr">
        <is>
          <t>S2</t>
        </is>
      </c>
    </row>
    <row r="59">
      <c r="A59" t="n">
        <v>48</v>
      </c>
      <c r="B59">
        <f>INT((A59-1)/$B$4)</f>
        <v/>
      </c>
      <c r="C59" s="16">
        <f>WORKDAY($B$3,B59)</f>
        <v/>
      </c>
      <c r="D59">
        <f>TEXT(C59,"dddd")</f>
        <v/>
      </c>
      <c r="E59">
        <f>MOD(A59-1,$B$4)+1</f>
        <v/>
      </c>
      <c r="F59" s="18">
        <f>$B$5+(E59-1)*$B$6/1440</f>
        <v/>
      </c>
      <c r="G59" s="18">
        <f>F59+25/1440</f>
        <v/>
      </c>
      <c r="H59" s="18">
        <f>F59+45/1440</f>
        <v/>
      </c>
      <c r="I59" s="18">
        <f>F59+60/1440</f>
        <v/>
      </c>
      <c r="J59" s="18">
        <f>F59+$B$6/1440</f>
        <v/>
      </c>
      <c r="K59">
        <f>IF(A59&lt;=$B$7,"main",IF(A59&lt;=$B$7+$B$8,"reserve","open"))</f>
        <v/>
      </c>
      <c r="L59">
        <f>IF(K59="main","P"&amp;TEXT(A59,"00"),IF(K59="reserve","R"&amp;TEXT(A59-$B$7,"00"),""))</f>
        <v/>
      </c>
      <c r="M59">
        <f>IF(K59="main",INDEX(Assignment!$C$4:$C$51,MATCH(L59,Assignment!$A$4:$A$51,0)),"")</f>
        <v/>
      </c>
      <c r="N59">
        <f>2*B59+IF(E59&gt;=4,1,0)</f>
        <v/>
      </c>
      <c r="O59">
        <f>MOD(N59,3)+1</f>
        <v/>
      </c>
      <c r="P59">
        <f>CHOOSE(O59,"S1","S3","S5")</f>
        <v/>
      </c>
      <c r="Q59">
        <f>CHOOSE(O59,"S2","S4","S6")</f>
        <v/>
      </c>
      <c r="T59" s="19" t="n">
        <v>46437</v>
      </c>
      <c r="U59" s="20" t="n">
        <v>0.5</v>
      </c>
      <c r="V59" s="12" t="inlineStr">
        <is>
          <t>P48</t>
        </is>
      </c>
      <c r="W59" s="12" t="n">
        <v>3</v>
      </c>
      <c r="X59" s="12" t="inlineStr">
        <is>
          <t>S1</t>
        </is>
      </c>
      <c r="Y59" s="12" t="inlineStr">
        <is>
          <t>S2</t>
        </is>
      </c>
    </row>
    <row r="60">
      <c r="A60" t="n">
        <v>49</v>
      </c>
      <c r="B60">
        <f>INT((A60-1)/$B$4)</f>
        <v/>
      </c>
      <c r="C60" s="16">
        <f>WORKDAY($B$3,B60)</f>
        <v/>
      </c>
      <c r="D60">
        <f>TEXT(C60,"dddd")</f>
        <v/>
      </c>
      <c r="E60">
        <f>MOD(A60-1,$B$4)+1</f>
        <v/>
      </c>
      <c r="F60" s="18">
        <f>$B$5+(E60-1)*$B$6/1440</f>
        <v/>
      </c>
      <c r="G60" s="18">
        <f>F60+25/1440</f>
        <v/>
      </c>
      <c r="H60" s="18">
        <f>F60+45/1440</f>
        <v/>
      </c>
      <c r="I60" s="18">
        <f>F60+60/1440</f>
        <v/>
      </c>
      <c r="J60" s="18">
        <f>F60+$B$6/1440</f>
        <v/>
      </c>
      <c r="K60">
        <f>IF(A60&lt;=$B$7,"main",IF(A60&lt;=$B$7+$B$8,"reserve","open"))</f>
        <v/>
      </c>
      <c r="L60">
        <f>IF(K60="main","P"&amp;TEXT(A60,"00"),IF(K60="reserve","R"&amp;TEXT(A60-$B$7,"00"),""))</f>
        <v/>
      </c>
      <c r="M60">
        <f>IF(K60="main",INDEX(Assignment!$C$4:$C$51,MATCH(L60,Assignment!$A$4:$A$51,0)),"")</f>
        <v/>
      </c>
      <c r="N60">
        <f>2*B60+IF(E60&gt;=4,1,0)</f>
        <v/>
      </c>
      <c r="O60">
        <f>MOD(N60,3)+1</f>
        <v/>
      </c>
      <c r="P60">
        <f>CHOOSE(O60,"S1","S3","S5")</f>
        <v/>
      </c>
      <c r="Q60">
        <f>CHOOSE(O60,"S2","S4","S6")</f>
        <v/>
      </c>
      <c r="T60" s="19" t="n">
        <v>46437</v>
      </c>
      <c r="U60" s="20" t="n">
        <v>0.5625</v>
      </c>
      <c r="V60" s="12" t="inlineStr">
        <is>
          <t>R01</t>
        </is>
      </c>
      <c r="W60" s="12" t="inlineStr"/>
      <c r="X60" s="12" t="inlineStr">
        <is>
          <t>S3</t>
        </is>
      </c>
      <c r="Y60" s="12" t="inlineStr">
        <is>
          <t>S4</t>
        </is>
      </c>
    </row>
    <row r="61">
      <c r="A61" t="n">
        <v>50</v>
      </c>
      <c r="B61">
        <f>INT((A61-1)/$B$4)</f>
        <v/>
      </c>
      <c r="C61" s="16">
        <f>WORKDAY($B$3,B61)</f>
        <v/>
      </c>
      <c r="D61">
        <f>TEXT(C61,"dddd")</f>
        <v/>
      </c>
      <c r="E61">
        <f>MOD(A61-1,$B$4)+1</f>
        <v/>
      </c>
      <c r="F61" s="18">
        <f>$B$5+(E61-1)*$B$6/1440</f>
        <v/>
      </c>
      <c r="G61" s="18">
        <f>F61+25/1440</f>
        <v/>
      </c>
      <c r="H61" s="18">
        <f>F61+45/1440</f>
        <v/>
      </c>
      <c r="I61" s="18">
        <f>F61+60/1440</f>
        <v/>
      </c>
      <c r="J61" s="18">
        <f>F61+$B$6/1440</f>
        <v/>
      </c>
      <c r="K61">
        <f>IF(A61&lt;=$B$7,"main",IF(A61&lt;=$B$7+$B$8,"reserve","open"))</f>
        <v/>
      </c>
      <c r="L61">
        <f>IF(K61="main","P"&amp;TEXT(A61,"00"),IF(K61="reserve","R"&amp;TEXT(A61-$B$7,"00"),""))</f>
        <v/>
      </c>
      <c r="M61">
        <f>IF(K61="main",INDEX(Assignment!$C$4:$C$51,MATCH(L61,Assignment!$A$4:$A$51,0)),"")</f>
        <v/>
      </c>
      <c r="N61">
        <f>2*B61+IF(E61&gt;=4,1,0)</f>
        <v/>
      </c>
      <c r="O61">
        <f>MOD(N61,3)+1</f>
        <v/>
      </c>
      <c r="P61">
        <f>CHOOSE(O61,"S1","S3","S5")</f>
        <v/>
      </c>
      <c r="Q61">
        <f>CHOOSE(O61,"S2","S4","S6")</f>
        <v/>
      </c>
      <c r="T61" s="19" t="n">
        <v>46437</v>
      </c>
      <c r="U61" s="20" t="n">
        <v>0.625</v>
      </c>
      <c r="V61" s="12" t="inlineStr">
        <is>
          <t>R02</t>
        </is>
      </c>
      <c r="W61" s="12" t="inlineStr"/>
      <c r="X61" s="12" t="inlineStr">
        <is>
          <t>S3</t>
        </is>
      </c>
      <c r="Y61" s="12" t="inlineStr">
        <is>
          <t>S4</t>
        </is>
      </c>
    </row>
    <row r="62">
      <c r="A62" t="n">
        <v>51</v>
      </c>
      <c r="B62">
        <f>INT((A62-1)/$B$4)</f>
        <v/>
      </c>
      <c r="C62" s="16">
        <f>WORKDAY($B$3,B62)</f>
        <v/>
      </c>
      <c r="D62">
        <f>TEXT(C62,"dddd")</f>
        <v/>
      </c>
      <c r="E62">
        <f>MOD(A62-1,$B$4)+1</f>
        <v/>
      </c>
      <c r="F62" s="18">
        <f>$B$5+(E62-1)*$B$6/1440</f>
        <v/>
      </c>
      <c r="G62" s="18">
        <f>F62+25/1440</f>
        <v/>
      </c>
      <c r="H62" s="18">
        <f>F62+45/1440</f>
        <v/>
      </c>
      <c r="I62" s="18">
        <f>F62+60/1440</f>
        <v/>
      </c>
      <c r="J62" s="18">
        <f>F62+$B$6/1440</f>
        <v/>
      </c>
      <c r="K62">
        <f>IF(A62&lt;=$B$7,"main",IF(A62&lt;=$B$7+$B$8,"reserve","open"))</f>
        <v/>
      </c>
      <c r="L62">
        <f>IF(K62="main","P"&amp;TEXT(A62,"00"),IF(K62="reserve","R"&amp;TEXT(A62-$B$7,"00"),""))</f>
        <v/>
      </c>
      <c r="M62">
        <f>IF(K62="main",INDEX(Assignment!$C$4:$C$51,MATCH(L62,Assignment!$A$4:$A$51,0)),"")</f>
        <v/>
      </c>
      <c r="N62">
        <f>2*B62+IF(E62&gt;=4,1,0)</f>
        <v/>
      </c>
      <c r="O62">
        <f>MOD(N62,3)+1</f>
        <v/>
      </c>
      <c r="P62">
        <f>CHOOSE(O62,"S1","S3","S5")</f>
        <v/>
      </c>
      <c r="Q62">
        <f>CHOOSE(O62,"S2","S4","S6")</f>
        <v/>
      </c>
      <c r="T62" s="19" t="n">
        <v>46440</v>
      </c>
      <c r="U62" s="20" t="n">
        <v>0.375</v>
      </c>
      <c r="V62" s="12" t="inlineStr">
        <is>
          <t>R03</t>
        </is>
      </c>
      <c r="W62" s="12" t="inlineStr"/>
      <c r="X62" s="12" t="inlineStr">
        <is>
          <t>S5</t>
        </is>
      </c>
      <c r="Y62" s="12" t="inlineStr">
        <is>
          <t>S6</t>
        </is>
      </c>
    </row>
    <row r="63">
      <c r="A63" t="n">
        <v>52</v>
      </c>
      <c r="B63">
        <f>INT((A63-1)/$B$4)</f>
        <v/>
      </c>
      <c r="C63" s="16">
        <f>WORKDAY($B$3,B63)</f>
        <v/>
      </c>
      <c r="D63">
        <f>TEXT(C63,"dddd")</f>
        <v/>
      </c>
      <c r="E63">
        <f>MOD(A63-1,$B$4)+1</f>
        <v/>
      </c>
      <c r="F63" s="18">
        <f>$B$5+(E63-1)*$B$6/1440</f>
        <v/>
      </c>
      <c r="G63" s="18">
        <f>F63+25/1440</f>
        <v/>
      </c>
      <c r="H63" s="18">
        <f>F63+45/1440</f>
        <v/>
      </c>
      <c r="I63" s="18">
        <f>F63+60/1440</f>
        <v/>
      </c>
      <c r="J63" s="18">
        <f>F63+$B$6/1440</f>
        <v/>
      </c>
      <c r="K63">
        <f>IF(A63&lt;=$B$7,"main",IF(A63&lt;=$B$7+$B$8,"reserve","open"))</f>
        <v/>
      </c>
      <c r="L63">
        <f>IF(K63="main","P"&amp;TEXT(A63,"00"),IF(K63="reserve","R"&amp;TEXT(A63-$B$7,"00"),""))</f>
        <v/>
      </c>
      <c r="M63">
        <f>IF(K63="main",INDEX(Assignment!$C$4:$C$51,MATCH(L63,Assignment!$A$4:$A$51,0)),"")</f>
        <v/>
      </c>
      <c r="N63">
        <f>2*B63+IF(E63&gt;=4,1,0)</f>
        <v/>
      </c>
      <c r="O63">
        <f>MOD(N63,3)+1</f>
        <v/>
      </c>
      <c r="P63">
        <f>CHOOSE(O63,"S1","S3","S5")</f>
        <v/>
      </c>
      <c r="Q63">
        <f>CHOOSE(O63,"S2","S4","S6")</f>
        <v/>
      </c>
      <c r="T63" s="19" t="n">
        <v>46440</v>
      </c>
      <c r="U63" s="20" t="n">
        <v>0.4375</v>
      </c>
      <c r="V63" s="12" t="inlineStr">
        <is>
          <t>R04</t>
        </is>
      </c>
      <c r="W63" s="12" t="inlineStr"/>
      <c r="X63" s="12" t="inlineStr">
        <is>
          <t>S5</t>
        </is>
      </c>
      <c r="Y63" s="12" t="inlineStr">
        <is>
          <t>S6</t>
        </is>
      </c>
    </row>
    <row r="64">
      <c r="A64" t="n">
        <v>53</v>
      </c>
      <c r="B64">
        <f>INT((A64-1)/$B$4)</f>
        <v/>
      </c>
      <c r="C64" s="16">
        <f>WORKDAY($B$3,B64)</f>
        <v/>
      </c>
      <c r="D64">
        <f>TEXT(C64,"dddd")</f>
        <v/>
      </c>
      <c r="E64">
        <f>MOD(A64-1,$B$4)+1</f>
        <v/>
      </c>
      <c r="F64" s="18">
        <f>$B$5+(E64-1)*$B$6/1440</f>
        <v/>
      </c>
      <c r="G64" s="18">
        <f>F64+25/1440</f>
        <v/>
      </c>
      <c r="H64" s="18">
        <f>F64+45/1440</f>
        <v/>
      </c>
      <c r="I64" s="18">
        <f>F64+60/1440</f>
        <v/>
      </c>
      <c r="J64" s="18">
        <f>F64+$B$6/1440</f>
        <v/>
      </c>
      <c r="K64">
        <f>IF(A64&lt;=$B$7,"main",IF(A64&lt;=$B$7+$B$8,"reserve","open"))</f>
        <v/>
      </c>
      <c r="L64">
        <f>IF(K64="main","P"&amp;TEXT(A64,"00"),IF(K64="reserve","R"&amp;TEXT(A64-$B$7,"00"),""))</f>
        <v/>
      </c>
      <c r="M64">
        <f>IF(K64="main",INDEX(Assignment!$C$4:$C$51,MATCH(L64,Assignment!$A$4:$A$51,0)),"")</f>
        <v/>
      </c>
      <c r="N64">
        <f>2*B64+IF(E64&gt;=4,1,0)</f>
        <v/>
      </c>
      <c r="O64">
        <f>MOD(N64,3)+1</f>
        <v/>
      </c>
      <c r="P64">
        <f>CHOOSE(O64,"S1","S3","S5")</f>
        <v/>
      </c>
      <c r="Q64">
        <f>CHOOSE(O64,"S2","S4","S6")</f>
        <v/>
      </c>
      <c r="T64" s="19" t="n">
        <v>46440</v>
      </c>
      <c r="U64" s="20" t="n">
        <v>0.5</v>
      </c>
      <c r="V64" s="12" t="inlineStr">
        <is>
          <t>R05</t>
        </is>
      </c>
      <c r="W64" s="12" t="inlineStr"/>
      <c r="X64" s="12" t="inlineStr">
        <is>
          <t>S5</t>
        </is>
      </c>
      <c r="Y64" s="12" t="inlineStr">
        <is>
          <t>S6</t>
        </is>
      </c>
    </row>
    <row r="65">
      <c r="A65" t="n">
        <v>54</v>
      </c>
      <c r="B65">
        <f>INT((A65-1)/$B$4)</f>
        <v/>
      </c>
      <c r="C65" s="16">
        <f>WORKDAY($B$3,B65)</f>
        <v/>
      </c>
      <c r="D65">
        <f>TEXT(C65,"dddd")</f>
        <v/>
      </c>
      <c r="E65">
        <f>MOD(A65-1,$B$4)+1</f>
        <v/>
      </c>
      <c r="F65" s="18">
        <f>$B$5+(E65-1)*$B$6/1440</f>
        <v/>
      </c>
      <c r="G65" s="18">
        <f>F65+25/1440</f>
        <v/>
      </c>
      <c r="H65" s="18">
        <f>F65+45/1440</f>
        <v/>
      </c>
      <c r="I65" s="18">
        <f>F65+60/1440</f>
        <v/>
      </c>
      <c r="J65" s="18">
        <f>F65+$B$6/1440</f>
        <v/>
      </c>
      <c r="K65">
        <f>IF(A65&lt;=$B$7,"main",IF(A65&lt;=$B$7+$B$8,"reserve","open"))</f>
        <v/>
      </c>
      <c r="L65">
        <f>IF(K65="main","P"&amp;TEXT(A65,"00"),IF(K65="reserve","R"&amp;TEXT(A65-$B$7,"00"),""))</f>
        <v/>
      </c>
      <c r="M65">
        <f>IF(K65="main",INDEX(Assignment!$C$4:$C$51,MATCH(L65,Assignment!$A$4:$A$51,0)),"")</f>
        <v/>
      </c>
      <c r="N65">
        <f>2*B65+IF(E65&gt;=4,1,0)</f>
        <v/>
      </c>
      <c r="O65">
        <f>MOD(N65,3)+1</f>
        <v/>
      </c>
      <c r="P65">
        <f>CHOOSE(O65,"S1","S3","S5")</f>
        <v/>
      </c>
      <c r="Q65">
        <f>CHOOSE(O65,"S2","S4","S6")</f>
        <v/>
      </c>
      <c r="T65" s="19" t="n">
        <v>46440</v>
      </c>
      <c r="U65" s="20" t="n">
        <v>0.5625</v>
      </c>
      <c r="V65" s="12" t="inlineStr"/>
      <c r="W65" s="12" t="inlineStr"/>
      <c r="X65" s="12" t="inlineStr">
        <is>
          <t>S1</t>
        </is>
      </c>
      <c r="Y65" s="12" t="inlineStr">
        <is>
          <t>S2</t>
        </is>
      </c>
    </row>
    <row r="66">
      <c r="A66" t="n">
        <v>55</v>
      </c>
      <c r="B66">
        <f>INT((A66-1)/$B$4)</f>
        <v/>
      </c>
      <c r="C66" s="16">
        <f>WORKDAY($B$3,B66)</f>
        <v/>
      </c>
      <c r="D66">
        <f>TEXT(C66,"dddd")</f>
        <v/>
      </c>
      <c r="E66">
        <f>MOD(A66-1,$B$4)+1</f>
        <v/>
      </c>
      <c r="F66" s="18">
        <f>$B$5+(E66-1)*$B$6/1440</f>
        <v/>
      </c>
      <c r="G66" s="18">
        <f>F66+25/1440</f>
        <v/>
      </c>
      <c r="H66" s="18">
        <f>F66+45/1440</f>
        <v/>
      </c>
      <c r="I66" s="18">
        <f>F66+60/1440</f>
        <v/>
      </c>
      <c r="J66" s="18">
        <f>F66+$B$6/1440</f>
        <v/>
      </c>
      <c r="K66">
        <f>IF(A66&lt;=$B$7,"main",IF(A66&lt;=$B$7+$B$8,"reserve","open"))</f>
        <v/>
      </c>
      <c r="L66">
        <f>IF(K66="main","P"&amp;TEXT(A66,"00"),IF(K66="reserve","R"&amp;TEXT(A66-$B$7,"00"),""))</f>
        <v/>
      </c>
      <c r="M66">
        <f>IF(K66="main",INDEX(Assignment!$C$4:$C$51,MATCH(L66,Assignment!$A$4:$A$51,0)),"")</f>
        <v/>
      </c>
      <c r="N66">
        <f>2*B66+IF(E66&gt;=4,1,0)</f>
        <v/>
      </c>
      <c r="O66">
        <f>MOD(N66,3)+1</f>
        <v/>
      </c>
      <c r="P66">
        <f>CHOOSE(O66,"S1","S3","S5")</f>
        <v/>
      </c>
      <c r="Q66">
        <f>CHOOSE(O66,"S2","S4","S6")</f>
        <v/>
      </c>
      <c r="T66" s="19" t="n">
        <v>46440</v>
      </c>
      <c r="U66" s="20" t="n">
        <v>0.625</v>
      </c>
      <c r="V66" s="12" t="inlineStr"/>
      <c r="W66" s="12" t="inlineStr"/>
      <c r="X66" s="12" t="inlineStr">
        <is>
          <t>S1</t>
        </is>
      </c>
      <c r="Y66" s="12" t="inlineStr">
        <is>
          <t>S2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84" customWidth="1" min="1" max="1"/>
    <col width="14" customWidth="1" min="2" max="2"/>
    <col width="14" customWidth="1" min="3" max="3"/>
    <col width="13" customWidth="1" min="4" max="4"/>
    <col width="11" customWidth="1" min="5" max="5"/>
    <col width="9" customWidth="1" min="6" max="6"/>
  </cols>
  <sheetData>
    <row r="1">
      <c r="A1" s="1" t="inlineStr">
        <is>
          <t>Excel results next to the values that plan_power.R produced (PLANNED / SIMULATED). Tolerance: half a unit in the last printed decimal, or the stated tolerance for an approximation.</t>
        </is>
      </c>
    </row>
    <row r="3">
      <c r="A3" s="6" t="inlineStr">
        <is>
          <t>Result</t>
        </is>
      </c>
      <c r="B3" s="6" t="inlineStr">
        <is>
          <t>Excel</t>
        </is>
      </c>
      <c r="C3" s="6" t="inlineStr">
        <is>
          <t>R</t>
        </is>
      </c>
      <c r="D3" s="6" t="inlineStr">
        <is>
          <t>Difference</t>
        </is>
      </c>
      <c r="E3" s="6" t="inlineStr">
        <is>
          <t>Tolerance</t>
        </is>
      </c>
      <c r="F3" s="6" t="inlineStr">
        <is>
          <t>Status</t>
        </is>
      </c>
    </row>
    <row r="4">
      <c r="A4" t="inlineStr">
        <is>
          <t>SampleSize: n, corrected, d_z = 0.300 (R: power.t.test n)</t>
        </is>
      </c>
      <c r="B4" s="21">
        <f>SampleSize!D14</f>
        <v/>
      </c>
      <c r="C4" s="21" t="n">
        <v>89.149577245627</v>
      </c>
      <c r="D4" s="21">
        <f>B4-C4</f>
        <v/>
      </c>
      <c r="E4" s="21" t="n">
        <v>0.25</v>
      </c>
      <c r="F4">
        <f>IF(ABS(D4)&lt;=E4+1E-12,"OK","CHECK")</f>
        <v/>
      </c>
    </row>
    <row r="5">
      <c r="A5" t="inlineStr">
        <is>
          <t>SampleSize: n needed, d_z = 0.300</t>
        </is>
      </c>
      <c r="B5" s="21">
        <f>SampleSize!E14</f>
        <v/>
      </c>
      <c r="C5" s="21" t="n">
        <v>90</v>
      </c>
      <c r="D5" s="21">
        <f>B5-C5</f>
        <v/>
      </c>
      <c r="E5" s="21" t="n">
        <v>1e-09</v>
      </c>
      <c r="F5">
        <f>IF(ABS(D5)&lt;=E5+1E-12,"OK","CHECK")</f>
        <v/>
      </c>
    </row>
    <row r="6">
      <c r="A6" t="inlineStr">
        <is>
          <t>SampleSize: Holm: n, corrected, d_z = 0.300 (R: power.t.test n)</t>
        </is>
      </c>
      <c r="B6" s="21">
        <f>SampleSize!G14</f>
        <v/>
      </c>
      <c r="C6" s="21" t="n">
        <v>119.204017611929</v>
      </c>
      <c r="D6" s="21">
        <f>B6-C6</f>
        <v/>
      </c>
      <c r="E6" s="21" t="n">
        <v>0.25</v>
      </c>
      <c r="F6">
        <f>IF(ABS(D6)&lt;=E6+1E-12,"OK","CHECK")</f>
        <v/>
      </c>
    </row>
    <row r="7">
      <c r="A7" t="inlineStr">
        <is>
          <t>SampleSize: Holm: n needed, d_z = 0.300</t>
        </is>
      </c>
      <c r="B7" s="21">
        <f>SampleSize!H14</f>
        <v/>
      </c>
      <c r="C7" s="21" t="n">
        <v>120</v>
      </c>
      <c r="D7" s="21">
        <f>B7-C7</f>
        <v/>
      </c>
      <c r="E7" s="21" t="n">
        <v>1e-09</v>
      </c>
      <c r="F7">
        <f>IF(ABS(D7)&lt;=E7+1E-12,"OK","CHECK")</f>
        <v/>
      </c>
    </row>
    <row r="8">
      <c r="A8" t="inlineStr">
        <is>
          <t>SampleSize: power at 48, d_z = 0.300 (R: power.t.test)</t>
        </is>
      </c>
      <c r="B8" s="21">
        <f>SampleSize!I14</f>
        <v/>
      </c>
      <c r="C8" s="21" t="n">
        <v>0.5302627835904929</v>
      </c>
      <c r="D8" s="21">
        <f>B8-C8</f>
        <v/>
      </c>
      <c r="E8" s="21" t="n">
        <v>0.005</v>
      </c>
      <c r="F8">
        <f>IF(ABS(D8)&lt;=E8+1E-12,"OK","CHECK")</f>
        <v/>
      </c>
    </row>
    <row r="9">
      <c r="A9" t="inlineStr">
        <is>
          <t>SampleSize: Holm: power at 48, d_z = 0.300 (R: power.t.test)</t>
        </is>
      </c>
      <c r="B9" s="21">
        <f>SampleSize!J14</f>
        <v/>
      </c>
      <c r="C9" s="21" t="n">
        <v>0.352463947916217</v>
      </c>
      <c r="D9" s="21">
        <f>B9-C9</f>
        <v/>
      </c>
      <c r="E9" s="21" t="n">
        <v>0.005</v>
      </c>
      <c r="F9">
        <f>IF(ABS(D9)&lt;=E9+1E-12,"OK","CHECK")</f>
        <v/>
      </c>
    </row>
    <row r="10">
      <c r="A10" t="inlineStr">
        <is>
          <t>SampleSize: n, corrected, d_z = 0.500 (R: power.t.test n)</t>
        </is>
      </c>
      <c r="B10" s="21">
        <f>SampleSize!D15</f>
        <v/>
      </c>
      <c r="C10" s="21" t="n">
        <v>33.367204088022</v>
      </c>
      <c r="D10" s="21">
        <f>B10-C10</f>
        <v/>
      </c>
      <c r="E10" s="21" t="n">
        <v>0.25</v>
      </c>
      <c r="F10">
        <f>IF(ABS(D10)&lt;=E10+1E-12,"OK","CHECK")</f>
        <v/>
      </c>
    </row>
    <row r="11">
      <c r="A11" t="inlineStr">
        <is>
          <t>SampleSize: n needed, d_z = 0.500</t>
        </is>
      </c>
      <c r="B11" s="21">
        <f>SampleSize!E15</f>
        <v/>
      </c>
      <c r="C11" s="21" t="n">
        <v>34</v>
      </c>
      <c r="D11" s="21">
        <f>B11-C11</f>
        <v/>
      </c>
      <c r="E11" s="21" t="n">
        <v>1e-09</v>
      </c>
      <c r="F11">
        <f>IF(ABS(D11)&lt;=E11+1E-12,"OK","CHECK")</f>
        <v/>
      </c>
    </row>
    <row r="12">
      <c r="A12" t="inlineStr">
        <is>
          <t>SampleSize: Holm: n, corrected, d_z = 0.500 (R: power.t.test n)</t>
        </is>
      </c>
      <c r="B12" s="21">
        <f>SampleSize!G15</f>
        <v/>
      </c>
      <c r="C12" s="21" t="n">
        <v>44.7808706143369</v>
      </c>
      <c r="D12" s="21">
        <f>B12-C12</f>
        <v/>
      </c>
      <c r="E12" s="21" t="n">
        <v>0.25</v>
      </c>
      <c r="F12">
        <f>IF(ABS(D12)&lt;=E12+1E-12,"OK","CHECK")</f>
        <v/>
      </c>
    </row>
    <row r="13">
      <c r="A13" t="inlineStr">
        <is>
          <t>SampleSize: Holm: n needed, d_z = 0.500</t>
        </is>
      </c>
      <c r="B13" s="21">
        <f>SampleSize!H15</f>
        <v/>
      </c>
      <c r="C13" s="21" t="n">
        <v>45</v>
      </c>
      <c r="D13" s="21">
        <f>B13-C13</f>
        <v/>
      </c>
      <c r="E13" s="21" t="n">
        <v>1e-09</v>
      </c>
      <c r="F13">
        <f>IF(ABS(D13)&lt;=E13+1E-12,"OK","CHECK")</f>
        <v/>
      </c>
    </row>
    <row r="14">
      <c r="A14" t="inlineStr">
        <is>
          <t>SampleSize: power at 48, d_z = 0.500 (R: power.t.test)</t>
        </is>
      </c>
      <c r="B14" s="21">
        <f>SampleSize!I15</f>
        <v/>
      </c>
      <c r="C14" s="21" t="n">
        <v>0.924003323510692</v>
      </c>
      <c r="D14" s="21">
        <f>B14-C14</f>
        <v/>
      </c>
      <c r="E14" s="21" t="n">
        <v>0.005</v>
      </c>
      <c r="F14">
        <f>IF(ABS(D14)&lt;=E14+1E-12,"OK","CHECK")</f>
        <v/>
      </c>
    </row>
    <row r="15">
      <c r="A15" t="inlineStr">
        <is>
          <t>SampleSize: Holm: power at 48, d_z = 0.500 (R: power.t.test)</t>
        </is>
      </c>
      <c r="B15" s="21">
        <f>SampleSize!J15</f>
        <v/>
      </c>
      <c r="C15" s="21" t="n">
        <v>0.832393671471423</v>
      </c>
      <c r="D15" s="21">
        <f>B15-C15</f>
        <v/>
      </c>
      <c r="E15" s="21" t="n">
        <v>0.005</v>
      </c>
      <c r="F15">
        <f>IF(ABS(D15)&lt;=E15+1E-12,"OK","CHECK")</f>
        <v/>
      </c>
    </row>
    <row r="16">
      <c r="A16" t="inlineStr">
        <is>
          <t>SampleSize: n, corrected, d_z = 0.355 (R: power.t.test n)</t>
        </is>
      </c>
      <c r="B16" s="21">
        <f>SampleSize!D16</f>
        <v/>
      </c>
      <c r="C16" s="21" t="n">
        <v>64.0738524169559</v>
      </c>
      <c r="D16" s="21">
        <f>B16-C16</f>
        <v/>
      </c>
      <c r="E16" s="21" t="n">
        <v>0.25</v>
      </c>
      <c r="F16">
        <f>IF(ABS(D16)&lt;=E16+1E-12,"OK","CHECK")</f>
        <v/>
      </c>
    </row>
    <row r="17">
      <c r="A17" t="inlineStr">
        <is>
          <t>SampleSize: n needed, d_z = 0.355</t>
        </is>
      </c>
      <c r="B17" s="21">
        <f>SampleSize!E16</f>
        <v/>
      </c>
      <c r="C17" s="21" t="n">
        <v>65</v>
      </c>
      <c r="D17" s="21">
        <f>B17-C17</f>
        <v/>
      </c>
      <c r="E17" s="21" t="n">
        <v>1e-09</v>
      </c>
      <c r="F17">
        <f>IF(ABS(D17)&lt;=E17+1E-12,"OK","CHECK")</f>
        <v/>
      </c>
    </row>
    <row r="18">
      <c r="A18" t="inlineStr">
        <is>
          <t>SampleSize: Holm: n, corrected, d_z = 0.355 (R: power.t.test n)</t>
        </is>
      </c>
      <c r="B18" s="21">
        <f>SampleSize!G16</f>
        <v/>
      </c>
      <c r="C18" s="21" t="n">
        <v>85.7528853785105</v>
      </c>
      <c r="D18" s="21">
        <f>B18-C18</f>
        <v/>
      </c>
      <c r="E18" s="21" t="n">
        <v>0.25</v>
      </c>
      <c r="F18">
        <f>IF(ABS(D18)&lt;=E18+1E-12,"OK","CHECK")</f>
        <v/>
      </c>
    </row>
    <row r="19">
      <c r="A19" t="inlineStr">
        <is>
          <t>SampleSize: Holm: n needed, d_z = 0.355</t>
        </is>
      </c>
      <c r="B19" s="21">
        <f>SampleSize!H16</f>
        <v/>
      </c>
      <c r="C19" s="21" t="n">
        <v>86</v>
      </c>
      <c r="D19" s="21">
        <f>B19-C19</f>
        <v/>
      </c>
      <c r="E19" s="21" t="n">
        <v>1e-09</v>
      </c>
      <c r="F19">
        <f>IF(ABS(D19)&lt;=E19+1E-12,"OK","CHECK")</f>
        <v/>
      </c>
    </row>
    <row r="20">
      <c r="A20" t="inlineStr">
        <is>
          <t>SampleSize: power at 48, d_z = 0.355 (R: power.t.test)</t>
        </is>
      </c>
      <c r="B20" s="21">
        <f>SampleSize!I16</f>
        <v/>
      </c>
      <c r="C20" s="21" t="n">
        <v>0.674374704449102</v>
      </c>
      <c r="D20" s="21">
        <f>B20-C20</f>
        <v/>
      </c>
      <c r="E20" s="21" t="n">
        <v>0.005</v>
      </c>
      <c r="F20">
        <f>IF(ABS(D20)&lt;=E20+1E-12,"OK","CHECK")</f>
        <v/>
      </c>
    </row>
    <row r="21">
      <c r="A21" t="inlineStr">
        <is>
          <t>SampleSize: Holm: power at 48, d_z = 0.355 (R: power.t.test)</t>
        </is>
      </c>
      <c r="B21" s="21">
        <f>SampleSize!J16</f>
        <v/>
      </c>
      <c r="C21" s="21" t="n">
        <v>0.497410798951091</v>
      </c>
      <c r="D21" s="21">
        <f>B21-C21</f>
        <v/>
      </c>
      <c r="E21" s="21" t="n">
        <v>0.005</v>
      </c>
      <c r="F21">
        <f>IF(ABS(D21)&lt;=E21+1E-12,"OK","CHECK")</f>
        <v/>
      </c>
    </row>
    <row r="22">
      <c r="A22" t="inlineStr">
        <is>
          <t>SampleSize: n, corrected, d_z = 0.826 (R: power.t.test n)</t>
        </is>
      </c>
      <c r="B22" s="21">
        <f>SampleSize!D17</f>
        <v/>
      </c>
      <c r="C22" s="21" t="n">
        <v>13.5495544322945</v>
      </c>
      <c r="D22" s="21">
        <f>B22-C22</f>
        <v/>
      </c>
      <c r="E22" s="21" t="n">
        <v>0.25</v>
      </c>
      <c r="F22">
        <f>IF(ABS(D22)&lt;=E22+1E-12,"OK","CHECK")</f>
        <v/>
      </c>
    </row>
    <row r="23">
      <c r="A23" t="inlineStr">
        <is>
          <t>SampleSize: n needed, d_z = 0.826</t>
        </is>
      </c>
      <c r="B23" s="21">
        <f>SampleSize!E17</f>
        <v/>
      </c>
      <c r="C23" s="21" t="n">
        <v>14</v>
      </c>
      <c r="D23" s="21">
        <f>B23-C23</f>
        <v/>
      </c>
      <c r="E23" s="21" t="n">
        <v>1e-09</v>
      </c>
      <c r="F23">
        <f>IF(ABS(D23)&lt;=E23+1E-12,"OK","CHECK")</f>
        <v/>
      </c>
    </row>
    <row r="24">
      <c r="A24" t="inlineStr">
        <is>
          <t>SampleSize: Holm: n, corrected, d_z = 0.826 (R: power.t.test n)</t>
        </is>
      </c>
      <c r="B24" s="21">
        <f>SampleSize!G17</f>
        <v/>
      </c>
      <c r="C24" s="21" t="n">
        <v>18.2988196418964</v>
      </c>
      <c r="D24" s="21">
        <f>B24-C24</f>
        <v/>
      </c>
      <c r="E24" s="21" t="n">
        <v>0.25</v>
      </c>
      <c r="F24">
        <f>IF(ABS(D24)&lt;=E24+1E-12,"OK","CHECK")</f>
        <v/>
      </c>
    </row>
    <row r="25">
      <c r="A25" t="inlineStr">
        <is>
          <t>SampleSize: Holm: n needed, d_z = 0.826</t>
        </is>
      </c>
      <c r="B25" s="21">
        <f>SampleSize!H17</f>
        <v/>
      </c>
      <c r="C25" s="21" t="n">
        <v>19</v>
      </c>
      <c r="D25" s="21">
        <f>B25-C25</f>
        <v/>
      </c>
      <c r="E25" s="21" t="n">
        <v>1e-09</v>
      </c>
      <c r="F25">
        <f>IF(ABS(D25)&lt;=E25+1E-12,"OK","CHECK")</f>
        <v/>
      </c>
    </row>
    <row r="26">
      <c r="A26" t="inlineStr">
        <is>
          <t>SampleSize: power at 48, d_z = 0.826 (R: power.t.test)</t>
        </is>
      </c>
      <c r="B26" s="21">
        <f>SampleSize!I17</f>
        <v/>
      </c>
      <c r="C26" s="21" t="n">
        <v>0.999865040195797</v>
      </c>
      <c r="D26" s="21">
        <f>B26-C26</f>
        <v/>
      </c>
      <c r="E26" s="21" t="n">
        <v>0.005</v>
      </c>
      <c r="F26">
        <f>IF(ABS(D26)&lt;=E26+1E-12,"OK","CHECK")</f>
        <v/>
      </c>
    </row>
    <row r="27">
      <c r="A27" t="inlineStr">
        <is>
          <t>SampleSize: Holm: power at 48, d_z = 0.826 (R: power.t.test)</t>
        </is>
      </c>
      <c r="B27" s="21">
        <f>SampleSize!J17</f>
        <v/>
      </c>
      <c r="C27" s="21" t="n">
        <v>0.999182532923249</v>
      </c>
      <c r="D27" s="21">
        <f>B27-C27</f>
        <v/>
      </c>
      <c r="E27" s="21" t="n">
        <v>0.005</v>
      </c>
      <c r="F27">
        <f>IF(ABS(D27)&lt;=E27+1E-12,"OK","CHECK")</f>
        <v/>
      </c>
    </row>
    <row r="28">
      <c r="A28" t="inlineStr">
        <is>
          <t>SampleSize: approximate power, 48 participants, 2 ads per brand (R: exact formula)</t>
        </is>
      </c>
      <c r="B28" s="21">
        <f>SampleSize!G26</f>
        <v/>
      </c>
      <c r="C28" s="21" t="n">
        <v>0.213494796027297</v>
      </c>
      <c r="D28" s="21">
        <f>B28-C28</f>
        <v/>
      </c>
      <c r="E28" s="21" t="n">
        <v>0.02</v>
      </c>
      <c r="F28">
        <f>IF(ABS(D28)&lt;=E28+1E-12,"OK","CHECK")</f>
        <v/>
      </c>
    </row>
    <row r="29">
      <c r="A29" t="inlineStr">
        <is>
          <t>SampleSize: approximate power, 48 participants, 3 ads per brand (R: exact formula)</t>
        </is>
      </c>
      <c r="B29" s="21">
        <f>SampleSize!G27</f>
        <v/>
      </c>
      <c r="C29" s="21" t="n">
        <v>0.451410842963713</v>
      </c>
      <c r="D29" s="21">
        <f>B29-C29</f>
        <v/>
      </c>
      <c r="E29" s="21" t="n">
        <v>0.02</v>
      </c>
      <c r="F29">
        <f>IF(ABS(D29)&lt;=E29+1E-12,"OK","CHECK")</f>
        <v/>
      </c>
    </row>
    <row r="30">
      <c r="A30" t="inlineStr">
        <is>
          <t>SampleSize: approximate power, 48 participants, 4 ads per brand (R: exact formula)</t>
        </is>
      </c>
      <c r="B30" s="21">
        <f>SampleSize!G28</f>
        <v/>
      </c>
      <c r="C30" s="21" t="n">
        <v>0.643309119198974</v>
      </c>
      <c r="D30" s="21">
        <f>B30-C30</f>
        <v/>
      </c>
      <c r="E30" s="21" t="n">
        <v>0.02</v>
      </c>
      <c r="F30">
        <f>IF(ABS(D30)&lt;=E30+1E-12,"OK","CHECK")</f>
        <v/>
      </c>
    </row>
    <row r="31">
      <c r="A31" t="inlineStr">
        <is>
          <t>SampleSize: approximate power, 48 participants, 6 ads per brand (R: exact formula)</t>
        </is>
      </c>
      <c r="B31" s="21">
        <f>SampleSize!G29</f>
        <v/>
      </c>
      <c r="C31" s="21" t="n">
        <v>0.86614041781811</v>
      </c>
      <c r="D31" s="21">
        <f>B31-C31</f>
        <v/>
      </c>
      <c r="E31" s="21" t="n">
        <v>0.02</v>
      </c>
      <c r="F31">
        <f>IF(ABS(D31)&lt;=E31+1E-12,"OK","CHECK")</f>
        <v/>
      </c>
    </row>
    <row r="32">
      <c r="A32" t="inlineStr">
        <is>
          <t>SampleSize: approximate power, 72 participants, 2 ads per brand (R: exact formula)</t>
        </is>
      </c>
      <c r="B32" s="21">
        <f>SampleSize!G30</f>
        <v/>
      </c>
      <c r="C32" s="21" t="n">
        <v>0.234755619943059</v>
      </c>
      <c r="D32" s="21">
        <f>B32-C32</f>
        <v/>
      </c>
      <c r="E32" s="21" t="n">
        <v>0.02</v>
      </c>
      <c r="F32">
        <f>IF(ABS(D32)&lt;=E32+1E-12,"OK","CHECK")</f>
        <v/>
      </c>
    </row>
    <row r="33">
      <c r="A33" t="inlineStr">
        <is>
          <t>SampleSize: approximate power, 72 participants, 3 ads per brand (R: exact formula)</t>
        </is>
      </c>
      <c r="B33" s="21">
        <f>SampleSize!G31</f>
        <v/>
      </c>
      <c r="C33" s="21" t="n">
        <v>0.500308167873903</v>
      </c>
      <c r="D33" s="21">
        <f>B33-C33</f>
        <v/>
      </c>
      <c r="E33" s="21" t="n">
        <v>0.02</v>
      </c>
      <c r="F33">
        <f>IF(ABS(D33)&lt;=E33+1E-12,"OK","CHECK")</f>
        <v/>
      </c>
    </row>
    <row r="34">
      <c r="A34" t="inlineStr">
        <is>
          <t>SampleSize: approximate power, 72 participants, 4 ads per brand (R: exact formula)</t>
        </is>
      </c>
      <c r="B34" s="21">
        <f>SampleSize!G32</f>
        <v/>
      </c>
      <c r="C34" s="21" t="n">
        <v>0.700708550595993</v>
      </c>
      <c r="D34" s="21">
        <f>B34-C34</f>
        <v/>
      </c>
      <c r="E34" s="21" t="n">
        <v>0.02</v>
      </c>
      <c r="F34">
        <f>IF(ABS(D34)&lt;=E34+1E-12,"OK","CHECK")</f>
        <v/>
      </c>
    </row>
    <row r="35">
      <c r="A35" t="inlineStr">
        <is>
          <t>SampleSize: approximate power, 72 participants, 6 ads per brand (R: exact formula)</t>
        </is>
      </c>
      <c r="B35" s="21">
        <f>SampleSize!G33</f>
        <v/>
      </c>
      <c r="C35" s="21" t="n">
        <v>0.906751578874164</v>
      </c>
      <c r="D35" s="21">
        <f>B35-C35</f>
        <v/>
      </c>
      <c r="E35" s="21" t="n">
        <v>0.02</v>
      </c>
      <c r="F35">
        <f>IF(ABS(D35)&lt;=E35+1E-12,"OK","CHECK")</f>
        <v/>
      </c>
    </row>
    <row r="36">
      <c r="A36" t="inlineStr">
        <is>
          <t>Attrition: Exclusion rate in the lab (Workshop 7)</t>
        </is>
      </c>
      <c r="B36" s="21">
        <f>Attrition!B15</f>
        <v/>
      </c>
      <c r="C36" s="21" t="n">
        <v>0.0833</v>
      </c>
      <c r="D36" s="21">
        <f>B36-C36</f>
        <v/>
      </c>
      <c r="E36" s="21" t="n">
        <v>5e-05</v>
      </c>
      <c r="F36">
        <f>IF(ABS(D36)&lt;=E36+1E-12,"OK","CHECK")</f>
        <v/>
      </c>
    </row>
    <row r="37">
      <c r="A37" t="inlineStr">
        <is>
          <t>Attrition: Sessions to book (main + reserve)</t>
        </is>
      </c>
      <c r="B37" s="21">
        <f>Attrition!B17</f>
        <v/>
      </c>
      <c r="C37" s="21" t="n">
        <v>53</v>
      </c>
      <c r="D37" s="21">
        <f>B37-C37</f>
        <v/>
      </c>
      <c r="E37" s="21" t="n">
        <v>1e-09</v>
      </c>
      <c r="F37">
        <f>IF(ABS(D37)&lt;=E37+1E-12,"OK","CHECK")</f>
        <v/>
      </c>
    </row>
    <row r="38">
      <c r="A38" t="inlineStr">
        <is>
          <t>Attrition: Reserve sessions</t>
        </is>
      </c>
      <c r="B38" s="21">
        <f>Attrition!B18</f>
        <v/>
      </c>
      <c r="C38" s="21" t="n">
        <v>5</v>
      </c>
      <c r="D38" s="21">
        <f>B38-C38</f>
        <v/>
      </c>
      <c r="E38" s="21" t="n">
        <v>1e-09</v>
      </c>
      <c r="F38">
        <f>IF(ABS(D38)&lt;=E38+1E-12,"OK","CHECK")</f>
        <v/>
      </c>
    </row>
    <row r="39">
      <c r="A39" t="inlineStr">
        <is>
          <t>Attrition: Hard cap on sessions</t>
        </is>
      </c>
      <c r="B39" s="21">
        <f>Attrition!B19</f>
        <v/>
      </c>
      <c r="C39" s="21" t="n">
        <v>60</v>
      </c>
      <c r="D39" s="21">
        <f>B39-C39</f>
        <v/>
      </c>
      <c r="E39" s="21" t="n">
        <v>1e-09</v>
      </c>
      <c r="F39">
        <f>IF(ABS(D39)&lt;=E39+1E-12,"OK","CHECK")</f>
        <v/>
      </c>
    </row>
    <row r="40">
      <c r="A40" t="inlineStr">
        <is>
          <t>Attrition: Weekdays of data collection</t>
        </is>
      </c>
      <c r="B40" s="21">
        <f>Attrition!B20</f>
        <v/>
      </c>
      <c r="C40" s="21" t="n">
        <v>11</v>
      </c>
      <c r="D40" s="21">
        <f>B40-C40</f>
        <v/>
      </c>
      <c r="E40" s="21" t="n">
        <v>1e-09</v>
      </c>
      <c r="F40">
        <f>IF(ABS(D40)&lt;=E40+1E-12,"OK","CHECK")</f>
        <v/>
      </c>
    </row>
    <row r="41">
      <c r="A41" t="inlineStr">
        <is>
          <t>Attrition: Slots on those days</t>
        </is>
      </c>
      <c r="B41" s="21">
        <f>Attrition!B21</f>
        <v/>
      </c>
      <c r="C41" s="21" t="n">
        <v>55</v>
      </c>
      <c r="D41" s="21">
        <f>B41-C41</f>
        <v/>
      </c>
      <c r="E41" s="21" t="n">
        <v>1e-09</v>
      </c>
      <c r="F41">
        <f>IF(ABS(D41)&lt;=E41+1E-12,"OK","CHECK")</f>
        <v/>
      </c>
    </row>
    <row r="42">
      <c r="A42" t="inlineStr">
        <is>
          <t>Attrition: Open slots for rebooking no shows</t>
        </is>
      </c>
      <c r="B42" s="21">
        <f>Attrition!B22</f>
        <v/>
      </c>
      <c r="C42" s="21" t="n">
        <v>2</v>
      </c>
      <c r="D42" s="21">
        <f>B42-C42</f>
        <v/>
      </c>
      <c r="E42" s="21" t="n">
        <v>1e-09</v>
      </c>
      <c r="F42">
        <f>IF(ABS(D42)&lt;=E42+1E-12,"OK","CHECK")</f>
        <v/>
      </c>
    </row>
    <row r="43">
      <c r="A43" t="inlineStr">
        <is>
          <t>Attrition: Remote: completed share of those who opened the link</t>
        </is>
      </c>
      <c r="B43" s="21">
        <f>Attrition!B25</f>
        <v/>
      </c>
      <c r="C43" s="21" t="n">
        <v>0.6846153846153846</v>
      </c>
      <c r="D43" s="21">
        <f>B43-C43</f>
        <v/>
      </c>
      <c r="E43" s="21" t="n">
        <v>5e-05</v>
      </c>
      <c r="F43">
        <f>IF(ABS(D43)&lt;=E43+1E-12,"OK","CHECK")</f>
        <v/>
      </c>
    </row>
    <row r="44">
      <c r="A44" t="inlineStr">
        <is>
          <t>Attrition: Remote: share of completed respondents excluded</t>
        </is>
      </c>
      <c r="B44" s="21">
        <f>Attrition!B26</f>
        <v/>
      </c>
      <c r="C44" s="21" t="n">
        <v>0.2022471910112359</v>
      </c>
      <c r="D44" s="21">
        <f>B44-C44</f>
        <v/>
      </c>
      <c r="E44" s="21" t="n">
        <v>5e-05</v>
      </c>
      <c r="F44">
        <f>IF(ABS(D44)&lt;=E44+1E-12,"OK","CHECK")</f>
        <v/>
      </c>
    </row>
    <row r="45">
      <c r="A45" t="inlineStr">
        <is>
          <t>Attrition: Remote: kept share of those who opened the link</t>
        </is>
      </c>
      <c r="B45" s="21">
        <f>Attrition!B27</f>
        <v/>
      </c>
      <c r="C45" s="21" t="n">
        <v>0.5461538461538461</v>
      </c>
      <c r="D45" s="21">
        <f>B45-C45</f>
        <v/>
      </c>
      <c r="E45" s="21" t="n">
        <v>5e-05</v>
      </c>
      <c r="F45">
        <f>IF(ABS(D45)&lt;=E45+1E-12,"OK","CHECK")</f>
        <v/>
      </c>
    </row>
    <row r="46">
      <c r="A46" t="inlineStr">
        <is>
          <t>Attrition: Remote: people who must open the link to keep the target</t>
        </is>
      </c>
      <c r="B46" s="21">
        <f>Attrition!B28</f>
        <v/>
      </c>
      <c r="C46" s="21" t="n">
        <v>88</v>
      </c>
      <c r="D46" s="21">
        <f>B46-C46</f>
        <v/>
      </c>
      <c r="E46" s="21" t="n">
        <v>1e-09</v>
      </c>
      <c r="F46">
        <f>IF(ABS(D46)&lt;=E46+1E-12,"OK","CHECK")</f>
        <v/>
      </c>
    </row>
    <row r="47">
      <c r="A47" t="inlineStr">
        <is>
          <t>LatinSquare: each ad once per row: smallest count</t>
        </is>
      </c>
      <c r="B47" s="21">
        <f>LatinSquare!C50</f>
        <v/>
      </c>
      <c r="C47" s="21" t="n">
        <v>1</v>
      </c>
      <c r="D47" s="21">
        <f>B47-C47</f>
        <v/>
      </c>
      <c r="E47" s="21" t="n">
        <v>1e-09</v>
      </c>
      <c r="F47">
        <f>IF(ABS(D47)&lt;=E47+1E-12,"OK","CHECK")</f>
        <v/>
      </c>
    </row>
    <row r="48">
      <c r="A48" t="inlineStr">
        <is>
          <t>LatinSquare: each ad once per row: largest count</t>
        </is>
      </c>
      <c r="B48" s="21">
        <f>LatinSquare!C51</f>
        <v/>
      </c>
      <c r="C48" s="21" t="n">
        <v>1</v>
      </c>
      <c r="D48" s="21">
        <f>B48-C48</f>
        <v/>
      </c>
      <c r="E48" s="21" t="n">
        <v>1e-09</v>
      </c>
      <c r="F48">
        <f>IF(ABS(D48)&lt;=E48+1E-12,"OK","CHECK")</f>
        <v/>
      </c>
    </row>
    <row r="49">
      <c r="A49" t="inlineStr">
        <is>
          <t>LatinSquare: each ad once per position: smallest count</t>
        </is>
      </c>
      <c r="B49" s="21">
        <f>LatinSquare!C67</f>
        <v/>
      </c>
      <c r="C49" s="21" t="n">
        <v>1</v>
      </c>
      <c r="D49" s="21">
        <f>B49-C49</f>
        <v/>
      </c>
      <c r="E49" s="21" t="n">
        <v>1e-09</v>
      </c>
      <c r="F49">
        <f>IF(ABS(D49)&lt;=E49+1E-12,"OK","CHECK")</f>
        <v/>
      </c>
    </row>
    <row r="50">
      <c r="A50" t="inlineStr">
        <is>
          <t>LatinSquare: each ad once per position: largest count</t>
        </is>
      </c>
      <c r="B50" s="21">
        <f>LatinSquare!C68</f>
        <v/>
      </c>
      <c r="C50" s="21" t="n">
        <v>1</v>
      </c>
      <c r="D50" s="21">
        <f>B50-C50</f>
        <v/>
      </c>
      <c r="E50" s="21" t="n">
        <v>1e-09</v>
      </c>
      <c r="F50">
        <f>IF(ABS(D50)&lt;=E50+1E-12,"OK","CHECK")</f>
        <v/>
      </c>
    </row>
    <row r="51">
      <c r="A51" t="inlineStr">
        <is>
          <t>LatinSquare: adjacent pairs in all rows (12 x 11)</t>
        </is>
      </c>
      <c r="B51" s="21">
        <f>LatinSquare!C85</f>
        <v/>
      </c>
      <c r="C51" s="21" t="n">
        <v>132</v>
      </c>
      <c r="D51" s="21">
        <f>B51-C51</f>
        <v/>
      </c>
      <c r="E51" s="21" t="n">
        <v>1e-09</v>
      </c>
      <c r="F51">
        <f>IF(ABS(D51)&lt;=E51+1E-12,"OK","CHECK")</f>
        <v/>
      </c>
    </row>
    <row r="52">
      <c r="A52" t="inlineStr">
        <is>
          <t>LatinSquare: pairs of an ad with itself (diagonal)</t>
        </is>
      </c>
      <c r="B52" s="21">
        <f>LatinSquare!C86</f>
        <v/>
      </c>
      <c r="C52" s="21" t="n">
        <v>0</v>
      </c>
      <c r="D52" s="21">
        <f>B52-C52</f>
        <v/>
      </c>
      <c r="E52" s="21" t="n">
        <v>1e-09</v>
      </c>
      <c r="F52">
        <f>IF(ABS(D52)&lt;=E52+1E-12,"OK","CHECK")</f>
        <v/>
      </c>
    </row>
    <row r="53">
      <c r="A53" t="inlineStr">
        <is>
          <t>LatinSquare: largest pair count</t>
        </is>
      </c>
      <c r="B53" s="21">
        <f>LatinSquare!C87</f>
        <v/>
      </c>
      <c r="C53" s="21" t="n">
        <v>1</v>
      </c>
      <c r="D53" s="21">
        <f>B53-C53</f>
        <v/>
      </c>
      <c r="E53" s="21" t="n">
        <v>1e-09</v>
      </c>
      <c r="F53">
        <f>IF(ABS(D53)&lt;=E53+1E-12,"OK","CHECK")</f>
        <v/>
      </c>
    </row>
    <row r="54">
      <c r="A54" t="inlineStr">
        <is>
          <t>LatinSquare: ALTAVO ads per position: smallest</t>
        </is>
      </c>
      <c r="B54" s="21">
        <f>LatinSquare!C90</f>
        <v/>
      </c>
      <c r="C54" s="21" t="n">
        <v>6</v>
      </c>
      <c r="D54" s="21">
        <f>B54-C54</f>
        <v/>
      </c>
      <c r="E54" s="21" t="n">
        <v>1e-09</v>
      </c>
      <c r="F54">
        <f>IF(ABS(D54)&lt;=E54+1E-12,"OK","CHECK")</f>
        <v/>
      </c>
    </row>
    <row r="55">
      <c r="A55" t="inlineStr">
        <is>
          <t>LatinSquare: ALTAVO ads per position: largest</t>
        </is>
      </c>
      <c r="B55" s="21">
        <f>LatinSquare!C91</f>
        <v/>
      </c>
      <c r="C55" s="21" t="n">
        <v>6</v>
      </c>
      <c r="D55" s="21">
        <f>B55-C55</f>
        <v/>
      </c>
      <c r="E55" s="21" t="n">
        <v>1e-09</v>
      </c>
      <c r="F55">
        <f>IF(ABS(D55)&lt;=E55+1E-12,"OK","CHECK")</f>
        <v/>
      </c>
    </row>
    <row r="56">
      <c r="A56" t="inlineStr">
        <is>
          <t>LatinSquare: labels that differ from the R square</t>
        </is>
      </c>
      <c r="B56" s="21">
        <f>LatinSquare!C107</f>
        <v/>
      </c>
      <c r="C56" s="21" t="n">
        <v>0</v>
      </c>
      <c r="D56" s="21">
        <f>B56-C56</f>
        <v/>
      </c>
      <c r="E56" s="21" t="n">
        <v>1e-09</v>
      </c>
      <c r="F56">
        <f>IF(ABS(D56)&lt;=E56+1E-12,"OK","CHECK")</f>
        <v/>
      </c>
    </row>
    <row r="57">
      <c r="A57" t="inlineStr">
        <is>
          <t>Assignment: every row once in every block: smallest count</t>
        </is>
      </c>
      <c r="B57" s="21">
        <f>Assignment!H18</f>
        <v/>
      </c>
      <c r="C57" s="21" t="n">
        <v>1</v>
      </c>
      <c r="D57" s="21">
        <f>B57-C57</f>
        <v/>
      </c>
      <c r="E57" s="21" t="n">
        <v>1e-09</v>
      </c>
      <c r="F57">
        <f>IF(ABS(D57)&lt;=E57+1E-12,"OK","CHECK")</f>
        <v/>
      </c>
    </row>
    <row r="58">
      <c r="A58" t="inlineStr">
        <is>
          <t>Assignment: every row once in every block: largest count</t>
        </is>
      </c>
      <c r="B58" s="21">
        <f>Assignment!H19</f>
        <v/>
      </c>
      <c r="C58" s="21" t="n">
        <v>1</v>
      </c>
      <c r="D58" s="21">
        <f>B58-C58</f>
        <v/>
      </c>
      <c r="E58" s="21" t="n">
        <v>1e-09</v>
      </c>
      <c r="F58">
        <f>IF(ABS(D58)&lt;=E58+1E-12,"OK","CHECK")</f>
        <v/>
      </c>
    </row>
    <row r="59">
      <c r="A59" t="inlineStr">
        <is>
          <t>Assignment: participants who see an ALTAVO ad first</t>
        </is>
      </c>
      <c r="B59" s="21">
        <f>Assignment!H20</f>
        <v/>
      </c>
      <c r="C59" s="21" t="n">
        <v>24</v>
      </c>
      <c r="D59" s="21">
        <f>B59-C59</f>
        <v/>
      </c>
      <c r="E59" s="21" t="n">
        <v>1e-09</v>
      </c>
      <c r="F59">
        <f>IF(ABS(D59)&lt;=E59+1E-12,"OK","CHECK")</f>
        <v/>
      </c>
    </row>
    <row r="60">
      <c r="A60" t="inlineStr">
        <is>
          <t>Calendar: slots in all (from Attrition)</t>
        </is>
      </c>
      <c r="B60" s="21">
        <f>Calendar!B9</f>
        <v/>
      </c>
      <c r="C60" s="21" t="n">
        <v>55</v>
      </c>
      <c r="D60" s="21">
        <f>B60-C60</f>
        <v/>
      </c>
      <c r="E60" s="21" t="n">
        <v>1e-09</v>
      </c>
      <c r="F60">
        <f>IF(ABS(D60)&lt;=E60+1E-12,"OK","CHECK")</f>
        <v/>
      </c>
    </row>
    <row r="61">
      <c r="A61" t="inlineStr">
        <is>
          <t>Calendar: dates that differ from R</t>
        </is>
      </c>
      <c r="B61" s="21">
        <f>Calendar!T3</f>
        <v/>
      </c>
      <c r="C61" s="21" t="n">
        <v>0</v>
      </c>
      <c r="D61" s="21">
        <f>B61-C61</f>
        <v/>
      </c>
      <c r="E61" s="21" t="n">
        <v>1e-09</v>
      </c>
      <c r="F61">
        <f>IF(ABS(D61)&lt;=E61+1E-12,"OK","CHECK")</f>
        <v/>
      </c>
    </row>
    <row r="62">
      <c r="A62" t="inlineStr">
        <is>
          <t>Calendar: arrival times that differ from R</t>
        </is>
      </c>
      <c r="B62" s="21">
        <f>Calendar!T4</f>
        <v/>
      </c>
      <c r="C62" s="21" t="n">
        <v>0</v>
      </c>
      <c r="D62" s="21">
        <f>B62-C62</f>
        <v/>
      </c>
      <c r="E62" s="21" t="n">
        <v>1e-09</v>
      </c>
      <c r="F62">
        <f>IF(ABS(D62)&lt;=E62+1E-12,"OK","CHECK")</f>
        <v/>
      </c>
    </row>
    <row r="63">
      <c r="A63" t="inlineStr">
        <is>
          <t>Calendar: participant codes that differ from R</t>
        </is>
      </c>
      <c r="B63" s="21">
        <f>Calendar!T5</f>
        <v/>
      </c>
      <c r="C63" s="21" t="n">
        <v>0</v>
      </c>
      <c r="D63" s="21">
        <f>B63-C63</f>
        <v/>
      </c>
      <c r="E63" s="21" t="n">
        <v>1e-09</v>
      </c>
      <c r="F63">
        <f>IF(ABS(D63)&lt;=E63+1E-12,"OK","CHECK")</f>
        <v/>
      </c>
    </row>
    <row r="64">
      <c r="A64" t="inlineStr">
        <is>
          <t>Calendar: Latin square rows that differ from R</t>
        </is>
      </c>
      <c r="B64" s="21">
        <f>Calendar!T6</f>
        <v/>
      </c>
      <c r="C64" s="21" t="n">
        <v>0</v>
      </c>
      <c r="D64" s="21">
        <f>B64-C64</f>
        <v/>
      </c>
      <c r="E64" s="21" t="n">
        <v>1e-09</v>
      </c>
      <c r="F64">
        <f>IF(ABS(D64)&lt;=E64+1E-12,"OK","CHECK")</f>
        <v/>
      </c>
    </row>
    <row r="65">
      <c r="A65" t="inlineStr">
        <is>
          <t>Calendar: lead operators that differ from R</t>
        </is>
      </c>
      <c r="B65" s="21">
        <f>Calendar!T7</f>
        <v/>
      </c>
      <c r="C65" s="21" t="n">
        <v>0</v>
      </c>
      <c r="D65" s="21">
        <f>B65-C65</f>
        <v/>
      </c>
      <c r="E65" s="21" t="n">
        <v>1e-09</v>
      </c>
      <c r="F65">
        <f>IF(ABS(D65)&lt;=E65+1E-12,"OK","CHECK")</f>
        <v/>
      </c>
    </row>
    <row r="66">
      <c r="A66" t="inlineStr">
        <is>
          <t>Calendar: assistants that differ from R</t>
        </is>
      </c>
      <c r="B66" s="21">
        <f>Calendar!T8</f>
        <v/>
      </c>
      <c r="C66" s="21" t="n">
        <v>0</v>
      </c>
      <c r="D66" s="21">
        <f>B66-C66</f>
        <v/>
      </c>
      <c r="E66" s="21" t="n">
        <v>1e-09</v>
      </c>
      <c r="F66">
        <f>IF(ABS(D66)&lt;=E66+1E-12,"OK","CHECK")</f>
        <v/>
      </c>
    </row>
    <row r="67">
      <c r="A67" t="inlineStr">
        <is>
          <t>Calendar: last day of data collection (date serial)</t>
        </is>
      </c>
      <c r="B67" s="21">
        <f>Calendar!T9</f>
        <v/>
      </c>
      <c r="C67" s="21" t="n">
        <v>46440</v>
      </c>
      <c r="D67" s="21">
        <f>B67-C67</f>
        <v/>
      </c>
      <c r="E67" s="21" t="n">
        <v>1e-09</v>
      </c>
      <c r="F67">
        <f>IF(ABS(D67)&lt;=E67+1E-12,"OK","CHECK")</f>
        <v/>
      </c>
    </row>
    <row r="69">
      <c r="A69" s="1" t="inlineStr">
        <is>
          <t>Rows with status CHECK</t>
        </is>
      </c>
      <c r="B69" s="9">
        <f>COUNTIF(F4:F67,"CHECK")</f>
        <v/>
      </c>
    </row>
    <row r="70">
      <c r="A70" s="2" t="inlineStr">
        <is>
          <t>Not reproduced in Excel: the simulations of STEP 2 and STEP 3 (Excel cannot fit a mixed model), the exact noncentral t power, and the random draw of the rows (R's random numbers). See plan_output.txt.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2026-10-11T23:49:43Z</dcterms:created>
  <dcterms:modified xmlns:dcterms="http://purl.org/dc/terms/" xmlns:xsi="http://www.w3.org/2001/XMLSchema-instance" xsi:type="dcterms:W3CDTF">2026-10-11T23:49:43Z</dcterms:modified>
</cp:coreProperties>
</file>