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oductTV" sheetId="4" state="visible" r:id="rId4"/>
    <sheet xmlns:r="http://schemas.openxmlformats.org/officeDocument/2006/relationships" name="BrandLogo" sheetId="5" state="visible" r:id="rId5"/>
    <sheet xmlns:r="http://schemas.openxmlformats.org/officeDocument/2006/relationships" name="Survey" sheetId="6" state="visible" r:id="rId6"/>
    <sheet xmlns:r="http://schemas.openxmlformats.org/officeDocument/2006/relationships" name="Check" sheetId="7" state="visible" r:id="rId7"/>
  </sheets>
  <definedNames>
    <definedName name="_xlnm._FilterDatabase" localSheetId="1" hidden="1">'Data'!$A$1:$AD$241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2"/>
    </font>
    <font>
      <i val="1"/>
      <color rgb="00555555"/>
    </font>
    <font>
      <b val="1"/>
    </font>
    <font>
      <name val="Consolas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656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5" fillId="4" borderId="0" pivotButton="0" quotePrefix="0" xfId="0"/>
    <xf numFmtId="165" fontId="0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dwell time share by AOI and commercial (SIMULATED)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'Summary'!B17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'Summary'!$A$18:$A$21</f>
            </numRef>
          </cat>
          <val>
            <numRef>
              <f>'Summary'!$B$18:$B$21</f>
            </numRef>
          </val>
        </ser>
        <ser>
          <idx val="1"/>
          <order val="1"/>
          <tx>
            <strRef>
              <f>'Summary'!C17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'Summary'!$A$18:$A$21</f>
            </numRef>
          </cat>
          <val>
            <numRef>
              <f>'Summary'!$C$18:$C$21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AOI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Dwell time (% of AOI active time)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Product_TV dwell share by commercial (SIMULATED)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'ProductTV'!J41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ProductTV!$K$42:$K$43</f>
              </numRef>
            </minus>
            <plus>
              <numRef>
                <f>ProductTV!$K$42:$K$43</f>
              </numRef>
            </plus>
          </errBars>
          <cat>
            <numRef>
              <f>'ProductTV'!$I$42:$I$43</f>
            </numRef>
          </cat>
          <val>
            <numRef>
              <f>'ProductTV'!$J$42:$J$43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Dwell time (% of AOI active time)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SIMULATED ad test workbook (teaching material)</t>
        </is>
      </c>
    </row>
    <row r="2">
      <c r="A2" t="inlineStr"/>
    </row>
    <row r="3">
      <c r="A3" t="inlineStr">
        <is>
          <t>Every number in this workbook is SIMULATED. It was generated by make_simulated_data.py (seed 20268242) to</t>
        </is>
      </c>
    </row>
    <row r="4">
      <c r="A4" t="inlineStr">
        <is>
          <t>resemble a two commercial test in the style of the iMotions demonstration study DEMO - SonyBravia:</t>
        </is>
      </c>
    </row>
    <row r="5">
      <c r="A5" t="inlineStr">
        <is>
          <t>each respondent watched BOTH commercials (Commercial_1_Balls, Commercial_2_Paint, 60 s each) on a</t>
        </is>
      </c>
    </row>
    <row r="6">
      <c r="A6" t="inlineStr">
        <is>
          <t>monitor with the Smart Eye Aurora tracker. No real viewer was recorded.</t>
        </is>
      </c>
    </row>
    <row r="7">
      <c r="A7" t="inlineStr"/>
    </row>
    <row r="8">
      <c r="A8" t="inlineStr">
        <is>
          <t>Sheets:</t>
        </is>
      </c>
    </row>
    <row r="9">
      <c r="A9" t="inlineStr">
        <is>
          <t xml:space="preserve">  Data       Individual AOI metrics export as imported (rows 2 to 241). NA is kept as text, as iMotions writes it.</t>
        </is>
      </c>
    </row>
    <row r="10">
      <c r="A10" t="inlineStr">
        <is>
          <t xml:space="preserve">             Helper columns Z to AD: Keep (Valid data &gt;= 70), Position (first or second viewing),</t>
        </is>
      </c>
    </row>
    <row r="11">
      <c r="A11" t="inlineStr">
        <is>
          <t xml:space="preserve">             Dwell_pct_clean (NA counts as 0), Fixated (1 or 0), Fix_count_clean (NA counts as 0).</t>
        </is>
      </c>
    </row>
    <row r="12">
      <c r="A12" t="inlineStr">
        <is>
          <t xml:space="preserve">  Summary    Mean, SD, n by AOI and commercial, built with COUNTIFS, AVERAGEIFS, STDEV.S(IF(...)).</t>
        </is>
      </c>
    </row>
    <row r="13">
      <c r="A13" t="inlineStr">
        <is>
          <t xml:space="preserve">  ProductTV  H1. One row per kept respondent; paired t test (T.TEST type 1), hand computed t, d_z, CI;</t>
        </is>
      </c>
    </row>
    <row r="14">
      <c r="A14" t="inlineStr">
        <is>
          <t xml:space="preserve">             simple order effect estimate.</t>
        </is>
      </c>
    </row>
    <row r="15">
      <c r="A15" t="inlineStr">
        <is>
          <t xml:space="preserve">  BrandLogo  H2. The same paired recipe for TTFF AOI (ms) on respondents with a TTFF in both commercials.</t>
        </is>
      </c>
    </row>
    <row r="16">
      <c r="A16" t="inlineStr">
        <is>
          <t xml:space="preserve">  Survey     H3. Paired liking, preference counts, point biserial correlation of Brand_Logo dwell with recall.</t>
        </is>
      </c>
    </row>
    <row r="17">
      <c r="A17" t="inlineStr">
        <is>
          <t xml:space="preserve">  Check      Live Excel results next to the values analysis.R produced, with an OK or CHECK status.</t>
        </is>
      </c>
    </row>
    <row r="18">
      <c r="A18" t="inlineStr"/>
    </row>
    <row r="19">
      <c r="A19" t="inlineStr">
        <is>
          <t>Design: WITHIN subjects. The Group column is the ORDER (A = Balls first, B = Paint first), not a treatment.</t>
        </is>
      </c>
    </row>
    <row r="20">
      <c r="A20" t="inlineStr">
        <is>
          <t>Every difference is Paint MINUS Balls. Column names follow the iMotions AOI Metrics help article; where</t>
        </is>
      </c>
    </row>
    <row r="21">
      <c r="A21" t="inlineStr">
        <is>
          <t>the same metric name exists as a gaze based and a fixation based metric, the gaze based one is prefixed 'Gaze'.</t>
        </is>
      </c>
    </row>
    <row r="22">
      <c r="A22" t="inlineStr">
        <is>
          <t>Exclusion rule, fixed before data collection: Valid data below 70 percent (respondent R23).</t>
        </is>
      </c>
    </row>
    <row r="23">
      <c r="A23" t="inlineStr">
        <is>
          <t>Never fixated AOI: TTFF is not observed (left out of TTFF statistics); dwell time counts as 0.</t>
        </is>
      </c>
    </row>
    <row r="24">
      <c r="A24" t="inlineStr">
        <is>
          <t>Dynamic AOIs: Dwell time (%) is relative to the time the AOI was active (AOI duration (ms) on the Data sheet).</t>
        </is>
      </c>
    </row>
    <row r="25">
      <c r="A25" t="inlineStr"/>
    </row>
    <row r="26">
      <c r="A26" t="inlineStr">
        <is>
          <t>Companion files: analysis_excel_walkthrough.md (step by step), analysis.R (same analysis in R),</t>
        </is>
      </c>
    </row>
    <row r="27">
      <c r="A27" t="inlineStr">
        <is>
          <t>analysis_output.txt (its console output), results_text.md (model paragraphs).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8" customWidth="1" min="4" max="4"/>
    <col width="8" customWidth="1" min="5" max="5"/>
    <col width="14" customWidth="1" min="6" max="6"/>
    <col width="20" customWidth="1" min="7" max="7"/>
    <col width="14" customWidth="1" min="8" max="8"/>
    <col width="19" customWidth="1" min="9" max="9"/>
    <col width="19" customWidth="1" min="10" max="10"/>
    <col width="18" customWidth="1" min="11" max="11"/>
    <col width="12" customWidth="1" min="12" max="12"/>
    <col width="24" customWidth="1" min="13" max="13"/>
    <col width="18" customWidth="1" min="14" max="14"/>
    <col width="22" customWidth="1" min="15" max="15"/>
    <col width="23" customWidth="1" min="16" max="16"/>
    <col width="15" customWidth="1" min="17" max="17"/>
    <col width="16" customWidth="1" min="18" max="18"/>
    <col width="15" customWidth="1" min="19" max="19"/>
    <col width="18" customWidth="1" min="20" max="20"/>
    <col width="16" customWidth="1" min="21" max="21"/>
    <col width="17" customWidth="1" min="22" max="22"/>
    <col width="16" customWidth="1" min="23" max="23"/>
    <col width="24" customWidth="1" min="24" max="24"/>
    <col width="24" customWidth="1" min="25" max="25"/>
    <col width="14" customWidth="1" min="26" max="26"/>
    <col width="14" customWidth="1" min="27" max="27"/>
    <col width="17" customWidth="1" min="28" max="28"/>
    <col width="14" customWidth="1" min="29" max="29"/>
    <col width="17" customWidth="1" min="30" max="30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Group</t>
        </is>
      </c>
      <c r="F1" s="2" t="inlineStr">
        <is>
          <t>Session Date</t>
        </is>
      </c>
      <c r="G1" s="2" t="inlineStr">
        <is>
          <t>Stimulus</t>
        </is>
      </c>
      <c r="H1" s="2" t="inlineStr">
        <is>
          <t>AOI Name</t>
        </is>
      </c>
      <c r="I1" s="2" t="inlineStr">
        <is>
          <t>Stimulus duration</t>
        </is>
      </c>
      <c r="J1" s="2" t="inlineStr">
        <is>
          <t>AOI duration (ms)</t>
        </is>
      </c>
      <c r="K1" s="2" t="inlineStr">
        <is>
          <t>AOI duration (%)</t>
        </is>
      </c>
      <c r="L1" s="2" t="inlineStr">
        <is>
          <t>Valid data</t>
        </is>
      </c>
      <c r="M1" s="2" t="inlineStr">
        <is>
          <t>Gaze Hit time AOI (ms)</t>
        </is>
      </c>
      <c r="N1" s="2" t="inlineStr">
        <is>
          <t>Gaze Dwell count</t>
        </is>
      </c>
      <c r="O1" s="2" t="inlineStr">
        <is>
          <t>Gaze Dwell time (ms)</t>
        </is>
      </c>
      <c r="P1" s="2" t="inlineStr">
        <is>
          <t>Dwells with fixations</t>
        </is>
      </c>
      <c r="Q1" s="2" t="inlineStr">
        <is>
          <t>Revisit count</t>
        </is>
      </c>
      <c r="R1" s="2" t="inlineStr">
        <is>
          <t>Fixation count</t>
        </is>
      </c>
      <c r="S1" s="2" t="inlineStr">
        <is>
          <t>TTFF AOI (ms)</t>
        </is>
      </c>
      <c r="T1" s="2" t="inlineStr">
        <is>
          <t>TTFF parent (ms)</t>
        </is>
      </c>
      <c r="U1" s="2" t="inlineStr">
        <is>
          <t>TTFF max. (ms)</t>
        </is>
      </c>
      <c r="V1" s="2" t="inlineStr">
        <is>
          <t>Dwell time (ms)</t>
        </is>
      </c>
      <c r="W1" s="2" t="inlineStr">
        <is>
          <t>Dwell time (%)</t>
        </is>
      </c>
      <c r="X1" s="2" t="inlineStr">
        <is>
          <t>Fixation duration (ms)</t>
        </is>
      </c>
      <c r="Y1" s="2" t="inlineStr">
        <is>
          <t>First fixation duration (ms)</t>
        </is>
      </c>
      <c r="Z1" s="3" t="inlineStr">
        <is>
          <t>Keep</t>
        </is>
      </c>
      <c r="AA1" s="3" t="inlineStr">
        <is>
          <t>Position</t>
        </is>
      </c>
      <c r="AB1" s="3" t="inlineStr">
        <is>
          <t>Dwell_pct_clean</t>
        </is>
      </c>
      <c r="AC1" s="3" t="inlineStr">
        <is>
          <t>Fixated</t>
        </is>
      </c>
      <c r="AD1" s="3" t="inlineStr">
        <is>
          <t>Fix_count_clean</t>
        </is>
      </c>
    </row>
    <row r="2">
      <c r="A2" t="inlineStr">
        <is>
          <t>SIMULATED_AdTest_Balls_vs_Paint</t>
        </is>
      </c>
      <c r="B2" t="inlineStr">
        <is>
          <t>R01</t>
        </is>
      </c>
      <c r="C2" t="inlineStr">
        <is>
          <t>F</t>
        </is>
      </c>
      <c r="D2" t="n">
        <v>45</v>
      </c>
      <c r="E2" t="inlineStr">
        <is>
          <t>A</t>
        </is>
      </c>
      <c r="F2" t="inlineStr">
        <is>
          <t>2026-10-19</t>
        </is>
      </c>
      <c r="G2" t="inlineStr">
        <is>
          <t>Commercial_1_Balls</t>
        </is>
      </c>
      <c r="H2" t="inlineStr">
        <is>
          <t>Product_TV</t>
        </is>
      </c>
      <c r="I2" t="n">
        <v>60000</v>
      </c>
      <c r="J2" t="n">
        <v>14000</v>
      </c>
      <c r="K2" t="n">
        <v>23.33</v>
      </c>
      <c r="L2" t="n">
        <v>92.59999999999999</v>
      </c>
      <c r="M2" t="n">
        <v>932</v>
      </c>
      <c r="N2" t="n">
        <v>2</v>
      </c>
      <c r="O2" t="n">
        <v>3122</v>
      </c>
      <c r="P2" t="n">
        <v>1</v>
      </c>
      <c r="Q2" t="n">
        <v>0</v>
      </c>
      <c r="R2" t="n">
        <v>9</v>
      </c>
      <c r="S2" t="n">
        <v>1068</v>
      </c>
      <c r="T2" t="n">
        <v>13068</v>
      </c>
      <c r="U2" t="n">
        <v>13068</v>
      </c>
      <c r="V2" t="n">
        <v>2730</v>
      </c>
      <c r="W2" t="n">
        <v>19.5</v>
      </c>
      <c r="X2" t="n">
        <v>303</v>
      </c>
      <c r="Y2" t="n">
        <v>282</v>
      </c>
      <c r="Z2">
        <f>IF(L2&gt;=70,"Yes","No")</f>
        <v/>
      </c>
      <c r="AA2">
        <f>IF(OR(AND(E2="A",G2="Commercial_1_Balls"),AND(E2="B",G2="Commercial_2_Paint")),"first","second")</f>
        <v/>
      </c>
      <c r="AB2">
        <f>IF(ISNUMBER(W2),W2,0)</f>
        <v/>
      </c>
      <c r="AC2">
        <f>IF(ISNUMBER(S2),1,0)</f>
        <v/>
      </c>
      <c r="AD2">
        <f>IF(ISNUMBER(R2),R2,0)</f>
        <v/>
      </c>
    </row>
    <row r="3">
      <c r="A3" t="inlineStr">
        <is>
          <t>SIMULATED_AdTest_Balls_vs_Paint</t>
        </is>
      </c>
      <c r="B3" t="inlineStr">
        <is>
          <t>R01</t>
        </is>
      </c>
      <c r="C3" t="inlineStr">
        <is>
          <t>F</t>
        </is>
      </c>
      <c r="D3" t="n">
        <v>45</v>
      </c>
      <c r="E3" t="inlineStr">
        <is>
          <t>A</t>
        </is>
      </c>
      <c r="F3" t="inlineStr">
        <is>
          <t>2026-10-19</t>
        </is>
      </c>
      <c r="G3" t="inlineStr">
        <is>
          <t>Commercial_1_Balls</t>
        </is>
      </c>
      <c r="H3" t="inlineStr">
        <is>
          <t>Brand_Logo</t>
        </is>
      </c>
      <c r="I3" t="n">
        <v>60000</v>
      </c>
      <c r="J3" t="n">
        <v>5000</v>
      </c>
      <c r="K3" t="n">
        <v>8.33</v>
      </c>
      <c r="L3" t="n">
        <v>92.59999999999999</v>
      </c>
      <c r="M3" t="n">
        <v>530</v>
      </c>
      <c r="N3" t="n">
        <v>1</v>
      </c>
      <c r="O3" t="n">
        <v>2164</v>
      </c>
      <c r="P3" t="n">
        <v>1</v>
      </c>
      <c r="Q3" t="n">
        <v>0</v>
      </c>
      <c r="R3" t="n">
        <v>4</v>
      </c>
      <c r="S3" t="n">
        <v>766</v>
      </c>
      <c r="T3" t="n">
        <v>55766</v>
      </c>
      <c r="U3" t="n">
        <v>55766</v>
      </c>
      <c r="V3" t="n">
        <v>1903</v>
      </c>
      <c r="W3" t="n">
        <v>38.06</v>
      </c>
      <c r="X3" t="n">
        <v>476</v>
      </c>
      <c r="Y3" t="n">
        <v>228</v>
      </c>
      <c r="Z3">
        <f>IF(L3&gt;=70,"Yes","No")</f>
        <v/>
      </c>
      <c r="AA3">
        <f>IF(OR(AND(E3="A",G3="Commercial_1_Balls"),AND(E3="B",G3="Commercial_2_Paint")),"first","second")</f>
        <v/>
      </c>
      <c r="AB3">
        <f>IF(ISNUMBER(W3),W3,0)</f>
        <v/>
      </c>
      <c r="AC3">
        <f>IF(ISNUMBER(S3),1,0)</f>
        <v/>
      </c>
      <c r="AD3">
        <f>IF(ISNUMBER(R3),R3,0)</f>
        <v/>
      </c>
    </row>
    <row r="4">
      <c r="A4" t="inlineStr">
        <is>
          <t>SIMULATED_AdTest_Balls_vs_Paint</t>
        </is>
      </c>
      <c r="B4" t="inlineStr">
        <is>
          <t>R01</t>
        </is>
      </c>
      <c r="C4" t="inlineStr">
        <is>
          <t>F</t>
        </is>
      </c>
      <c r="D4" t="n">
        <v>45</v>
      </c>
      <c r="E4" t="inlineStr">
        <is>
          <t>A</t>
        </is>
      </c>
      <c r="F4" t="inlineStr">
        <is>
          <t>2026-10-19</t>
        </is>
      </c>
      <c r="G4" t="inlineStr">
        <is>
          <t>Commercial_1_Balls</t>
        </is>
      </c>
      <c r="H4" t="inlineStr">
        <is>
          <t>Tagline_Text</t>
        </is>
      </c>
      <c r="I4" t="n">
        <v>60000</v>
      </c>
      <c r="J4" t="n">
        <v>4000</v>
      </c>
      <c r="K4" t="n">
        <v>6.67</v>
      </c>
      <c r="L4" t="n">
        <v>92.59999999999999</v>
      </c>
      <c r="M4" t="n">
        <v>783</v>
      </c>
      <c r="N4" t="n">
        <v>2</v>
      </c>
      <c r="O4" t="n">
        <v>861</v>
      </c>
      <c r="P4" t="n">
        <v>1</v>
      </c>
      <c r="Q4" t="n">
        <v>0</v>
      </c>
      <c r="R4" t="n">
        <v>2</v>
      </c>
      <c r="S4" t="n">
        <v>1081</v>
      </c>
      <c r="T4" t="n">
        <v>57081</v>
      </c>
      <c r="U4" t="n">
        <v>57081</v>
      </c>
      <c r="V4" t="n">
        <v>784</v>
      </c>
      <c r="W4" t="n">
        <v>19.6</v>
      </c>
      <c r="X4" t="n">
        <v>392</v>
      </c>
      <c r="Y4" t="n">
        <v>266</v>
      </c>
      <c r="Z4">
        <f>IF(L4&gt;=70,"Yes","No")</f>
        <v/>
      </c>
      <c r="AA4">
        <f>IF(OR(AND(E4="A",G4="Commercial_1_Balls"),AND(E4="B",G4="Commercial_2_Paint")),"first","second")</f>
        <v/>
      </c>
      <c r="AB4">
        <f>IF(ISNUMBER(W4),W4,0)</f>
        <v/>
      </c>
      <c r="AC4">
        <f>IF(ISNUMBER(S4),1,0)</f>
        <v/>
      </c>
      <c r="AD4">
        <f>IF(ISNUMBER(R4),R4,0)</f>
        <v/>
      </c>
    </row>
    <row r="5">
      <c r="A5" t="inlineStr">
        <is>
          <t>SIMULATED_AdTest_Balls_vs_Paint</t>
        </is>
      </c>
      <c r="B5" t="inlineStr">
        <is>
          <t>R01</t>
        </is>
      </c>
      <c r="C5" t="inlineStr">
        <is>
          <t>F</t>
        </is>
      </c>
      <c r="D5" t="n">
        <v>45</v>
      </c>
      <c r="E5" t="inlineStr">
        <is>
          <t>A</t>
        </is>
      </c>
      <c r="F5" t="inlineStr">
        <is>
          <t>2026-10-19</t>
        </is>
      </c>
      <c r="G5" t="inlineStr">
        <is>
          <t>Commercial_1_Balls</t>
        </is>
      </c>
      <c r="H5" t="inlineStr">
        <is>
          <t>Hero_Element</t>
        </is>
      </c>
      <c r="I5" t="n">
        <v>60000</v>
      </c>
      <c r="J5" t="n">
        <v>40000</v>
      </c>
      <c r="K5" t="n">
        <v>66.67</v>
      </c>
      <c r="L5" t="n">
        <v>92.59999999999999</v>
      </c>
      <c r="M5" t="n">
        <v>347</v>
      </c>
      <c r="N5" t="n">
        <v>2</v>
      </c>
      <c r="O5" t="n">
        <v>20787</v>
      </c>
      <c r="P5" t="n">
        <v>2</v>
      </c>
      <c r="Q5" t="n">
        <v>1</v>
      </c>
      <c r="R5" t="n">
        <v>83</v>
      </c>
      <c r="S5" t="n">
        <v>589</v>
      </c>
      <c r="T5" t="n">
        <v>2589</v>
      </c>
      <c r="U5" t="n">
        <v>2589</v>
      </c>
      <c r="V5" t="n">
        <v>19068</v>
      </c>
      <c r="W5" t="n">
        <v>47.67</v>
      </c>
      <c r="X5" t="n">
        <v>230</v>
      </c>
      <c r="Y5" t="n">
        <v>273</v>
      </c>
      <c r="Z5">
        <f>IF(L5&gt;=70,"Yes","No")</f>
        <v/>
      </c>
      <c r="AA5">
        <f>IF(OR(AND(E5="A",G5="Commercial_1_Balls"),AND(E5="B",G5="Commercial_2_Paint")),"first","second")</f>
        <v/>
      </c>
      <c r="AB5">
        <f>IF(ISNUMBER(W5),W5,0)</f>
        <v/>
      </c>
      <c r="AC5">
        <f>IF(ISNUMBER(S5),1,0)</f>
        <v/>
      </c>
      <c r="AD5">
        <f>IF(ISNUMBER(R5),R5,0)</f>
        <v/>
      </c>
    </row>
    <row r="6">
      <c r="A6" t="inlineStr">
        <is>
          <t>SIMULATED_AdTest_Balls_vs_Paint</t>
        </is>
      </c>
      <c r="B6" t="inlineStr">
        <is>
          <t>R01</t>
        </is>
      </c>
      <c r="C6" t="inlineStr">
        <is>
          <t>F</t>
        </is>
      </c>
      <c r="D6" t="n">
        <v>45</v>
      </c>
      <c r="E6" t="inlineStr">
        <is>
          <t>A</t>
        </is>
      </c>
      <c r="F6" t="inlineStr">
        <is>
          <t>2026-10-19</t>
        </is>
      </c>
      <c r="G6" t="inlineStr">
        <is>
          <t>Commercial_2_Paint</t>
        </is>
      </c>
      <c r="H6" t="inlineStr">
        <is>
          <t>Product_TV</t>
        </is>
      </c>
      <c r="I6" t="n">
        <v>60000</v>
      </c>
      <c r="J6" t="n">
        <v>20000</v>
      </c>
      <c r="K6" t="n">
        <v>33.33</v>
      </c>
      <c r="L6" t="n">
        <v>92.59999999999999</v>
      </c>
      <c r="M6" t="n">
        <v>2119</v>
      </c>
      <c r="N6" t="n">
        <v>3</v>
      </c>
      <c r="O6" t="n">
        <v>5534</v>
      </c>
      <c r="P6" t="n">
        <v>2</v>
      </c>
      <c r="Q6" t="n">
        <v>1</v>
      </c>
      <c r="R6" t="n">
        <v>15</v>
      </c>
      <c r="S6" t="n">
        <v>2319</v>
      </c>
      <c r="T6" t="n">
        <v>11319</v>
      </c>
      <c r="U6" t="n">
        <v>11319</v>
      </c>
      <c r="V6" t="n">
        <v>4971</v>
      </c>
      <c r="W6" t="n">
        <v>24.86</v>
      </c>
      <c r="X6" t="n">
        <v>331</v>
      </c>
      <c r="Y6" t="n">
        <v>331</v>
      </c>
      <c r="Z6">
        <f>IF(L6&gt;=70,"Yes","No")</f>
        <v/>
      </c>
      <c r="AA6">
        <f>IF(OR(AND(E6="A",G6="Commercial_1_Balls"),AND(E6="B",G6="Commercial_2_Paint")),"first","second")</f>
        <v/>
      </c>
      <c r="AB6">
        <f>IF(ISNUMBER(W6),W6,0)</f>
        <v/>
      </c>
      <c r="AC6">
        <f>IF(ISNUMBER(S6),1,0)</f>
        <v/>
      </c>
      <c r="AD6">
        <f>IF(ISNUMBER(R6),R6,0)</f>
        <v/>
      </c>
    </row>
    <row r="7">
      <c r="A7" t="inlineStr">
        <is>
          <t>SIMULATED_AdTest_Balls_vs_Paint</t>
        </is>
      </c>
      <c r="B7" t="inlineStr">
        <is>
          <t>R01</t>
        </is>
      </c>
      <c r="C7" t="inlineStr">
        <is>
          <t>F</t>
        </is>
      </c>
      <c r="D7" t="n">
        <v>45</v>
      </c>
      <c r="E7" t="inlineStr">
        <is>
          <t>A</t>
        </is>
      </c>
      <c r="F7" t="inlineStr">
        <is>
          <t>2026-10-19</t>
        </is>
      </c>
      <c r="G7" t="inlineStr">
        <is>
          <t>Commercial_2_Paint</t>
        </is>
      </c>
      <c r="H7" t="inlineStr">
        <is>
          <t>Brand_Logo</t>
        </is>
      </c>
      <c r="I7" t="n">
        <v>60000</v>
      </c>
      <c r="J7" t="n">
        <v>5000</v>
      </c>
      <c r="K7" t="n">
        <v>8.33</v>
      </c>
      <c r="L7" t="n">
        <v>92.59999999999999</v>
      </c>
      <c r="M7" t="n">
        <v>646</v>
      </c>
      <c r="N7" t="n">
        <v>1</v>
      </c>
      <c r="O7" t="n">
        <v>2990</v>
      </c>
      <c r="P7" t="n">
        <v>1</v>
      </c>
      <c r="Q7" t="n">
        <v>0</v>
      </c>
      <c r="R7" t="n">
        <v>7</v>
      </c>
      <c r="S7" t="n">
        <v>920</v>
      </c>
      <c r="T7" t="n">
        <v>55920</v>
      </c>
      <c r="U7" t="n">
        <v>55920</v>
      </c>
      <c r="V7" t="n">
        <v>2690</v>
      </c>
      <c r="W7" t="n">
        <v>53.8</v>
      </c>
      <c r="X7" t="n">
        <v>384</v>
      </c>
      <c r="Y7" t="n">
        <v>210</v>
      </c>
      <c r="Z7">
        <f>IF(L7&gt;=70,"Yes","No")</f>
        <v/>
      </c>
      <c r="AA7">
        <f>IF(OR(AND(E7="A",G7="Commercial_1_Balls"),AND(E7="B",G7="Commercial_2_Paint")),"first","second")</f>
        <v/>
      </c>
      <c r="AB7">
        <f>IF(ISNUMBER(W7),W7,0)</f>
        <v/>
      </c>
      <c r="AC7">
        <f>IF(ISNUMBER(S7),1,0)</f>
        <v/>
      </c>
      <c r="AD7">
        <f>IF(ISNUMBER(R7),R7,0)</f>
        <v/>
      </c>
    </row>
    <row r="8">
      <c r="A8" t="inlineStr">
        <is>
          <t>SIMULATED_AdTest_Balls_vs_Paint</t>
        </is>
      </c>
      <c r="B8" t="inlineStr">
        <is>
          <t>R01</t>
        </is>
      </c>
      <c r="C8" t="inlineStr">
        <is>
          <t>F</t>
        </is>
      </c>
      <c r="D8" t="n">
        <v>45</v>
      </c>
      <c r="E8" t="inlineStr">
        <is>
          <t>A</t>
        </is>
      </c>
      <c r="F8" t="inlineStr">
        <is>
          <t>2026-10-19</t>
        </is>
      </c>
      <c r="G8" t="inlineStr">
        <is>
          <t>Commercial_2_Paint</t>
        </is>
      </c>
      <c r="H8" t="inlineStr">
        <is>
          <t>Tagline_Text</t>
        </is>
      </c>
      <c r="I8" t="n">
        <v>60000</v>
      </c>
      <c r="J8" t="n">
        <v>4000</v>
      </c>
      <c r="K8" t="n">
        <v>6.67</v>
      </c>
      <c r="L8" t="n">
        <v>92.59999999999999</v>
      </c>
      <c r="M8" t="n">
        <v>680</v>
      </c>
      <c r="N8" t="n">
        <v>1</v>
      </c>
      <c r="O8" t="n">
        <v>957</v>
      </c>
      <c r="P8" t="n">
        <v>1</v>
      </c>
      <c r="Q8" t="n">
        <v>0</v>
      </c>
      <c r="R8" t="n">
        <v>4</v>
      </c>
      <c r="S8" t="n">
        <v>821</v>
      </c>
      <c r="T8" t="n">
        <v>56821</v>
      </c>
      <c r="U8" t="n">
        <v>56821</v>
      </c>
      <c r="V8" t="n">
        <v>928</v>
      </c>
      <c r="W8" t="n">
        <v>23.2</v>
      </c>
      <c r="X8" t="n">
        <v>232</v>
      </c>
      <c r="Y8" t="n">
        <v>201</v>
      </c>
      <c r="Z8">
        <f>IF(L8&gt;=70,"Yes","No")</f>
        <v/>
      </c>
      <c r="AA8">
        <f>IF(OR(AND(E8="A",G8="Commercial_1_Balls"),AND(E8="B",G8="Commercial_2_Paint")),"first","second")</f>
        <v/>
      </c>
      <c r="AB8">
        <f>IF(ISNUMBER(W8),W8,0)</f>
        <v/>
      </c>
      <c r="AC8">
        <f>IF(ISNUMBER(S8),1,0)</f>
        <v/>
      </c>
      <c r="AD8">
        <f>IF(ISNUMBER(R8),R8,0)</f>
        <v/>
      </c>
    </row>
    <row r="9">
      <c r="A9" t="inlineStr">
        <is>
          <t>SIMULATED_AdTest_Balls_vs_Paint</t>
        </is>
      </c>
      <c r="B9" t="inlineStr">
        <is>
          <t>R01</t>
        </is>
      </c>
      <c r="C9" t="inlineStr">
        <is>
          <t>F</t>
        </is>
      </c>
      <c r="D9" t="n">
        <v>45</v>
      </c>
      <c r="E9" t="inlineStr">
        <is>
          <t>A</t>
        </is>
      </c>
      <c r="F9" t="inlineStr">
        <is>
          <t>2026-10-19</t>
        </is>
      </c>
      <c r="G9" t="inlineStr">
        <is>
          <t>Commercial_2_Paint</t>
        </is>
      </c>
      <c r="H9" t="inlineStr">
        <is>
          <t>Hero_Element</t>
        </is>
      </c>
      <c r="I9" t="n">
        <v>60000</v>
      </c>
      <c r="J9" t="n">
        <v>32000</v>
      </c>
      <c r="K9" t="n">
        <v>53.33</v>
      </c>
      <c r="L9" t="n">
        <v>92.59999999999999</v>
      </c>
      <c r="M9" t="n">
        <v>386</v>
      </c>
      <c r="N9" t="n">
        <v>3</v>
      </c>
      <c r="O9" t="n">
        <v>19378</v>
      </c>
      <c r="P9" t="n">
        <v>3</v>
      </c>
      <c r="Q9" t="n">
        <v>2</v>
      </c>
      <c r="R9" t="n">
        <v>55</v>
      </c>
      <c r="S9" t="n">
        <v>591</v>
      </c>
      <c r="T9" t="n">
        <v>3591</v>
      </c>
      <c r="U9" t="n">
        <v>3591</v>
      </c>
      <c r="V9" t="n">
        <v>17821</v>
      </c>
      <c r="W9" t="n">
        <v>55.69</v>
      </c>
      <c r="X9" t="n">
        <v>324</v>
      </c>
      <c r="Y9" t="n">
        <v>192</v>
      </c>
      <c r="Z9">
        <f>IF(L9&gt;=70,"Yes","No")</f>
        <v/>
      </c>
      <c r="AA9">
        <f>IF(OR(AND(E9="A",G9="Commercial_1_Balls"),AND(E9="B",G9="Commercial_2_Paint")),"first","second")</f>
        <v/>
      </c>
      <c r="AB9">
        <f>IF(ISNUMBER(W9),W9,0)</f>
        <v/>
      </c>
      <c r="AC9">
        <f>IF(ISNUMBER(S9),1,0)</f>
        <v/>
      </c>
      <c r="AD9">
        <f>IF(ISNUMBER(R9),R9,0)</f>
        <v/>
      </c>
    </row>
    <row r="10">
      <c r="A10" t="inlineStr">
        <is>
          <t>SIMULATED_AdTest_Balls_vs_Paint</t>
        </is>
      </c>
      <c r="B10" t="inlineStr">
        <is>
          <t>R02</t>
        </is>
      </c>
      <c r="C10" t="inlineStr">
        <is>
          <t>M</t>
        </is>
      </c>
      <c r="D10" t="n">
        <v>22</v>
      </c>
      <c r="E10" t="inlineStr">
        <is>
          <t>B</t>
        </is>
      </c>
      <c r="F10" t="inlineStr">
        <is>
          <t>2026-10-19</t>
        </is>
      </c>
      <c r="G10" t="inlineStr">
        <is>
          <t>Commercial_1_Balls</t>
        </is>
      </c>
      <c r="H10" t="inlineStr">
        <is>
          <t>Product_TV</t>
        </is>
      </c>
      <c r="I10" t="n">
        <v>60000</v>
      </c>
      <c r="J10" t="n">
        <v>14000</v>
      </c>
      <c r="K10" t="n">
        <v>23.33</v>
      </c>
      <c r="L10" t="n">
        <v>90.09999999999999</v>
      </c>
      <c r="M10" t="n">
        <v>720</v>
      </c>
      <c r="N10" t="n">
        <v>2</v>
      </c>
      <c r="O10" t="n">
        <v>5195</v>
      </c>
      <c r="P10" t="n">
        <v>2</v>
      </c>
      <c r="Q10" t="n">
        <v>1</v>
      </c>
      <c r="R10" t="n">
        <v>22</v>
      </c>
      <c r="S10" t="n">
        <v>931</v>
      </c>
      <c r="T10" t="n">
        <v>12931</v>
      </c>
      <c r="U10" t="n">
        <v>12931</v>
      </c>
      <c r="V10" t="n">
        <v>4540</v>
      </c>
      <c r="W10" t="n">
        <v>32.43</v>
      </c>
      <c r="X10" t="n">
        <v>206</v>
      </c>
      <c r="Y10" t="n">
        <v>173</v>
      </c>
      <c r="Z10">
        <f>IF(L10&gt;=70,"Yes","No")</f>
        <v/>
      </c>
      <c r="AA10">
        <f>IF(OR(AND(E10="A",G10="Commercial_1_Balls"),AND(E10="B",G10="Commercial_2_Paint")),"first","second")</f>
        <v/>
      </c>
      <c r="AB10">
        <f>IF(ISNUMBER(W10),W10,0)</f>
        <v/>
      </c>
      <c r="AC10">
        <f>IF(ISNUMBER(S10),1,0)</f>
        <v/>
      </c>
      <c r="AD10">
        <f>IF(ISNUMBER(R10),R10,0)</f>
        <v/>
      </c>
    </row>
    <row r="11">
      <c r="A11" t="inlineStr">
        <is>
          <t>SIMULATED_AdTest_Balls_vs_Paint</t>
        </is>
      </c>
      <c r="B11" t="inlineStr">
        <is>
          <t>R02</t>
        </is>
      </c>
      <c r="C11" t="inlineStr">
        <is>
          <t>M</t>
        </is>
      </c>
      <c r="D11" t="n">
        <v>22</v>
      </c>
      <c r="E11" t="inlineStr">
        <is>
          <t>B</t>
        </is>
      </c>
      <c r="F11" t="inlineStr">
        <is>
          <t>2026-10-19</t>
        </is>
      </c>
      <c r="G11" t="inlineStr">
        <is>
          <t>Commercial_1_Balls</t>
        </is>
      </c>
      <c r="H11" t="inlineStr">
        <is>
          <t>Brand_Logo</t>
        </is>
      </c>
      <c r="I11" t="n">
        <v>60000</v>
      </c>
      <c r="J11" t="n">
        <v>5000</v>
      </c>
      <c r="K11" t="n">
        <v>8.33</v>
      </c>
      <c r="L11" t="n">
        <v>90.09999999999999</v>
      </c>
      <c r="M11" t="n">
        <v>542</v>
      </c>
      <c r="N11" t="n">
        <v>1</v>
      </c>
      <c r="O11" t="n">
        <v>1766</v>
      </c>
      <c r="P11" t="n">
        <v>1</v>
      </c>
      <c r="Q11" t="n">
        <v>0</v>
      </c>
      <c r="R11" t="n">
        <v>5</v>
      </c>
      <c r="S11" t="n">
        <v>785</v>
      </c>
      <c r="T11" t="n">
        <v>55785</v>
      </c>
      <c r="U11" t="n">
        <v>55785</v>
      </c>
      <c r="V11" t="n">
        <v>1548</v>
      </c>
      <c r="W11" t="n">
        <v>30.96</v>
      </c>
      <c r="X11" t="n">
        <v>310</v>
      </c>
      <c r="Y11" t="n">
        <v>419</v>
      </c>
      <c r="Z11">
        <f>IF(L11&gt;=70,"Yes","No")</f>
        <v/>
      </c>
      <c r="AA11">
        <f>IF(OR(AND(E11="A",G11="Commercial_1_Balls"),AND(E11="B",G11="Commercial_2_Paint")),"first","second")</f>
        <v/>
      </c>
      <c r="AB11">
        <f>IF(ISNUMBER(W11),W11,0)</f>
        <v/>
      </c>
      <c r="AC11">
        <f>IF(ISNUMBER(S11),1,0)</f>
        <v/>
      </c>
      <c r="AD11">
        <f>IF(ISNUMBER(R11),R11,0)</f>
        <v/>
      </c>
    </row>
    <row r="12">
      <c r="A12" t="inlineStr">
        <is>
          <t>SIMULATED_AdTest_Balls_vs_Paint</t>
        </is>
      </c>
      <c r="B12" t="inlineStr">
        <is>
          <t>R02</t>
        </is>
      </c>
      <c r="C12" t="inlineStr">
        <is>
          <t>M</t>
        </is>
      </c>
      <c r="D12" t="n">
        <v>22</v>
      </c>
      <c r="E12" t="inlineStr">
        <is>
          <t>B</t>
        </is>
      </c>
      <c r="F12" t="inlineStr">
        <is>
          <t>2026-10-19</t>
        </is>
      </c>
      <c r="G12" t="inlineStr">
        <is>
          <t>Commercial_1_Balls</t>
        </is>
      </c>
      <c r="H12" t="inlineStr">
        <is>
          <t>Tagline_Text</t>
        </is>
      </c>
      <c r="I12" t="n">
        <v>60000</v>
      </c>
      <c r="J12" t="n">
        <v>4000</v>
      </c>
      <c r="K12" t="n">
        <v>6.67</v>
      </c>
      <c r="L12" t="n">
        <v>90.09999999999999</v>
      </c>
      <c r="M12" t="n">
        <v>1316</v>
      </c>
      <c r="N12" t="n">
        <v>3</v>
      </c>
      <c r="O12" t="n">
        <v>1410</v>
      </c>
      <c r="P12" t="n">
        <v>2</v>
      </c>
      <c r="Q12" t="n">
        <v>1</v>
      </c>
      <c r="R12" t="n">
        <v>4</v>
      </c>
      <c r="S12" t="n">
        <v>1582</v>
      </c>
      <c r="T12" t="n">
        <v>57582</v>
      </c>
      <c r="U12" t="n">
        <v>57582</v>
      </c>
      <c r="V12" t="n">
        <v>1276</v>
      </c>
      <c r="W12" t="n">
        <v>31.9</v>
      </c>
      <c r="X12" t="n">
        <v>319</v>
      </c>
      <c r="Y12" t="n">
        <v>245</v>
      </c>
      <c r="Z12">
        <f>IF(L12&gt;=70,"Yes","No")</f>
        <v/>
      </c>
      <c r="AA12">
        <f>IF(OR(AND(E12="A",G12="Commercial_1_Balls"),AND(E12="B",G12="Commercial_2_Paint")),"first","second")</f>
        <v/>
      </c>
      <c r="AB12">
        <f>IF(ISNUMBER(W12),W12,0)</f>
        <v/>
      </c>
      <c r="AC12">
        <f>IF(ISNUMBER(S12),1,0)</f>
        <v/>
      </c>
      <c r="AD12">
        <f>IF(ISNUMBER(R12),R12,0)</f>
        <v/>
      </c>
    </row>
    <row r="13">
      <c r="A13" t="inlineStr">
        <is>
          <t>SIMULATED_AdTest_Balls_vs_Paint</t>
        </is>
      </c>
      <c r="B13" t="inlineStr">
        <is>
          <t>R02</t>
        </is>
      </c>
      <c r="C13" t="inlineStr">
        <is>
          <t>M</t>
        </is>
      </c>
      <c r="D13" t="n">
        <v>22</v>
      </c>
      <c r="E13" t="inlineStr">
        <is>
          <t>B</t>
        </is>
      </c>
      <c r="F13" t="inlineStr">
        <is>
          <t>2026-10-19</t>
        </is>
      </c>
      <c r="G13" t="inlineStr">
        <is>
          <t>Commercial_1_Balls</t>
        </is>
      </c>
      <c r="H13" t="inlineStr">
        <is>
          <t>Hero_Element</t>
        </is>
      </c>
      <c r="I13" t="n">
        <v>60000</v>
      </c>
      <c r="J13" t="n">
        <v>40000</v>
      </c>
      <c r="K13" t="n">
        <v>66.67</v>
      </c>
      <c r="L13" t="n">
        <v>90.09999999999999</v>
      </c>
      <c r="M13" t="n">
        <v>333</v>
      </c>
      <c r="N13" t="n">
        <v>7</v>
      </c>
      <c r="O13" t="n">
        <v>17025</v>
      </c>
      <c r="P13" t="n">
        <v>6</v>
      </c>
      <c r="Q13" t="n">
        <v>5</v>
      </c>
      <c r="R13" t="n">
        <v>50</v>
      </c>
      <c r="S13" t="n">
        <v>469</v>
      </c>
      <c r="T13" t="n">
        <v>2469</v>
      </c>
      <c r="U13" t="n">
        <v>2469</v>
      </c>
      <c r="V13" t="n">
        <v>15561</v>
      </c>
      <c r="W13" t="n">
        <v>38.9</v>
      </c>
      <c r="X13" t="n">
        <v>311</v>
      </c>
      <c r="Y13" t="n">
        <v>128</v>
      </c>
      <c r="Z13">
        <f>IF(L13&gt;=70,"Yes","No")</f>
        <v/>
      </c>
      <c r="AA13">
        <f>IF(OR(AND(E13="A",G13="Commercial_1_Balls"),AND(E13="B",G13="Commercial_2_Paint")),"first","second")</f>
        <v/>
      </c>
      <c r="AB13">
        <f>IF(ISNUMBER(W13),W13,0)</f>
        <v/>
      </c>
      <c r="AC13">
        <f>IF(ISNUMBER(S13),1,0)</f>
        <v/>
      </c>
      <c r="AD13">
        <f>IF(ISNUMBER(R13),R13,0)</f>
        <v/>
      </c>
    </row>
    <row r="14">
      <c r="A14" t="inlineStr">
        <is>
          <t>SIMULATED_AdTest_Balls_vs_Paint</t>
        </is>
      </c>
      <c r="B14" t="inlineStr">
        <is>
          <t>R02</t>
        </is>
      </c>
      <c r="C14" t="inlineStr">
        <is>
          <t>M</t>
        </is>
      </c>
      <c r="D14" t="n">
        <v>22</v>
      </c>
      <c r="E14" t="inlineStr">
        <is>
          <t>B</t>
        </is>
      </c>
      <c r="F14" t="inlineStr">
        <is>
          <t>2026-10-19</t>
        </is>
      </c>
      <c r="G14" t="inlineStr">
        <is>
          <t>Commercial_2_Paint</t>
        </is>
      </c>
      <c r="H14" t="inlineStr">
        <is>
          <t>Product_TV</t>
        </is>
      </c>
      <c r="I14" t="n">
        <v>60000</v>
      </c>
      <c r="J14" t="n">
        <v>20000</v>
      </c>
      <c r="K14" t="n">
        <v>33.33</v>
      </c>
      <c r="L14" t="n">
        <v>90.09999999999999</v>
      </c>
      <c r="M14" t="n">
        <v>1447</v>
      </c>
      <c r="N14" t="n">
        <v>2</v>
      </c>
      <c r="O14" t="n">
        <v>7670</v>
      </c>
      <c r="P14" t="n">
        <v>2</v>
      </c>
      <c r="Q14" t="n">
        <v>1</v>
      </c>
      <c r="R14" t="n">
        <v>33</v>
      </c>
      <c r="S14" t="n">
        <v>1675</v>
      </c>
      <c r="T14" t="n">
        <v>10675</v>
      </c>
      <c r="U14" t="n">
        <v>10675</v>
      </c>
      <c r="V14" t="n">
        <v>7231</v>
      </c>
      <c r="W14" t="n">
        <v>36.16</v>
      </c>
      <c r="X14" t="n">
        <v>219</v>
      </c>
      <c r="Y14" t="n">
        <v>373</v>
      </c>
      <c r="Z14">
        <f>IF(L14&gt;=70,"Yes","No")</f>
        <v/>
      </c>
      <c r="AA14">
        <f>IF(OR(AND(E14="A",G14="Commercial_1_Balls"),AND(E14="B",G14="Commercial_2_Paint")),"first","second")</f>
        <v/>
      </c>
      <c r="AB14">
        <f>IF(ISNUMBER(W14),W14,0)</f>
        <v/>
      </c>
      <c r="AC14">
        <f>IF(ISNUMBER(S14),1,0)</f>
        <v/>
      </c>
      <c r="AD14">
        <f>IF(ISNUMBER(R14),R14,0)</f>
        <v/>
      </c>
    </row>
    <row r="15">
      <c r="A15" t="inlineStr">
        <is>
          <t>SIMULATED_AdTest_Balls_vs_Paint</t>
        </is>
      </c>
      <c r="B15" t="inlineStr">
        <is>
          <t>R02</t>
        </is>
      </c>
      <c r="C15" t="inlineStr">
        <is>
          <t>M</t>
        </is>
      </c>
      <c r="D15" t="n">
        <v>22</v>
      </c>
      <c r="E15" t="inlineStr">
        <is>
          <t>B</t>
        </is>
      </c>
      <c r="F15" t="inlineStr">
        <is>
          <t>2026-10-19</t>
        </is>
      </c>
      <c r="G15" t="inlineStr">
        <is>
          <t>Commercial_2_Paint</t>
        </is>
      </c>
      <c r="H15" t="inlineStr">
        <is>
          <t>Brand_Logo</t>
        </is>
      </c>
      <c r="I15" t="n">
        <v>60000</v>
      </c>
      <c r="J15" t="n">
        <v>5000</v>
      </c>
      <c r="K15" t="n">
        <v>8.33</v>
      </c>
      <c r="L15" t="n">
        <v>90.09999999999999</v>
      </c>
      <c r="M15" t="n">
        <v>366</v>
      </c>
      <c r="N15" t="n">
        <v>1</v>
      </c>
      <c r="O15" t="n">
        <v>2876</v>
      </c>
      <c r="P15" t="n">
        <v>1</v>
      </c>
      <c r="Q15" t="n">
        <v>0</v>
      </c>
      <c r="R15" t="n">
        <v>8</v>
      </c>
      <c r="S15" t="n">
        <v>591</v>
      </c>
      <c r="T15" t="n">
        <v>55591</v>
      </c>
      <c r="U15" t="n">
        <v>55591</v>
      </c>
      <c r="V15" t="n">
        <v>2772</v>
      </c>
      <c r="W15" t="n">
        <v>55.44</v>
      </c>
      <c r="X15" t="n">
        <v>346</v>
      </c>
      <c r="Y15" t="n">
        <v>293</v>
      </c>
      <c r="Z15">
        <f>IF(L15&gt;=70,"Yes","No")</f>
        <v/>
      </c>
      <c r="AA15">
        <f>IF(OR(AND(E15="A",G15="Commercial_1_Balls"),AND(E15="B",G15="Commercial_2_Paint")),"first","second")</f>
        <v/>
      </c>
      <c r="AB15">
        <f>IF(ISNUMBER(W15),W15,0)</f>
        <v/>
      </c>
      <c r="AC15">
        <f>IF(ISNUMBER(S15),1,0)</f>
        <v/>
      </c>
      <c r="AD15">
        <f>IF(ISNUMBER(R15),R15,0)</f>
        <v/>
      </c>
    </row>
    <row r="16">
      <c r="A16" t="inlineStr">
        <is>
          <t>SIMULATED_AdTest_Balls_vs_Paint</t>
        </is>
      </c>
      <c r="B16" t="inlineStr">
        <is>
          <t>R02</t>
        </is>
      </c>
      <c r="C16" t="inlineStr">
        <is>
          <t>M</t>
        </is>
      </c>
      <c r="D16" t="n">
        <v>22</v>
      </c>
      <c r="E16" t="inlineStr">
        <is>
          <t>B</t>
        </is>
      </c>
      <c r="F16" t="inlineStr">
        <is>
          <t>2026-10-19</t>
        </is>
      </c>
      <c r="G16" t="inlineStr">
        <is>
          <t>Commercial_2_Paint</t>
        </is>
      </c>
      <c r="H16" t="inlineStr">
        <is>
          <t>Tagline_Text</t>
        </is>
      </c>
      <c r="I16" t="n">
        <v>60000</v>
      </c>
      <c r="J16" t="n">
        <v>4000</v>
      </c>
      <c r="K16" t="n">
        <v>6.67</v>
      </c>
      <c r="L16" t="n">
        <v>90.09999999999999</v>
      </c>
      <c r="M16" t="n">
        <v>1097</v>
      </c>
      <c r="N16" t="n">
        <v>2</v>
      </c>
      <c r="O16" t="n">
        <v>1682</v>
      </c>
      <c r="P16" t="n">
        <v>1</v>
      </c>
      <c r="Q16" t="n">
        <v>0</v>
      </c>
      <c r="R16" t="n">
        <v>4</v>
      </c>
      <c r="S16" t="n">
        <v>1239</v>
      </c>
      <c r="T16" t="n">
        <v>57239</v>
      </c>
      <c r="U16" t="n">
        <v>57239</v>
      </c>
      <c r="V16" t="n">
        <v>1488</v>
      </c>
      <c r="W16" t="n">
        <v>37.2</v>
      </c>
      <c r="X16" t="n">
        <v>372</v>
      </c>
      <c r="Y16" t="n">
        <v>173</v>
      </c>
      <c r="Z16">
        <f>IF(L16&gt;=70,"Yes","No")</f>
        <v/>
      </c>
      <c r="AA16">
        <f>IF(OR(AND(E16="A",G16="Commercial_1_Balls"),AND(E16="B",G16="Commercial_2_Paint")),"first","second")</f>
        <v/>
      </c>
      <c r="AB16">
        <f>IF(ISNUMBER(W16),W16,0)</f>
        <v/>
      </c>
      <c r="AC16">
        <f>IF(ISNUMBER(S16),1,0)</f>
        <v/>
      </c>
      <c r="AD16">
        <f>IF(ISNUMBER(R16),R16,0)</f>
        <v/>
      </c>
    </row>
    <row r="17">
      <c r="A17" t="inlineStr">
        <is>
          <t>SIMULATED_AdTest_Balls_vs_Paint</t>
        </is>
      </c>
      <c r="B17" t="inlineStr">
        <is>
          <t>R02</t>
        </is>
      </c>
      <c r="C17" t="inlineStr">
        <is>
          <t>M</t>
        </is>
      </c>
      <c r="D17" t="n">
        <v>22</v>
      </c>
      <c r="E17" t="inlineStr">
        <is>
          <t>B</t>
        </is>
      </c>
      <c r="F17" t="inlineStr">
        <is>
          <t>2026-10-19</t>
        </is>
      </c>
      <c r="G17" t="inlineStr">
        <is>
          <t>Commercial_2_Paint</t>
        </is>
      </c>
      <c r="H17" t="inlineStr">
        <is>
          <t>Hero_Element</t>
        </is>
      </c>
      <c r="I17" t="n">
        <v>60000</v>
      </c>
      <c r="J17" t="n">
        <v>32000</v>
      </c>
      <c r="K17" t="n">
        <v>53.33</v>
      </c>
      <c r="L17" t="n">
        <v>90.09999999999999</v>
      </c>
      <c r="M17" t="n">
        <v>1126</v>
      </c>
      <c r="N17" t="n">
        <v>4</v>
      </c>
      <c r="O17" t="n">
        <v>12736</v>
      </c>
      <c r="P17" t="n">
        <v>3</v>
      </c>
      <c r="Q17" t="n">
        <v>2</v>
      </c>
      <c r="R17" t="n">
        <v>75</v>
      </c>
      <c r="S17" t="n">
        <v>1246</v>
      </c>
      <c r="T17" t="n">
        <v>4246</v>
      </c>
      <c r="U17" t="n">
        <v>4246</v>
      </c>
      <c r="V17" t="n">
        <v>11210</v>
      </c>
      <c r="W17" t="n">
        <v>35.03</v>
      </c>
      <c r="X17" t="n">
        <v>149</v>
      </c>
      <c r="Y17" t="n">
        <v>226</v>
      </c>
      <c r="Z17">
        <f>IF(L17&gt;=70,"Yes","No")</f>
        <v/>
      </c>
      <c r="AA17">
        <f>IF(OR(AND(E17="A",G17="Commercial_1_Balls"),AND(E17="B",G17="Commercial_2_Paint")),"first","second")</f>
        <v/>
      </c>
      <c r="AB17">
        <f>IF(ISNUMBER(W17),W17,0)</f>
        <v/>
      </c>
      <c r="AC17">
        <f>IF(ISNUMBER(S17),1,0)</f>
        <v/>
      </c>
      <c r="AD17">
        <f>IF(ISNUMBER(R17),R17,0)</f>
        <v/>
      </c>
    </row>
    <row r="18">
      <c r="A18" t="inlineStr">
        <is>
          <t>SIMULATED_AdTest_Balls_vs_Paint</t>
        </is>
      </c>
      <c r="B18" t="inlineStr">
        <is>
          <t>R03</t>
        </is>
      </c>
      <c r="C18" t="inlineStr">
        <is>
          <t>F</t>
        </is>
      </c>
      <c r="D18" t="n">
        <v>19</v>
      </c>
      <c r="E18" t="inlineStr">
        <is>
          <t>A</t>
        </is>
      </c>
      <c r="F18" t="inlineStr">
        <is>
          <t>2026-10-19</t>
        </is>
      </c>
      <c r="G18" t="inlineStr">
        <is>
          <t>Commercial_1_Balls</t>
        </is>
      </c>
      <c r="H18" t="inlineStr">
        <is>
          <t>Product_TV</t>
        </is>
      </c>
      <c r="I18" t="n">
        <v>60000</v>
      </c>
      <c r="J18" t="n">
        <v>14000</v>
      </c>
      <c r="K18" t="n">
        <v>23.33</v>
      </c>
      <c r="L18" t="n">
        <v>91.3</v>
      </c>
      <c r="M18" t="n">
        <v>901</v>
      </c>
      <c r="N18" t="n">
        <v>1</v>
      </c>
      <c r="O18" t="n">
        <v>2517</v>
      </c>
      <c r="P18" t="n">
        <v>1</v>
      </c>
      <c r="Q18" t="n">
        <v>0</v>
      </c>
      <c r="R18" t="n">
        <v>9</v>
      </c>
      <c r="S18" t="n">
        <v>1098</v>
      </c>
      <c r="T18" t="n">
        <v>13098</v>
      </c>
      <c r="U18" t="n">
        <v>13098</v>
      </c>
      <c r="V18" t="n">
        <v>2355</v>
      </c>
      <c r="W18" t="n">
        <v>16.82</v>
      </c>
      <c r="X18" t="n">
        <v>262</v>
      </c>
      <c r="Y18" t="n">
        <v>362</v>
      </c>
      <c r="Z18">
        <f>IF(L18&gt;=70,"Yes","No")</f>
        <v/>
      </c>
      <c r="AA18">
        <f>IF(OR(AND(E18="A",G18="Commercial_1_Balls"),AND(E18="B",G18="Commercial_2_Paint")),"first","second")</f>
        <v/>
      </c>
      <c r="AB18">
        <f>IF(ISNUMBER(W18),W18,0)</f>
        <v/>
      </c>
      <c r="AC18">
        <f>IF(ISNUMBER(S18),1,0)</f>
        <v/>
      </c>
      <c r="AD18">
        <f>IF(ISNUMBER(R18),R18,0)</f>
        <v/>
      </c>
    </row>
    <row r="19">
      <c r="A19" t="inlineStr">
        <is>
          <t>SIMULATED_AdTest_Balls_vs_Paint</t>
        </is>
      </c>
      <c r="B19" t="inlineStr">
        <is>
          <t>R03</t>
        </is>
      </c>
      <c r="C19" t="inlineStr">
        <is>
          <t>F</t>
        </is>
      </c>
      <c r="D19" t="n">
        <v>19</v>
      </c>
      <c r="E19" t="inlineStr">
        <is>
          <t>A</t>
        </is>
      </c>
      <c r="F19" t="inlineStr">
        <is>
          <t>2026-10-19</t>
        </is>
      </c>
      <c r="G19" t="inlineStr">
        <is>
          <t>Commercial_1_Balls</t>
        </is>
      </c>
      <c r="H19" t="inlineStr">
        <is>
          <t>Brand_Logo</t>
        </is>
      </c>
      <c r="I19" t="n">
        <v>60000</v>
      </c>
      <c r="J19" t="n">
        <v>5000</v>
      </c>
      <c r="K19" t="n">
        <v>8.33</v>
      </c>
      <c r="L19" t="n">
        <v>91.3</v>
      </c>
      <c r="M19" t="n">
        <v>730</v>
      </c>
      <c r="N19" t="n">
        <v>2</v>
      </c>
      <c r="O19" t="n">
        <v>1951</v>
      </c>
      <c r="P19" t="n">
        <v>1</v>
      </c>
      <c r="Q19" t="n">
        <v>0</v>
      </c>
      <c r="R19" t="n">
        <v>6</v>
      </c>
      <c r="S19" t="n">
        <v>1007</v>
      </c>
      <c r="T19" t="n">
        <v>56007</v>
      </c>
      <c r="U19" t="n">
        <v>56007</v>
      </c>
      <c r="V19" t="n">
        <v>1770</v>
      </c>
      <c r="W19" t="n">
        <v>35.4</v>
      </c>
      <c r="X19" t="n">
        <v>295</v>
      </c>
      <c r="Y19" t="n">
        <v>221</v>
      </c>
      <c r="Z19">
        <f>IF(L19&gt;=70,"Yes","No")</f>
        <v/>
      </c>
      <c r="AA19">
        <f>IF(OR(AND(E19="A",G19="Commercial_1_Balls"),AND(E19="B",G19="Commercial_2_Paint")),"first","second")</f>
        <v/>
      </c>
      <c r="AB19">
        <f>IF(ISNUMBER(W19),W19,0)</f>
        <v/>
      </c>
      <c r="AC19">
        <f>IF(ISNUMBER(S19),1,0)</f>
        <v/>
      </c>
      <c r="AD19">
        <f>IF(ISNUMBER(R19),R19,0)</f>
        <v/>
      </c>
    </row>
    <row r="20">
      <c r="A20" t="inlineStr">
        <is>
          <t>SIMULATED_AdTest_Balls_vs_Paint</t>
        </is>
      </c>
      <c r="B20" t="inlineStr">
        <is>
          <t>R03</t>
        </is>
      </c>
      <c r="C20" t="inlineStr">
        <is>
          <t>F</t>
        </is>
      </c>
      <c r="D20" t="n">
        <v>19</v>
      </c>
      <c r="E20" t="inlineStr">
        <is>
          <t>A</t>
        </is>
      </c>
      <c r="F20" t="inlineStr">
        <is>
          <t>2026-10-19</t>
        </is>
      </c>
      <c r="G20" t="inlineStr">
        <is>
          <t>Commercial_1_Balls</t>
        </is>
      </c>
      <c r="H20" t="inlineStr">
        <is>
          <t>Tagline_Text</t>
        </is>
      </c>
      <c r="I20" t="n">
        <v>60000</v>
      </c>
      <c r="J20" t="n">
        <v>4000</v>
      </c>
      <c r="K20" t="n">
        <v>6.67</v>
      </c>
      <c r="L20" t="n">
        <v>91.3</v>
      </c>
      <c r="M20" t="n">
        <v>848</v>
      </c>
      <c r="N20" t="n">
        <v>1</v>
      </c>
      <c r="O20" t="n">
        <v>754</v>
      </c>
      <c r="P20" t="n">
        <v>1</v>
      </c>
      <c r="Q20" t="n">
        <v>0</v>
      </c>
      <c r="R20" t="n">
        <v>3</v>
      </c>
      <c r="S20" t="n">
        <v>1021</v>
      </c>
      <c r="T20" t="n">
        <v>57021</v>
      </c>
      <c r="U20" t="n">
        <v>57021</v>
      </c>
      <c r="V20" t="n">
        <v>685</v>
      </c>
      <c r="W20" t="n">
        <v>17.12</v>
      </c>
      <c r="X20" t="n">
        <v>228</v>
      </c>
      <c r="Y20" t="n">
        <v>204</v>
      </c>
      <c r="Z20">
        <f>IF(L20&gt;=70,"Yes","No")</f>
        <v/>
      </c>
      <c r="AA20">
        <f>IF(OR(AND(E20="A",G20="Commercial_1_Balls"),AND(E20="B",G20="Commercial_2_Paint")),"first","second")</f>
        <v/>
      </c>
      <c r="AB20">
        <f>IF(ISNUMBER(W20),W20,0)</f>
        <v/>
      </c>
      <c r="AC20">
        <f>IF(ISNUMBER(S20),1,0)</f>
        <v/>
      </c>
      <c r="AD20">
        <f>IF(ISNUMBER(R20),R20,0)</f>
        <v/>
      </c>
    </row>
    <row r="21">
      <c r="A21" t="inlineStr">
        <is>
          <t>SIMULATED_AdTest_Balls_vs_Paint</t>
        </is>
      </c>
      <c r="B21" t="inlineStr">
        <is>
          <t>R03</t>
        </is>
      </c>
      <c r="C21" t="inlineStr">
        <is>
          <t>F</t>
        </is>
      </c>
      <c r="D21" t="n">
        <v>19</v>
      </c>
      <c r="E21" t="inlineStr">
        <is>
          <t>A</t>
        </is>
      </c>
      <c r="F21" t="inlineStr">
        <is>
          <t>2026-10-19</t>
        </is>
      </c>
      <c r="G21" t="inlineStr">
        <is>
          <t>Commercial_1_Balls</t>
        </is>
      </c>
      <c r="H21" t="inlineStr">
        <is>
          <t>Hero_Element</t>
        </is>
      </c>
      <c r="I21" t="n">
        <v>60000</v>
      </c>
      <c r="J21" t="n">
        <v>40000</v>
      </c>
      <c r="K21" t="n">
        <v>66.67</v>
      </c>
      <c r="L21" t="n">
        <v>91.3</v>
      </c>
      <c r="M21" t="n">
        <v>502</v>
      </c>
      <c r="N21" t="n">
        <v>5</v>
      </c>
      <c r="O21" t="n">
        <v>24541</v>
      </c>
      <c r="P21" t="n">
        <v>5</v>
      </c>
      <c r="Q21" t="n">
        <v>4</v>
      </c>
      <c r="R21" t="n">
        <v>70</v>
      </c>
      <c r="S21" t="n">
        <v>703</v>
      </c>
      <c r="T21" t="n">
        <v>2703</v>
      </c>
      <c r="U21" t="n">
        <v>2703</v>
      </c>
      <c r="V21" t="n">
        <v>21453</v>
      </c>
      <c r="W21" t="n">
        <v>53.63</v>
      </c>
      <c r="X21" t="n">
        <v>306</v>
      </c>
      <c r="Y21" t="n">
        <v>250</v>
      </c>
      <c r="Z21">
        <f>IF(L21&gt;=70,"Yes","No")</f>
        <v/>
      </c>
      <c r="AA21">
        <f>IF(OR(AND(E21="A",G21="Commercial_1_Balls"),AND(E21="B",G21="Commercial_2_Paint")),"first","second")</f>
        <v/>
      </c>
      <c r="AB21">
        <f>IF(ISNUMBER(W21),W21,0)</f>
        <v/>
      </c>
      <c r="AC21">
        <f>IF(ISNUMBER(S21),1,0)</f>
        <v/>
      </c>
      <c r="AD21">
        <f>IF(ISNUMBER(R21),R21,0)</f>
        <v/>
      </c>
    </row>
    <row r="22">
      <c r="A22" t="inlineStr">
        <is>
          <t>SIMULATED_AdTest_Balls_vs_Paint</t>
        </is>
      </c>
      <c r="B22" t="inlineStr">
        <is>
          <t>R03</t>
        </is>
      </c>
      <c r="C22" t="inlineStr">
        <is>
          <t>F</t>
        </is>
      </c>
      <c r="D22" t="n">
        <v>19</v>
      </c>
      <c r="E22" t="inlineStr">
        <is>
          <t>A</t>
        </is>
      </c>
      <c r="F22" t="inlineStr">
        <is>
          <t>2026-10-19</t>
        </is>
      </c>
      <c r="G22" t="inlineStr">
        <is>
          <t>Commercial_2_Paint</t>
        </is>
      </c>
      <c r="H22" t="inlineStr">
        <is>
          <t>Product_TV</t>
        </is>
      </c>
      <c r="I22" t="n">
        <v>60000</v>
      </c>
      <c r="J22" t="n">
        <v>20000</v>
      </c>
      <c r="K22" t="n">
        <v>33.33</v>
      </c>
      <c r="L22" t="n">
        <v>91.3</v>
      </c>
      <c r="M22" t="n">
        <v>467</v>
      </c>
      <c r="N22" t="n">
        <v>1</v>
      </c>
      <c r="O22" t="n">
        <v>6569</v>
      </c>
      <c r="P22" t="n">
        <v>1</v>
      </c>
      <c r="Q22" t="n">
        <v>0</v>
      </c>
      <c r="R22" t="n">
        <v>16</v>
      </c>
      <c r="S22" t="n">
        <v>690</v>
      </c>
      <c r="T22" t="n">
        <v>9690</v>
      </c>
      <c r="U22" t="n">
        <v>9690</v>
      </c>
      <c r="V22" t="n">
        <v>6158</v>
      </c>
      <c r="W22" t="n">
        <v>30.79</v>
      </c>
      <c r="X22" t="n">
        <v>385</v>
      </c>
      <c r="Y22" t="n">
        <v>247</v>
      </c>
      <c r="Z22">
        <f>IF(L22&gt;=70,"Yes","No")</f>
        <v/>
      </c>
      <c r="AA22">
        <f>IF(OR(AND(E22="A",G22="Commercial_1_Balls"),AND(E22="B",G22="Commercial_2_Paint")),"first","second")</f>
        <v/>
      </c>
      <c r="AB22">
        <f>IF(ISNUMBER(W22),W22,0)</f>
        <v/>
      </c>
      <c r="AC22">
        <f>IF(ISNUMBER(S22),1,0)</f>
        <v/>
      </c>
      <c r="AD22">
        <f>IF(ISNUMBER(R22),R22,0)</f>
        <v/>
      </c>
    </row>
    <row r="23">
      <c r="A23" t="inlineStr">
        <is>
          <t>SIMULATED_AdTest_Balls_vs_Paint</t>
        </is>
      </c>
      <c r="B23" t="inlineStr">
        <is>
          <t>R03</t>
        </is>
      </c>
      <c r="C23" t="inlineStr">
        <is>
          <t>F</t>
        </is>
      </c>
      <c r="D23" t="n">
        <v>19</v>
      </c>
      <c r="E23" t="inlineStr">
        <is>
          <t>A</t>
        </is>
      </c>
      <c r="F23" t="inlineStr">
        <is>
          <t>2026-10-19</t>
        </is>
      </c>
      <c r="G23" t="inlineStr">
        <is>
          <t>Commercial_2_Paint</t>
        </is>
      </c>
      <c r="H23" t="inlineStr">
        <is>
          <t>Brand_Logo</t>
        </is>
      </c>
      <c r="I23" t="n">
        <v>60000</v>
      </c>
      <c r="J23" t="n">
        <v>5000</v>
      </c>
      <c r="K23" t="n">
        <v>8.33</v>
      </c>
      <c r="L23" t="n">
        <v>91.3</v>
      </c>
      <c r="M23" t="n">
        <v>673</v>
      </c>
      <c r="N23" t="n">
        <v>1</v>
      </c>
      <c r="O23" t="n">
        <v>2176</v>
      </c>
      <c r="P23" t="n">
        <v>1</v>
      </c>
      <c r="Q23" t="n">
        <v>0</v>
      </c>
      <c r="R23" t="n">
        <v>5</v>
      </c>
      <c r="S23" t="n">
        <v>847</v>
      </c>
      <c r="T23" t="n">
        <v>55847</v>
      </c>
      <c r="U23" t="n">
        <v>55847</v>
      </c>
      <c r="V23" t="n">
        <v>1911</v>
      </c>
      <c r="W23" t="n">
        <v>38.22</v>
      </c>
      <c r="X23" t="n">
        <v>382</v>
      </c>
      <c r="Y23" t="n">
        <v>368</v>
      </c>
      <c r="Z23">
        <f>IF(L23&gt;=70,"Yes","No")</f>
        <v/>
      </c>
      <c r="AA23">
        <f>IF(OR(AND(E23="A",G23="Commercial_1_Balls"),AND(E23="B",G23="Commercial_2_Paint")),"first","second")</f>
        <v/>
      </c>
      <c r="AB23">
        <f>IF(ISNUMBER(W23),W23,0)</f>
        <v/>
      </c>
      <c r="AC23">
        <f>IF(ISNUMBER(S23),1,0)</f>
        <v/>
      </c>
      <c r="AD23">
        <f>IF(ISNUMBER(R23),R23,0)</f>
        <v/>
      </c>
    </row>
    <row r="24">
      <c r="A24" t="inlineStr">
        <is>
          <t>SIMULATED_AdTest_Balls_vs_Paint</t>
        </is>
      </c>
      <c r="B24" t="inlineStr">
        <is>
          <t>R03</t>
        </is>
      </c>
      <c r="C24" t="inlineStr">
        <is>
          <t>F</t>
        </is>
      </c>
      <c r="D24" t="n">
        <v>19</v>
      </c>
      <c r="E24" t="inlineStr">
        <is>
          <t>A</t>
        </is>
      </c>
      <c r="F24" t="inlineStr">
        <is>
          <t>2026-10-19</t>
        </is>
      </c>
      <c r="G24" t="inlineStr">
        <is>
          <t>Commercial_2_Paint</t>
        </is>
      </c>
      <c r="H24" t="inlineStr">
        <is>
          <t>Tagline_Text</t>
        </is>
      </c>
      <c r="I24" t="n">
        <v>60000</v>
      </c>
      <c r="J24" t="n">
        <v>4000</v>
      </c>
      <c r="K24" t="n">
        <v>6.67</v>
      </c>
      <c r="L24" t="n">
        <v>91.3</v>
      </c>
      <c r="M24" t="n">
        <v>1326</v>
      </c>
      <c r="N24" t="n">
        <v>1</v>
      </c>
      <c r="O24" t="n">
        <v>1496</v>
      </c>
      <c r="P24" t="n">
        <v>1</v>
      </c>
      <c r="Q24" t="n">
        <v>0</v>
      </c>
      <c r="R24" t="n">
        <v>3</v>
      </c>
      <c r="S24" t="n">
        <v>1579</v>
      </c>
      <c r="T24" t="n">
        <v>57579</v>
      </c>
      <c r="U24" t="n">
        <v>57579</v>
      </c>
      <c r="V24" t="n">
        <v>1307</v>
      </c>
      <c r="W24" t="n">
        <v>32.67</v>
      </c>
      <c r="X24" t="n">
        <v>436</v>
      </c>
      <c r="Y24" t="n">
        <v>135</v>
      </c>
      <c r="Z24">
        <f>IF(L24&gt;=70,"Yes","No")</f>
        <v/>
      </c>
      <c r="AA24">
        <f>IF(OR(AND(E24="A",G24="Commercial_1_Balls"),AND(E24="B",G24="Commercial_2_Paint")),"first","second")</f>
        <v/>
      </c>
      <c r="AB24">
        <f>IF(ISNUMBER(W24),W24,0)</f>
        <v/>
      </c>
      <c r="AC24">
        <f>IF(ISNUMBER(S24),1,0)</f>
        <v/>
      </c>
      <c r="AD24">
        <f>IF(ISNUMBER(R24),R24,0)</f>
        <v/>
      </c>
    </row>
    <row r="25">
      <c r="A25" t="inlineStr">
        <is>
          <t>SIMULATED_AdTest_Balls_vs_Paint</t>
        </is>
      </c>
      <c r="B25" t="inlineStr">
        <is>
          <t>R03</t>
        </is>
      </c>
      <c r="C25" t="inlineStr">
        <is>
          <t>F</t>
        </is>
      </c>
      <c r="D25" t="n">
        <v>19</v>
      </c>
      <c r="E25" t="inlineStr">
        <is>
          <t>A</t>
        </is>
      </c>
      <c r="F25" t="inlineStr">
        <is>
          <t>2026-10-19</t>
        </is>
      </c>
      <c r="G25" t="inlineStr">
        <is>
          <t>Commercial_2_Paint</t>
        </is>
      </c>
      <c r="H25" t="inlineStr">
        <is>
          <t>Hero_Element</t>
        </is>
      </c>
      <c r="I25" t="n">
        <v>60000</v>
      </c>
      <c r="J25" t="n">
        <v>32000</v>
      </c>
      <c r="K25" t="n">
        <v>53.33</v>
      </c>
      <c r="L25" t="n">
        <v>91.3</v>
      </c>
      <c r="M25" t="n">
        <v>1011</v>
      </c>
      <c r="N25" t="n">
        <v>4</v>
      </c>
      <c r="O25" t="n">
        <v>16302</v>
      </c>
      <c r="P25" t="n">
        <v>4</v>
      </c>
      <c r="Q25" t="n">
        <v>3</v>
      </c>
      <c r="R25" t="n">
        <v>52</v>
      </c>
      <c r="S25" t="n">
        <v>1135</v>
      </c>
      <c r="T25" t="n">
        <v>4135</v>
      </c>
      <c r="U25" t="n">
        <v>4135</v>
      </c>
      <c r="V25" t="n">
        <v>14801</v>
      </c>
      <c r="W25" t="n">
        <v>46.25</v>
      </c>
      <c r="X25" t="n">
        <v>285</v>
      </c>
      <c r="Y25" t="n">
        <v>317</v>
      </c>
      <c r="Z25">
        <f>IF(L25&gt;=70,"Yes","No")</f>
        <v/>
      </c>
      <c r="AA25">
        <f>IF(OR(AND(E25="A",G25="Commercial_1_Balls"),AND(E25="B",G25="Commercial_2_Paint")),"first","second")</f>
        <v/>
      </c>
      <c r="AB25">
        <f>IF(ISNUMBER(W25),W25,0)</f>
        <v/>
      </c>
      <c r="AC25">
        <f>IF(ISNUMBER(S25),1,0)</f>
        <v/>
      </c>
      <c r="AD25">
        <f>IF(ISNUMBER(R25),R25,0)</f>
        <v/>
      </c>
    </row>
    <row r="26">
      <c r="A26" t="inlineStr">
        <is>
          <t>SIMULATED_AdTest_Balls_vs_Paint</t>
        </is>
      </c>
      <c r="B26" t="inlineStr">
        <is>
          <t>R04</t>
        </is>
      </c>
      <c r="C26" t="inlineStr">
        <is>
          <t>F</t>
        </is>
      </c>
      <c r="D26" t="n">
        <v>20</v>
      </c>
      <c r="E26" t="inlineStr">
        <is>
          <t>B</t>
        </is>
      </c>
      <c r="F26" t="inlineStr">
        <is>
          <t>2026-10-19</t>
        </is>
      </c>
      <c r="G26" t="inlineStr">
        <is>
          <t>Commercial_1_Balls</t>
        </is>
      </c>
      <c r="H26" t="inlineStr">
        <is>
          <t>Product_TV</t>
        </is>
      </c>
      <c r="I26" t="n">
        <v>60000</v>
      </c>
      <c r="J26" t="n">
        <v>14000</v>
      </c>
      <c r="K26" t="n">
        <v>23.33</v>
      </c>
      <c r="L26" t="n">
        <v>78.5</v>
      </c>
      <c r="M26" t="n">
        <v>769</v>
      </c>
      <c r="N26" t="n">
        <v>1</v>
      </c>
      <c r="O26" t="n">
        <v>5138</v>
      </c>
      <c r="P26" t="n">
        <v>1</v>
      </c>
      <c r="Q26" t="n">
        <v>0</v>
      </c>
      <c r="R26" t="n">
        <v>22</v>
      </c>
      <c r="S26" t="n">
        <v>976</v>
      </c>
      <c r="T26" t="n">
        <v>12976</v>
      </c>
      <c r="U26" t="n">
        <v>12976</v>
      </c>
      <c r="V26" t="n">
        <v>4969</v>
      </c>
      <c r="W26" t="n">
        <v>35.49</v>
      </c>
      <c r="X26" t="n">
        <v>226</v>
      </c>
      <c r="Y26" t="n">
        <v>186</v>
      </c>
      <c r="Z26">
        <f>IF(L26&gt;=70,"Yes","No")</f>
        <v/>
      </c>
      <c r="AA26">
        <f>IF(OR(AND(E26="A",G26="Commercial_1_Balls"),AND(E26="B",G26="Commercial_2_Paint")),"first","second")</f>
        <v/>
      </c>
      <c r="AB26">
        <f>IF(ISNUMBER(W26),W26,0)</f>
        <v/>
      </c>
      <c r="AC26">
        <f>IF(ISNUMBER(S26),1,0)</f>
        <v/>
      </c>
      <c r="AD26">
        <f>IF(ISNUMBER(R26),R26,0)</f>
        <v/>
      </c>
    </row>
    <row r="27">
      <c r="A27" t="inlineStr">
        <is>
          <t>SIMULATED_AdTest_Balls_vs_Paint</t>
        </is>
      </c>
      <c r="B27" t="inlineStr">
        <is>
          <t>R04</t>
        </is>
      </c>
      <c r="C27" t="inlineStr">
        <is>
          <t>F</t>
        </is>
      </c>
      <c r="D27" t="n">
        <v>20</v>
      </c>
      <c r="E27" t="inlineStr">
        <is>
          <t>B</t>
        </is>
      </c>
      <c r="F27" t="inlineStr">
        <is>
          <t>2026-10-19</t>
        </is>
      </c>
      <c r="G27" t="inlineStr">
        <is>
          <t>Commercial_1_Balls</t>
        </is>
      </c>
      <c r="H27" t="inlineStr">
        <is>
          <t>Brand_Logo</t>
        </is>
      </c>
      <c r="I27" t="n">
        <v>60000</v>
      </c>
      <c r="J27" t="n">
        <v>5000</v>
      </c>
      <c r="K27" t="n">
        <v>8.33</v>
      </c>
      <c r="L27" t="n">
        <v>78.5</v>
      </c>
      <c r="M27" t="n">
        <v>963</v>
      </c>
      <c r="N27" t="n">
        <v>1</v>
      </c>
      <c r="O27" t="n">
        <v>2717</v>
      </c>
      <c r="P27" t="n">
        <v>1</v>
      </c>
      <c r="Q27" t="n">
        <v>0</v>
      </c>
      <c r="R27" t="n">
        <v>6</v>
      </c>
      <c r="S27" t="n">
        <v>1166</v>
      </c>
      <c r="T27" t="n">
        <v>56166</v>
      </c>
      <c r="U27" t="n">
        <v>56166</v>
      </c>
      <c r="V27" t="n">
        <v>2497</v>
      </c>
      <c r="W27" t="n">
        <v>49.94</v>
      </c>
      <c r="X27" t="n">
        <v>416</v>
      </c>
      <c r="Y27" t="n">
        <v>264</v>
      </c>
      <c r="Z27">
        <f>IF(L27&gt;=70,"Yes","No")</f>
        <v/>
      </c>
      <c r="AA27">
        <f>IF(OR(AND(E27="A",G27="Commercial_1_Balls"),AND(E27="B",G27="Commercial_2_Paint")),"first","second")</f>
        <v/>
      </c>
      <c r="AB27">
        <f>IF(ISNUMBER(W27),W27,0)</f>
        <v/>
      </c>
      <c r="AC27">
        <f>IF(ISNUMBER(S27),1,0)</f>
        <v/>
      </c>
      <c r="AD27">
        <f>IF(ISNUMBER(R27),R27,0)</f>
        <v/>
      </c>
    </row>
    <row r="28">
      <c r="A28" t="inlineStr">
        <is>
          <t>SIMULATED_AdTest_Balls_vs_Paint</t>
        </is>
      </c>
      <c r="B28" t="inlineStr">
        <is>
          <t>R04</t>
        </is>
      </c>
      <c r="C28" t="inlineStr">
        <is>
          <t>F</t>
        </is>
      </c>
      <c r="D28" t="n">
        <v>20</v>
      </c>
      <c r="E28" t="inlineStr">
        <is>
          <t>B</t>
        </is>
      </c>
      <c r="F28" t="inlineStr">
        <is>
          <t>2026-10-19</t>
        </is>
      </c>
      <c r="G28" t="inlineStr">
        <is>
          <t>Commercial_1_Balls</t>
        </is>
      </c>
      <c r="H28" t="inlineStr">
        <is>
          <t>Tagline_Text</t>
        </is>
      </c>
      <c r="I28" t="n">
        <v>60000</v>
      </c>
      <c r="J28" t="n">
        <v>4000</v>
      </c>
      <c r="K28" t="n">
        <v>6.67</v>
      </c>
      <c r="L28" t="n">
        <v>78.5</v>
      </c>
      <c r="M28" t="n">
        <v>1126</v>
      </c>
      <c r="N28" t="n">
        <v>1</v>
      </c>
      <c r="O28" t="n">
        <v>904</v>
      </c>
      <c r="P28" t="n">
        <v>1</v>
      </c>
      <c r="Q28" t="n">
        <v>0</v>
      </c>
      <c r="R28" t="n">
        <v>5</v>
      </c>
      <c r="S28" t="n">
        <v>1287</v>
      </c>
      <c r="T28" t="n">
        <v>57287</v>
      </c>
      <c r="U28" t="n">
        <v>57287</v>
      </c>
      <c r="V28" t="n">
        <v>804</v>
      </c>
      <c r="W28" t="n">
        <v>20.1</v>
      </c>
      <c r="X28" t="n">
        <v>161</v>
      </c>
      <c r="Y28" t="n">
        <v>197</v>
      </c>
      <c r="Z28">
        <f>IF(L28&gt;=70,"Yes","No")</f>
        <v/>
      </c>
      <c r="AA28">
        <f>IF(OR(AND(E28="A",G28="Commercial_1_Balls"),AND(E28="B",G28="Commercial_2_Paint")),"first","second")</f>
        <v/>
      </c>
      <c r="AB28">
        <f>IF(ISNUMBER(W28),W28,0)</f>
        <v/>
      </c>
      <c r="AC28">
        <f>IF(ISNUMBER(S28),1,0)</f>
        <v/>
      </c>
      <c r="AD28">
        <f>IF(ISNUMBER(R28),R28,0)</f>
        <v/>
      </c>
    </row>
    <row r="29">
      <c r="A29" t="inlineStr">
        <is>
          <t>SIMULATED_AdTest_Balls_vs_Paint</t>
        </is>
      </c>
      <c r="B29" t="inlineStr">
        <is>
          <t>R04</t>
        </is>
      </c>
      <c r="C29" t="inlineStr">
        <is>
          <t>F</t>
        </is>
      </c>
      <c r="D29" t="n">
        <v>20</v>
      </c>
      <c r="E29" t="inlineStr">
        <is>
          <t>B</t>
        </is>
      </c>
      <c r="F29" t="inlineStr">
        <is>
          <t>2026-10-19</t>
        </is>
      </c>
      <c r="G29" t="inlineStr">
        <is>
          <t>Commercial_1_Balls</t>
        </is>
      </c>
      <c r="H29" t="inlineStr">
        <is>
          <t>Hero_Element</t>
        </is>
      </c>
      <c r="I29" t="n">
        <v>60000</v>
      </c>
      <c r="J29" t="n">
        <v>40000</v>
      </c>
      <c r="K29" t="n">
        <v>66.67</v>
      </c>
      <c r="L29" t="n">
        <v>78.5</v>
      </c>
      <c r="M29" t="n">
        <v>545</v>
      </c>
      <c r="N29" t="n">
        <v>4</v>
      </c>
      <c r="O29" t="n">
        <v>23500</v>
      </c>
      <c r="P29" t="n">
        <v>4</v>
      </c>
      <c r="Q29" t="n">
        <v>3</v>
      </c>
      <c r="R29" t="n">
        <v>90</v>
      </c>
      <c r="S29" t="n">
        <v>688</v>
      </c>
      <c r="T29" t="n">
        <v>2688</v>
      </c>
      <c r="U29" t="n">
        <v>2688</v>
      </c>
      <c r="V29" t="n">
        <v>21776</v>
      </c>
      <c r="W29" t="n">
        <v>54.44</v>
      </c>
      <c r="X29" t="n">
        <v>242</v>
      </c>
      <c r="Y29" t="n">
        <v>285</v>
      </c>
      <c r="Z29">
        <f>IF(L29&gt;=70,"Yes","No")</f>
        <v/>
      </c>
      <c r="AA29">
        <f>IF(OR(AND(E29="A",G29="Commercial_1_Balls"),AND(E29="B",G29="Commercial_2_Paint")),"first","second")</f>
        <v/>
      </c>
      <c r="AB29">
        <f>IF(ISNUMBER(W29),W29,0)</f>
        <v/>
      </c>
      <c r="AC29">
        <f>IF(ISNUMBER(S29),1,0)</f>
        <v/>
      </c>
      <c r="AD29">
        <f>IF(ISNUMBER(R29),R29,0)</f>
        <v/>
      </c>
    </row>
    <row r="30">
      <c r="A30" t="inlineStr">
        <is>
          <t>SIMULATED_AdTest_Balls_vs_Paint</t>
        </is>
      </c>
      <c r="B30" t="inlineStr">
        <is>
          <t>R04</t>
        </is>
      </c>
      <c r="C30" t="inlineStr">
        <is>
          <t>F</t>
        </is>
      </c>
      <c r="D30" t="n">
        <v>20</v>
      </c>
      <c r="E30" t="inlineStr">
        <is>
          <t>B</t>
        </is>
      </c>
      <c r="F30" t="inlineStr">
        <is>
          <t>2026-10-19</t>
        </is>
      </c>
      <c r="G30" t="inlineStr">
        <is>
          <t>Commercial_2_Paint</t>
        </is>
      </c>
      <c r="H30" t="inlineStr">
        <is>
          <t>Product_TV</t>
        </is>
      </c>
      <c r="I30" t="n">
        <v>60000</v>
      </c>
      <c r="J30" t="n">
        <v>20000</v>
      </c>
      <c r="K30" t="n">
        <v>33.33</v>
      </c>
      <c r="L30" t="n">
        <v>78.5</v>
      </c>
      <c r="M30" t="n">
        <v>209</v>
      </c>
      <c r="N30" t="n">
        <v>4</v>
      </c>
      <c r="O30" t="n">
        <v>8288</v>
      </c>
      <c r="P30" t="n">
        <v>4</v>
      </c>
      <c r="Q30" t="n">
        <v>3</v>
      </c>
      <c r="R30" t="n">
        <v>20</v>
      </c>
      <c r="S30" t="n">
        <v>460</v>
      </c>
      <c r="T30" t="n">
        <v>9460</v>
      </c>
      <c r="U30" t="n">
        <v>9460</v>
      </c>
      <c r="V30" t="n">
        <v>7671</v>
      </c>
      <c r="W30" t="n">
        <v>38.35</v>
      </c>
      <c r="X30" t="n">
        <v>384</v>
      </c>
      <c r="Y30" t="n">
        <v>363</v>
      </c>
      <c r="Z30">
        <f>IF(L30&gt;=70,"Yes","No")</f>
        <v/>
      </c>
      <c r="AA30">
        <f>IF(OR(AND(E30="A",G30="Commercial_1_Balls"),AND(E30="B",G30="Commercial_2_Paint")),"first","second")</f>
        <v/>
      </c>
      <c r="AB30">
        <f>IF(ISNUMBER(W30),W30,0)</f>
        <v/>
      </c>
      <c r="AC30">
        <f>IF(ISNUMBER(S30),1,0)</f>
        <v/>
      </c>
      <c r="AD30">
        <f>IF(ISNUMBER(R30),R30,0)</f>
        <v/>
      </c>
    </row>
    <row r="31">
      <c r="A31" t="inlineStr">
        <is>
          <t>SIMULATED_AdTest_Balls_vs_Paint</t>
        </is>
      </c>
      <c r="B31" t="inlineStr">
        <is>
          <t>R04</t>
        </is>
      </c>
      <c r="C31" t="inlineStr">
        <is>
          <t>F</t>
        </is>
      </c>
      <c r="D31" t="n">
        <v>20</v>
      </c>
      <c r="E31" t="inlineStr">
        <is>
          <t>B</t>
        </is>
      </c>
      <c r="F31" t="inlineStr">
        <is>
          <t>2026-10-19</t>
        </is>
      </c>
      <c r="G31" t="inlineStr">
        <is>
          <t>Commercial_2_Paint</t>
        </is>
      </c>
      <c r="H31" t="inlineStr">
        <is>
          <t>Brand_Logo</t>
        </is>
      </c>
      <c r="I31" t="n">
        <v>60000</v>
      </c>
      <c r="J31" t="n">
        <v>5000</v>
      </c>
      <c r="K31" t="n">
        <v>8.33</v>
      </c>
      <c r="L31" t="n">
        <v>78.5</v>
      </c>
      <c r="M31" t="n">
        <v>386</v>
      </c>
      <c r="N31" t="n">
        <v>3</v>
      </c>
      <c r="O31" t="n">
        <v>3042</v>
      </c>
      <c r="P31" t="n">
        <v>2</v>
      </c>
      <c r="Q31" t="n">
        <v>1</v>
      </c>
      <c r="R31" t="n">
        <v>13</v>
      </c>
      <c r="S31" t="n">
        <v>590</v>
      </c>
      <c r="T31" t="n">
        <v>55590</v>
      </c>
      <c r="U31" t="n">
        <v>55590</v>
      </c>
      <c r="V31" t="n">
        <v>2694</v>
      </c>
      <c r="W31" t="n">
        <v>53.88</v>
      </c>
      <c r="X31" t="n">
        <v>207</v>
      </c>
      <c r="Y31" t="n">
        <v>361</v>
      </c>
      <c r="Z31">
        <f>IF(L31&gt;=70,"Yes","No")</f>
        <v/>
      </c>
      <c r="AA31">
        <f>IF(OR(AND(E31="A",G31="Commercial_1_Balls"),AND(E31="B",G31="Commercial_2_Paint")),"first","second")</f>
        <v/>
      </c>
      <c r="AB31">
        <f>IF(ISNUMBER(W31),W31,0)</f>
        <v/>
      </c>
      <c r="AC31">
        <f>IF(ISNUMBER(S31),1,0)</f>
        <v/>
      </c>
      <c r="AD31">
        <f>IF(ISNUMBER(R31),R31,0)</f>
        <v/>
      </c>
    </row>
    <row r="32">
      <c r="A32" t="inlineStr">
        <is>
          <t>SIMULATED_AdTest_Balls_vs_Paint</t>
        </is>
      </c>
      <c r="B32" t="inlineStr">
        <is>
          <t>R04</t>
        </is>
      </c>
      <c r="C32" t="inlineStr">
        <is>
          <t>F</t>
        </is>
      </c>
      <c r="D32" t="n">
        <v>20</v>
      </c>
      <c r="E32" t="inlineStr">
        <is>
          <t>B</t>
        </is>
      </c>
      <c r="F32" t="inlineStr">
        <is>
          <t>2026-10-19</t>
        </is>
      </c>
      <c r="G32" t="inlineStr">
        <is>
          <t>Commercial_2_Paint</t>
        </is>
      </c>
      <c r="H32" t="inlineStr">
        <is>
          <t>Tagline_Text</t>
        </is>
      </c>
      <c r="I32" t="n">
        <v>60000</v>
      </c>
      <c r="J32" t="n">
        <v>4000</v>
      </c>
      <c r="K32" t="n">
        <v>6.67</v>
      </c>
      <c r="L32" t="n">
        <v>78.5</v>
      </c>
      <c r="M32" t="n">
        <v>773</v>
      </c>
      <c r="N32" t="n">
        <v>1</v>
      </c>
      <c r="O32" t="n">
        <v>1617</v>
      </c>
      <c r="P32" t="n">
        <v>1</v>
      </c>
      <c r="Q32" t="n">
        <v>0</v>
      </c>
      <c r="R32" t="n">
        <v>6</v>
      </c>
      <c r="S32" t="n">
        <v>930</v>
      </c>
      <c r="T32" t="n">
        <v>56930</v>
      </c>
      <c r="U32" t="n">
        <v>56930</v>
      </c>
      <c r="V32" t="n">
        <v>1475</v>
      </c>
      <c r="W32" t="n">
        <v>36.88</v>
      </c>
      <c r="X32" t="n">
        <v>246</v>
      </c>
      <c r="Y32" t="n">
        <v>188</v>
      </c>
      <c r="Z32">
        <f>IF(L32&gt;=70,"Yes","No")</f>
        <v/>
      </c>
      <c r="AA32">
        <f>IF(OR(AND(E32="A",G32="Commercial_1_Balls"),AND(E32="B",G32="Commercial_2_Paint")),"first","second")</f>
        <v/>
      </c>
      <c r="AB32">
        <f>IF(ISNUMBER(W32),W32,0)</f>
        <v/>
      </c>
      <c r="AC32">
        <f>IF(ISNUMBER(S32),1,0)</f>
        <v/>
      </c>
      <c r="AD32">
        <f>IF(ISNUMBER(R32),R32,0)</f>
        <v/>
      </c>
    </row>
    <row r="33">
      <c r="A33" t="inlineStr">
        <is>
          <t>SIMULATED_AdTest_Balls_vs_Paint</t>
        </is>
      </c>
      <c r="B33" t="inlineStr">
        <is>
          <t>R04</t>
        </is>
      </c>
      <c r="C33" t="inlineStr">
        <is>
          <t>F</t>
        </is>
      </c>
      <c r="D33" t="n">
        <v>20</v>
      </c>
      <c r="E33" t="inlineStr">
        <is>
          <t>B</t>
        </is>
      </c>
      <c r="F33" t="inlineStr">
        <is>
          <t>2026-10-19</t>
        </is>
      </c>
      <c r="G33" t="inlineStr">
        <is>
          <t>Commercial_2_Paint</t>
        </is>
      </c>
      <c r="H33" t="inlineStr">
        <is>
          <t>Hero_Element</t>
        </is>
      </c>
      <c r="I33" t="n">
        <v>60000</v>
      </c>
      <c r="J33" t="n">
        <v>32000</v>
      </c>
      <c r="K33" t="n">
        <v>53.33</v>
      </c>
      <c r="L33" t="n">
        <v>78.5</v>
      </c>
      <c r="M33" t="n">
        <v>81</v>
      </c>
      <c r="N33" t="n">
        <v>5</v>
      </c>
      <c r="O33" t="n">
        <v>19105</v>
      </c>
      <c r="P33" t="n">
        <v>5</v>
      </c>
      <c r="Q33" t="n">
        <v>4</v>
      </c>
      <c r="R33" t="n">
        <v>62</v>
      </c>
      <c r="S33" t="n">
        <v>369</v>
      </c>
      <c r="T33" t="n">
        <v>3369</v>
      </c>
      <c r="U33" t="n">
        <v>3369</v>
      </c>
      <c r="V33" t="n">
        <v>17994</v>
      </c>
      <c r="W33" t="n">
        <v>56.23</v>
      </c>
      <c r="X33" t="n">
        <v>290</v>
      </c>
      <c r="Y33" t="n">
        <v>173</v>
      </c>
      <c r="Z33">
        <f>IF(L33&gt;=70,"Yes","No")</f>
        <v/>
      </c>
      <c r="AA33">
        <f>IF(OR(AND(E33="A",G33="Commercial_1_Balls"),AND(E33="B",G33="Commercial_2_Paint")),"first","second")</f>
        <v/>
      </c>
      <c r="AB33">
        <f>IF(ISNUMBER(W33),W33,0)</f>
        <v/>
      </c>
      <c r="AC33">
        <f>IF(ISNUMBER(S33),1,0)</f>
        <v/>
      </c>
      <c r="AD33">
        <f>IF(ISNUMBER(R33),R33,0)</f>
        <v/>
      </c>
    </row>
    <row r="34">
      <c r="A34" t="inlineStr">
        <is>
          <t>SIMULATED_AdTest_Balls_vs_Paint</t>
        </is>
      </c>
      <c r="B34" t="inlineStr">
        <is>
          <t>R05</t>
        </is>
      </c>
      <c r="C34" t="inlineStr">
        <is>
          <t>M</t>
        </is>
      </c>
      <c r="D34" t="n">
        <v>33</v>
      </c>
      <c r="E34" t="inlineStr">
        <is>
          <t>A</t>
        </is>
      </c>
      <c r="F34" t="inlineStr">
        <is>
          <t>2026-10-19</t>
        </is>
      </c>
      <c r="G34" t="inlineStr">
        <is>
          <t>Commercial_1_Balls</t>
        </is>
      </c>
      <c r="H34" t="inlineStr">
        <is>
          <t>Product_TV</t>
        </is>
      </c>
      <c r="I34" t="n">
        <v>60000</v>
      </c>
      <c r="J34" t="n">
        <v>14000</v>
      </c>
      <c r="K34" t="n">
        <v>23.33</v>
      </c>
      <c r="L34" t="n">
        <v>93.3</v>
      </c>
      <c r="M34" t="n">
        <v>837</v>
      </c>
      <c r="N34" t="n">
        <v>1</v>
      </c>
      <c r="O34" t="n">
        <v>1044</v>
      </c>
      <c r="P34" t="n">
        <v>1</v>
      </c>
      <c r="Q34" t="n">
        <v>0</v>
      </c>
      <c r="R34" t="n">
        <v>4</v>
      </c>
      <c r="S34" t="n">
        <v>936</v>
      </c>
      <c r="T34" t="n">
        <v>12936</v>
      </c>
      <c r="U34" t="n">
        <v>12936</v>
      </c>
      <c r="V34" t="n">
        <v>947</v>
      </c>
      <c r="W34" t="n">
        <v>6.76</v>
      </c>
      <c r="X34" t="n">
        <v>237</v>
      </c>
      <c r="Y34" t="n">
        <v>274</v>
      </c>
      <c r="Z34">
        <f>IF(L34&gt;=70,"Yes","No")</f>
        <v/>
      </c>
      <c r="AA34">
        <f>IF(OR(AND(E34="A",G34="Commercial_1_Balls"),AND(E34="B",G34="Commercial_2_Paint")),"first","second")</f>
        <v/>
      </c>
      <c r="AB34">
        <f>IF(ISNUMBER(W34),W34,0)</f>
        <v/>
      </c>
      <c r="AC34">
        <f>IF(ISNUMBER(S34),1,0)</f>
        <v/>
      </c>
      <c r="AD34">
        <f>IF(ISNUMBER(R34),R34,0)</f>
        <v/>
      </c>
    </row>
    <row r="35">
      <c r="A35" t="inlineStr">
        <is>
          <t>SIMULATED_AdTest_Balls_vs_Paint</t>
        </is>
      </c>
      <c r="B35" t="inlineStr">
        <is>
          <t>R05</t>
        </is>
      </c>
      <c r="C35" t="inlineStr">
        <is>
          <t>M</t>
        </is>
      </c>
      <c r="D35" t="n">
        <v>33</v>
      </c>
      <c r="E35" t="inlineStr">
        <is>
          <t>A</t>
        </is>
      </c>
      <c r="F35" t="inlineStr">
        <is>
          <t>2026-10-19</t>
        </is>
      </c>
      <c r="G35" t="inlineStr">
        <is>
          <t>Commercial_1_Balls</t>
        </is>
      </c>
      <c r="H35" t="inlineStr">
        <is>
          <t>Brand_Logo</t>
        </is>
      </c>
      <c r="I35" t="n">
        <v>60000</v>
      </c>
      <c r="J35" t="n">
        <v>5000</v>
      </c>
      <c r="K35" t="n">
        <v>8.33</v>
      </c>
      <c r="L35" t="n">
        <v>93.3</v>
      </c>
      <c r="M35" t="n">
        <v>177</v>
      </c>
      <c r="N35" t="n">
        <v>3</v>
      </c>
      <c r="O35" t="n">
        <v>2730</v>
      </c>
      <c r="P35" t="n">
        <v>1</v>
      </c>
      <c r="Q35" t="n">
        <v>0</v>
      </c>
      <c r="R35" t="n">
        <v>13</v>
      </c>
      <c r="S35" t="n">
        <v>414</v>
      </c>
      <c r="T35" t="n">
        <v>55414</v>
      </c>
      <c r="U35" t="n">
        <v>55414</v>
      </c>
      <c r="V35" t="n">
        <v>2415</v>
      </c>
      <c r="W35" t="n">
        <v>48.3</v>
      </c>
      <c r="X35" t="n">
        <v>186</v>
      </c>
      <c r="Y35" t="n">
        <v>242</v>
      </c>
      <c r="Z35">
        <f>IF(L35&gt;=70,"Yes","No")</f>
        <v/>
      </c>
      <c r="AA35">
        <f>IF(OR(AND(E35="A",G35="Commercial_1_Balls"),AND(E35="B",G35="Commercial_2_Paint")),"first","second")</f>
        <v/>
      </c>
      <c r="AB35">
        <f>IF(ISNUMBER(W35),W35,0)</f>
        <v/>
      </c>
      <c r="AC35">
        <f>IF(ISNUMBER(S35),1,0)</f>
        <v/>
      </c>
      <c r="AD35">
        <f>IF(ISNUMBER(R35),R35,0)</f>
        <v/>
      </c>
    </row>
    <row r="36">
      <c r="A36" t="inlineStr">
        <is>
          <t>SIMULATED_AdTest_Balls_vs_Paint</t>
        </is>
      </c>
      <c r="B36" t="inlineStr">
        <is>
          <t>R05</t>
        </is>
      </c>
      <c r="C36" t="inlineStr">
        <is>
          <t>M</t>
        </is>
      </c>
      <c r="D36" t="n">
        <v>33</v>
      </c>
      <c r="E36" t="inlineStr">
        <is>
          <t>A</t>
        </is>
      </c>
      <c r="F36" t="inlineStr">
        <is>
          <t>2026-10-19</t>
        </is>
      </c>
      <c r="G36" t="inlineStr">
        <is>
          <t>Commercial_1_Balls</t>
        </is>
      </c>
      <c r="H36" t="inlineStr">
        <is>
          <t>Tagline_Text</t>
        </is>
      </c>
      <c r="I36" t="n">
        <v>60000</v>
      </c>
      <c r="J36" t="n">
        <v>4000</v>
      </c>
      <c r="K36" t="n">
        <v>6.67</v>
      </c>
      <c r="L36" t="n">
        <v>93.3</v>
      </c>
      <c r="M36" t="n">
        <v>1164</v>
      </c>
      <c r="N36" t="n">
        <v>1</v>
      </c>
      <c r="O36" t="n">
        <v>561</v>
      </c>
      <c r="P36" t="n">
        <v>1</v>
      </c>
      <c r="Q36" t="n">
        <v>0</v>
      </c>
      <c r="R36" t="n">
        <v>3</v>
      </c>
      <c r="S36" t="n">
        <v>1352</v>
      </c>
      <c r="T36" t="n">
        <v>57352</v>
      </c>
      <c r="U36" t="n">
        <v>57352</v>
      </c>
      <c r="V36" t="n">
        <v>491</v>
      </c>
      <c r="W36" t="n">
        <v>12.28</v>
      </c>
      <c r="X36" t="n">
        <v>164</v>
      </c>
      <c r="Y36" t="n">
        <v>245</v>
      </c>
      <c r="Z36">
        <f>IF(L36&gt;=70,"Yes","No")</f>
        <v/>
      </c>
      <c r="AA36">
        <f>IF(OR(AND(E36="A",G36="Commercial_1_Balls"),AND(E36="B",G36="Commercial_2_Paint")),"first","second")</f>
        <v/>
      </c>
      <c r="AB36">
        <f>IF(ISNUMBER(W36),W36,0)</f>
        <v/>
      </c>
      <c r="AC36">
        <f>IF(ISNUMBER(S36),1,0)</f>
        <v/>
      </c>
      <c r="AD36">
        <f>IF(ISNUMBER(R36),R36,0)</f>
        <v/>
      </c>
    </row>
    <row r="37">
      <c r="A37" t="inlineStr">
        <is>
          <t>SIMULATED_AdTest_Balls_vs_Paint</t>
        </is>
      </c>
      <c r="B37" t="inlineStr">
        <is>
          <t>R05</t>
        </is>
      </c>
      <c r="C37" t="inlineStr">
        <is>
          <t>M</t>
        </is>
      </c>
      <c r="D37" t="n">
        <v>33</v>
      </c>
      <c r="E37" t="inlineStr">
        <is>
          <t>A</t>
        </is>
      </c>
      <c r="F37" t="inlineStr">
        <is>
          <t>2026-10-19</t>
        </is>
      </c>
      <c r="G37" t="inlineStr">
        <is>
          <t>Commercial_1_Balls</t>
        </is>
      </c>
      <c r="H37" t="inlineStr">
        <is>
          <t>Hero_Element</t>
        </is>
      </c>
      <c r="I37" t="n">
        <v>60000</v>
      </c>
      <c r="J37" t="n">
        <v>40000</v>
      </c>
      <c r="K37" t="n">
        <v>66.67</v>
      </c>
      <c r="L37" t="n">
        <v>93.3</v>
      </c>
      <c r="M37" t="n">
        <v>376</v>
      </c>
      <c r="N37" t="n">
        <v>6</v>
      </c>
      <c r="O37" t="n">
        <v>24820</v>
      </c>
      <c r="P37" t="n">
        <v>5</v>
      </c>
      <c r="Q37" t="n">
        <v>4</v>
      </c>
      <c r="R37" t="n">
        <v>74</v>
      </c>
      <c r="S37" t="n">
        <v>619</v>
      </c>
      <c r="T37" t="n">
        <v>2619</v>
      </c>
      <c r="U37" t="n">
        <v>2619</v>
      </c>
      <c r="V37" t="n">
        <v>23335</v>
      </c>
      <c r="W37" t="n">
        <v>58.34</v>
      </c>
      <c r="X37" t="n">
        <v>315</v>
      </c>
      <c r="Y37" t="n">
        <v>278</v>
      </c>
      <c r="Z37">
        <f>IF(L37&gt;=70,"Yes","No")</f>
        <v/>
      </c>
      <c r="AA37">
        <f>IF(OR(AND(E37="A",G37="Commercial_1_Balls"),AND(E37="B",G37="Commercial_2_Paint")),"first","second")</f>
        <v/>
      </c>
      <c r="AB37">
        <f>IF(ISNUMBER(W37),W37,0)</f>
        <v/>
      </c>
      <c r="AC37">
        <f>IF(ISNUMBER(S37),1,0)</f>
        <v/>
      </c>
      <c r="AD37">
        <f>IF(ISNUMBER(R37),R37,0)</f>
        <v/>
      </c>
    </row>
    <row r="38">
      <c r="A38" t="inlineStr">
        <is>
          <t>SIMULATED_AdTest_Balls_vs_Paint</t>
        </is>
      </c>
      <c r="B38" t="inlineStr">
        <is>
          <t>R05</t>
        </is>
      </c>
      <c r="C38" t="inlineStr">
        <is>
          <t>M</t>
        </is>
      </c>
      <c r="D38" t="n">
        <v>33</v>
      </c>
      <c r="E38" t="inlineStr">
        <is>
          <t>A</t>
        </is>
      </c>
      <c r="F38" t="inlineStr">
        <is>
          <t>2026-10-19</t>
        </is>
      </c>
      <c r="G38" t="inlineStr">
        <is>
          <t>Commercial_2_Paint</t>
        </is>
      </c>
      <c r="H38" t="inlineStr">
        <is>
          <t>Product_TV</t>
        </is>
      </c>
      <c r="I38" t="n">
        <v>60000</v>
      </c>
      <c r="J38" t="n">
        <v>20000</v>
      </c>
      <c r="K38" t="n">
        <v>33.33</v>
      </c>
      <c r="L38" t="n">
        <v>93.3</v>
      </c>
      <c r="M38" t="n">
        <v>609</v>
      </c>
      <c r="N38" t="n">
        <v>1</v>
      </c>
      <c r="O38" t="n">
        <v>5414</v>
      </c>
      <c r="P38" t="n">
        <v>1</v>
      </c>
      <c r="Q38" t="n">
        <v>0</v>
      </c>
      <c r="R38" t="n">
        <v>17</v>
      </c>
      <c r="S38" t="n">
        <v>866</v>
      </c>
      <c r="T38" t="n">
        <v>9866</v>
      </c>
      <c r="U38" t="n">
        <v>9866</v>
      </c>
      <c r="V38" t="n">
        <v>4910</v>
      </c>
      <c r="W38" t="n">
        <v>24.55</v>
      </c>
      <c r="X38" t="n">
        <v>289</v>
      </c>
      <c r="Y38" t="n">
        <v>270</v>
      </c>
      <c r="Z38">
        <f>IF(L38&gt;=70,"Yes","No")</f>
        <v/>
      </c>
      <c r="AA38">
        <f>IF(OR(AND(E38="A",G38="Commercial_1_Balls"),AND(E38="B",G38="Commercial_2_Paint")),"first","second")</f>
        <v/>
      </c>
      <c r="AB38">
        <f>IF(ISNUMBER(W38),W38,0)</f>
        <v/>
      </c>
      <c r="AC38">
        <f>IF(ISNUMBER(S38),1,0)</f>
        <v/>
      </c>
      <c r="AD38">
        <f>IF(ISNUMBER(R38),R38,0)</f>
        <v/>
      </c>
    </row>
    <row r="39">
      <c r="A39" t="inlineStr">
        <is>
          <t>SIMULATED_AdTest_Balls_vs_Paint</t>
        </is>
      </c>
      <c r="B39" t="inlineStr">
        <is>
          <t>R05</t>
        </is>
      </c>
      <c r="C39" t="inlineStr">
        <is>
          <t>M</t>
        </is>
      </c>
      <c r="D39" t="n">
        <v>33</v>
      </c>
      <c r="E39" t="inlineStr">
        <is>
          <t>A</t>
        </is>
      </c>
      <c r="F39" t="inlineStr">
        <is>
          <t>2026-10-19</t>
        </is>
      </c>
      <c r="G39" t="inlineStr">
        <is>
          <t>Commercial_2_Paint</t>
        </is>
      </c>
      <c r="H39" t="inlineStr">
        <is>
          <t>Brand_Logo</t>
        </is>
      </c>
      <c r="I39" t="n">
        <v>60000</v>
      </c>
      <c r="J39" t="n">
        <v>5000</v>
      </c>
      <c r="K39" t="n">
        <v>8.33</v>
      </c>
      <c r="L39" t="n">
        <v>93.3</v>
      </c>
      <c r="M39" t="n">
        <v>1026</v>
      </c>
      <c r="N39" t="n">
        <v>1</v>
      </c>
      <c r="O39" t="n">
        <v>2826</v>
      </c>
      <c r="P39" t="n">
        <v>1</v>
      </c>
      <c r="Q39" t="n">
        <v>0</v>
      </c>
      <c r="R39" t="n">
        <v>9</v>
      </c>
      <c r="S39" t="n">
        <v>1225</v>
      </c>
      <c r="T39" t="n">
        <v>56225</v>
      </c>
      <c r="U39" t="n">
        <v>56225</v>
      </c>
      <c r="V39" t="n">
        <v>2743</v>
      </c>
      <c r="W39" t="n">
        <v>54.86</v>
      </c>
      <c r="X39" t="n">
        <v>305</v>
      </c>
      <c r="Y39" t="n">
        <v>162</v>
      </c>
      <c r="Z39">
        <f>IF(L39&gt;=70,"Yes","No")</f>
        <v/>
      </c>
      <c r="AA39">
        <f>IF(OR(AND(E39="A",G39="Commercial_1_Balls"),AND(E39="B",G39="Commercial_2_Paint")),"first","second")</f>
        <v/>
      </c>
      <c r="AB39">
        <f>IF(ISNUMBER(W39),W39,0)</f>
        <v/>
      </c>
      <c r="AC39">
        <f>IF(ISNUMBER(S39),1,0)</f>
        <v/>
      </c>
      <c r="AD39">
        <f>IF(ISNUMBER(R39),R39,0)</f>
        <v/>
      </c>
    </row>
    <row r="40">
      <c r="A40" t="inlineStr">
        <is>
          <t>SIMULATED_AdTest_Balls_vs_Paint</t>
        </is>
      </c>
      <c r="B40" t="inlineStr">
        <is>
          <t>R05</t>
        </is>
      </c>
      <c r="C40" t="inlineStr">
        <is>
          <t>M</t>
        </is>
      </c>
      <c r="D40" t="n">
        <v>33</v>
      </c>
      <c r="E40" t="inlineStr">
        <is>
          <t>A</t>
        </is>
      </c>
      <c r="F40" t="inlineStr">
        <is>
          <t>2026-10-19</t>
        </is>
      </c>
      <c r="G40" t="inlineStr">
        <is>
          <t>Commercial_2_Paint</t>
        </is>
      </c>
      <c r="H40" t="inlineStr">
        <is>
          <t>Tagline_Text</t>
        </is>
      </c>
      <c r="I40" t="n">
        <v>60000</v>
      </c>
      <c r="J40" t="n">
        <v>4000</v>
      </c>
      <c r="K40" t="n">
        <v>6.67</v>
      </c>
      <c r="L40" t="n">
        <v>93.3</v>
      </c>
      <c r="M40" t="n">
        <v>712</v>
      </c>
      <c r="N40" t="n">
        <v>3</v>
      </c>
      <c r="O40" t="n">
        <v>1130</v>
      </c>
      <c r="P40" t="n">
        <v>1</v>
      </c>
      <c r="Q40" t="n">
        <v>0</v>
      </c>
      <c r="R40" t="n">
        <v>4</v>
      </c>
      <c r="S40" t="n">
        <v>1000</v>
      </c>
      <c r="T40" t="n">
        <v>57000</v>
      </c>
      <c r="U40" t="n">
        <v>57000</v>
      </c>
      <c r="V40" t="n">
        <v>1081</v>
      </c>
      <c r="W40" t="n">
        <v>27.02</v>
      </c>
      <c r="X40" t="n">
        <v>270</v>
      </c>
      <c r="Y40" t="n">
        <v>216</v>
      </c>
      <c r="Z40">
        <f>IF(L40&gt;=70,"Yes","No")</f>
        <v/>
      </c>
      <c r="AA40">
        <f>IF(OR(AND(E40="A",G40="Commercial_1_Balls"),AND(E40="B",G40="Commercial_2_Paint")),"first","second")</f>
        <v/>
      </c>
      <c r="AB40">
        <f>IF(ISNUMBER(W40),W40,0)</f>
        <v/>
      </c>
      <c r="AC40">
        <f>IF(ISNUMBER(S40),1,0)</f>
        <v/>
      </c>
      <c r="AD40">
        <f>IF(ISNUMBER(R40),R40,0)</f>
        <v/>
      </c>
    </row>
    <row r="41">
      <c r="A41" t="inlineStr">
        <is>
          <t>SIMULATED_AdTest_Balls_vs_Paint</t>
        </is>
      </c>
      <c r="B41" t="inlineStr">
        <is>
          <t>R05</t>
        </is>
      </c>
      <c r="C41" t="inlineStr">
        <is>
          <t>M</t>
        </is>
      </c>
      <c r="D41" t="n">
        <v>33</v>
      </c>
      <c r="E41" t="inlineStr">
        <is>
          <t>A</t>
        </is>
      </c>
      <c r="F41" t="inlineStr">
        <is>
          <t>2026-10-19</t>
        </is>
      </c>
      <c r="G41" t="inlineStr">
        <is>
          <t>Commercial_2_Paint</t>
        </is>
      </c>
      <c r="H41" t="inlineStr">
        <is>
          <t>Hero_Element</t>
        </is>
      </c>
      <c r="I41" t="n">
        <v>60000</v>
      </c>
      <c r="J41" t="n">
        <v>32000</v>
      </c>
      <c r="K41" t="n">
        <v>53.33</v>
      </c>
      <c r="L41" t="n">
        <v>93.3</v>
      </c>
      <c r="M41" t="n">
        <v>98</v>
      </c>
      <c r="N41" t="n">
        <v>5</v>
      </c>
      <c r="O41" t="n">
        <v>17689</v>
      </c>
      <c r="P41" t="n">
        <v>5</v>
      </c>
      <c r="Q41" t="n">
        <v>4</v>
      </c>
      <c r="R41" t="n">
        <v>51</v>
      </c>
      <c r="S41" t="n">
        <v>251</v>
      </c>
      <c r="T41" t="n">
        <v>3251</v>
      </c>
      <c r="U41" t="n">
        <v>3251</v>
      </c>
      <c r="V41" t="n">
        <v>16555</v>
      </c>
      <c r="W41" t="n">
        <v>51.73</v>
      </c>
      <c r="X41" t="n">
        <v>325</v>
      </c>
      <c r="Y41" t="n">
        <v>203</v>
      </c>
      <c r="Z41">
        <f>IF(L41&gt;=70,"Yes","No")</f>
        <v/>
      </c>
      <c r="AA41">
        <f>IF(OR(AND(E41="A",G41="Commercial_1_Balls"),AND(E41="B",G41="Commercial_2_Paint")),"first","second")</f>
        <v/>
      </c>
      <c r="AB41">
        <f>IF(ISNUMBER(W41),W41,0)</f>
        <v/>
      </c>
      <c r="AC41">
        <f>IF(ISNUMBER(S41),1,0)</f>
        <v/>
      </c>
      <c r="AD41">
        <f>IF(ISNUMBER(R41),R41,0)</f>
        <v/>
      </c>
    </row>
    <row r="42">
      <c r="A42" t="inlineStr">
        <is>
          <t>SIMULATED_AdTest_Balls_vs_Paint</t>
        </is>
      </c>
      <c r="B42" t="inlineStr">
        <is>
          <t>R06</t>
        </is>
      </c>
      <c r="C42" t="inlineStr">
        <is>
          <t>F</t>
        </is>
      </c>
      <c r="D42" t="n">
        <v>22</v>
      </c>
      <c r="E42" t="inlineStr">
        <is>
          <t>B</t>
        </is>
      </c>
      <c r="F42" t="inlineStr">
        <is>
          <t>2026-10-19</t>
        </is>
      </c>
      <c r="G42" t="inlineStr">
        <is>
          <t>Commercial_1_Balls</t>
        </is>
      </c>
      <c r="H42" t="inlineStr">
        <is>
          <t>Product_TV</t>
        </is>
      </c>
      <c r="I42" t="n">
        <v>60000</v>
      </c>
      <c r="J42" t="n">
        <v>14000</v>
      </c>
      <c r="K42" t="n">
        <v>23.33</v>
      </c>
      <c r="L42" t="n">
        <v>92.3</v>
      </c>
      <c r="M42" t="n">
        <v>503</v>
      </c>
      <c r="N42" t="n">
        <v>3</v>
      </c>
      <c r="O42" t="n">
        <v>4012</v>
      </c>
      <c r="P42" t="n">
        <v>2</v>
      </c>
      <c r="Q42" t="n">
        <v>1</v>
      </c>
      <c r="R42" t="n">
        <v>14</v>
      </c>
      <c r="S42" t="n">
        <v>662</v>
      </c>
      <c r="T42" t="n">
        <v>12662</v>
      </c>
      <c r="U42" t="n">
        <v>12662</v>
      </c>
      <c r="V42" t="n">
        <v>3865</v>
      </c>
      <c r="W42" t="n">
        <v>27.61</v>
      </c>
      <c r="X42" t="n">
        <v>276</v>
      </c>
      <c r="Y42" t="n">
        <v>238</v>
      </c>
      <c r="Z42">
        <f>IF(L42&gt;=70,"Yes","No")</f>
        <v/>
      </c>
      <c r="AA42">
        <f>IF(OR(AND(E42="A",G42="Commercial_1_Balls"),AND(E42="B",G42="Commercial_2_Paint")),"first","second")</f>
        <v/>
      </c>
      <c r="AB42">
        <f>IF(ISNUMBER(W42),W42,0)</f>
        <v/>
      </c>
      <c r="AC42">
        <f>IF(ISNUMBER(S42),1,0)</f>
        <v/>
      </c>
      <c r="AD42">
        <f>IF(ISNUMBER(R42),R42,0)</f>
        <v/>
      </c>
    </row>
    <row r="43">
      <c r="A43" t="inlineStr">
        <is>
          <t>SIMULATED_AdTest_Balls_vs_Paint</t>
        </is>
      </c>
      <c r="B43" t="inlineStr">
        <is>
          <t>R06</t>
        </is>
      </c>
      <c r="C43" t="inlineStr">
        <is>
          <t>F</t>
        </is>
      </c>
      <c r="D43" t="n">
        <v>22</v>
      </c>
      <c r="E43" t="inlineStr">
        <is>
          <t>B</t>
        </is>
      </c>
      <c r="F43" t="inlineStr">
        <is>
          <t>2026-10-19</t>
        </is>
      </c>
      <c r="G43" t="inlineStr">
        <is>
          <t>Commercial_1_Balls</t>
        </is>
      </c>
      <c r="H43" t="inlineStr">
        <is>
          <t>Brand_Logo</t>
        </is>
      </c>
      <c r="I43" t="n">
        <v>60000</v>
      </c>
      <c r="J43" t="n">
        <v>5000</v>
      </c>
      <c r="K43" t="n">
        <v>8.33</v>
      </c>
      <c r="L43" t="n">
        <v>92.3</v>
      </c>
      <c r="M43" t="n">
        <v>577</v>
      </c>
      <c r="N43" t="n">
        <v>3</v>
      </c>
      <c r="O43" t="n">
        <v>1893</v>
      </c>
      <c r="P43" t="n">
        <v>2</v>
      </c>
      <c r="Q43" t="n">
        <v>1</v>
      </c>
      <c r="R43" t="n">
        <v>7</v>
      </c>
      <c r="S43" t="n">
        <v>724</v>
      </c>
      <c r="T43" t="n">
        <v>55724</v>
      </c>
      <c r="U43" t="n">
        <v>55724</v>
      </c>
      <c r="V43" t="n">
        <v>1647</v>
      </c>
      <c r="W43" t="n">
        <v>32.94</v>
      </c>
      <c r="X43" t="n">
        <v>235</v>
      </c>
      <c r="Y43" t="n">
        <v>292</v>
      </c>
      <c r="Z43">
        <f>IF(L43&gt;=70,"Yes","No")</f>
        <v/>
      </c>
      <c r="AA43">
        <f>IF(OR(AND(E43="A",G43="Commercial_1_Balls"),AND(E43="B",G43="Commercial_2_Paint")),"first","second")</f>
        <v/>
      </c>
      <c r="AB43">
        <f>IF(ISNUMBER(W43),W43,0)</f>
        <v/>
      </c>
      <c r="AC43">
        <f>IF(ISNUMBER(S43),1,0)</f>
        <v/>
      </c>
      <c r="AD43">
        <f>IF(ISNUMBER(R43),R43,0)</f>
        <v/>
      </c>
    </row>
    <row r="44">
      <c r="A44" t="inlineStr">
        <is>
          <t>SIMULATED_AdTest_Balls_vs_Paint</t>
        </is>
      </c>
      <c r="B44" t="inlineStr">
        <is>
          <t>R06</t>
        </is>
      </c>
      <c r="C44" t="inlineStr">
        <is>
          <t>F</t>
        </is>
      </c>
      <c r="D44" t="n">
        <v>22</v>
      </c>
      <c r="E44" t="inlineStr">
        <is>
          <t>B</t>
        </is>
      </c>
      <c r="F44" t="inlineStr">
        <is>
          <t>2026-10-19</t>
        </is>
      </c>
      <c r="G44" t="inlineStr">
        <is>
          <t>Commercial_1_Balls</t>
        </is>
      </c>
      <c r="H44" t="inlineStr">
        <is>
          <t>Tagline_Text</t>
        </is>
      </c>
      <c r="I44" t="n">
        <v>60000</v>
      </c>
      <c r="J44" t="n">
        <v>4000</v>
      </c>
      <c r="K44" t="n">
        <v>6.67</v>
      </c>
      <c r="L44" t="n">
        <v>92.3</v>
      </c>
      <c r="M44" t="n">
        <v>2083</v>
      </c>
      <c r="N44" t="n">
        <v>1</v>
      </c>
      <c r="O44" t="n">
        <v>1591</v>
      </c>
      <c r="P44" t="n">
        <v>1</v>
      </c>
      <c r="Q44" t="n">
        <v>0</v>
      </c>
      <c r="R44" t="n">
        <v>6</v>
      </c>
      <c r="S44" t="n">
        <v>2327</v>
      </c>
      <c r="T44" t="n">
        <v>58327</v>
      </c>
      <c r="U44" t="n">
        <v>58327</v>
      </c>
      <c r="V44" t="n">
        <v>1497</v>
      </c>
      <c r="W44" t="n">
        <v>37.42</v>
      </c>
      <c r="X44" t="n">
        <v>250</v>
      </c>
      <c r="Y44" t="n">
        <v>354</v>
      </c>
      <c r="Z44">
        <f>IF(L44&gt;=70,"Yes","No")</f>
        <v/>
      </c>
      <c r="AA44">
        <f>IF(OR(AND(E44="A",G44="Commercial_1_Balls"),AND(E44="B",G44="Commercial_2_Paint")),"first","second")</f>
        <v/>
      </c>
      <c r="AB44">
        <f>IF(ISNUMBER(W44),W44,0)</f>
        <v/>
      </c>
      <c r="AC44">
        <f>IF(ISNUMBER(S44),1,0)</f>
        <v/>
      </c>
      <c r="AD44">
        <f>IF(ISNUMBER(R44),R44,0)</f>
        <v/>
      </c>
    </row>
    <row r="45">
      <c r="A45" t="inlineStr">
        <is>
          <t>SIMULATED_AdTest_Balls_vs_Paint</t>
        </is>
      </c>
      <c r="B45" t="inlineStr">
        <is>
          <t>R06</t>
        </is>
      </c>
      <c r="C45" t="inlineStr">
        <is>
          <t>F</t>
        </is>
      </c>
      <c r="D45" t="n">
        <v>22</v>
      </c>
      <c r="E45" t="inlineStr">
        <is>
          <t>B</t>
        </is>
      </c>
      <c r="F45" t="inlineStr">
        <is>
          <t>2026-10-19</t>
        </is>
      </c>
      <c r="G45" t="inlineStr">
        <is>
          <t>Commercial_1_Balls</t>
        </is>
      </c>
      <c r="H45" t="inlineStr">
        <is>
          <t>Hero_Element</t>
        </is>
      </c>
      <c r="I45" t="n">
        <v>60000</v>
      </c>
      <c r="J45" t="n">
        <v>40000</v>
      </c>
      <c r="K45" t="n">
        <v>66.67</v>
      </c>
      <c r="L45" t="n">
        <v>92.3</v>
      </c>
      <c r="M45" t="n">
        <v>1030</v>
      </c>
      <c r="N45" t="n">
        <v>5</v>
      </c>
      <c r="O45" t="n">
        <v>21368</v>
      </c>
      <c r="P45" t="n">
        <v>4</v>
      </c>
      <c r="Q45" t="n">
        <v>3</v>
      </c>
      <c r="R45" t="n">
        <v>71</v>
      </c>
      <c r="S45" t="n">
        <v>1327</v>
      </c>
      <c r="T45" t="n">
        <v>3327</v>
      </c>
      <c r="U45" t="n">
        <v>3327</v>
      </c>
      <c r="V45" t="n">
        <v>20729</v>
      </c>
      <c r="W45" t="n">
        <v>51.82</v>
      </c>
      <c r="X45" t="n">
        <v>292</v>
      </c>
      <c r="Y45" t="n">
        <v>167</v>
      </c>
      <c r="Z45">
        <f>IF(L45&gt;=70,"Yes","No")</f>
        <v/>
      </c>
      <c r="AA45">
        <f>IF(OR(AND(E45="A",G45="Commercial_1_Balls"),AND(E45="B",G45="Commercial_2_Paint")),"first","second")</f>
        <v/>
      </c>
      <c r="AB45">
        <f>IF(ISNUMBER(W45),W45,0)</f>
        <v/>
      </c>
      <c r="AC45">
        <f>IF(ISNUMBER(S45),1,0)</f>
        <v/>
      </c>
      <c r="AD45">
        <f>IF(ISNUMBER(R45),R45,0)</f>
        <v/>
      </c>
    </row>
    <row r="46">
      <c r="A46" t="inlineStr">
        <is>
          <t>SIMULATED_AdTest_Balls_vs_Paint</t>
        </is>
      </c>
      <c r="B46" t="inlineStr">
        <is>
          <t>R06</t>
        </is>
      </c>
      <c r="C46" t="inlineStr">
        <is>
          <t>F</t>
        </is>
      </c>
      <c r="D46" t="n">
        <v>22</v>
      </c>
      <c r="E46" t="inlineStr">
        <is>
          <t>B</t>
        </is>
      </c>
      <c r="F46" t="inlineStr">
        <is>
          <t>2026-10-19</t>
        </is>
      </c>
      <c r="G46" t="inlineStr">
        <is>
          <t>Commercial_2_Paint</t>
        </is>
      </c>
      <c r="H46" t="inlineStr">
        <is>
          <t>Product_TV</t>
        </is>
      </c>
      <c r="I46" t="n">
        <v>60000</v>
      </c>
      <c r="J46" t="n">
        <v>20000</v>
      </c>
      <c r="K46" t="n">
        <v>33.33</v>
      </c>
      <c r="L46" t="n">
        <v>92.3</v>
      </c>
      <c r="M46" t="n">
        <v>1090</v>
      </c>
      <c r="N46" t="n">
        <v>2</v>
      </c>
      <c r="O46" t="n">
        <v>6874</v>
      </c>
      <c r="P46" t="n">
        <v>1</v>
      </c>
      <c r="Q46" t="n">
        <v>0</v>
      </c>
      <c r="R46" t="n">
        <v>20</v>
      </c>
      <c r="S46" t="n">
        <v>1239</v>
      </c>
      <c r="T46" t="n">
        <v>10239</v>
      </c>
      <c r="U46" t="n">
        <v>10239</v>
      </c>
      <c r="V46" t="n">
        <v>6335</v>
      </c>
      <c r="W46" t="n">
        <v>31.68</v>
      </c>
      <c r="X46" t="n">
        <v>317</v>
      </c>
      <c r="Y46" t="n">
        <v>269</v>
      </c>
      <c r="Z46">
        <f>IF(L46&gt;=70,"Yes","No")</f>
        <v/>
      </c>
      <c r="AA46">
        <f>IF(OR(AND(E46="A",G46="Commercial_1_Balls"),AND(E46="B",G46="Commercial_2_Paint")),"first","second")</f>
        <v/>
      </c>
      <c r="AB46">
        <f>IF(ISNUMBER(W46),W46,0)</f>
        <v/>
      </c>
      <c r="AC46">
        <f>IF(ISNUMBER(S46),1,0)</f>
        <v/>
      </c>
      <c r="AD46">
        <f>IF(ISNUMBER(R46),R46,0)</f>
        <v/>
      </c>
    </row>
    <row r="47">
      <c r="A47" t="inlineStr">
        <is>
          <t>SIMULATED_AdTest_Balls_vs_Paint</t>
        </is>
      </c>
      <c r="B47" t="inlineStr">
        <is>
          <t>R06</t>
        </is>
      </c>
      <c r="C47" t="inlineStr">
        <is>
          <t>F</t>
        </is>
      </c>
      <c r="D47" t="n">
        <v>22</v>
      </c>
      <c r="E47" t="inlineStr">
        <is>
          <t>B</t>
        </is>
      </c>
      <c r="F47" t="inlineStr">
        <is>
          <t>2026-10-19</t>
        </is>
      </c>
      <c r="G47" t="inlineStr">
        <is>
          <t>Commercial_2_Paint</t>
        </is>
      </c>
      <c r="H47" t="inlineStr">
        <is>
          <t>Brand_Logo</t>
        </is>
      </c>
      <c r="I47" t="n">
        <v>60000</v>
      </c>
      <c r="J47" t="n">
        <v>5000</v>
      </c>
      <c r="K47" t="n">
        <v>8.33</v>
      </c>
      <c r="L47" t="n">
        <v>92.3</v>
      </c>
      <c r="M47" t="n">
        <v>741</v>
      </c>
      <c r="N47" t="n">
        <v>1</v>
      </c>
      <c r="O47" t="n">
        <v>2505</v>
      </c>
      <c r="P47" t="n">
        <v>1</v>
      </c>
      <c r="Q47" t="n">
        <v>0</v>
      </c>
      <c r="R47" t="n">
        <v>6</v>
      </c>
      <c r="S47" t="n">
        <v>851</v>
      </c>
      <c r="T47" t="n">
        <v>55851</v>
      </c>
      <c r="U47" t="n">
        <v>55851</v>
      </c>
      <c r="V47" t="n">
        <v>2288</v>
      </c>
      <c r="W47" t="n">
        <v>45.76</v>
      </c>
      <c r="X47" t="n">
        <v>381</v>
      </c>
      <c r="Y47" t="n">
        <v>321</v>
      </c>
      <c r="Z47">
        <f>IF(L47&gt;=70,"Yes","No")</f>
        <v/>
      </c>
      <c r="AA47">
        <f>IF(OR(AND(E47="A",G47="Commercial_1_Balls"),AND(E47="B",G47="Commercial_2_Paint")),"first","second")</f>
        <v/>
      </c>
      <c r="AB47">
        <f>IF(ISNUMBER(W47),W47,0)</f>
        <v/>
      </c>
      <c r="AC47">
        <f>IF(ISNUMBER(S47),1,0)</f>
        <v/>
      </c>
      <c r="AD47">
        <f>IF(ISNUMBER(R47),R47,0)</f>
        <v/>
      </c>
    </row>
    <row r="48">
      <c r="A48" t="inlineStr">
        <is>
          <t>SIMULATED_AdTest_Balls_vs_Paint</t>
        </is>
      </c>
      <c r="B48" t="inlineStr">
        <is>
          <t>R06</t>
        </is>
      </c>
      <c r="C48" t="inlineStr">
        <is>
          <t>F</t>
        </is>
      </c>
      <c r="D48" t="n">
        <v>22</v>
      </c>
      <c r="E48" t="inlineStr">
        <is>
          <t>B</t>
        </is>
      </c>
      <c r="F48" t="inlineStr">
        <is>
          <t>2026-10-19</t>
        </is>
      </c>
      <c r="G48" t="inlineStr">
        <is>
          <t>Commercial_2_Paint</t>
        </is>
      </c>
      <c r="H48" t="inlineStr">
        <is>
          <t>Tagline_Text</t>
        </is>
      </c>
      <c r="I48" t="n">
        <v>60000</v>
      </c>
      <c r="J48" t="n">
        <v>4000</v>
      </c>
      <c r="K48" t="n">
        <v>6.67</v>
      </c>
      <c r="L48" t="n">
        <v>92.3</v>
      </c>
      <c r="M48" t="n">
        <v>1169</v>
      </c>
      <c r="N48" t="n">
        <v>2</v>
      </c>
      <c r="O48" t="n">
        <v>1976</v>
      </c>
      <c r="P48" t="n">
        <v>1</v>
      </c>
      <c r="Q48" t="n">
        <v>0</v>
      </c>
      <c r="R48" t="n">
        <v>5</v>
      </c>
      <c r="S48" t="n">
        <v>1407</v>
      </c>
      <c r="T48" t="n">
        <v>57407</v>
      </c>
      <c r="U48" t="n">
        <v>57407</v>
      </c>
      <c r="V48" t="n">
        <v>1895</v>
      </c>
      <c r="W48" t="n">
        <v>47.38</v>
      </c>
      <c r="X48" t="n">
        <v>379</v>
      </c>
      <c r="Y48" t="n">
        <v>200</v>
      </c>
      <c r="Z48">
        <f>IF(L48&gt;=70,"Yes","No")</f>
        <v/>
      </c>
      <c r="AA48">
        <f>IF(OR(AND(E48="A",G48="Commercial_1_Balls"),AND(E48="B",G48="Commercial_2_Paint")),"first","second")</f>
        <v/>
      </c>
      <c r="AB48">
        <f>IF(ISNUMBER(W48),W48,0)</f>
        <v/>
      </c>
      <c r="AC48">
        <f>IF(ISNUMBER(S48),1,0)</f>
        <v/>
      </c>
      <c r="AD48">
        <f>IF(ISNUMBER(R48),R48,0)</f>
        <v/>
      </c>
    </row>
    <row r="49">
      <c r="A49" t="inlineStr">
        <is>
          <t>SIMULATED_AdTest_Balls_vs_Paint</t>
        </is>
      </c>
      <c r="B49" t="inlineStr">
        <is>
          <t>R06</t>
        </is>
      </c>
      <c r="C49" t="inlineStr">
        <is>
          <t>F</t>
        </is>
      </c>
      <c r="D49" t="n">
        <v>22</v>
      </c>
      <c r="E49" t="inlineStr">
        <is>
          <t>B</t>
        </is>
      </c>
      <c r="F49" t="inlineStr">
        <is>
          <t>2026-10-19</t>
        </is>
      </c>
      <c r="G49" t="inlineStr">
        <is>
          <t>Commercial_2_Paint</t>
        </is>
      </c>
      <c r="H49" t="inlineStr">
        <is>
          <t>Hero_Element</t>
        </is>
      </c>
      <c r="I49" t="n">
        <v>60000</v>
      </c>
      <c r="J49" t="n">
        <v>32000</v>
      </c>
      <c r="K49" t="n">
        <v>53.33</v>
      </c>
      <c r="L49" t="n">
        <v>92.3</v>
      </c>
      <c r="M49" t="n">
        <v>1269</v>
      </c>
      <c r="N49" t="n">
        <v>5</v>
      </c>
      <c r="O49" t="n">
        <v>17053</v>
      </c>
      <c r="P49" t="n">
        <v>3</v>
      </c>
      <c r="Q49" t="n">
        <v>2</v>
      </c>
      <c r="R49" t="n">
        <v>45</v>
      </c>
      <c r="S49" t="n">
        <v>1530</v>
      </c>
      <c r="T49" t="n">
        <v>4530</v>
      </c>
      <c r="U49" t="n">
        <v>4530</v>
      </c>
      <c r="V49" t="n">
        <v>16266</v>
      </c>
      <c r="W49" t="n">
        <v>50.83</v>
      </c>
      <c r="X49" t="n">
        <v>361</v>
      </c>
      <c r="Y49" t="n">
        <v>154</v>
      </c>
      <c r="Z49">
        <f>IF(L49&gt;=70,"Yes","No")</f>
        <v/>
      </c>
      <c r="AA49">
        <f>IF(OR(AND(E49="A",G49="Commercial_1_Balls"),AND(E49="B",G49="Commercial_2_Paint")),"first","second")</f>
        <v/>
      </c>
      <c r="AB49">
        <f>IF(ISNUMBER(W49),W49,0)</f>
        <v/>
      </c>
      <c r="AC49">
        <f>IF(ISNUMBER(S49),1,0)</f>
        <v/>
      </c>
      <c r="AD49">
        <f>IF(ISNUMBER(R49),R49,0)</f>
        <v/>
      </c>
    </row>
    <row r="50">
      <c r="A50" t="inlineStr">
        <is>
          <t>SIMULATED_AdTest_Balls_vs_Paint</t>
        </is>
      </c>
      <c r="B50" t="inlineStr">
        <is>
          <t>R07</t>
        </is>
      </c>
      <c r="C50" t="inlineStr">
        <is>
          <t>F</t>
        </is>
      </c>
      <c r="D50" t="n">
        <v>26</v>
      </c>
      <c r="E50" t="inlineStr">
        <is>
          <t>A</t>
        </is>
      </c>
      <c r="F50" t="inlineStr">
        <is>
          <t>2026-10-19</t>
        </is>
      </c>
      <c r="G50" t="inlineStr">
        <is>
          <t>Commercial_1_Balls</t>
        </is>
      </c>
      <c r="H50" t="inlineStr">
        <is>
          <t>Product_TV</t>
        </is>
      </c>
      <c r="I50" t="n">
        <v>60000</v>
      </c>
      <c r="J50" t="n">
        <v>14000</v>
      </c>
      <c r="K50" t="n">
        <v>23.33</v>
      </c>
      <c r="L50" t="n">
        <v>92.3</v>
      </c>
      <c r="M50" t="n">
        <v>1491</v>
      </c>
      <c r="N50" t="n">
        <v>1</v>
      </c>
      <c r="O50" t="n">
        <v>3061</v>
      </c>
      <c r="P50" t="n">
        <v>1</v>
      </c>
      <c r="Q50" t="n">
        <v>0</v>
      </c>
      <c r="R50" t="n">
        <v>7</v>
      </c>
      <c r="S50" t="n">
        <v>1601</v>
      </c>
      <c r="T50" t="n">
        <v>13601</v>
      </c>
      <c r="U50" t="n">
        <v>13601</v>
      </c>
      <c r="V50" t="n">
        <v>2922</v>
      </c>
      <c r="W50" t="n">
        <v>20.87</v>
      </c>
      <c r="X50" t="n">
        <v>417</v>
      </c>
      <c r="Y50" t="n">
        <v>289</v>
      </c>
      <c r="Z50">
        <f>IF(L50&gt;=70,"Yes","No")</f>
        <v/>
      </c>
      <c r="AA50">
        <f>IF(OR(AND(E50="A",G50="Commercial_1_Balls"),AND(E50="B",G50="Commercial_2_Paint")),"first","second")</f>
        <v/>
      </c>
      <c r="AB50">
        <f>IF(ISNUMBER(W50),W50,0)</f>
        <v/>
      </c>
      <c r="AC50">
        <f>IF(ISNUMBER(S50),1,0)</f>
        <v/>
      </c>
      <c r="AD50">
        <f>IF(ISNUMBER(R50),R50,0)</f>
        <v/>
      </c>
    </row>
    <row r="51">
      <c r="A51" t="inlineStr">
        <is>
          <t>SIMULATED_AdTest_Balls_vs_Paint</t>
        </is>
      </c>
      <c r="B51" t="inlineStr">
        <is>
          <t>R07</t>
        </is>
      </c>
      <c r="C51" t="inlineStr">
        <is>
          <t>F</t>
        </is>
      </c>
      <c r="D51" t="n">
        <v>26</v>
      </c>
      <c r="E51" t="inlineStr">
        <is>
          <t>A</t>
        </is>
      </c>
      <c r="F51" t="inlineStr">
        <is>
          <t>2026-10-19</t>
        </is>
      </c>
      <c r="G51" t="inlineStr">
        <is>
          <t>Commercial_1_Balls</t>
        </is>
      </c>
      <c r="H51" t="inlineStr">
        <is>
          <t>Brand_Logo</t>
        </is>
      </c>
      <c r="I51" t="n">
        <v>60000</v>
      </c>
      <c r="J51" t="n">
        <v>5000</v>
      </c>
      <c r="K51" t="n">
        <v>8.33</v>
      </c>
      <c r="L51" t="n">
        <v>92.3</v>
      </c>
      <c r="M51" t="n">
        <v>801</v>
      </c>
      <c r="N51" t="n">
        <v>3</v>
      </c>
      <c r="O51" t="n">
        <v>1625</v>
      </c>
      <c r="P51" t="n">
        <v>3</v>
      </c>
      <c r="Q51" t="n">
        <v>2</v>
      </c>
      <c r="R51" t="n">
        <v>8</v>
      </c>
      <c r="S51" t="n">
        <v>953</v>
      </c>
      <c r="T51" t="n">
        <v>55953</v>
      </c>
      <c r="U51" t="n">
        <v>55953</v>
      </c>
      <c r="V51" t="n">
        <v>1488</v>
      </c>
      <c r="W51" t="n">
        <v>29.76</v>
      </c>
      <c r="X51" t="n">
        <v>186</v>
      </c>
      <c r="Y51" t="n">
        <v>456</v>
      </c>
      <c r="Z51">
        <f>IF(L51&gt;=70,"Yes","No")</f>
        <v/>
      </c>
      <c r="AA51">
        <f>IF(OR(AND(E51="A",G51="Commercial_1_Balls"),AND(E51="B",G51="Commercial_2_Paint")),"first","second")</f>
        <v/>
      </c>
      <c r="AB51">
        <f>IF(ISNUMBER(W51),W51,0)</f>
        <v/>
      </c>
      <c r="AC51">
        <f>IF(ISNUMBER(S51),1,0)</f>
        <v/>
      </c>
      <c r="AD51">
        <f>IF(ISNUMBER(R51),R51,0)</f>
        <v/>
      </c>
    </row>
    <row r="52">
      <c r="A52" t="inlineStr">
        <is>
          <t>SIMULATED_AdTest_Balls_vs_Paint</t>
        </is>
      </c>
      <c r="B52" t="inlineStr">
        <is>
          <t>R07</t>
        </is>
      </c>
      <c r="C52" t="inlineStr">
        <is>
          <t>F</t>
        </is>
      </c>
      <c r="D52" t="n">
        <v>26</v>
      </c>
      <c r="E52" t="inlineStr">
        <is>
          <t>A</t>
        </is>
      </c>
      <c r="F52" t="inlineStr">
        <is>
          <t>2026-10-19</t>
        </is>
      </c>
      <c r="G52" t="inlineStr">
        <is>
          <t>Commercial_1_Balls</t>
        </is>
      </c>
      <c r="H52" t="inlineStr">
        <is>
          <t>Tagline_Text</t>
        </is>
      </c>
      <c r="I52" t="n">
        <v>60000</v>
      </c>
      <c r="J52" t="n">
        <v>4000</v>
      </c>
      <c r="K52" t="n">
        <v>6.67</v>
      </c>
      <c r="L52" t="n">
        <v>92.3</v>
      </c>
      <c r="M52" t="n">
        <v>1198</v>
      </c>
      <c r="N52" t="n">
        <v>1</v>
      </c>
      <c r="O52" t="n">
        <v>926</v>
      </c>
      <c r="P52" t="n">
        <v>1</v>
      </c>
      <c r="Q52" t="n">
        <v>0</v>
      </c>
      <c r="R52" t="n">
        <v>4</v>
      </c>
      <c r="S52" t="n">
        <v>1308</v>
      </c>
      <c r="T52" t="n">
        <v>57308</v>
      </c>
      <c r="U52" t="n">
        <v>57308</v>
      </c>
      <c r="V52" t="n">
        <v>846</v>
      </c>
      <c r="W52" t="n">
        <v>21.15</v>
      </c>
      <c r="X52" t="n">
        <v>212</v>
      </c>
      <c r="Y52" t="n">
        <v>259</v>
      </c>
      <c r="Z52">
        <f>IF(L52&gt;=70,"Yes","No")</f>
        <v/>
      </c>
      <c r="AA52">
        <f>IF(OR(AND(E52="A",G52="Commercial_1_Balls"),AND(E52="B",G52="Commercial_2_Paint")),"first","second")</f>
        <v/>
      </c>
      <c r="AB52">
        <f>IF(ISNUMBER(W52),W52,0)</f>
        <v/>
      </c>
      <c r="AC52">
        <f>IF(ISNUMBER(S52),1,0)</f>
        <v/>
      </c>
      <c r="AD52">
        <f>IF(ISNUMBER(R52),R52,0)</f>
        <v/>
      </c>
    </row>
    <row r="53">
      <c r="A53" t="inlineStr">
        <is>
          <t>SIMULATED_AdTest_Balls_vs_Paint</t>
        </is>
      </c>
      <c r="B53" t="inlineStr">
        <is>
          <t>R07</t>
        </is>
      </c>
      <c r="C53" t="inlineStr">
        <is>
          <t>F</t>
        </is>
      </c>
      <c r="D53" t="n">
        <v>26</v>
      </c>
      <c r="E53" t="inlineStr">
        <is>
          <t>A</t>
        </is>
      </c>
      <c r="F53" t="inlineStr">
        <is>
          <t>2026-10-19</t>
        </is>
      </c>
      <c r="G53" t="inlineStr">
        <is>
          <t>Commercial_1_Balls</t>
        </is>
      </c>
      <c r="H53" t="inlineStr">
        <is>
          <t>Hero_Element</t>
        </is>
      </c>
      <c r="I53" t="n">
        <v>60000</v>
      </c>
      <c r="J53" t="n">
        <v>40000</v>
      </c>
      <c r="K53" t="n">
        <v>66.67</v>
      </c>
      <c r="L53" t="n">
        <v>92.3</v>
      </c>
      <c r="M53" t="n">
        <v>746</v>
      </c>
      <c r="N53" t="n">
        <v>6</v>
      </c>
      <c r="O53" t="n">
        <v>29444</v>
      </c>
      <c r="P53" t="n">
        <v>6</v>
      </c>
      <c r="Q53" t="n">
        <v>5</v>
      </c>
      <c r="R53" t="n">
        <v>73</v>
      </c>
      <c r="S53" t="n">
        <v>833</v>
      </c>
      <c r="T53" t="n">
        <v>2833</v>
      </c>
      <c r="U53" t="n">
        <v>2833</v>
      </c>
      <c r="V53" t="n">
        <v>26489</v>
      </c>
      <c r="W53" t="n">
        <v>66.22</v>
      </c>
      <c r="X53" t="n">
        <v>363</v>
      </c>
      <c r="Y53" t="n">
        <v>209</v>
      </c>
      <c r="Z53">
        <f>IF(L53&gt;=70,"Yes","No")</f>
        <v/>
      </c>
      <c r="AA53">
        <f>IF(OR(AND(E53="A",G53="Commercial_1_Balls"),AND(E53="B",G53="Commercial_2_Paint")),"first","second")</f>
        <v/>
      </c>
      <c r="AB53">
        <f>IF(ISNUMBER(W53),W53,0)</f>
        <v/>
      </c>
      <c r="AC53">
        <f>IF(ISNUMBER(S53),1,0)</f>
        <v/>
      </c>
      <c r="AD53">
        <f>IF(ISNUMBER(R53),R53,0)</f>
        <v/>
      </c>
    </row>
    <row r="54">
      <c r="A54" t="inlineStr">
        <is>
          <t>SIMULATED_AdTest_Balls_vs_Paint</t>
        </is>
      </c>
      <c r="B54" t="inlineStr">
        <is>
          <t>R07</t>
        </is>
      </c>
      <c r="C54" t="inlineStr">
        <is>
          <t>F</t>
        </is>
      </c>
      <c r="D54" t="n">
        <v>26</v>
      </c>
      <c r="E54" t="inlineStr">
        <is>
          <t>A</t>
        </is>
      </c>
      <c r="F54" t="inlineStr">
        <is>
          <t>2026-10-19</t>
        </is>
      </c>
      <c r="G54" t="inlineStr">
        <is>
          <t>Commercial_2_Paint</t>
        </is>
      </c>
      <c r="H54" t="inlineStr">
        <is>
          <t>Product_TV</t>
        </is>
      </c>
      <c r="I54" t="n">
        <v>60000</v>
      </c>
      <c r="J54" t="n">
        <v>20000</v>
      </c>
      <c r="K54" t="n">
        <v>33.33</v>
      </c>
      <c r="L54" t="n">
        <v>92.3</v>
      </c>
      <c r="M54" t="n">
        <v>980</v>
      </c>
      <c r="N54" t="n">
        <v>4</v>
      </c>
      <c r="O54" t="n">
        <v>8423</v>
      </c>
      <c r="P54" t="n">
        <v>4</v>
      </c>
      <c r="Q54" t="n">
        <v>3</v>
      </c>
      <c r="R54" t="n">
        <v>24</v>
      </c>
      <c r="S54" t="n">
        <v>1163</v>
      </c>
      <c r="T54" t="n">
        <v>10163</v>
      </c>
      <c r="U54" t="n">
        <v>10163</v>
      </c>
      <c r="V54" t="n">
        <v>7384</v>
      </c>
      <c r="W54" t="n">
        <v>36.92</v>
      </c>
      <c r="X54" t="n">
        <v>308</v>
      </c>
      <c r="Y54" t="n">
        <v>356</v>
      </c>
      <c r="Z54">
        <f>IF(L54&gt;=70,"Yes","No")</f>
        <v/>
      </c>
      <c r="AA54">
        <f>IF(OR(AND(E54="A",G54="Commercial_1_Balls"),AND(E54="B",G54="Commercial_2_Paint")),"first","second")</f>
        <v/>
      </c>
      <c r="AB54">
        <f>IF(ISNUMBER(W54),W54,0)</f>
        <v/>
      </c>
      <c r="AC54">
        <f>IF(ISNUMBER(S54),1,0)</f>
        <v/>
      </c>
      <c r="AD54">
        <f>IF(ISNUMBER(R54),R54,0)</f>
        <v/>
      </c>
    </row>
    <row r="55">
      <c r="A55" t="inlineStr">
        <is>
          <t>SIMULATED_AdTest_Balls_vs_Paint</t>
        </is>
      </c>
      <c r="B55" t="inlineStr">
        <is>
          <t>R07</t>
        </is>
      </c>
      <c r="C55" t="inlineStr">
        <is>
          <t>F</t>
        </is>
      </c>
      <c r="D55" t="n">
        <v>26</v>
      </c>
      <c r="E55" t="inlineStr">
        <is>
          <t>A</t>
        </is>
      </c>
      <c r="F55" t="inlineStr">
        <is>
          <t>2026-10-19</t>
        </is>
      </c>
      <c r="G55" t="inlineStr">
        <is>
          <t>Commercial_2_Paint</t>
        </is>
      </c>
      <c r="H55" t="inlineStr">
        <is>
          <t>Brand_Logo</t>
        </is>
      </c>
      <c r="I55" t="n">
        <v>60000</v>
      </c>
      <c r="J55" t="n">
        <v>5000</v>
      </c>
      <c r="K55" t="n">
        <v>8.33</v>
      </c>
      <c r="L55" t="n">
        <v>92.3</v>
      </c>
      <c r="M55" t="n">
        <v>513</v>
      </c>
      <c r="N55" t="n">
        <v>2</v>
      </c>
      <c r="O55" t="n">
        <v>1477</v>
      </c>
      <c r="P55" t="n">
        <v>2</v>
      </c>
      <c r="Q55" t="n">
        <v>1</v>
      </c>
      <c r="R55" t="n">
        <v>3</v>
      </c>
      <c r="S55" t="n">
        <v>675</v>
      </c>
      <c r="T55" t="n">
        <v>55675</v>
      </c>
      <c r="U55" t="n">
        <v>55675</v>
      </c>
      <c r="V55" t="n">
        <v>1427</v>
      </c>
      <c r="W55" t="n">
        <v>28.54</v>
      </c>
      <c r="X55" t="n">
        <v>476</v>
      </c>
      <c r="Y55" t="n">
        <v>267</v>
      </c>
      <c r="Z55">
        <f>IF(L55&gt;=70,"Yes","No")</f>
        <v/>
      </c>
      <c r="AA55">
        <f>IF(OR(AND(E55="A",G55="Commercial_1_Balls"),AND(E55="B",G55="Commercial_2_Paint")),"first","second")</f>
        <v/>
      </c>
      <c r="AB55">
        <f>IF(ISNUMBER(W55),W55,0)</f>
        <v/>
      </c>
      <c r="AC55">
        <f>IF(ISNUMBER(S55),1,0)</f>
        <v/>
      </c>
      <c r="AD55">
        <f>IF(ISNUMBER(R55),R55,0)</f>
        <v/>
      </c>
    </row>
    <row r="56">
      <c r="A56" t="inlineStr">
        <is>
          <t>SIMULATED_AdTest_Balls_vs_Paint</t>
        </is>
      </c>
      <c r="B56" t="inlineStr">
        <is>
          <t>R07</t>
        </is>
      </c>
      <c r="C56" t="inlineStr">
        <is>
          <t>F</t>
        </is>
      </c>
      <c r="D56" t="n">
        <v>26</v>
      </c>
      <c r="E56" t="inlineStr">
        <is>
          <t>A</t>
        </is>
      </c>
      <c r="F56" t="inlineStr">
        <is>
          <t>2026-10-19</t>
        </is>
      </c>
      <c r="G56" t="inlineStr">
        <is>
          <t>Commercial_2_Paint</t>
        </is>
      </c>
      <c r="H56" t="inlineStr">
        <is>
          <t>Tagline_Text</t>
        </is>
      </c>
      <c r="I56" t="n">
        <v>60000</v>
      </c>
      <c r="J56" t="n">
        <v>4000</v>
      </c>
      <c r="K56" t="n">
        <v>6.67</v>
      </c>
      <c r="L56" t="n">
        <v>92.3</v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n">
        <v>60000</v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>
        <f>IF(L56&gt;=70,"Yes","No")</f>
        <v/>
      </c>
      <c r="AA56">
        <f>IF(OR(AND(E56="A",G56="Commercial_1_Balls"),AND(E56="B",G56="Commercial_2_Paint")),"first","second")</f>
        <v/>
      </c>
      <c r="AB56">
        <f>IF(ISNUMBER(W56),W56,0)</f>
        <v/>
      </c>
      <c r="AC56">
        <f>IF(ISNUMBER(S56),1,0)</f>
        <v/>
      </c>
      <c r="AD56">
        <f>IF(ISNUMBER(R56),R56,0)</f>
        <v/>
      </c>
    </row>
    <row r="57">
      <c r="A57" t="inlineStr">
        <is>
          <t>SIMULATED_AdTest_Balls_vs_Paint</t>
        </is>
      </c>
      <c r="B57" t="inlineStr">
        <is>
          <t>R07</t>
        </is>
      </c>
      <c r="C57" t="inlineStr">
        <is>
          <t>F</t>
        </is>
      </c>
      <c r="D57" t="n">
        <v>26</v>
      </c>
      <c r="E57" t="inlineStr">
        <is>
          <t>A</t>
        </is>
      </c>
      <c r="F57" t="inlineStr">
        <is>
          <t>2026-10-19</t>
        </is>
      </c>
      <c r="G57" t="inlineStr">
        <is>
          <t>Commercial_2_Paint</t>
        </is>
      </c>
      <c r="H57" t="inlineStr">
        <is>
          <t>Hero_Element</t>
        </is>
      </c>
      <c r="I57" t="n">
        <v>60000</v>
      </c>
      <c r="J57" t="n">
        <v>32000</v>
      </c>
      <c r="K57" t="n">
        <v>53.33</v>
      </c>
      <c r="L57" t="n">
        <v>92.3</v>
      </c>
      <c r="M57" t="n">
        <v>778</v>
      </c>
      <c r="N57" t="n">
        <v>4</v>
      </c>
      <c r="O57" t="n">
        <v>14329</v>
      </c>
      <c r="P57" t="n">
        <v>4</v>
      </c>
      <c r="Q57" t="n">
        <v>3</v>
      </c>
      <c r="R57" t="n">
        <v>43</v>
      </c>
      <c r="S57" t="n">
        <v>933</v>
      </c>
      <c r="T57" t="n">
        <v>3933</v>
      </c>
      <c r="U57" t="n">
        <v>3933</v>
      </c>
      <c r="V57" t="n">
        <v>13856</v>
      </c>
      <c r="W57" t="n">
        <v>43.3</v>
      </c>
      <c r="X57" t="n">
        <v>322</v>
      </c>
      <c r="Y57" t="n">
        <v>286</v>
      </c>
      <c r="Z57">
        <f>IF(L57&gt;=70,"Yes","No")</f>
        <v/>
      </c>
      <c r="AA57">
        <f>IF(OR(AND(E57="A",G57="Commercial_1_Balls"),AND(E57="B",G57="Commercial_2_Paint")),"first","second")</f>
        <v/>
      </c>
      <c r="AB57">
        <f>IF(ISNUMBER(W57),W57,0)</f>
        <v/>
      </c>
      <c r="AC57">
        <f>IF(ISNUMBER(S57),1,0)</f>
        <v/>
      </c>
      <c r="AD57">
        <f>IF(ISNUMBER(R57),R57,0)</f>
        <v/>
      </c>
    </row>
    <row r="58">
      <c r="A58" t="inlineStr">
        <is>
          <t>SIMULATED_AdTest_Balls_vs_Paint</t>
        </is>
      </c>
      <c r="B58" t="inlineStr">
        <is>
          <t>R08</t>
        </is>
      </c>
      <c r="C58" t="inlineStr">
        <is>
          <t>F</t>
        </is>
      </c>
      <c r="D58" t="n">
        <v>38</v>
      </c>
      <c r="E58" t="inlineStr">
        <is>
          <t>B</t>
        </is>
      </c>
      <c r="F58" t="inlineStr">
        <is>
          <t>2026-10-19</t>
        </is>
      </c>
      <c r="G58" t="inlineStr">
        <is>
          <t>Commercial_1_Balls</t>
        </is>
      </c>
      <c r="H58" t="inlineStr">
        <is>
          <t>Product_TV</t>
        </is>
      </c>
      <c r="I58" t="n">
        <v>60000</v>
      </c>
      <c r="J58" t="n">
        <v>14000</v>
      </c>
      <c r="K58" t="n">
        <v>23.33</v>
      </c>
      <c r="L58" t="n">
        <v>98</v>
      </c>
      <c r="M58" t="n">
        <v>1176</v>
      </c>
      <c r="N58" t="n">
        <v>2</v>
      </c>
      <c r="O58" t="n">
        <v>4839</v>
      </c>
      <c r="P58" t="n">
        <v>2</v>
      </c>
      <c r="Q58" t="n">
        <v>1</v>
      </c>
      <c r="R58" t="n">
        <v>18</v>
      </c>
      <c r="S58" t="n">
        <v>1258</v>
      </c>
      <c r="T58" t="n">
        <v>13258</v>
      </c>
      <c r="U58" t="n">
        <v>13258</v>
      </c>
      <c r="V58" t="n">
        <v>4215</v>
      </c>
      <c r="W58" t="n">
        <v>30.11</v>
      </c>
      <c r="X58" t="n">
        <v>234</v>
      </c>
      <c r="Y58" t="n">
        <v>217</v>
      </c>
      <c r="Z58">
        <f>IF(L58&gt;=70,"Yes","No")</f>
        <v/>
      </c>
      <c r="AA58">
        <f>IF(OR(AND(E58="A",G58="Commercial_1_Balls"),AND(E58="B",G58="Commercial_2_Paint")),"first","second")</f>
        <v/>
      </c>
      <c r="AB58">
        <f>IF(ISNUMBER(W58),W58,0)</f>
        <v/>
      </c>
      <c r="AC58">
        <f>IF(ISNUMBER(S58),1,0)</f>
        <v/>
      </c>
      <c r="AD58">
        <f>IF(ISNUMBER(R58),R58,0)</f>
        <v/>
      </c>
    </row>
    <row r="59">
      <c r="A59" t="inlineStr">
        <is>
          <t>SIMULATED_AdTest_Balls_vs_Paint</t>
        </is>
      </c>
      <c r="B59" t="inlineStr">
        <is>
          <t>R08</t>
        </is>
      </c>
      <c r="C59" t="inlineStr">
        <is>
          <t>F</t>
        </is>
      </c>
      <c r="D59" t="n">
        <v>38</v>
      </c>
      <c r="E59" t="inlineStr">
        <is>
          <t>B</t>
        </is>
      </c>
      <c r="F59" t="inlineStr">
        <is>
          <t>2026-10-19</t>
        </is>
      </c>
      <c r="G59" t="inlineStr">
        <is>
          <t>Commercial_1_Balls</t>
        </is>
      </c>
      <c r="H59" t="inlineStr">
        <is>
          <t>Brand_Logo</t>
        </is>
      </c>
      <c r="I59" t="n">
        <v>60000</v>
      </c>
      <c r="J59" t="n">
        <v>5000</v>
      </c>
      <c r="K59" t="n">
        <v>8.33</v>
      </c>
      <c r="L59" t="n">
        <v>98</v>
      </c>
      <c r="M59" t="n">
        <v>368</v>
      </c>
      <c r="N59" t="n">
        <v>1</v>
      </c>
      <c r="O59" t="n">
        <v>2428</v>
      </c>
      <c r="P59" t="n">
        <v>1</v>
      </c>
      <c r="Q59" t="n">
        <v>0</v>
      </c>
      <c r="R59" t="n">
        <v>14</v>
      </c>
      <c r="S59" t="n">
        <v>581</v>
      </c>
      <c r="T59" t="n">
        <v>55581</v>
      </c>
      <c r="U59" t="n">
        <v>55581</v>
      </c>
      <c r="V59" t="n">
        <v>2306</v>
      </c>
      <c r="W59" t="n">
        <v>46.12</v>
      </c>
      <c r="X59" t="n">
        <v>165</v>
      </c>
      <c r="Y59" t="n">
        <v>199</v>
      </c>
      <c r="Z59">
        <f>IF(L59&gt;=70,"Yes","No")</f>
        <v/>
      </c>
      <c r="AA59">
        <f>IF(OR(AND(E59="A",G59="Commercial_1_Balls"),AND(E59="B",G59="Commercial_2_Paint")),"first","second")</f>
        <v/>
      </c>
      <c r="AB59">
        <f>IF(ISNUMBER(W59),W59,0)</f>
        <v/>
      </c>
      <c r="AC59">
        <f>IF(ISNUMBER(S59),1,0)</f>
        <v/>
      </c>
      <c r="AD59">
        <f>IF(ISNUMBER(R59),R59,0)</f>
        <v/>
      </c>
    </row>
    <row r="60">
      <c r="A60" t="inlineStr">
        <is>
          <t>SIMULATED_AdTest_Balls_vs_Paint</t>
        </is>
      </c>
      <c r="B60" t="inlineStr">
        <is>
          <t>R08</t>
        </is>
      </c>
      <c r="C60" t="inlineStr">
        <is>
          <t>F</t>
        </is>
      </c>
      <c r="D60" t="n">
        <v>38</v>
      </c>
      <c r="E60" t="inlineStr">
        <is>
          <t>B</t>
        </is>
      </c>
      <c r="F60" t="inlineStr">
        <is>
          <t>2026-10-19</t>
        </is>
      </c>
      <c r="G60" t="inlineStr">
        <is>
          <t>Commercial_1_Balls</t>
        </is>
      </c>
      <c r="H60" t="inlineStr">
        <is>
          <t>Tagline_Text</t>
        </is>
      </c>
      <c r="I60" t="n">
        <v>60000</v>
      </c>
      <c r="J60" t="n">
        <v>4000</v>
      </c>
      <c r="K60" t="n">
        <v>6.67</v>
      </c>
      <c r="L60" t="n">
        <v>98</v>
      </c>
      <c r="M60" t="n">
        <v>1080</v>
      </c>
      <c r="N60" t="n">
        <v>1</v>
      </c>
      <c r="O60" t="n">
        <v>1149</v>
      </c>
      <c r="P60" t="n">
        <v>1</v>
      </c>
      <c r="Q60" t="n">
        <v>0</v>
      </c>
      <c r="R60" t="n">
        <v>3</v>
      </c>
      <c r="S60" t="n">
        <v>1286</v>
      </c>
      <c r="T60" t="n">
        <v>57286</v>
      </c>
      <c r="U60" t="n">
        <v>57286</v>
      </c>
      <c r="V60" t="n">
        <v>1018</v>
      </c>
      <c r="W60" t="n">
        <v>25.45</v>
      </c>
      <c r="X60" t="n">
        <v>339</v>
      </c>
      <c r="Y60" t="n">
        <v>287</v>
      </c>
      <c r="Z60">
        <f>IF(L60&gt;=70,"Yes","No")</f>
        <v/>
      </c>
      <c r="AA60">
        <f>IF(OR(AND(E60="A",G60="Commercial_1_Balls"),AND(E60="B",G60="Commercial_2_Paint")),"first","second")</f>
        <v/>
      </c>
      <c r="AB60">
        <f>IF(ISNUMBER(W60),W60,0)</f>
        <v/>
      </c>
      <c r="AC60">
        <f>IF(ISNUMBER(S60),1,0)</f>
        <v/>
      </c>
      <c r="AD60">
        <f>IF(ISNUMBER(R60),R60,0)</f>
        <v/>
      </c>
    </row>
    <row r="61">
      <c r="A61" t="inlineStr">
        <is>
          <t>SIMULATED_AdTest_Balls_vs_Paint</t>
        </is>
      </c>
      <c r="B61" t="inlineStr">
        <is>
          <t>R08</t>
        </is>
      </c>
      <c r="C61" t="inlineStr">
        <is>
          <t>F</t>
        </is>
      </c>
      <c r="D61" t="n">
        <v>38</v>
      </c>
      <c r="E61" t="inlineStr">
        <is>
          <t>B</t>
        </is>
      </c>
      <c r="F61" t="inlineStr">
        <is>
          <t>2026-10-19</t>
        </is>
      </c>
      <c r="G61" t="inlineStr">
        <is>
          <t>Commercial_1_Balls</t>
        </is>
      </c>
      <c r="H61" t="inlineStr">
        <is>
          <t>Hero_Element</t>
        </is>
      </c>
      <c r="I61" t="n">
        <v>60000</v>
      </c>
      <c r="J61" t="n">
        <v>40000</v>
      </c>
      <c r="K61" t="n">
        <v>66.67</v>
      </c>
      <c r="L61" t="n">
        <v>98</v>
      </c>
      <c r="M61" t="n">
        <v>478</v>
      </c>
      <c r="N61" t="n">
        <v>3</v>
      </c>
      <c r="O61" t="n">
        <v>15441</v>
      </c>
      <c r="P61" t="n">
        <v>3</v>
      </c>
      <c r="Q61" t="n">
        <v>2</v>
      </c>
      <c r="R61" t="n">
        <v>52</v>
      </c>
      <c r="S61" t="n">
        <v>663</v>
      </c>
      <c r="T61" t="n">
        <v>2663</v>
      </c>
      <c r="U61" t="n">
        <v>2663</v>
      </c>
      <c r="V61" t="n">
        <v>14465</v>
      </c>
      <c r="W61" t="n">
        <v>36.16</v>
      </c>
      <c r="X61" t="n">
        <v>278</v>
      </c>
      <c r="Y61" t="n">
        <v>231</v>
      </c>
      <c r="Z61">
        <f>IF(L61&gt;=70,"Yes","No")</f>
        <v/>
      </c>
      <c r="AA61">
        <f>IF(OR(AND(E61="A",G61="Commercial_1_Balls"),AND(E61="B",G61="Commercial_2_Paint")),"first","second")</f>
        <v/>
      </c>
      <c r="AB61">
        <f>IF(ISNUMBER(W61),W61,0)</f>
        <v/>
      </c>
      <c r="AC61">
        <f>IF(ISNUMBER(S61),1,0)</f>
        <v/>
      </c>
      <c r="AD61">
        <f>IF(ISNUMBER(R61),R61,0)</f>
        <v/>
      </c>
    </row>
    <row r="62">
      <c r="A62" t="inlineStr">
        <is>
          <t>SIMULATED_AdTest_Balls_vs_Paint</t>
        </is>
      </c>
      <c r="B62" t="inlineStr">
        <is>
          <t>R08</t>
        </is>
      </c>
      <c r="C62" t="inlineStr">
        <is>
          <t>F</t>
        </is>
      </c>
      <c r="D62" t="n">
        <v>38</v>
      </c>
      <c r="E62" t="inlineStr">
        <is>
          <t>B</t>
        </is>
      </c>
      <c r="F62" t="inlineStr">
        <is>
          <t>2026-10-19</t>
        </is>
      </c>
      <c r="G62" t="inlineStr">
        <is>
          <t>Commercial_2_Paint</t>
        </is>
      </c>
      <c r="H62" t="inlineStr">
        <is>
          <t>Product_TV</t>
        </is>
      </c>
      <c r="I62" t="n">
        <v>60000</v>
      </c>
      <c r="J62" t="n">
        <v>20000</v>
      </c>
      <c r="K62" t="n">
        <v>33.33</v>
      </c>
      <c r="L62" t="n">
        <v>98</v>
      </c>
      <c r="M62" t="n">
        <v>747</v>
      </c>
      <c r="N62" t="n">
        <v>3</v>
      </c>
      <c r="O62" t="n">
        <v>4138</v>
      </c>
      <c r="P62" t="n">
        <v>2</v>
      </c>
      <c r="Q62" t="n">
        <v>1</v>
      </c>
      <c r="R62" t="n">
        <v>12</v>
      </c>
      <c r="S62" t="n">
        <v>837</v>
      </c>
      <c r="T62" t="n">
        <v>9837</v>
      </c>
      <c r="U62" t="n">
        <v>9837</v>
      </c>
      <c r="V62" t="n">
        <v>3889</v>
      </c>
      <c r="W62" t="n">
        <v>19.45</v>
      </c>
      <c r="X62" t="n">
        <v>324</v>
      </c>
      <c r="Y62" t="n">
        <v>399</v>
      </c>
      <c r="Z62">
        <f>IF(L62&gt;=70,"Yes","No")</f>
        <v/>
      </c>
      <c r="AA62">
        <f>IF(OR(AND(E62="A",G62="Commercial_1_Balls"),AND(E62="B",G62="Commercial_2_Paint")),"first","second")</f>
        <v/>
      </c>
      <c r="AB62">
        <f>IF(ISNUMBER(W62),W62,0)</f>
        <v/>
      </c>
      <c r="AC62">
        <f>IF(ISNUMBER(S62),1,0)</f>
        <v/>
      </c>
      <c r="AD62">
        <f>IF(ISNUMBER(R62),R62,0)</f>
        <v/>
      </c>
    </row>
    <row r="63">
      <c r="A63" t="inlineStr">
        <is>
          <t>SIMULATED_AdTest_Balls_vs_Paint</t>
        </is>
      </c>
      <c r="B63" t="inlineStr">
        <is>
          <t>R08</t>
        </is>
      </c>
      <c r="C63" t="inlineStr">
        <is>
          <t>F</t>
        </is>
      </c>
      <c r="D63" t="n">
        <v>38</v>
      </c>
      <c r="E63" t="inlineStr">
        <is>
          <t>B</t>
        </is>
      </c>
      <c r="F63" t="inlineStr">
        <is>
          <t>2026-10-19</t>
        </is>
      </c>
      <c r="G63" t="inlineStr">
        <is>
          <t>Commercial_2_Paint</t>
        </is>
      </c>
      <c r="H63" t="inlineStr">
        <is>
          <t>Brand_Logo</t>
        </is>
      </c>
      <c r="I63" t="n">
        <v>60000</v>
      </c>
      <c r="J63" t="n">
        <v>5000</v>
      </c>
      <c r="K63" t="n">
        <v>8.33</v>
      </c>
      <c r="L63" t="n">
        <v>98</v>
      </c>
      <c r="M63" t="n">
        <v>524</v>
      </c>
      <c r="N63" t="n">
        <v>3</v>
      </c>
      <c r="O63" t="n">
        <v>1459</v>
      </c>
      <c r="P63" t="n">
        <v>3</v>
      </c>
      <c r="Q63" t="n">
        <v>2</v>
      </c>
      <c r="R63" t="n">
        <v>4</v>
      </c>
      <c r="S63" t="n">
        <v>703</v>
      </c>
      <c r="T63" t="n">
        <v>55703</v>
      </c>
      <c r="U63" t="n">
        <v>55703</v>
      </c>
      <c r="V63" t="n">
        <v>1362</v>
      </c>
      <c r="W63" t="n">
        <v>27.24</v>
      </c>
      <c r="X63" t="n">
        <v>340</v>
      </c>
      <c r="Y63" t="n">
        <v>383</v>
      </c>
      <c r="Z63">
        <f>IF(L63&gt;=70,"Yes","No")</f>
        <v/>
      </c>
      <c r="AA63">
        <f>IF(OR(AND(E63="A",G63="Commercial_1_Balls"),AND(E63="B",G63="Commercial_2_Paint")),"first","second")</f>
        <v/>
      </c>
      <c r="AB63">
        <f>IF(ISNUMBER(W63),W63,0)</f>
        <v/>
      </c>
      <c r="AC63">
        <f>IF(ISNUMBER(S63),1,0)</f>
        <v/>
      </c>
      <c r="AD63">
        <f>IF(ISNUMBER(R63),R63,0)</f>
        <v/>
      </c>
    </row>
    <row r="64">
      <c r="A64" t="inlineStr">
        <is>
          <t>SIMULATED_AdTest_Balls_vs_Paint</t>
        </is>
      </c>
      <c r="B64" t="inlineStr">
        <is>
          <t>R08</t>
        </is>
      </c>
      <c r="C64" t="inlineStr">
        <is>
          <t>F</t>
        </is>
      </c>
      <c r="D64" t="n">
        <v>38</v>
      </c>
      <c r="E64" t="inlineStr">
        <is>
          <t>B</t>
        </is>
      </c>
      <c r="F64" t="inlineStr">
        <is>
          <t>2026-10-19</t>
        </is>
      </c>
      <c r="G64" t="inlineStr">
        <is>
          <t>Commercial_2_Paint</t>
        </is>
      </c>
      <c r="H64" t="inlineStr">
        <is>
          <t>Tagline_Text</t>
        </is>
      </c>
      <c r="I64" t="n">
        <v>60000</v>
      </c>
      <c r="J64" t="n">
        <v>4000</v>
      </c>
      <c r="K64" t="n">
        <v>6.67</v>
      </c>
      <c r="L64" t="n">
        <v>98</v>
      </c>
      <c r="M64" t="n">
        <v>959</v>
      </c>
      <c r="N64" t="n">
        <v>1</v>
      </c>
      <c r="O64" t="n">
        <v>2411</v>
      </c>
      <c r="P64" t="n">
        <v>1</v>
      </c>
      <c r="Q64" t="n">
        <v>0</v>
      </c>
      <c r="R64" t="n">
        <v>8</v>
      </c>
      <c r="S64" t="n">
        <v>1222</v>
      </c>
      <c r="T64" t="n">
        <v>57222</v>
      </c>
      <c r="U64" t="n">
        <v>57222</v>
      </c>
      <c r="V64" t="n">
        <v>2340</v>
      </c>
      <c r="W64" t="n">
        <v>58.5</v>
      </c>
      <c r="X64" t="n">
        <v>292</v>
      </c>
      <c r="Y64" t="n">
        <v>163</v>
      </c>
      <c r="Z64">
        <f>IF(L64&gt;=70,"Yes","No")</f>
        <v/>
      </c>
      <c r="AA64">
        <f>IF(OR(AND(E64="A",G64="Commercial_1_Balls"),AND(E64="B",G64="Commercial_2_Paint")),"first","second")</f>
        <v/>
      </c>
      <c r="AB64">
        <f>IF(ISNUMBER(W64),W64,0)</f>
        <v/>
      </c>
      <c r="AC64">
        <f>IF(ISNUMBER(S64),1,0)</f>
        <v/>
      </c>
      <c r="AD64">
        <f>IF(ISNUMBER(R64),R64,0)</f>
        <v/>
      </c>
    </row>
    <row r="65">
      <c r="A65" t="inlineStr">
        <is>
          <t>SIMULATED_AdTest_Balls_vs_Paint</t>
        </is>
      </c>
      <c r="B65" t="inlineStr">
        <is>
          <t>R08</t>
        </is>
      </c>
      <c r="C65" t="inlineStr">
        <is>
          <t>F</t>
        </is>
      </c>
      <c r="D65" t="n">
        <v>38</v>
      </c>
      <c r="E65" t="inlineStr">
        <is>
          <t>B</t>
        </is>
      </c>
      <c r="F65" t="inlineStr">
        <is>
          <t>2026-10-19</t>
        </is>
      </c>
      <c r="G65" t="inlineStr">
        <is>
          <t>Commercial_2_Paint</t>
        </is>
      </c>
      <c r="H65" t="inlineStr">
        <is>
          <t>Hero_Element</t>
        </is>
      </c>
      <c r="I65" t="n">
        <v>60000</v>
      </c>
      <c r="J65" t="n">
        <v>32000</v>
      </c>
      <c r="K65" t="n">
        <v>53.33</v>
      </c>
      <c r="L65" t="n">
        <v>98</v>
      </c>
      <c r="M65" t="n">
        <v>270</v>
      </c>
      <c r="N65" t="n">
        <v>2</v>
      </c>
      <c r="O65" t="n">
        <v>12962</v>
      </c>
      <c r="P65" t="n">
        <v>2</v>
      </c>
      <c r="Q65" t="n">
        <v>1</v>
      </c>
      <c r="R65" t="n">
        <v>40</v>
      </c>
      <c r="S65" t="n">
        <v>428</v>
      </c>
      <c r="T65" t="n">
        <v>3428</v>
      </c>
      <c r="U65" t="n">
        <v>3428</v>
      </c>
      <c r="V65" t="n">
        <v>11512</v>
      </c>
      <c r="W65" t="n">
        <v>35.98</v>
      </c>
      <c r="X65" t="n">
        <v>288</v>
      </c>
      <c r="Y65" t="n">
        <v>233</v>
      </c>
      <c r="Z65">
        <f>IF(L65&gt;=70,"Yes","No")</f>
        <v/>
      </c>
      <c r="AA65">
        <f>IF(OR(AND(E65="A",G65="Commercial_1_Balls"),AND(E65="B",G65="Commercial_2_Paint")),"first","second")</f>
        <v/>
      </c>
      <c r="AB65">
        <f>IF(ISNUMBER(W65),W65,0)</f>
        <v/>
      </c>
      <c r="AC65">
        <f>IF(ISNUMBER(S65),1,0)</f>
        <v/>
      </c>
      <c r="AD65">
        <f>IF(ISNUMBER(R65),R65,0)</f>
        <v/>
      </c>
    </row>
    <row r="66">
      <c r="A66" t="inlineStr">
        <is>
          <t>SIMULATED_AdTest_Balls_vs_Paint</t>
        </is>
      </c>
      <c r="B66" t="inlineStr">
        <is>
          <t>R09</t>
        </is>
      </c>
      <c r="C66" t="inlineStr">
        <is>
          <t>M</t>
        </is>
      </c>
      <c r="D66" t="n">
        <v>30</v>
      </c>
      <c r="E66" t="inlineStr">
        <is>
          <t>A</t>
        </is>
      </c>
      <c r="F66" t="inlineStr">
        <is>
          <t>2026-10-19</t>
        </is>
      </c>
      <c r="G66" t="inlineStr">
        <is>
          <t>Commercial_1_Balls</t>
        </is>
      </c>
      <c r="H66" t="inlineStr">
        <is>
          <t>Product_TV</t>
        </is>
      </c>
      <c r="I66" t="n">
        <v>60000</v>
      </c>
      <c r="J66" t="n">
        <v>14000</v>
      </c>
      <c r="K66" t="n">
        <v>23.33</v>
      </c>
      <c r="L66" t="n">
        <v>85.59999999999999</v>
      </c>
      <c r="M66" t="n">
        <v>1512</v>
      </c>
      <c r="N66" t="n">
        <v>2</v>
      </c>
      <c r="O66" t="n">
        <v>2004</v>
      </c>
      <c r="P66" t="n">
        <v>1</v>
      </c>
      <c r="Q66" t="n">
        <v>0</v>
      </c>
      <c r="R66" t="n">
        <v>6</v>
      </c>
      <c r="S66" t="n">
        <v>1730</v>
      </c>
      <c r="T66" t="n">
        <v>13730</v>
      </c>
      <c r="U66" t="n">
        <v>13730</v>
      </c>
      <c r="V66" t="n">
        <v>1891</v>
      </c>
      <c r="W66" t="n">
        <v>13.51</v>
      </c>
      <c r="X66" t="n">
        <v>315</v>
      </c>
      <c r="Y66" t="n">
        <v>350</v>
      </c>
      <c r="Z66">
        <f>IF(L66&gt;=70,"Yes","No")</f>
        <v/>
      </c>
      <c r="AA66">
        <f>IF(OR(AND(E66="A",G66="Commercial_1_Balls"),AND(E66="B",G66="Commercial_2_Paint")),"first","second")</f>
        <v/>
      </c>
      <c r="AB66">
        <f>IF(ISNUMBER(W66),W66,0)</f>
        <v/>
      </c>
      <c r="AC66">
        <f>IF(ISNUMBER(S66),1,0)</f>
        <v/>
      </c>
      <c r="AD66">
        <f>IF(ISNUMBER(R66),R66,0)</f>
        <v/>
      </c>
    </row>
    <row r="67">
      <c r="A67" t="inlineStr">
        <is>
          <t>SIMULATED_AdTest_Balls_vs_Paint</t>
        </is>
      </c>
      <c r="B67" t="inlineStr">
        <is>
          <t>R09</t>
        </is>
      </c>
      <c r="C67" t="inlineStr">
        <is>
          <t>M</t>
        </is>
      </c>
      <c r="D67" t="n">
        <v>30</v>
      </c>
      <c r="E67" t="inlineStr">
        <is>
          <t>A</t>
        </is>
      </c>
      <c r="F67" t="inlineStr">
        <is>
          <t>2026-10-19</t>
        </is>
      </c>
      <c r="G67" t="inlineStr">
        <is>
          <t>Commercial_1_Balls</t>
        </is>
      </c>
      <c r="H67" t="inlineStr">
        <is>
          <t>Brand_Logo</t>
        </is>
      </c>
      <c r="I67" t="n">
        <v>60000</v>
      </c>
      <c r="J67" t="n">
        <v>5000</v>
      </c>
      <c r="K67" t="n">
        <v>8.33</v>
      </c>
      <c r="L67" t="n">
        <v>85.59999999999999</v>
      </c>
      <c r="M67" t="n">
        <v>1088</v>
      </c>
      <c r="N67" t="n">
        <v>1</v>
      </c>
      <c r="O67" t="n">
        <v>1773</v>
      </c>
      <c r="P67" t="n">
        <v>1</v>
      </c>
      <c r="Q67" t="n">
        <v>0</v>
      </c>
      <c r="R67" t="n">
        <v>5</v>
      </c>
      <c r="S67" t="n">
        <v>1237</v>
      </c>
      <c r="T67" t="n">
        <v>56237</v>
      </c>
      <c r="U67" t="n">
        <v>56237</v>
      </c>
      <c r="V67" t="n">
        <v>1549</v>
      </c>
      <c r="W67" t="n">
        <v>30.98</v>
      </c>
      <c r="X67" t="n">
        <v>310</v>
      </c>
      <c r="Y67" t="n">
        <v>230</v>
      </c>
      <c r="Z67">
        <f>IF(L67&gt;=70,"Yes","No")</f>
        <v/>
      </c>
      <c r="AA67">
        <f>IF(OR(AND(E67="A",G67="Commercial_1_Balls"),AND(E67="B",G67="Commercial_2_Paint")),"first","second")</f>
        <v/>
      </c>
      <c r="AB67">
        <f>IF(ISNUMBER(W67),W67,0)</f>
        <v/>
      </c>
      <c r="AC67">
        <f>IF(ISNUMBER(S67),1,0)</f>
        <v/>
      </c>
      <c r="AD67">
        <f>IF(ISNUMBER(R67),R67,0)</f>
        <v/>
      </c>
    </row>
    <row r="68">
      <c r="A68" t="inlineStr">
        <is>
          <t>SIMULATED_AdTest_Balls_vs_Paint</t>
        </is>
      </c>
      <c r="B68" t="inlineStr">
        <is>
          <t>R09</t>
        </is>
      </c>
      <c r="C68" t="inlineStr">
        <is>
          <t>M</t>
        </is>
      </c>
      <c r="D68" t="n">
        <v>30</v>
      </c>
      <c r="E68" t="inlineStr">
        <is>
          <t>A</t>
        </is>
      </c>
      <c r="F68" t="inlineStr">
        <is>
          <t>2026-10-19</t>
        </is>
      </c>
      <c r="G68" t="inlineStr">
        <is>
          <t>Commercial_1_Balls</t>
        </is>
      </c>
      <c r="H68" t="inlineStr">
        <is>
          <t>Tagline_Text</t>
        </is>
      </c>
      <c r="I68" t="n">
        <v>60000</v>
      </c>
      <c r="J68" t="n">
        <v>4000</v>
      </c>
      <c r="K68" t="n">
        <v>6.67</v>
      </c>
      <c r="L68" t="n">
        <v>85.59999999999999</v>
      </c>
      <c r="M68" t="n">
        <v>1376</v>
      </c>
      <c r="N68" t="n">
        <v>2</v>
      </c>
      <c r="O68" t="n">
        <v>2435</v>
      </c>
      <c r="P68" t="n">
        <v>2</v>
      </c>
      <c r="Q68" t="n">
        <v>1</v>
      </c>
      <c r="R68" t="n">
        <v>9</v>
      </c>
      <c r="S68" t="n">
        <v>1593</v>
      </c>
      <c r="T68" t="n">
        <v>57593</v>
      </c>
      <c r="U68" t="n">
        <v>57593</v>
      </c>
      <c r="V68" t="n">
        <v>2166</v>
      </c>
      <c r="W68" t="n">
        <v>54.15</v>
      </c>
      <c r="X68" t="n">
        <v>241</v>
      </c>
      <c r="Y68" t="n">
        <v>446</v>
      </c>
      <c r="Z68">
        <f>IF(L68&gt;=70,"Yes","No")</f>
        <v/>
      </c>
      <c r="AA68">
        <f>IF(OR(AND(E68="A",G68="Commercial_1_Balls"),AND(E68="B",G68="Commercial_2_Paint")),"first","second")</f>
        <v/>
      </c>
      <c r="AB68">
        <f>IF(ISNUMBER(W68),W68,0)</f>
        <v/>
      </c>
      <c r="AC68">
        <f>IF(ISNUMBER(S68),1,0)</f>
        <v/>
      </c>
      <c r="AD68">
        <f>IF(ISNUMBER(R68),R68,0)</f>
        <v/>
      </c>
    </row>
    <row r="69">
      <c r="A69" t="inlineStr">
        <is>
          <t>SIMULATED_AdTest_Balls_vs_Paint</t>
        </is>
      </c>
      <c r="B69" t="inlineStr">
        <is>
          <t>R09</t>
        </is>
      </c>
      <c r="C69" t="inlineStr">
        <is>
          <t>M</t>
        </is>
      </c>
      <c r="D69" t="n">
        <v>30</v>
      </c>
      <c r="E69" t="inlineStr">
        <is>
          <t>A</t>
        </is>
      </c>
      <c r="F69" t="inlineStr">
        <is>
          <t>2026-10-19</t>
        </is>
      </c>
      <c r="G69" t="inlineStr">
        <is>
          <t>Commercial_1_Balls</t>
        </is>
      </c>
      <c r="H69" t="inlineStr">
        <is>
          <t>Hero_Element</t>
        </is>
      </c>
      <c r="I69" t="n">
        <v>60000</v>
      </c>
      <c r="J69" t="n">
        <v>40000</v>
      </c>
      <c r="K69" t="n">
        <v>66.67</v>
      </c>
      <c r="L69" t="n">
        <v>85.59999999999999</v>
      </c>
      <c r="M69" t="n">
        <v>566</v>
      </c>
      <c r="N69" t="n">
        <v>9</v>
      </c>
      <c r="O69" t="n">
        <v>31580</v>
      </c>
      <c r="P69" t="n">
        <v>9</v>
      </c>
      <c r="Q69" t="n">
        <v>8</v>
      </c>
      <c r="R69" t="n">
        <v>85</v>
      </c>
      <c r="S69" t="n">
        <v>727</v>
      </c>
      <c r="T69" t="n">
        <v>2727</v>
      </c>
      <c r="U69" t="n">
        <v>2727</v>
      </c>
      <c r="V69" t="n">
        <v>28434</v>
      </c>
      <c r="W69" t="n">
        <v>71.08</v>
      </c>
      <c r="X69" t="n">
        <v>335</v>
      </c>
      <c r="Y69" t="n">
        <v>211</v>
      </c>
      <c r="Z69">
        <f>IF(L69&gt;=70,"Yes","No")</f>
        <v/>
      </c>
      <c r="AA69">
        <f>IF(OR(AND(E69="A",G69="Commercial_1_Balls"),AND(E69="B",G69="Commercial_2_Paint")),"first","second")</f>
        <v/>
      </c>
      <c r="AB69">
        <f>IF(ISNUMBER(W69),W69,0)</f>
        <v/>
      </c>
      <c r="AC69">
        <f>IF(ISNUMBER(S69),1,0)</f>
        <v/>
      </c>
      <c r="AD69">
        <f>IF(ISNUMBER(R69),R69,0)</f>
        <v/>
      </c>
    </row>
    <row r="70">
      <c r="A70" t="inlineStr">
        <is>
          <t>SIMULATED_AdTest_Balls_vs_Paint</t>
        </is>
      </c>
      <c r="B70" t="inlineStr">
        <is>
          <t>R09</t>
        </is>
      </c>
      <c r="C70" t="inlineStr">
        <is>
          <t>M</t>
        </is>
      </c>
      <c r="D70" t="n">
        <v>30</v>
      </c>
      <c r="E70" t="inlineStr">
        <is>
          <t>A</t>
        </is>
      </c>
      <c r="F70" t="inlineStr">
        <is>
          <t>2026-10-19</t>
        </is>
      </c>
      <c r="G70" t="inlineStr">
        <is>
          <t>Commercial_2_Paint</t>
        </is>
      </c>
      <c r="H70" t="inlineStr">
        <is>
          <t>Product_TV</t>
        </is>
      </c>
      <c r="I70" t="n">
        <v>60000</v>
      </c>
      <c r="J70" t="n">
        <v>20000</v>
      </c>
      <c r="K70" t="n">
        <v>33.33</v>
      </c>
      <c r="L70" t="n">
        <v>85.59999999999999</v>
      </c>
      <c r="M70" t="n">
        <v>656</v>
      </c>
      <c r="N70" t="n">
        <v>2</v>
      </c>
      <c r="O70" t="n">
        <v>5243</v>
      </c>
      <c r="P70" t="n">
        <v>2</v>
      </c>
      <c r="Q70" t="n">
        <v>1</v>
      </c>
      <c r="R70" t="n">
        <v>17</v>
      </c>
      <c r="S70" t="n">
        <v>903</v>
      </c>
      <c r="T70" t="n">
        <v>9903</v>
      </c>
      <c r="U70" t="n">
        <v>9903</v>
      </c>
      <c r="V70" t="n">
        <v>4974</v>
      </c>
      <c r="W70" t="n">
        <v>24.87</v>
      </c>
      <c r="X70" t="n">
        <v>293</v>
      </c>
      <c r="Y70" t="n">
        <v>426</v>
      </c>
      <c r="Z70">
        <f>IF(L70&gt;=70,"Yes","No")</f>
        <v/>
      </c>
      <c r="AA70">
        <f>IF(OR(AND(E70="A",G70="Commercial_1_Balls"),AND(E70="B",G70="Commercial_2_Paint")),"first","second")</f>
        <v/>
      </c>
      <c r="AB70">
        <f>IF(ISNUMBER(W70),W70,0)</f>
        <v/>
      </c>
      <c r="AC70">
        <f>IF(ISNUMBER(S70),1,0)</f>
        <v/>
      </c>
      <c r="AD70">
        <f>IF(ISNUMBER(R70),R70,0)</f>
        <v/>
      </c>
    </row>
    <row r="71">
      <c r="A71" t="inlineStr">
        <is>
          <t>SIMULATED_AdTest_Balls_vs_Paint</t>
        </is>
      </c>
      <c r="B71" t="inlineStr">
        <is>
          <t>R09</t>
        </is>
      </c>
      <c r="C71" t="inlineStr">
        <is>
          <t>M</t>
        </is>
      </c>
      <c r="D71" t="n">
        <v>30</v>
      </c>
      <c r="E71" t="inlineStr">
        <is>
          <t>A</t>
        </is>
      </c>
      <c r="F71" t="inlineStr">
        <is>
          <t>2026-10-19</t>
        </is>
      </c>
      <c r="G71" t="inlineStr">
        <is>
          <t>Commercial_2_Paint</t>
        </is>
      </c>
      <c r="H71" t="inlineStr">
        <is>
          <t>Brand_Logo</t>
        </is>
      </c>
      <c r="I71" t="n">
        <v>60000</v>
      </c>
      <c r="J71" t="n">
        <v>5000</v>
      </c>
      <c r="K71" t="n">
        <v>8.33</v>
      </c>
      <c r="L71" t="n">
        <v>85.59999999999999</v>
      </c>
      <c r="M71" t="n">
        <v>3881</v>
      </c>
      <c r="N71" t="n">
        <v>1</v>
      </c>
      <c r="O71" t="n">
        <v>127</v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n">
        <v>60000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>
        <f>IF(L71&gt;=70,"Yes","No")</f>
        <v/>
      </c>
      <c r="AA71">
        <f>IF(OR(AND(E71="A",G71="Commercial_1_Balls"),AND(E71="B",G71="Commercial_2_Paint")),"first","second")</f>
        <v/>
      </c>
      <c r="AB71">
        <f>IF(ISNUMBER(W71),W71,0)</f>
        <v/>
      </c>
      <c r="AC71">
        <f>IF(ISNUMBER(S71),1,0)</f>
        <v/>
      </c>
      <c r="AD71">
        <f>IF(ISNUMBER(R71),R71,0)</f>
        <v/>
      </c>
    </row>
    <row r="72">
      <c r="A72" t="inlineStr">
        <is>
          <t>SIMULATED_AdTest_Balls_vs_Paint</t>
        </is>
      </c>
      <c r="B72" t="inlineStr">
        <is>
          <t>R09</t>
        </is>
      </c>
      <c r="C72" t="inlineStr">
        <is>
          <t>M</t>
        </is>
      </c>
      <c r="D72" t="n">
        <v>30</v>
      </c>
      <c r="E72" t="inlineStr">
        <is>
          <t>A</t>
        </is>
      </c>
      <c r="F72" t="inlineStr">
        <is>
          <t>2026-10-19</t>
        </is>
      </c>
      <c r="G72" t="inlineStr">
        <is>
          <t>Commercial_2_Paint</t>
        </is>
      </c>
      <c r="H72" t="inlineStr">
        <is>
          <t>Tagline_Text</t>
        </is>
      </c>
      <c r="I72" t="n">
        <v>60000</v>
      </c>
      <c r="J72" t="n">
        <v>4000</v>
      </c>
      <c r="K72" t="n">
        <v>6.67</v>
      </c>
      <c r="L72" t="n">
        <v>85.59999999999999</v>
      </c>
      <c r="M72" t="n">
        <v>1116</v>
      </c>
      <c r="N72" t="n">
        <v>1</v>
      </c>
      <c r="O72" t="n">
        <v>958</v>
      </c>
      <c r="P72" t="n">
        <v>1</v>
      </c>
      <c r="Q72" t="n">
        <v>0</v>
      </c>
      <c r="R72" t="n">
        <v>5</v>
      </c>
      <c r="S72" t="n">
        <v>1303</v>
      </c>
      <c r="T72" t="n">
        <v>57303</v>
      </c>
      <c r="U72" t="n">
        <v>57303</v>
      </c>
      <c r="V72" t="n">
        <v>900</v>
      </c>
      <c r="W72" t="n">
        <v>22.5</v>
      </c>
      <c r="X72" t="n">
        <v>180</v>
      </c>
      <c r="Y72" t="n">
        <v>267</v>
      </c>
      <c r="Z72">
        <f>IF(L72&gt;=70,"Yes","No")</f>
        <v/>
      </c>
      <c r="AA72">
        <f>IF(OR(AND(E72="A",G72="Commercial_1_Balls"),AND(E72="B",G72="Commercial_2_Paint")),"first","second")</f>
        <v/>
      </c>
      <c r="AB72">
        <f>IF(ISNUMBER(W72),W72,0)</f>
        <v/>
      </c>
      <c r="AC72">
        <f>IF(ISNUMBER(S72),1,0)</f>
        <v/>
      </c>
      <c r="AD72">
        <f>IF(ISNUMBER(R72),R72,0)</f>
        <v/>
      </c>
    </row>
    <row r="73">
      <c r="A73" t="inlineStr">
        <is>
          <t>SIMULATED_AdTest_Balls_vs_Paint</t>
        </is>
      </c>
      <c r="B73" t="inlineStr">
        <is>
          <t>R09</t>
        </is>
      </c>
      <c r="C73" t="inlineStr">
        <is>
          <t>M</t>
        </is>
      </c>
      <c r="D73" t="n">
        <v>30</v>
      </c>
      <c r="E73" t="inlineStr">
        <is>
          <t>A</t>
        </is>
      </c>
      <c r="F73" t="inlineStr">
        <is>
          <t>2026-10-19</t>
        </is>
      </c>
      <c r="G73" t="inlineStr">
        <is>
          <t>Commercial_2_Paint</t>
        </is>
      </c>
      <c r="H73" t="inlineStr">
        <is>
          <t>Hero_Element</t>
        </is>
      </c>
      <c r="I73" t="n">
        <v>60000</v>
      </c>
      <c r="J73" t="n">
        <v>32000</v>
      </c>
      <c r="K73" t="n">
        <v>53.33</v>
      </c>
      <c r="L73" t="n">
        <v>85.59999999999999</v>
      </c>
      <c r="M73" t="n">
        <v>717</v>
      </c>
      <c r="N73" t="n">
        <v>4</v>
      </c>
      <c r="O73" t="n">
        <v>20025</v>
      </c>
      <c r="P73" t="n">
        <v>3</v>
      </c>
      <c r="Q73" t="n">
        <v>2</v>
      </c>
      <c r="R73" t="n">
        <v>66</v>
      </c>
      <c r="S73" t="n">
        <v>937</v>
      </c>
      <c r="T73" t="n">
        <v>3937</v>
      </c>
      <c r="U73" t="n">
        <v>3937</v>
      </c>
      <c r="V73" t="n">
        <v>18628</v>
      </c>
      <c r="W73" t="n">
        <v>58.21</v>
      </c>
      <c r="X73" t="n">
        <v>282</v>
      </c>
      <c r="Y73" t="n">
        <v>463</v>
      </c>
      <c r="Z73">
        <f>IF(L73&gt;=70,"Yes","No")</f>
        <v/>
      </c>
      <c r="AA73">
        <f>IF(OR(AND(E73="A",G73="Commercial_1_Balls"),AND(E73="B",G73="Commercial_2_Paint")),"first","second")</f>
        <v/>
      </c>
      <c r="AB73">
        <f>IF(ISNUMBER(W73),W73,0)</f>
        <v/>
      </c>
      <c r="AC73">
        <f>IF(ISNUMBER(S73),1,0)</f>
        <v/>
      </c>
      <c r="AD73">
        <f>IF(ISNUMBER(R73),R73,0)</f>
        <v/>
      </c>
    </row>
    <row r="74">
      <c r="A74" t="inlineStr">
        <is>
          <t>SIMULATED_AdTest_Balls_vs_Paint</t>
        </is>
      </c>
      <c r="B74" t="inlineStr">
        <is>
          <t>R10</t>
        </is>
      </c>
      <c r="C74" t="inlineStr">
        <is>
          <t>M</t>
        </is>
      </c>
      <c r="D74" t="n">
        <v>28</v>
      </c>
      <c r="E74" t="inlineStr">
        <is>
          <t>B</t>
        </is>
      </c>
      <c r="F74" t="inlineStr">
        <is>
          <t>2026-10-19</t>
        </is>
      </c>
      <c r="G74" t="inlineStr">
        <is>
          <t>Commercial_1_Balls</t>
        </is>
      </c>
      <c r="H74" t="inlineStr">
        <is>
          <t>Product_TV</t>
        </is>
      </c>
      <c r="I74" t="n">
        <v>60000</v>
      </c>
      <c r="J74" t="n">
        <v>14000</v>
      </c>
      <c r="K74" t="n">
        <v>23.33</v>
      </c>
      <c r="L74" t="n">
        <v>89</v>
      </c>
      <c r="M74" t="n">
        <v>708</v>
      </c>
      <c r="N74" t="n">
        <v>1</v>
      </c>
      <c r="O74" t="n">
        <v>1828</v>
      </c>
      <c r="P74" t="n">
        <v>1</v>
      </c>
      <c r="Q74" t="n">
        <v>0</v>
      </c>
      <c r="R74" t="n">
        <v>6</v>
      </c>
      <c r="S74" t="n">
        <v>996</v>
      </c>
      <c r="T74" t="n">
        <v>12996</v>
      </c>
      <c r="U74" t="n">
        <v>12996</v>
      </c>
      <c r="V74" t="n">
        <v>1672</v>
      </c>
      <c r="W74" t="n">
        <v>11.94</v>
      </c>
      <c r="X74" t="n">
        <v>279</v>
      </c>
      <c r="Y74" t="n">
        <v>221</v>
      </c>
      <c r="Z74">
        <f>IF(L74&gt;=70,"Yes","No")</f>
        <v/>
      </c>
      <c r="AA74">
        <f>IF(OR(AND(E74="A",G74="Commercial_1_Balls"),AND(E74="B",G74="Commercial_2_Paint")),"first","second")</f>
        <v/>
      </c>
      <c r="AB74">
        <f>IF(ISNUMBER(W74),W74,0)</f>
        <v/>
      </c>
      <c r="AC74">
        <f>IF(ISNUMBER(S74),1,0)</f>
        <v/>
      </c>
      <c r="AD74">
        <f>IF(ISNUMBER(R74),R74,0)</f>
        <v/>
      </c>
    </row>
    <row r="75">
      <c r="A75" t="inlineStr">
        <is>
          <t>SIMULATED_AdTest_Balls_vs_Paint</t>
        </is>
      </c>
      <c r="B75" t="inlineStr">
        <is>
          <t>R10</t>
        </is>
      </c>
      <c r="C75" t="inlineStr">
        <is>
          <t>M</t>
        </is>
      </c>
      <c r="D75" t="n">
        <v>28</v>
      </c>
      <c r="E75" t="inlineStr">
        <is>
          <t>B</t>
        </is>
      </c>
      <c r="F75" t="inlineStr">
        <is>
          <t>2026-10-19</t>
        </is>
      </c>
      <c r="G75" t="inlineStr">
        <is>
          <t>Commercial_1_Balls</t>
        </is>
      </c>
      <c r="H75" t="inlineStr">
        <is>
          <t>Brand_Logo</t>
        </is>
      </c>
      <c r="I75" t="n">
        <v>60000</v>
      </c>
      <c r="J75" t="n">
        <v>5000</v>
      </c>
      <c r="K75" t="n">
        <v>8.33</v>
      </c>
      <c r="L75" t="n">
        <v>89</v>
      </c>
      <c r="M75" t="n">
        <v>429</v>
      </c>
      <c r="N75" t="n">
        <v>1</v>
      </c>
      <c r="O75" t="n">
        <v>1024</v>
      </c>
      <c r="P75" t="n">
        <v>1</v>
      </c>
      <c r="Q75" t="n">
        <v>0</v>
      </c>
      <c r="R75" t="n">
        <v>4</v>
      </c>
      <c r="S75" t="n">
        <v>581</v>
      </c>
      <c r="T75" t="n">
        <v>55581</v>
      </c>
      <c r="U75" t="n">
        <v>55581</v>
      </c>
      <c r="V75" t="n">
        <v>891</v>
      </c>
      <c r="W75" t="n">
        <v>17.82</v>
      </c>
      <c r="X75" t="n">
        <v>223</v>
      </c>
      <c r="Y75" t="n">
        <v>356</v>
      </c>
      <c r="Z75">
        <f>IF(L75&gt;=70,"Yes","No")</f>
        <v/>
      </c>
      <c r="AA75">
        <f>IF(OR(AND(E75="A",G75="Commercial_1_Balls"),AND(E75="B",G75="Commercial_2_Paint")),"first","second")</f>
        <v/>
      </c>
      <c r="AB75">
        <f>IF(ISNUMBER(W75),W75,0)</f>
        <v/>
      </c>
      <c r="AC75">
        <f>IF(ISNUMBER(S75),1,0)</f>
        <v/>
      </c>
      <c r="AD75">
        <f>IF(ISNUMBER(R75),R75,0)</f>
        <v/>
      </c>
    </row>
    <row r="76">
      <c r="A76" t="inlineStr">
        <is>
          <t>SIMULATED_AdTest_Balls_vs_Paint</t>
        </is>
      </c>
      <c r="B76" t="inlineStr">
        <is>
          <t>R10</t>
        </is>
      </c>
      <c r="C76" t="inlineStr">
        <is>
          <t>M</t>
        </is>
      </c>
      <c r="D76" t="n">
        <v>28</v>
      </c>
      <c r="E76" t="inlineStr">
        <is>
          <t>B</t>
        </is>
      </c>
      <c r="F76" t="inlineStr">
        <is>
          <t>2026-10-19</t>
        </is>
      </c>
      <c r="G76" t="inlineStr">
        <is>
          <t>Commercial_1_Balls</t>
        </is>
      </c>
      <c r="H76" t="inlineStr">
        <is>
          <t>Tagline_Text</t>
        </is>
      </c>
      <c r="I76" t="n">
        <v>60000</v>
      </c>
      <c r="J76" t="n">
        <v>4000</v>
      </c>
      <c r="K76" t="n">
        <v>6.67</v>
      </c>
      <c r="L76" t="n">
        <v>89</v>
      </c>
      <c r="M76" t="n">
        <v>736</v>
      </c>
      <c r="N76" t="n">
        <v>1</v>
      </c>
      <c r="O76" t="n">
        <v>1111</v>
      </c>
      <c r="P76" t="n">
        <v>1</v>
      </c>
      <c r="Q76" t="n">
        <v>0</v>
      </c>
      <c r="R76" t="n">
        <v>3</v>
      </c>
      <c r="S76" t="n">
        <v>987</v>
      </c>
      <c r="T76" t="n">
        <v>56987</v>
      </c>
      <c r="U76" t="n">
        <v>56987</v>
      </c>
      <c r="V76" t="n">
        <v>1013</v>
      </c>
      <c r="W76" t="n">
        <v>25.32</v>
      </c>
      <c r="X76" t="n">
        <v>338</v>
      </c>
      <c r="Y76" t="n">
        <v>317</v>
      </c>
      <c r="Z76">
        <f>IF(L76&gt;=70,"Yes","No")</f>
        <v/>
      </c>
      <c r="AA76">
        <f>IF(OR(AND(E76="A",G76="Commercial_1_Balls"),AND(E76="B",G76="Commercial_2_Paint")),"first","second")</f>
        <v/>
      </c>
      <c r="AB76">
        <f>IF(ISNUMBER(W76),W76,0)</f>
        <v/>
      </c>
      <c r="AC76">
        <f>IF(ISNUMBER(S76),1,0)</f>
        <v/>
      </c>
      <c r="AD76">
        <f>IF(ISNUMBER(R76),R76,0)</f>
        <v/>
      </c>
    </row>
    <row r="77">
      <c r="A77" t="inlineStr">
        <is>
          <t>SIMULATED_AdTest_Balls_vs_Paint</t>
        </is>
      </c>
      <c r="B77" t="inlineStr">
        <is>
          <t>R10</t>
        </is>
      </c>
      <c r="C77" t="inlineStr">
        <is>
          <t>M</t>
        </is>
      </c>
      <c r="D77" t="n">
        <v>28</v>
      </c>
      <c r="E77" t="inlineStr">
        <is>
          <t>B</t>
        </is>
      </c>
      <c r="F77" t="inlineStr">
        <is>
          <t>2026-10-19</t>
        </is>
      </c>
      <c r="G77" t="inlineStr">
        <is>
          <t>Commercial_1_Balls</t>
        </is>
      </c>
      <c r="H77" t="inlineStr">
        <is>
          <t>Hero_Element</t>
        </is>
      </c>
      <c r="I77" t="n">
        <v>60000</v>
      </c>
      <c r="J77" t="n">
        <v>40000</v>
      </c>
      <c r="K77" t="n">
        <v>66.67</v>
      </c>
      <c r="L77" t="n">
        <v>89</v>
      </c>
      <c r="M77" t="n">
        <v>558</v>
      </c>
      <c r="N77" t="n">
        <v>6</v>
      </c>
      <c r="O77" t="n">
        <v>30245</v>
      </c>
      <c r="P77" t="n">
        <v>6</v>
      </c>
      <c r="Q77" t="n">
        <v>5</v>
      </c>
      <c r="R77" t="n">
        <v>124</v>
      </c>
      <c r="S77" t="n">
        <v>643</v>
      </c>
      <c r="T77" t="n">
        <v>2643</v>
      </c>
      <c r="U77" t="n">
        <v>2643</v>
      </c>
      <c r="V77" t="n">
        <v>26522</v>
      </c>
      <c r="W77" t="n">
        <v>66.31</v>
      </c>
      <c r="X77" t="n">
        <v>214</v>
      </c>
      <c r="Y77" t="n">
        <v>182</v>
      </c>
      <c r="Z77">
        <f>IF(L77&gt;=70,"Yes","No")</f>
        <v/>
      </c>
      <c r="AA77">
        <f>IF(OR(AND(E77="A",G77="Commercial_1_Balls"),AND(E77="B",G77="Commercial_2_Paint")),"first","second")</f>
        <v/>
      </c>
      <c r="AB77">
        <f>IF(ISNUMBER(W77),W77,0)</f>
        <v/>
      </c>
      <c r="AC77">
        <f>IF(ISNUMBER(S77),1,0)</f>
        <v/>
      </c>
      <c r="AD77">
        <f>IF(ISNUMBER(R77),R77,0)</f>
        <v/>
      </c>
    </row>
    <row r="78">
      <c r="A78" t="inlineStr">
        <is>
          <t>SIMULATED_AdTest_Balls_vs_Paint</t>
        </is>
      </c>
      <c r="B78" t="inlineStr">
        <is>
          <t>R10</t>
        </is>
      </c>
      <c r="C78" t="inlineStr">
        <is>
          <t>M</t>
        </is>
      </c>
      <c r="D78" t="n">
        <v>28</v>
      </c>
      <c r="E78" t="inlineStr">
        <is>
          <t>B</t>
        </is>
      </c>
      <c r="F78" t="inlineStr">
        <is>
          <t>2026-10-19</t>
        </is>
      </c>
      <c r="G78" t="inlineStr">
        <is>
          <t>Commercial_2_Paint</t>
        </is>
      </c>
      <c r="H78" t="inlineStr">
        <is>
          <t>Product_TV</t>
        </is>
      </c>
      <c r="I78" t="n">
        <v>60000</v>
      </c>
      <c r="J78" t="n">
        <v>20000</v>
      </c>
      <c r="K78" t="n">
        <v>33.33</v>
      </c>
      <c r="L78" t="n">
        <v>89</v>
      </c>
      <c r="M78" t="n">
        <v>876</v>
      </c>
      <c r="N78" t="n">
        <v>2</v>
      </c>
      <c r="O78" t="n">
        <v>2730</v>
      </c>
      <c r="P78" t="n">
        <v>2</v>
      </c>
      <c r="Q78" t="n">
        <v>1</v>
      </c>
      <c r="R78" t="n">
        <v>14</v>
      </c>
      <c r="S78" t="n">
        <v>1094</v>
      </c>
      <c r="T78" t="n">
        <v>10094</v>
      </c>
      <c r="U78" t="n">
        <v>10094</v>
      </c>
      <c r="V78" t="n">
        <v>2516</v>
      </c>
      <c r="W78" t="n">
        <v>12.58</v>
      </c>
      <c r="X78" t="n">
        <v>180</v>
      </c>
      <c r="Y78" t="n">
        <v>245</v>
      </c>
      <c r="Z78">
        <f>IF(L78&gt;=70,"Yes","No")</f>
        <v/>
      </c>
      <c r="AA78">
        <f>IF(OR(AND(E78="A",G78="Commercial_1_Balls"),AND(E78="B",G78="Commercial_2_Paint")),"first","second")</f>
        <v/>
      </c>
      <c r="AB78">
        <f>IF(ISNUMBER(W78),W78,0)</f>
        <v/>
      </c>
      <c r="AC78">
        <f>IF(ISNUMBER(S78),1,0)</f>
        <v/>
      </c>
      <c r="AD78">
        <f>IF(ISNUMBER(R78),R78,0)</f>
        <v/>
      </c>
    </row>
    <row r="79">
      <c r="A79" t="inlineStr">
        <is>
          <t>SIMULATED_AdTest_Balls_vs_Paint</t>
        </is>
      </c>
      <c r="B79" t="inlineStr">
        <is>
          <t>R10</t>
        </is>
      </c>
      <c r="C79" t="inlineStr">
        <is>
          <t>M</t>
        </is>
      </c>
      <c r="D79" t="n">
        <v>28</v>
      </c>
      <c r="E79" t="inlineStr">
        <is>
          <t>B</t>
        </is>
      </c>
      <c r="F79" t="inlineStr">
        <is>
          <t>2026-10-19</t>
        </is>
      </c>
      <c r="G79" t="inlineStr">
        <is>
          <t>Commercial_2_Paint</t>
        </is>
      </c>
      <c r="H79" t="inlineStr">
        <is>
          <t>Brand_Logo</t>
        </is>
      </c>
      <c r="I79" t="n">
        <v>60000</v>
      </c>
      <c r="J79" t="n">
        <v>5000</v>
      </c>
      <c r="K79" t="n">
        <v>8.33</v>
      </c>
      <c r="L79" t="n">
        <v>89</v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n">
        <v>60000</v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>
        <f>IF(L79&gt;=70,"Yes","No")</f>
        <v/>
      </c>
      <c r="AA79">
        <f>IF(OR(AND(E79="A",G79="Commercial_1_Balls"),AND(E79="B",G79="Commercial_2_Paint")),"first","second")</f>
        <v/>
      </c>
      <c r="AB79">
        <f>IF(ISNUMBER(W79),W79,0)</f>
        <v/>
      </c>
      <c r="AC79">
        <f>IF(ISNUMBER(S79),1,0)</f>
        <v/>
      </c>
      <c r="AD79">
        <f>IF(ISNUMBER(R79),R79,0)</f>
        <v/>
      </c>
    </row>
    <row r="80">
      <c r="A80" t="inlineStr">
        <is>
          <t>SIMULATED_AdTest_Balls_vs_Paint</t>
        </is>
      </c>
      <c r="B80" t="inlineStr">
        <is>
          <t>R10</t>
        </is>
      </c>
      <c r="C80" t="inlineStr">
        <is>
          <t>M</t>
        </is>
      </c>
      <c r="D80" t="n">
        <v>28</v>
      </c>
      <c r="E80" t="inlineStr">
        <is>
          <t>B</t>
        </is>
      </c>
      <c r="F80" t="inlineStr">
        <is>
          <t>2026-10-19</t>
        </is>
      </c>
      <c r="G80" t="inlineStr">
        <is>
          <t>Commercial_2_Paint</t>
        </is>
      </c>
      <c r="H80" t="inlineStr">
        <is>
          <t>Tagline_Text</t>
        </is>
      </c>
      <c r="I80" t="n">
        <v>60000</v>
      </c>
      <c r="J80" t="n">
        <v>4000</v>
      </c>
      <c r="K80" t="n">
        <v>6.67</v>
      </c>
      <c r="L80" t="n">
        <v>89</v>
      </c>
      <c r="M80" t="n">
        <v>608</v>
      </c>
      <c r="N80" t="n">
        <v>2</v>
      </c>
      <c r="O80" t="n">
        <v>1174</v>
      </c>
      <c r="P80" t="n">
        <v>2</v>
      </c>
      <c r="Q80" t="n">
        <v>1</v>
      </c>
      <c r="R80" t="n">
        <v>7</v>
      </c>
      <c r="S80" t="n">
        <v>886</v>
      </c>
      <c r="T80" t="n">
        <v>56886</v>
      </c>
      <c r="U80" t="n">
        <v>56886</v>
      </c>
      <c r="V80" t="n">
        <v>1107</v>
      </c>
      <c r="W80" t="n">
        <v>27.68</v>
      </c>
      <c r="X80" t="n">
        <v>158</v>
      </c>
      <c r="Y80" t="n">
        <v>249</v>
      </c>
      <c r="Z80">
        <f>IF(L80&gt;=70,"Yes","No")</f>
        <v/>
      </c>
      <c r="AA80">
        <f>IF(OR(AND(E80="A",G80="Commercial_1_Balls"),AND(E80="B",G80="Commercial_2_Paint")),"first","second")</f>
        <v/>
      </c>
      <c r="AB80">
        <f>IF(ISNUMBER(W80),W80,0)</f>
        <v/>
      </c>
      <c r="AC80">
        <f>IF(ISNUMBER(S80),1,0)</f>
        <v/>
      </c>
      <c r="AD80">
        <f>IF(ISNUMBER(R80),R80,0)</f>
        <v/>
      </c>
    </row>
    <row r="81">
      <c r="A81" t="inlineStr">
        <is>
          <t>SIMULATED_AdTest_Balls_vs_Paint</t>
        </is>
      </c>
      <c r="B81" t="inlineStr">
        <is>
          <t>R10</t>
        </is>
      </c>
      <c r="C81" t="inlineStr">
        <is>
          <t>M</t>
        </is>
      </c>
      <c r="D81" t="n">
        <v>28</v>
      </c>
      <c r="E81" t="inlineStr">
        <is>
          <t>B</t>
        </is>
      </c>
      <c r="F81" t="inlineStr">
        <is>
          <t>2026-10-19</t>
        </is>
      </c>
      <c r="G81" t="inlineStr">
        <is>
          <t>Commercial_2_Paint</t>
        </is>
      </c>
      <c r="H81" t="inlineStr">
        <is>
          <t>Hero_Element</t>
        </is>
      </c>
      <c r="I81" t="n">
        <v>60000</v>
      </c>
      <c r="J81" t="n">
        <v>32000</v>
      </c>
      <c r="K81" t="n">
        <v>53.33</v>
      </c>
      <c r="L81" t="n">
        <v>89</v>
      </c>
      <c r="M81" t="n">
        <v>238</v>
      </c>
      <c r="N81" t="n">
        <v>5</v>
      </c>
      <c r="O81" t="n">
        <v>15229</v>
      </c>
      <c r="P81" t="n">
        <v>5</v>
      </c>
      <c r="Q81" t="n">
        <v>4</v>
      </c>
      <c r="R81" t="n">
        <v>43</v>
      </c>
      <c r="S81" t="n">
        <v>483</v>
      </c>
      <c r="T81" t="n">
        <v>3483</v>
      </c>
      <c r="U81" t="n">
        <v>3483</v>
      </c>
      <c r="V81" t="n">
        <v>13588</v>
      </c>
      <c r="W81" t="n">
        <v>42.46</v>
      </c>
      <c r="X81" t="n">
        <v>316</v>
      </c>
      <c r="Y81" t="n">
        <v>214</v>
      </c>
      <c r="Z81">
        <f>IF(L81&gt;=70,"Yes","No")</f>
        <v/>
      </c>
      <c r="AA81">
        <f>IF(OR(AND(E81="A",G81="Commercial_1_Balls"),AND(E81="B",G81="Commercial_2_Paint")),"first","second")</f>
        <v/>
      </c>
      <c r="AB81">
        <f>IF(ISNUMBER(W81),W81,0)</f>
        <v/>
      </c>
      <c r="AC81">
        <f>IF(ISNUMBER(S81),1,0)</f>
        <v/>
      </c>
      <c r="AD81">
        <f>IF(ISNUMBER(R81),R81,0)</f>
        <v/>
      </c>
    </row>
    <row r="82">
      <c r="A82" t="inlineStr">
        <is>
          <t>SIMULATED_AdTest_Balls_vs_Paint</t>
        </is>
      </c>
      <c r="B82" t="inlineStr">
        <is>
          <t>R11</t>
        </is>
      </c>
      <c r="C82" t="inlineStr">
        <is>
          <t>F</t>
        </is>
      </c>
      <c r="D82" t="n">
        <v>21</v>
      </c>
      <c r="E82" t="inlineStr">
        <is>
          <t>A</t>
        </is>
      </c>
      <c r="F82" t="inlineStr">
        <is>
          <t>2026-10-19</t>
        </is>
      </c>
      <c r="G82" t="inlineStr">
        <is>
          <t>Commercial_1_Balls</t>
        </is>
      </c>
      <c r="H82" t="inlineStr">
        <is>
          <t>Product_TV</t>
        </is>
      </c>
      <c r="I82" t="n">
        <v>60000</v>
      </c>
      <c r="J82" t="n">
        <v>14000</v>
      </c>
      <c r="K82" t="n">
        <v>23.33</v>
      </c>
      <c r="L82" t="n">
        <v>89.7</v>
      </c>
      <c r="M82" t="n">
        <v>429</v>
      </c>
      <c r="N82" t="n">
        <v>1</v>
      </c>
      <c r="O82" t="n">
        <v>3539</v>
      </c>
      <c r="P82" t="n">
        <v>1</v>
      </c>
      <c r="Q82" t="n">
        <v>0</v>
      </c>
      <c r="R82" t="n">
        <v>9</v>
      </c>
      <c r="S82" t="n">
        <v>582</v>
      </c>
      <c r="T82" t="n">
        <v>12582</v>
      </c>
      <c r="U82" t="n">
        <v>12582</v>
      </c>
      <c r="V82" t="n">
        <v>3371</v>
      </c>
      <c r="W82" t="n">
        <v>24.08</v>
      </c>
      <c r="X82" t="n">
        <v>375</v>
      </c>
      <c r="Y82" t="n">
        <v>343</v>
      </c>
      <c r="Z82">
        <f>IF(L82&gt;=70,"Yes","No")</f>
        <v/>
      </c>
      <c r="AA82">
        <f>IF(OR(AND(E82="A",G82="Commercial_1_Balls"),AND(E82="B",G82="Commercial_2_Paint")),"first","second")</f>
        <v/>
      </c>
      <c r="AB82">
        <f>IF(ISNUMBER(W82),W82,0)</f>
        <v/>
      </c>
      <c r="AC82">
        <f>IF(ISNUMBER(S82),1,0)</f>
        <v/>
      </c>
      <c r="AD82">
        <f>IF(ISNUMBER(R82),R82,0)</f>
        <v/>
      </c>
    </row>
    <row r="83">
      <c r="A83" t="inlineStr">
        <is>
          <t>SIMULATED_AdTest_Balls_vs_Paint</t>
        </is>
      </c>
      <c r="B83" t="inlineStr">
        <is>
          <t>R11</t>
        </is>
      </c>
      <c r="C83" t="inlineStr">
        <is>
          <t>F</t>
        </is>
      </c>
      <c r="D83" t="n">
        <v>21</v>
      </c>
      <c r="E83" t="inlineStr">
        <is>
          <t>A</t>
        </is>
      </c>
      <c r="F83" t="inlineStr">
        <is>
          <t>2026-10-19</t>
        </is>
      </c>
      <c r="G83" t="inlineStr">
        <is>
          <t>Commercial_1_Balls</t>
        </is>
      </c>
      <c r="H83" t="inlineStr">
        <is>
          <t>Brand_Logo</t>
        </is>
      </c>
      <c r="I83" t="n">
        <v>60000</v>
      </c>
      <c r="J83" t="n">
        <v>5000</v>
      </c>
      <c r="K83" t="n">
        <v>8.33</v>
      </c>
      <c r="L83" t="n">
        <v>89.7</v>
      </c>
      <c r="M83" t="n">
        <v>915</v>
      </c>
      <c r="N83" t="n">
        <v>1</v>
      </c>
      <c r="O83" t="n">
        <v>2323</v>
      </c>
      <c r="P83" t="n">
        <v>1</v>
      </c>
      <c r="Q83" t="n">
        <v>0</v>
      </c>
      <c r="R83" t="n">
        <v>7</v>
      </c>
      <c r="S83" t="n">
        <v>1163</v>
      </c>
      <c r="T83" t="n">
        <v>56163</v>
      </c>
      <c r="U83" t="n">
        <v>56163</v>
      </c>
      <c r="V83" t="n">
        <v>2106</v>
      </c>
      <c r="W83" t="n">
        <v>42.12</v>
      </c>
      <c r="X83" t="n">
        <v>301</v>
      </c>
      <c r="Y83" t="n">
        <v>269</v>
      </c>
      <c r="Z83">
        <f>IF(L83&gt;=70,"Yes","No")</f>
        <v/>
      </c>
      <c r="AA83">
        <f>IF(OR(AND(E83="A",G83="Commercial_1_Balls"),AND(E83="B",G83="Commercial_2_Paint")),"first","second")</f>
        <v/>
      </c>
      <c r="AB83">
        <f>IF(ISNUMBER(W83),W83,0)</f>
        <v/>
      </c>
      <c r="AC83">
        <f>IF(ISNUMBER(S83),1,0)</f>
        <v/>
      </c>
      <c r="AD83">
        <f>IF(ISNUMBER(R83),R83,0)</f>
        <v/>
      </c>
    </row>
    <row r="84">
      <c r="A84" t="inlineStr">
        <is>
          <t>SIMULATED_AdTest_Balls_vs_Paint</t>
        </is>
      </c>
      <c r="B84" t="inlineStr">
        <is>
          <t>R11</t>
        </is>
      </c>
      <c r="C84" t="inlineStr">
        <is>
          <t>F</t>
        </is>
      </c>
      <c r="D84" t="n">
        <v>21</v>
      </c>
      <c r="E84" t="inlineStr">
        <is>
          <t>A</t>
        </is>
      </c>
      <c r="F84" t="inlineStr">
        <is>
          <t>2026-10-19</t>
        </is>
      </c>
      <c r="G84" t="inlineStr">
        <is>
          <t>Commercial_1_Balls</t>
        </is>
      </c>
      <c r="H84" t="inlineStr">
        <is>
          <t>Tagline_Text</t>
        </is>
      </c>
      <c r="I84" t="n">
        <v>60000</v>
      </c>
      <c r="J84" t="n">
        <v>4000</v>
      </c>
      <c r="K84" t="n">
        <v>6.67</v>
      </c>
      <c r="L84" t="n">
        <v>89.7</v>
      </c>
      <c r="M84" t="n">
        <v>1594</v>
      </c>
      <c r="N84" t="n">
        <v>2</v>
      </c>
      <c r="O84" t="n">
        <v>1440</v>
      </c>
      <c r="P84" t="n">
        <v>2</v>
      </c>
      <c r="Q84" t="n">
        <v>1</v>
      </c>
      <c r="R84" t="n">
        <v>4</v>
      </c>
      <c r="S84" t="n">
        <v>1768</v>
      </c>
      <c r="T84" t="n">
        <v>57768</v>
      </c>
      <c r="U84" t="n">
        <v>57768</v>
      </c>
      <c r="V84" t="n">
        <v>1299</v>
      </c>
      <c r="W84" t="n">
        <v>32.48</v>
      </c>
      <c r="X84" t="n">
        <v>325</v>
      </c>
      <c r="Y84" t="n">
        <v>269</v>
      </c>
      <c r="Z84">
        <f>IF(L84&gt;=70,"Yes","No")</f>
        <v/>
      </c>
      <c r="AA84">
        <f>IF(OR(AND(E84="A",G84="Commercial_1_Balls"),AND(E84="B",G84="Commercial_2_Paint")),"first","second")</f>
        <v/>
      </c>
      <c r="AB84">
        <f>IF(ISNUMBER(W84),W84,0)</f>
        <v/>
      </c>
      <c r="AC84">
        <f>IF(ISNUMBER(S84),1,0)</f>
        <v/>
      </c>
      <c r="AD84">
        <f>IF(ISNUMBER(R84),R84,0)</f>
        <v/>
      </c>
    </row>
    <row r="85">
      <c r="A85" t="inlineStr">
        <is>
          <t>SIMULATED_AdTest_Balls_vs_Paint</t>
        </is>
      </c>
      <c r="B85" t="inlineStr">
        <is>
          <t>R11</t>
        </is>
      </c>
      <c r="C85" t="inlineStr">
        <is>
          <t>F</t>
        </is>
      </c>
      <c r="D85" t="n">
        <v>21</v>
      </c>
      <c r="E85" t="inlineStr">
        <is>
          <t>A</t>
        </is>
      </c>
      <c r="F85" t="inlineStr">
        <is>
          <t>2026-10-19</t>
        </is>
      </c>
      <c r="G85" t="inlineStr">
        <is>
          <t>Commercial_1_Balls</t>
        </is>
      </c>
      <c r="H85" t="inlineStr">
        <is>
          <t>Hero_Element</t>
        </is>
      </c>
      <c r="I85" t="n">
        <v>60000</v>
      </c>
      <c r="J85" t="n">
        <v>40000</v>
      </c>
      <c r="K85" t="n">
        <v>66.67</v>
      </c>
      <c r="L85" t="n">
        <v>89.7</v>
      </c>
      <c r="M85" t="n">
        <v>571</v>
      </c>
      <c r="N85" t="n">
        <v>10</v>
      </c>
      <c r="O85" t="n">
        <v>25306</v>
      </c>
      <c r="P85" t="n">
        <v>9</v>
      </c>
      <c r="Q85" t="n">
        <v>8</v>
      </c>
      <c r="R85" t="n">
        <v>100</v>
      </c>
      <c r="S85" t="n">
        <v>682</v>
      </c>
      <c r="T85" t="n">
        <v>2682</v>
      </c>
      <c r="U85" t="n">
        <v>2682</v>
      </c>
      <c r="V85" t="n">
        <v>23619</v>
      </c>
      <c r="W85" t="n">
        <v>59.05</v>
      </c>
      <c r="X85" t="n">
        <v>236</v>
      </c>
      <c r="Y85" t="n">
        <v>235</v>
      </c>
      <c r="Z85">
        <f>IF(L85&gt;=70,"Yes","No")</f>
        <v/>
      </c>
      <c r="AA85">
        <f>IF(OR(AND(E85="A",G85="Commercial_1_Balls"),AND(E85="B",G85="Commercial_2_Paint")),"first","second")</f>
        <v/>
      </c>
      <c r="AB85">
        <f>IF(ISNUMBER(W85),W85,0)</f>
        <v/>
      </c>
      <c r="AC85">
        <f>IF(ISNUMBER(S85),1,0)</f>
        <v/>
      </c>
      <c r="AD85">
        <f>IF(ISNUMBER(R85),R85,0)</f>
        <v/>
      </c>
    </row>
    <row r="86">
      <c r="A86" t="inlineStr">
        <is>
          <t>SIMULATED_AdTest_Balls_vs_Paint</t>
        </is>
      </c>
      <c r="B86" t="inlineStr">
        <is>
          <t>R11</t>
        </is>
      </c>
      <c r="C86" t="inlineStr">
        <is>
          <t>F</t>
        </is>
      </c>
      <c r="D86" t="n">
        <v>21</v>
      </c>
      <c r="E86" t="inlineStr">
        <is>
          <t>A</t>
        </is>
      </c>
      <c r="F86" t="inlineStr">
        <is>
          <t>2026-10-19</t>
        </is>
      </c>
      <c r="G86" t="inlineStr">
        <is>
          <t>Commercial_2_Paint</t>
        </is>
      </c>
      <c r="H86" t="inlineStr">
        <is>
          <t>Product_TV</t>
        </is>
      </c>
      <c r="I86" t="n">
        <v>60000</v>
      </c>
      <c r="J86" t="n">
        <v>20000</v>
      </c>
      <c r="K86" t="n">
        <v>33.33</v>
      </c>
      <c r="L86" t="n">
        <v>89.7</v>
      </c>
      <c r="M86" t="n">
        <v>549</v>
      </c>
      <c r="N86" t="n">
        <v>3</v>
      </c>
      <c r="O86" t="n">
        <v>9495</v>
      </c>
      <c r="P86" t="n">
        <v>3</v>
      </c>
      <c r="Q86" t="n">
        <v>2</v>
      </c>
      <c r="R86" t="n">
        <v>21</v>
      </c>
      <c r="S86" t="n">
        <v>735</v>
      </c>
      <c r="T86" t="n">
        <v>9735</v>
      </c>
      <c r="U86" t="n">
        <v>9735</v>
      </c>
      <c r="V86" t="n">
        <v>8669</v>
      </c>
      <c r="W86" t="n">
        <v>43.34</v>
      </c>
      <c r="X86" t="n">
        <v>413</v>
      </c>
      <c r="Y86" t="n">
        <v>250</v>
      </c>
      <c r="Z86">
        <f>IF(L86&gt;=70,"Yes","No")</f>
        <v/>
      </c>
      <c r="AA86">
        <f>IF(OR(AND(E86="A",G86="Commercial_1_Balls"),AND(E86="B",G86="Commercial_2_Paint")),"first","second")</f>
        <v/>
      </c>
      <c r="AB86">
        <f>IF(ISNUMBER(W86),W86,0)</f>
        <v/>
      </c>
      <c r="AC86">
        <f>IF(ISNUMBER(S86),1,0)</f>
        <v/>
      </c>
      <c r="AD86">
        <f>IF(ISNUMBER(R86),R86,0)</f>
        <v/>
      </c>
    </row>
    <row r="87">
      <c r="A87" t="inlineStr">
        <is>
          <t>SIMULATED_AdTest_Balls_vs_Paint</t>
        </is>
      </c>
      <c r="B87" t="inlineStr">
        <is>
          <t>R11</t>
        </is>
      </c>
      <c r="C87" t="inlineStr">
        <is>
          <t>F</t>
        </is>
      </c>
      <c r="D87" t="n">
        <v>21</v>
      </c>
      <c r="E87" t="inlineStr">
        <is>
          <t>A</t>
        </is>
      </c>
      <c r="F87" t="inlineStr">
        <is>
          <t>2026-10-19</t>
        </is>
      </c>
      <c r="G87" t="inlineStr">
        <is>
          <t>Commercial_2_Paint</t>
        </is>
      </c>
      <c r="H87" t="inlineStr">
        <is>
          <t>Brand_Logo</t>
        </is>
      </c>
      <c r="I87" t="n">
        <v>60000</v>
      </c>
      <c r="J87" t="n">
        <v>5000</v>
      </c>
      <c r="K87" t="n">
        <v>8.33</v>
      </c>
      <c r="L87" t="n">
        <v>89.7</v>
      </c>
      <c r="M87" t="n">
        <v>936</v>
      </c>
      <c r="N87" t="n">
        <v>1</v>
      </c>
      <c r="O87" t="n">
        <v>1280</v>
      </c>
      <c r="P87" t="n">
        <v>1</v>
      </c>
      <c r="Q87" t="n">
        <v>0</v>
      </c>
      <c r="R87" t="n">
        <v>5</v>
      </c>
      <c r="S87" t="n">
        <v>1211</v>
      </c>
      <c r="T87" t="n">
        <v>56211</v>
      </c>
      <c r="U87" t="n">
        <v>56211</v>
      </c>
      <c r="V87" t="n">
        <v>1171</v>
      </c>
      <c r="W87" t="n">
        <v>23.42</v>
      </c>
      <c r="X87" t="n">
        <v>234</v>
      </c>
      <c r="Y87" t="n">
        <v>177</v>
      </c>
      <c r="Z87">
        <f>IF(L87&gt;=70,"Yes","No")</f>
        <v/>
      </c>
      <c r="AA87">
        <f>IF(OR(AND(E87="A",G87="Commercial_1_Balls"),AND(E87="B",G87="Commercial_2_Paint")),"first","second")</f>
        <v/>
      </c>
      <c r="AB87">
        <f>IF(ISNUMBER(W87),W87,0)</f>
        <v/>
      </c>
      <c r="AC87">
        <f>IF(ISNUMBER(S87),1,0)</f>
        <v/>
      </c>
      <c r="AD87">
        <f>IF(ISNUMBER(R87),R87,0)</f>
        <v/>
      </c>
    </row>
    <row r="88">
      <c r="A88" t="inlineStr">
        <is>
          <t>SIMULATED_AdTest_Balls_vs_Paint</t>
        </is>
      </c>
      <c r="B88" t="inlineStr">
        <is>
          <t>R11</t>
        </is>
      </c>
      <c r="C88" t="inlineStr">
        <is>
          <t>F</t>
        </is>
      </c>
      <c r="D88" t="n">
        <v>21</v>
      </c>
      <c r="E88" t="inlineStr">
        <is>
          <t>A</t>
        </is>
      </c>
      <c r="F88" t="inlineStr">
        <is>
          <t>2026-10-19</t>
        </is>
      </c>
      <c r="G88" t="inlineStr">
        <is>
          <t>Commercial_2_Paint</t>
        </is>
      </c>
      <c r="H88" t="inlineStr">
        <is>
          <t>Tagline_Text</t>
        </is>
      </c>
      <c r="I88" t="n">
        <v>60000</v>
      </c>
      <c r="J88" t="n">
        <v>4000</v>
      </c>
      <c r="K88" t="n">
        <v>6.67</v>
      </c>
      <c r="L88" t="n">
        <v>89.7</v>
      </c>
      <c r="M88" t="n">
        <v>1430</v>
      </c>
      <c r="N88" t="n">
        <v>1</v>
      </c>
      <c r="O88" t="n">
        <v>1414</v>
      </c>
      <c r="P88" t="n">
        <v>1</v>
      </c>
      <c r="Q88" t="n">
        <v>0</v>
      </c>
      <c r="R88" t="n">
        <v>4</v>
      </c>
      <c r="S88" t="n">
        <v>1666</v>
      </c>
      <c r="T88" t="n">
        <v>57666</v>
      </c>
      <c r="U88" t="n">
        <v>57666</v>
      </c>
      <c r="V88" t="n">
        <v>1232</v>
      </c>
      <c r="W88" t="n">
        <v>30.8</v>
      </c>
      <c r="X88" t="n">
        <v>308</v>
      </c>
      <c r="Y88" t="n">
        <v>214</v>
      </c>
      <c r="Z88">
        <f>IF(L88&gt;=70,"Yes","No")</f>
        <v/>
      </c>
      <c r="AA88">
        <f>IF(OR(AND(E88="A",G88="Commercial_1_Balls"),AND(E88="B",G88="Commercial_2_Paint")),"first","second")</f>
        <v/>
      </c>
      <c r="AB88">
        <f>IF(ISNUMBER(W88),W88,0)</f>
        <v/>
      </c>
      <c r="AC88">
        <f>IF(ISNUMBER(S88),1,0)</f>
        <v/>
      </c>
      <c r="AD88">
        <f>IF(ISNUMBER(R88),R88,0)</f>
        <v/>
      </c>
    </row>
    <row r="89">
      <c r="A89" t="inlineStr">
        <is>
          <t>SIMULATED_AdTest_Balls_vs_Paint</t>
        </is>
      </c>
      <c r="B89" t="inlineStr">
        <is>
          <t>R11</t>
        </is>
      </c>
      <c r="C89" t="inlineStr">
        <is>
          <t>F</t>
        </is>
      </c>
      <c r="D89" t="n">
        <v>21</v>
      </c>
      <c r="E89" t="inlineStr">
        <is>
          <t>A</t>
        </is>
      </c>
      <c r="F89" t="inlineStr">
        <is>
          <t>2026-10-19</t>
        </is>
      </c>
      <c r="G89" t="inlineStr">
        <is>
          <t>Commercial_2_Paint</t>
        </is>
      </c>
      <c r="H89" t="inlineStr">
        <is>
          <t>Hero_Element</t>
        </is>
      </c>
      <c r="I89" t="n">
        <v>60000</v>
      </c>
      <c r="J89" t="n">
        <v>32000</v>
      </c>
      <c r="K89" t="n">
        <v>53.33</v>
      </c>
      <c r="L89" t="n">
        <v>89.7</v>
      </c>
      <c r="M89" t="n">
        <v>349</v>
      </c>
      <c r="N89" t="n">
        <v>6</v>
      </c>
      <c r="O89" t="n">
        <v>17140</v>
      </c>
      <c r="P89" t="n">
        <v>4</v>
      </c>
      <c r="Q89" t="n">
        <v>3</v>
      </c>
      <c r="R89" t="n">
        <v>41</v>
      </c>
      <c r="S89" t="n">
        <v>627</v>
      </c>
      <c r="T89" t="n">
        <v>3627</v>
      </c>
      <c r="U89" t="n">
        <v>3627</v>
      </c>
      <c r="V89" t="n">
        <v>15671</v>
      </c>
      <c r="W89" t="n">
        <v>48.97</v>
      </c>
      <c r="X89" t="n">
        <v>382</v>
      </c>
      <c r="Y89" t="n">
        <v>252</v>
      </c>
      <c r="Z89">
        <f>IF(L89&gt;=70,"Yes","No")</f>
        <v/>
      </c>
      <c r="AA89">
        <f>IF(OR(AND(E89="A",G89="Commercial_1_Balls"),AND(E89="B",G89="Commercial_2_Paint")),"first","second")</f>
        <v/>
      </c>
      <c r="AB89">
        <f>IF(ISNUMBER(W89),W89,0)</f>
        <v/>
      </c>
      <c r="AC89">
        <f>IF(ISNUMBER(S89),1,0)</f>
        <v/>
      </c>
      <c r="AD89">
        <f>IF(ISNUMBER(R89),R89,0)</f>
        <v/>
      </c>
    </row>
    <row r="90">
      <c r="A90" t="inlineStr">
        <is>
          <t>SIMULATED_AdTest_Balls_vs_Paint</t>
        </is>
      </c>
      <c r="B90" t="inlineStr">
        <is>
          <t>R12</t>
        </is>
      </c>
      <c r="C90" t="inlineStr">
        <is>
          <t>M</t>
        </is>
      </c>
      <c r="D90" t="n">
        <v>39</v>
      </c>
      <c r="E90" t="inlineStr">
        <is>
          <t>B</t>
        </is>
      </c>
      <c r="F90" t="inlineStr">
        <is>
          <t>2026-10-19</t>
        </is>
      </c>
      <c r="G90" t="inlineStr">
        <is>
          <t>Commercial_1_Balls</t>
        </is>
      </c>
      <c r="H90" t="inlineStr">
        <is>
          <t>Product_TV</t>
        </is>
      </c>
      <c r="I90" t="n">
        <v>60000</v>
      </c>
      <c r="J90" t="n">
        <v>14000</v>
      </c>
      <c r="K90" t="n">
        <v>23.33</v>
      </c>
      <c r="L90" t="n">
        <v>91.3</v>
      </c>
      <c r="M90" t="n">
        <v>636</v>
      </c>
      <c r="N90" t="n">
        <v>1</v>
      </c>
      <c r="O90" t="n">
        <v>3257</v>
      </c>
      <c r="P90" t="n">
        <v>1</v>
      </c>
      <c r="Q90" t="n">
        <v>0</v>
      </c>
      <c r="R90" t="n">
        <v>12</v>
      </c>
      <c r="S90" t="n">
        <v>820</v>
      </c>
      <c r="T90" t="n">
        <v>12820</v>
      </c>
      <c r="U90" t="n">
        <v>12820</v>
      </c>
      <c r="V90" t="n">
        <v>2884</v>
      </c>
      <c r="W90" t="n">
        <v>20.6</v>
      </c>
      <c r="X90" t="n">
        <v>240</v>
      </c>
      <c r="Y90" t="n">
        <v>365</v>
      </c>
      <c r="Z90">
        <f>IF(L90&gt;=70,"Yes","No")</f>
        <v/>
      </c>
      <c r="AA90">
        <f>IF(OR(AND(E90="A",G90="Commercial_1_Balls"),AND(E90="B",G90="Commercial_2_Paint")),"first","second")</f>
        <v/>
      </c>
      <c r="AB90">
        <f>IF(ISNUMBER(W90),W90,0)</f>
        <v/>
      </c>
      <c r="AC90">
        <f>IF(ISNUMBER(S90),1,0)</f>
        <v/>
      </c>
      <c r="AD90">
        <f>IF(ISNUMBER(R90),R90,0)</f>
        <v/>
      </c>
    </row>
    <row r="91">
      <c r="A91" t="inlineStr">
        <is>
          <t>SIMULATED_AdTest_Balls_vs_Paint</t>
        </is>
      </c>
      <c r="B91" t="inlineStr">
        <is>
          <t>R12</t>
        </is>
      </c>
      <c r="C91" t="inlineStr">
        <is>
          <t>M</t>
        </is>
      </c>
      <c r="D91" t="n">
        <v>39</v>
      </c>
      <c r="E91" t="inlineStr">
        <is>
          <t>B</t>
        </is>
      </c>
      <c r="F91" t="inlineStr">
        <is>
          <t>2026-10-19</t>
        </is>
      </c>
      <c r="G91" t="inlineStr">
        <is>
          <t>Commercial_1_Balls</t>
        </is>
      </c>
      <c r="H91" t="inlineStr">
        <is>
          <t>Brand_Logo</t>
        </is>
      </c>
      <c r="I91" t="n">
        <v>60000</v>
      </c>
      <c r="J91" t="n">
        <v>5000</v>
      </c>
      <c r="K91" t="n">
        <v>8.33</v>
      </c>
      <c r="L91" t="n">
        <v>91.3</v>
      </c>
      <c r="M91" t="n">
        <v>588</v>
      </c>
      <c r="N91" t="n">
        <v>3</v>
      </c>
      <c r="O91" t="n">
        <v>2477</v>
      </c>
      <c r="P91" t="n">
        <v>3</v>
      </c>
      <c r="Q91" t="n">
        <v>2</v>
      </c>
      <c r="R91" t="n">
        <v>7</v>
      </c>
      <c r="S91" t="n">
        <v>826</v>
      </c>
      <c r="T91" t="n">
        <v>55826</v>
      </c>
      <c r="U91" t="n">
        <v>55826</v>
      </c>
      <c r="V91" t="n">
        <v>2203</v>
      </c>
      <c r="W91" t="n">
        <v>44.06</v>
      </c>
      <c r="X91" t="n">
        <v>315</v>
      </c>
      <c r="Y91" t="n">
        <v>307</v>
      </c>
      <c r="Z91">
        <f>IF(L91&gt;=70,"Yes","No")</f>
        <v/>
      </c>
      <c r="AA91">
        <f>IF(OR(AND(E91="A",G91="Commercial_1_Balls"),AND(E91="B",G91="Commercial_2_Paint")),"first","second")</f>
        <v/>
      </c>
      <c r="AB91">
        <f>IF(ISNUMBER(W91),W91,0)</f>
        <v/>
      </c>
      <c r="AC91">
        <f>IF(ISNUMBER(S91),1,0)</f>
        <v/>
      </c>
      <c r="AD91">
        <f>IF(ISNUMBER(R91),R91,0)</f>
        <v/>
      </c>
    </row>
    <row r="92">
      <c r="A92" t="inlineStr">
        <is>
          <t>SIMULATED_AdTest_Balls_vs_Paint</t>
        </is>
      </c>
      <c r="B92" t="inlineStr">
        <is>
          <t>R12</t>
        </is>
      </c>
      <c r="C92" t="inlineStr">
        <is>
          <t>M</t>
        </is>
      </c>
      <c r="D92" t="n">
        <v>39</v>
      </c>
      <c r="E92" t="inlineStr">
        <is>
          <t>B</t>
        </is>
      </c>
      <c r="F92" t="inlineStr">
        <is>
          <t>2026-10-19</t>
        </is>
      </c>
      <c r="G92" t="inlineStr">
        <is>
          <t>Commercial_1_Balls</t>
        </is>
      </c>
      <c r="H92" t="inlineStr">
        <is>
          <t>Tagline_Text</t>
        </is>
      </c>
      <c r="I92" t="n">
        <v>60000</v>
      </c>
      <c r="J92" t="n">
        <v>4000</v>
      </c>
      <c r="K92" t="n">
        <v>6.67</v>
      </c>
      <c r="L92" t="n">
        <v>91.3</v>
      </c>
      <c r="M92" t="n">
        <v>802</v>
      </c>
      <c r="N92" t="n">
        <v>3</v>
      </c>
      <c r="O92" t="n">
        <v>1188</v>
      </c>
      <c r="P92" t="n">
        <v>3</v>
      </c>
      <c r="Q92" t="n">
        <v>2</v>
      </c>
      <c r="R92" t="n">
        <v>4</v>
      </c>
      <c r="S92" t="n">
        <v>1080</v>
      </c>
      <c r="T92" t="n">
        <v>57080</v>
      </c>
      <c r="U92" t="n">
        <v>57080</v>
      </c>
      <c r="V92" t="n">
        <v>1102</v>
      </c>
      <c r="W92" t="n">
        <v>27.55</v>
      </c>
      <c r="X92" t="n">
        <v>276</v>
      </c>
      <c r="Y92" t="n">
        <v>308</v>
      </c>
      <c r="Z92">
        <f>IF(L92&gt;=70,"Yes","No")</f>
        <v/>
      </c>
      <c r="AA92">
        <f>IF(OR(AND(E92="A",G92="Commercial_1_Balls"),AND(E92="B",G92="Commercial_2_Paint")),"first","second")</f>
        <v/>
      </c>
      <c r="AB92">
        <f>IF(ISNUMBER(W92),W92,0)</f>
        <v/>
      </c>
      <c r="AC92">
        <f>IF(ISNUMBER(S92),1,0)</f>
        <v/>
      </c>
      <c r="AD92">
        <f>IF(ISNUMBER(R92),R92,0)</f>
        <v/>
      </c>
    </row>
    <row r="93">
      <c r="A93" t="inlineStr">
        <is>
          <t>SIMULATED_AdTest_Balls_vs_Paint</t>
        </is>
      </c>
      <c r="B93" t="inlineStr">
        <is>
          <t>R12</t>
        </is>
      </c>
      <c r="C93" t="inlineStr">
        <is>
          <t>M</t>
        </is>
      </c>
      <c r="D93" t="n">
        <v>39</v>
      </c>
      <c r="E93" t="inlineStr">
        <is>
          <t>B</t>
        </is>
      </c>
      <c r="F93" t="inlineStr">
        <is>
          <t>2026-10-19</t>
        </is>
      </c>
      <c r="G93" t="inlineStr">
        <is>
          <t>Commercial_1_Balls</t>
        </is>
      </c>
      <c r="H93" t="inlineStr">
        <is>
          <t>Hero_Element</t>
        </is>
      </c>
      <c r="I93" t="n">
        <v>60000</v>
      </c>
      <c r="J93" t="n">
        <v>40000</v>
      </c>
      <c r="K93" t="n">
        <v>66.67</v>
      </c>
      <c r="L93" t="n">
        <v>91.3</v>
      </c>
      <c r="M93" t="n">
        <v>797</v>
      </c>
      <c r="N93" t="n">
        <v>5</v>
      </c>
      <c r="O93" t="n">
        <v>21823</v>
      </c>
      <c r="P93" t="n">
        <v>5</v>
      </c>
      <c r="Q93" t="n">
        <v>4</v>
      </c>
      <c r="R93" t="n">
        <v>87</v>
      </c>
      <c r="S93" t="n">
        <v>1013</v>
      </c>
      <c r="T93" t="n">
        <v>3013</v>
      </c>
      <c r="U93" t="n">
        <v>3013</v>
      </c>
      <c r="V93" t="n">
        <v>20882</v>
      </c>
      <c r="W93" t="n">
        <v>52.2</v>
      </c>
      <c r="X93" t="n">
        <v>240</v>
      </c>
      <c r="Y93" t="n">
        <v>261</v>
      </c>
      <c r="Z93">
        <f>IF(L93&gt;=70,"Yes","No")</f>
        <v/>
      </c>
      <c r="AA93">
        <f>IF(OR(AND(E93="A",G93="Commercial_1_Balls"),AND(E93="B",G93="Commercial_2_Paint")),"first","second")</f>
        <v/>
      </c>
      <c r="AB93">
        <f>IF(ISNUMBER(W93),W93,0)</f>
        <v/>
      </c>
      <c r="AC93">
        <f>IF(ISNUMBER(S93),1,0)</f>
        <v/>
      </c>
      <c r="AD93">
        <f>IF(ISNUMBER(R93),R93,0)</f>
        <v/>
      </c>
    </row>
    <row r="94">
      <c r="A94" t="inlineStr">
        <is>
          <t>SIMULATED_AdTest_Balls_vs_Paint</t>
        </is>
      </c>
      <c r="B94" t="inlineStr">
        <is>
          <t>R12</t>
        </is>
      </c>
      <c r="C94" t="inlineStr">
        <is>
          <t>M</t>
        </is>
      </c>
      <c r="D94" t="n">
        <v>39</v>
      </c>
      <c r="E94" t="inlineStr">
        <is>
          <t>B</t>
        </is>
      </c>
      <c r="F94" t="inlineStr">
        <is>
          <t>2026-10-19</t>
        </is>
      </c>
      <c r="G94" t="inlineStr">
        <is>
          <t>Commercial_2_Paint</t>
        </is>
      </c>
      <c r="H94" t="inlineStr">
        <is>
          <t>Product_TV</t>
        </is>
      </c>
      <c r="I94" t="n">
        <v>60000</v>
      </c>
      <c r="J94" t="n">
        <v>20000</v>
      </c>
      <c r="K94" t="n">
        <v>33.33</v>
      </c>
      <c r="L94" t="n">
        <v>91.3</v>
      </c>
      <c r="M94" t="n">
        <v>1368</v>
      </c>
      <c r="N94" t="n">
        <v>2</v>
      </c>
      <c r="O94" t="n">
        <v>6763</v>
      </c>
      <c r="P94" t="n">
        <v>2</v>
      </c>
      <c r="Q94" t="n">
        <v>1</v>
      </c>
      <c r="R94" t="n">
        <v>25</v>
      </c>
      <c r="S94" t="n">
        <v>1593</v>
      </c>
      <c r="T94" t="n">
        <v>10593</v>
      </c>
      <c r="U94" t="n">
        <v>10593</v>
      </c>
      <c r="V94" t="n">
        <v>6156</v>
      </c>
      <c r="W94" t="n">
        <v>30.78</v>
      </c>
      <c r="X94" t="n">
        <v>246</v>
      </c>
      <c r="Y94" t="n">
        <v>174</v>
      </c>
      <c r="Z94">
        <f>IF(L94&gt;=70,"Yes","No")</f>
        <v/>
      </c>
      <c r="AA94">
        <f>IF(OR(AND(E94="A",G94="Commercial_1_Balls"),AND(E94="B",G94="Commercial_2_Paint")),"first","second")</f>
        <v/>
      </c>
      <c r="AB94">
        <f>IF(ISNUMBER(W94),W94,0)</f>
        <v/>
      </c>
      <c r="AC94">
        <f>IF(ISNUMBER(S94),1,0)</f>
        <v/>
      </c>
      <c r="AD94">
        <f>IF(ISNUMBER(R94),R94,0)</f>
        <v/>
      </c>
    </row>
    <row r="95">
      <c r="A95" t="inlineStr">
        <is>
          <t>SIMULATED_AdTest_Balls_vs_Paint</t>
        </is>
      </c>
      <c r="B95" t="inlineStr">
        <is>
          <t>R12</t>
        </is>
      </c>
      <c r="C95" t="inlineStr">
        <is>
          <t>M</t>
        </is>
      </c>
      <c r="D95" t="n">
        <v>39</v>
      </c>
      <c r="E95" t="inlineStr">
        <is>
          <t>B</t>
        </is>
      </c>
      <c r="F95" t="inlineStr">
        <is>
          <t>2026-10-19</t>
        </is>
      </c>
      <c r="G95" t="inlineStr">
        <is>
          <t>Commercial_2_Paint</t>
        </is>
      </c>
      <c r="H95" t="inlineStr">
        <is>
          <t>Brand_Logo</t>
        </is>
      </c>
      <c r="I95" t="n">
        <v>60000</v>
      </c>
      <c r="J95" t="n">
        <v>5000</v>
      </c>
      <c r="K95" t="n">
        <v>8.33</v>
      </c>
      <c r="L95" t="n">
        <v>91.3</v>
      </c>
      <c r="M95" t="n">
        <v>561</v>
      </c>
      <c r="N95" t="n">
        <v>4</v>
      </c>
      <c r="O95" t="n">
        <v>2233</v>
      </c>
      <c r="P95" t="n">
        <v>2</v>
      </c>
      <c r="Q95" t="n">
        <v>1</v>
      </c>
      <c r="R95" t="n">
        <v>8</v>
      </c>
      <c r="S95" t="n">
        <v>684</v>
      </c>
      <c r="T95" t="n">
        <v>55684</v>
      </c>
      <c r="U95" t="n">
        <v>55684</v>
      </c>
      <c r="V95" t="n">
        <v>2001</v>
      </c>
      <c r="W95" t="n">
        <v>40.02</v>
      </c>
      <c r="X95" t="n">
        <v>250</v>
      </c>
      <c r="Y95" t="n">
        <v>279</v>
      </c>
      <c r="Z95">
        <f>IF(L95&gt;=70,"Yes","No")</f>
        <v/>
      </c>
      <c r="AA95">
        <f>IF(OR(AND(E95="A",G95="Commercial_1_Balls"),AND(E95="B",G95="Commercial_2_Paint")),"first","second")</f>
        <v/>
      </c>
      <c r="AB95">
        <f>IF(ISNUMBER(W95),W95,0)</f>
        <v/>
      </c>
      <c r="AC95">
        <f>IF(ISNUMBER(S95),1,0)</f>
        <v/>
      </c>
      <c r="AD95">
        <f>IF(ISNUMBER(R95),R95,0)</f>
        <v/>
      </c>
    </row>
    <row r="96">
      <c r="A96" t="inlineStr">
        <is>
          <t>SIMULATED_AdTest_Balls_vs_Paint</t>
        </is>
      </c>
      <c r="B96" t="inlineStr">
        <is>
          <t>R12</t>
        </is>
      </c>
      <c r="C96" t="inlineStr">
        <is>
          <t>M</t>
        </is>
      </c>
      <c r="D96" t="n">
        <v>39</v>
      </c>
      <c r="E96" t="inlineStr">
        <is>
          <t>B</t>
        </is>
      </c>
      <c r="F96" t="inlineStr">
        <is>
          <t>2026-10-19</t>
        </is>
      </c>
      <c r="G96" t="inlineStr">
        <is>
          <t>Commercial_2_Paint</t>
        </is>
      </c>
      <c r="H96" t="inlineStr">
        <is>
          <t>Tagline_Text</t>
        </is>
      </c>
      <c r="I96" t="n">
        <v>60000</v>
      </c>
      <c r="J96" t="n">
        <v>4000</v>
      </c>
      <c r="K96" t="n">
        <v>6.67</v>
      </c>
      <c r="L96" t="n">
        <v>91.3</v>
      </c>
      <c r="M96" t="n">
        <v>1351</v>
      </c>
      <c r="N96" t="n">
        <v>2</v>
      </c>
      <c r="O96" t="n">
        <v>790</v>
      </c>
      <c r="P96" t="n">
        <v>2</v>
      </c>
      <c r="Q96" t="n">
        <v>1</v>
      </c>
      <c r="R96" t="n">
        <v>3</v>
      </c>
      <c r="S96" t="n">
        <v>1604</v>
      </c>
      <c r="T96" t="n">
        <v>57604</v>
      </c>
      <c r="U96" t="n">
        <v>57604</v>
      </c>
      <c r="V96" t="n">
        <v>706</v>
      </c>
      <c r="W96" t="n">
        <v>17.65</v>
      </c>
      <c r="X96" t="n">
        <v>235</v>
      </c>
      <c r="Y96" t="n">
        <v>184</v>
      </c>
      <c r="Z96">
        <f>IF(L96&gt;=70,"Yes","No")</f>
        <v/>
      </c>
      <c r="AA96">
        <f>IF(OR(AND(E96="A",G96="Commercial_1_Balls"),AND(E96="B",G96="Commercial_2_Paint")),"first","second")</f>
        <v/>
      </c>
      <c r="AB96">
        <f>IF(ISNUMBER(W96),W96,0)</f>
        <v/>
      </c>
      <c r="AC96">
        <f>IF(ISNUMBER(S96),1,0)</f>
        <v/>
      </c>
      <c r="AD96">
        <f>IF(ISNUMBER(R96),R96,0)</f>
        <v/>
      </c>
    </row>
    <row r="97">
      <c r="A97" t="inlineStr">
        <is>
          <t>SIMULATED_AdTest_Balls_vs_Paint</t>
        </is>
      </c>
      <c r="B97" t="inlineStr">
        <is>
          <t>R12</t>
        </is>
      </c>
      <c r="C97" t="inlineStr">
        <is>
          <t>M</t>
        </is>
      </c>
      <c r="D97" t="n">
        <v>39</v>
      </c>
      <c r="E97" t="inlineStr">
        <is>
          <t>B</t>
        </is>
      </c>
      <c r="F97" t="inlineStr">
        <is>
          <t>2026-10-19</t>
        </is>
      </c>
      <c r="G97" t="inlineStr">
        <is>
          <t>Commercial_2_Paint</t>
        </is>
      </c>
      <c r="H97" t="inlineStr">
        <is>
          <t>Hero_Element</t>
        </is>
      </c>
      <c r="I97" t="n">
        <v>60000</v>
      </c>
      <c r="J97" t="n">
        <v>32000</v>
      </c>
      <c r="K97" t="n">
        <v>53.33</v>
      </c>
      <c r="L97" t="n">
        <v>91.3</v>
      </c>
      <c r="M97" t="n">
        <v>243</v>
      </c>
      <c r="N97" t="n">
        <v>2</v>
      </c>
      <c r="O97" t="n">
        <v>16243</v>
      </c>
      <c r="P97" t="n">
        <v>2</v>
      </c>
      <c r="Q97" t="n">
        <v>1</v>
      </c>
      <c r="R97" t="n">
        <v>48</v>
      </c>
      <c r="S97" t="n">
        <v>541</v>
      </c>
      <c r="T97" t="n">
        <v>3541</v>
      </c>
      <c r="U97" t="n">
        <v>3541</v>
      </c>
      <c r="V97" t="n">
        <v>14336</v>
      </c>
      <c r="W97" t="n">
        <v>44.8</v>
      </c>
      <c r="X97" t="n">
        <v>299</v>
      </c>
      <c r="Y97" t="n">
        <v>218</v>
      </c>
      <c r="Z97">
        <f>IF(L97&gt;=70,"Yes","No")</f>
        <v/>
      </c>
      <c r="AA97">
        <f>IF(OR(AND(E97="A",G97="Commercial_1_Balls"),AND(E97="B",G97="Commercial_2_Paint")),"first","second")</f>
        <v/>
      </c>
      <c r="AB97">
        <f>IF(ISNUMBER(W97),W97,0)</f>
        <v/>
      </c>
      <c r="AC97">
        <f>IF(ISNUMBER(S97),1,0)</f>
        <v/>
      </c>
      <c r="AD97">
        <f>IF(ISNUMBER(R97),R97,0)</f>
        <v/>
      </c>
    </row>
    <row r="98">
      <c r="A98" t="inlineStr">
        <is>
          <t>SIMULATED_AdTest_Balls_vs_Paint</t>
        </is>
      </c>
      <c r="B98" t="inlineStr">
        <is>
          <t>R13</t>
        </is>
      </c>
      <c r="C98" t="inlineStr">
        <is>
          <t>F</t>
        </is>
      </c>
      <c r="D98" t="n">
        <v>21</v>
      </c>
      <c r="E98" t="inlineStr">
        <is>
          <t>A</t>
        </is>
      </c>
      <c r="F98" t="inlineStr">
        <is>
          <t>2026-10-19</t>
        </is>
      </c>
      <c r="G98" t="inlineStr">
        <is>
          <t>Commercial_1_Balls</t>
        </is>
      </c>
      <c r="H98" t="inlineStr">
        <is>
          <t>Product_TV</t>
        </is>
      </c>
      <c r="I98" t="n">
        <v>60000</v>
      </c>
      <c r="J98" t="n">
        <v>14000</v>
      </c>
      <c r="K98" t="n">
        <v>23.33</v>
      </c>
      <c r="L98" t="n">
        <v>91.2</v>
      </c>
      <c r="M98" t="n">
        <v>515</v>
      </c>
      <c r="N98" t="n">
        <v>2</v>
      </c>
      <c r="O98" t="n">
        <v>3029</v>
      </c>
      <c r="P98" t="n">
        <v>2</v>
      </c>
      <c r="Q98" t="n">
        <v>1</v>
      </c>
      <c r="R98" t="n">
        <v>9</v>
      </c>
      <c r="S98" t="n">
        <v>763</v>
      </c>
      <c r="T98" t="n">
        <v>12763</v>
      </c>
      <c r="U98" t="n">
        <v>12763</v>
      </c>
      <c r="V98" t="n">
        <v>2866</v>
      </c>
      <c r="W98" t="n">
        <v>20.47</v>
      </c>
      <c r="X98" t="n">
        <v>318</v>
      </c>
      <c r="Y98" t="n">
        <v>199</v>
      </c>
      <c r="Z98">
        <f>IF(L98&gt;=70,"Yes","No")</f>
        <v/>
      </c>
      <c r="AA98">
        <f>IF(OR(AND(E98="A",G98="Commercial_1_Balls"),AND(E98="B",G98="Commercial_2_Paint")),"first","second")</f>
        <v/>
      </c>
      <c r="AB98">
        <f>IF(ISNUMBER(W98),W98,0)</f>
        <v/>
      </c>
      <c r="AC98">
        <f>IF(ISNUMBER(S98),1,0)</f>
        <v/>
      </c>
      <c r="AD98">
        <f>IF(ISNUMBER(R98),R98,0)</f>
        <v/>
      </c>
    </row>
    <row r="99">
      <c r="A99" t="inlineStr">
        <is>
          <t>SIMULATED_AdTest_Balls_vs_Paint</t>
        </is>
      </c>
      <c r="B99" t="inlineStr">
        <is>
          <t>R13</t>
        </is>
      </c>
      <c r="C99" t="inlineStr">
        <is>
          <t>F</t>
        </is>
      </c>
      <c r="D99" t="n">
        <v>21</v>
      </c>
      <c r="E99" t="inlineStr">
        <is>
          <t>A</t>
        </is>
      </c>
      <c r="F99" t="inlineStr">
        <is>
          <t>2026-10-19</t>
        </is>
      </c>
      <c r="G99" t="inlineStr">
        <is>
          <t>Commercial_1_Balls</t>
        </is>
      </c>
      <c r="H99" t="inlineStr">
        <is>
          <t>Brand_Logo</t>
        </is>
      </c>
      <c r="I99" t="n">
        <v>60000</v>
      </c>
      <c r="J99" t="n">
        <v>5000</v>
      </c>
      <c r="K99" t="n">
        <v>8.33</v>
      </c>
      <c r="L99" t="n">
        <v>91.2</v>
      </c>
      <c r="M99" t="n">
        <v>533</v>
      </c>
      <c r="N99" t="n">
        <v>2</v>
      </c>
      <c r="O99" t="n">
        <v>1177</v>
      </c>
      <c r="P99" t="n">
        <v>1</v>
      </c>
      <c r="Q99" t="n">
        <v>0</v>
      </c>
      <c r="R99" t="n">
        <v>4</v>
      </c>
      <c r="S99" t="n">
        <v>698</v>
      </c>
      <c r="T99" t="n">
        <v>55698</v>
      </c>
      <c r="U99" t="n">
        <v>55698</v>
      </c>
      <c r="V99" t="n">
        <v>1110</v>
      </c>
      <c r="W99" t="n">
        <v>22.2</v>
      </c>
      <c r="X99" t="n">
        <v>278</v>
      </c>
      <c r="Y99" t="n">
        <v>273</v>
      </c>
      <c r="Z99">
        <f>IF(L99&gt;=70,"Yes","No")</f>
        <v/>
      </c>
      <c r="AA99">
        <f>IF(OR(AND(E99="A",G99="Commercial_1_Balls"),AND(E99="B",G99="Commercial_2_Paint")),"first","second")</f>
        <v/>
      </c>
      <c r="AB99">
        <f>IF(ISNUMBER(W99),W99,0)</f>
        <v/>
      </c>
      <c r="AC99">
        <f>IF(ISNUMBER(S99),1,0)</f>
        <v/>
      </c>
      <c r="AD99">
        <f>IF(ISNUMBER(R99),R99,0)</f>
        <v/>
      </c>
    </row>
    <row r="100">
      <c r="A100" t="inlineStr">
        <is>
          <t>SIMULATED_AdTest_Balls_vs_Paint</t>
        </is>
      </c>
      <c r="B100" t="inlineStr">
        <is>
          <t>R13</t>
        </is>
      </c>
      <c r="C100" t="inlineStr">
        <is>
          <t>F</t>
        </is>
      </c>
      <c r="D100" t="n">
        <v>21</v>
      </c>
      <c r="E100" t="inlineStr">
        <is>
          <t>A</t>
        </is>
      </c>
      <c r="F100" t="inlineStr">
        <is>
          <t>2026-10-19</t>
        </is>
      </c>
      <c r="G100" t="inlineStr">
        <is>
          <t>Commercial_1_Balls</t>
        </is>
      </c>
      <c r="H100" t="inlineStr">
        <is>
          <t>Tagline_Text</t>
        </is>
      </c>
      <c r="I100" t="n">
        <v>60000</v>
      </c>
      <c r="J100" t="n">
        <v>4000</v>
      </c>
      <c r="K100" t="n">
        <v>6.67</v>
      </c>
      <c r="L100" t="n">
        <v>91.2</v>
      </c>
      <c r="M100" t="n">
        <v>1393</v>
      </c>
      <c r="N100" t="n">
        <v>1</v>
      </c>
      <c r="O100" t="n">
        <v>841</v>
      </c>
      <c r="P100" t="n">
        <v>1</v>
      </c>
      <c r="Q100" t="n">
        <v>0</v>
      </c>
      <c r="R100" t="n">
        <v>3</v>
      </c>
      <c r="S100" t="n">
        <v>1635</v>
      </c>
      <c r="T100" t="n">
        <v>57635</v>
      </c>
      <c r="U100" t="n">
        <v>57635</v>
      </c>
      <c r="V100" t="n">
        <v>791</v>
      </c>
      <c r="W100" t="n">
        <v>19.77</v>
      </c>
      <c r="X100" t="n">
        <v>264</v>
      </c>
      <c r="Y100" t="n">
        <v>263</v>
      </c>
      <c r="Z100">
        <f>IF(L100&gt;=70,"Yes","No")</f>
        <v/>
      </c>
      <c r="AA100">
        <f>IF(OR(AND(E100="A",G100="Commercial_1_Balls"),AND(E100="B",G100="Commercial_2_Paint")),"first","second")</f>
        <v/>
      </c>
      <c r="AB100">
        <f>IF(ISNUMBER(W100),W100,0)</f>
        <v/>
      </c>
      <c r="AC100">
        <f>IF(ISNUMBER(S100),1,0)</f>
        <v/>
      </c>
      <c r="AD100">
        <f>IF(ISNUMBER(R100),R100,0)</f>
        <v/>
      </c>
    </row>
    <row r="101">
      <c r="A101" t="inlineStr">
        <is>
          <t>SIMULATED_AdTest_Balls_vs_Paint</t>
        </is>
      </c>
      <c r="B101" t="inlineStr">
        <is>
          <t>R13</t>
        </is>
      </c>
      <c r="C101" t="inlineStr">
        <is>
          <t>F</t>
        </is>
      </c>
      <c r="D101" t="n">
        <v>21</v>
      </c>
      <c r="E101" t="inlineStr">
        <is>
          <t>A</t>
        </is>
      </c>
      <c r="F101" t="inlineStr">
        <is>
          <t>2026-10-19</t>
        </is>
      </c>
      <c r="G101" t="inlineStr">
        <is>
          <t>Commercial_1_Balls</t>
        </is>
      </c>
      <c r="H101" t="inlineStr">
        <is>
          <t>Hero_Element</t>
        </is>
      </c>
      <c r="I101" t="n">
        <v>60000</v>
      </c>
      <c r="J101" t="n">
        <v>40000</v>
      </c>
      <c r="K101" t="n">
        <v>66.67</v>
      </c>
      <c r="L101" t="n">
        <v>91.2</v>
      </c>
      <c r="M101" t="n">
        <v>430</v>
      </c>
      <c r="N101" t="n">
        <v>5</v>
      </c>
      <c r="O101" t="n">
        <v>27082</v>
      </c>
      <c r="P101" t="n">
        <v>5</v>
      </c>
      <c r="Q101" t="n">
        <v>4</v>
      </c>
      <c r="R101" t="n">
        <v>76</v>
      </c>
      <c r="S101" t="n">
        <v>568</v>
      </c>
      <c r="T101" t="n">
        <v>2568</v>
      </c>
      <c r="U101" t="n">
        <v>2568</v>
      </c>
      <c r="V101" t="n">
        <v>24084</v>
      </c>
      <c r="W101" t="n">
        <v>60.21</v>
      </c>
      <c r="X101" t="n">
        <v>317</v>
      </c>
      <c r="Y101" t="n">
        <v>237</v>
      </c>
      <c r="Z101">
        <f>IF(L101&gt;=70,"Yes","No")</f>
        <v/>
      </c>
      <c r="AA101">
        <f>IF(OR(AND(E101="A",G101="Commercial_1_Balls"),AND(E101="B",G101="Commercial_2_Paint")),"first","second")</f>
        <v/>
      </c>
      <c r="AB101">
        <f>IF(ISNUMBER(W101),W101,0)</f>
        <v/>
      </c>
      <c r="AC101">
        <f>IF(ISNUMBER(S101),1,0)</f>
        <v/>
      </c>
      <c r="AD101">
        <f>IF(ISNUMBER(R101),R101,0)</f>
        <v/>
      </c>
    </row>
    <row r="102">
      <c r="A102" t="inlineStr">
        <is>
          <t>SIMULATED_AdTest_Balls_vs_Paint</t>
        </is>
      </c>
      <c r="B102" t="inlineStr">
        <is>
          <t>R13</t>
        </is>
      </c>
      <c r="C102" t="inlineStr">
        <is>
          <t>F</t>
        </is>
      </c>
      <c r="D102" t="n">
        <v>21</v>
      </c>
      <c r="E102" t="inlineStr">
        <is>
          <t>A</t>
        </is>
      </c>
      <c r="F102" t="inlineStr">
        <is>
          <t>2026-10-19</t>
        </is>
      </c>
      <c r="G102" t="inlineStr">
        <is>
          <t>Commercial_2_Paint</t>
        </is>
      </c>
      <c r="H102" t="inlineStr">
        <is>
          <t>Product_TV</t>
        </is>
      </c>
      <c r="I102" t="n">
        <v>60000</v>
      </c>
      <c r="J102" t="n">
        <v>20000</v>
      </c>
      <c r="K102" t="n">
        <v>33.33</v>
      </c>
      <c r="L102" t="n">
        <v>91.2</v>
      </c>
      <c r="M102" t="n">
        <v>356</v>
      </c>
      <c r="N102" t="n">
        <v>4</v>
      </c>
      <c r="O102" t="n">
        <v>7225</v>
      </c>
      <c r="P102" t="n">
        <v>3</v>
      </c>
      <c r="Q102" t="n">
        <v>2</v>
      </c>
      <c r="R102" t="n">
        <v>24</v>
      </c>
      <c r="S102" t="n">
        <v>448</v>
      </c>
      <c r="T102" t="n">
        <v>9448</v>
      </c>
      <c r="U102" t="n">
        <v>9448</v>
      </c>
      <c r="V102" t="n">
        <v>6703</v>
      </c>
      <c r="W102" t="n">
        <v>33.52</v>
      </c>
      <c r="X102" t="n">
        <v>279</v>
      </c>
      <c r="Y102" t="n">
        <v>292</v>
      </c>
      <c r="Z102">
        <f>IF(L102&gt;=70,"Yes","No")</f>
        <v/>
      </c>
      <c r="AA102">
        <f>IF(OR(AND(E102="A",G102="Commercial_1_Balls"),AND(E102="B",G102="Commercial_2_Paint")),"first","second")</f>
        <v/>
      </c>
      <c r="AB102">
        <f>IF(ISNUMBER(W102),W102,0)</f>
        <v/>
      </c>
      <c r="AC102">
        <f>IF(ISNUMBER(S102),1,0)</f>
        <v/>
      </c>
      <c r="AD102">
        <f>IF(ISNUMBER(R102),R102,0)</f>
        <v/>
      </c>
    </row>
    <row r="103">
      <c r="A103" t="inlineStr">
        <is>
          <t>SIMULATED_AdTest_Balls_vs_Paint</t>
        </is>
      </c>
      <c r="B103" t="inlineStr">
        <is>
          <t>R13</t>
        </is>
      </c>
      <c r="C103" t="inlineStr">
        <is>
          <t>F</t>
        </is>
      </c>
      <c r="D103" t="n">
        <v>21</v>
      </c>
      <c r="E103" t="inlineStr">
        <is>
          <t>A</t>
        </is>
      </c>
      <c r="F103" t="inlineStr">
        <is>
          <t>2026-10-19</t>
        </is>
      </c>
      <c r="G103" t="inlineStr">
        <is>
          <t>Commercial_2_Paint</t>
        </is>
      </c>
      <c r="H103" t="inlineStr">
        <is>
          <t>Brand_Logo</t>
        </is>
      </c>
      <c r="I103" t="n">
        <v>60000</v>
      </c>
      <c r="J103" t="n">
        <v>5000</v>
      </c>
      <c r="K103" t="n">
        <v>8.33</v>
      </c>
      <c r="L103" t="n">
        <v>91.2</v>
      </c>
      <c r="M103" t="n">
        <v>525</v>
      </c>
      <c r="N103" t="n">
        <v>1</v>
      </c>
      <c r="O103" t="n">
        <v>1536</v>
      </c>
      <c r="P103" t="n">
        <v>1</v>
      </c>
      <c r="Q103" t="n">
        <v>0</v>
      </c>
      <c r="R103" t="n">
        <v>4</v>
      </c>
      <c r="S103" t="n">
        <v>700</v>
      </c>
      <c r="T103" t="n">
        <v>55700</v>
      </c>
      <c r="U103" t="n">
        <v>55700</v>
      </c>
      <c r="V103" t="n">
        <v>1372</v>
      </c>
      <c r="W103" t="n">
        <v>27.44</v>
      </c>
      <c r="X103" t="n">
        <v>343</v>
      </c>
      <c r="Y103" t="n">
        <v>206</v>
      </c>
      <c r="Z103">
        <f>IF(L103&gt;=70,"Yes","No")</f>
        <v/>
      </c>
      <c r="AA103">
        <f>IF(OR(AND(E103="A",G103="Commercial_1_Balls"),AND(E103="B",G103="Commercial_2_Paint")),"first","second")</f>
        <v/>
      </c>
      <c r="AB103">
        <f>IF(ISNUMBER(W103),W103,0)</f>
        <v/>
      </c>
      <c r="AC103">
        <f>IF(ISNUMBER(S103),1,0)</f>
        <v/>
      </c>
      <c r="AD103">
        <f>IF(ISNUMBER(R103),R103,0)</f>
        <v/>
      </c>
    </row>
    <row r="104">
      <c r="A104" t="inlineStr">
        <is>
          <t>SIMULATED_AdTest_Balls_vs_Paint</t>
        </is>
      </c>
      <c r="B104" t="inlineStr">
        <is>
          <t>R13</t>
        </is>
      </c>
      <c r="C104" t="inlineStr">
        <is>
          <t>F</t>
        </is>
      </c>
      <c r="D104" t="n">
        <v>21</v>
      </c>
      <c r="E104" t="inlineStr">
        <is>
          <t>A</t>
        </is>
      </c>
      <c r="F104" t="inlineStr">
        <is>
          <t>2026-10-19</t>
        </is>
      </c>
      <c r="G104" t="inlineStr">
        <is>
          <t>Commercial_2_Paint</t>
        </is>
      </c>
      <c r="H104" t="inlineStr">
        <is>
          <t>Tagline_Text</t>
        </is>
      </c>
      <c r="I104" t="n">
        <v>60000</v>
      </c>
      <c r="J104" t="n">
        <v>4000</v>
      </c>
      <c r="K104" t="n">
        <v>6.67</v>
      </c>
      <c r="L104" t="n">
        <v>91.2</v>
      </c>
      <c r="M104" t="n">
        <v>1622</v>
      </c>
      <c r="N104" t="n">
        <v>2</v>
      </c>
      <c r="O104" t="n">
        <v>1560</v>
      </c>
      <c r="P104" t="n">
        <v>1</v>
      </c>
      <c r="Q104" t="n">
        <v>0</v>
      </c>
      <c r="R104" t="n">
        <v>5</v>
      </c>
      <c r="S104" t="n">
        <v>1863</v>
      </c>
      <c r="T104" t="n">
        <v>57863</v>
      </c>
      <c r="U104" t="n">
        <v>57863</v>
      </c>
      <c r="V104" t="n">
        <v>1452</v>
      </c>
      <c r="W104" t="n">
        <v>36.3</v>
      </c>
      <c r="X104" t="n">
        <v>290</v>
      </c>
      <c r="Y104" t="n">
        <v>292</v>
      </c>
      <c r="Z104">
        <f>IF(L104&gt;=70,"Yes","No")</f>
        <v/>
      </c>
      <c r="AA104">
        <f>IF(OR(AND(E104="A",G104="Commercial_1_Balls"),AND(E104="B",G104="Commercial_2_Paint")),"first","second")</f>
        <v/>
      </c>
      <c r="AB104">
        <f>IF(ISNUMBER(W104),W104,0)</f>
        <v/>
      </c>
      <c r="AC104">
        <f>IF(ISNUMBER(S104),1,0)</f>
        <v/>
      </c>
      <c r="AD104">
        <f>IF(ISNUMBER(R104),R104,0)</f>
        <v/>
      </c>
    </row>
    <row r="105">
      <c r="A105" t="inlineStr">
        <is>
          <t>SIMULATED_AdTest_Balls_vs_Paint</t>
        </is>
      </c>
      <c r="B105" t="inlineStr">
        <is>
          <t>R13</t>
        </is>
      </c>
      <c r="C105" t="inlineStr">
        <is>
          <t>F</t>
        </is>
      </c>
      <c r="D105" t="n">
        <v>21</v>
      </c>
      <c r="E105" t="inlineStr">
        <is>
          <t>A</t>
        </is>
      </c>
      <c r="F105" t="inlineStr">
        <is>
          <t>2026-10-19</t>
        </is>
      </c>
      <c r="G105" t="inlineStr">
        <is>
          <t>Commercial_2_Paint</t>
        </is>
      </c>
      <c r="H105" t="inlineStr">
        <is>
          <t>Hero_Element</t>
        </is>
      </c>
      <c r="I105" t="n">
        <v>60000</v>
      </c>
      <c r="J105" t="n">
        <v>32000</v>
      </c>
      <c r="K105" t="n">
        <v>53.33</v>
      </c>
      <c r="L105" t="n">
        <v>91.2</v>
      </c>
      <c r="M105" t="n">
        <v>334</v>
      </c>
      <c r="N105" t="n">
        <v>3</v>
      </c>
      <c r="O105" t="n">
        <v>15492</v>
      </c>
      <c r="P105" t="n">
        <v>3</v>
      </c>
      <c r="Q105" t="n">
        <v>2</v>
      </c>
      <c r="R105" t="n">
        <v>40</v>
      </c>
      <c r="S105" t="n">
        <v>436</v>
      </c>
      <c r="T105" t="n">
        <v>3436</v>
      </c>
      <c r="U105" t="n">
        <v>3436</v>
      </c>
      <c r="V105" t="n">
        <v>14116</v>
      </c>
      <c r="W105" t="n">
        <v>44.11</v>
      </c>
      <c r="X105" t="n">
        <v>353</v>
      </c>
      <c r="Y105" t="n">
        <v>312</v>
      </c>
      <c r="Z105">
        <f>IF(L105&gt;=70,"Yes","No")</f>
        <v/>
      </c>
      <c r="AA105">
        <f>IF(OR(AND(E105="A",G105="Commercial_1_Balls"),AND(E105="B",G105="Commercial_2_Paint")),"first","second")</f>
        <v/>
      </c>
      <c r="AB105">
        <f>IF(ISNUMBER(W105),W105,0)</f>
        <v/>
      </c>
      <c r="AC105">
        <f>IF(ISNUMBER(S105),1,0)</f>
        <v/>
      </c>
      <c r="AD105">
        <f>IF(ISNUMBER(R105),R105,0)</f>
        <v/>
      </c>
    </row>
    <row r="106">
      <c r="A106" t="inlineStr">
        <is>
          <t>SIMULATED_AdTest_Balls_vs_Paint</t>
        </is>
      </c>
      <c r="B106" t="inlineStr">
        <is>
          <t>R14</t>
        </is>
      </c>
      <c r="C106" t="inlineStr">
        <is>
          <t>M</t>
        </is>
      </c>
      <c r="D106" t="n">
        <v>30</v>
      </c>
      <c r="E106" t="inlineStr">
        <is>
          <t>B</t>
        </is>
      </c>
      <c r="F106" t="inlineStr">
        <is>
          <t>2026-10-19</t>
        </is>
      </c>
      <c r="G106" t="inlineStr">
        <is>
          <t>Commercial_1_Balls</t>
        </is>
      </c>
      <c r="H106" t="inlineStr">
        <is>
          <t>Product_TV</t>
        </is>
      </c>
      <c r="I106" t="n">
        <v>60000</v>
      </c>
      <c r="J106" t="n">
        <v>14000</v>
      </c>
      <c r="K106" t="n">
        <v>23.33</v>
      </c>
      <c r="L106" t="n">
        <v>87.40000000000001</v>
      </c>
      <c r="M106" t="n">
        <v>791</v>
      </c>
      <c r="N106" t="n">
        <v>1</v>
      </c>
      <c r="O106" t="n">
        <v>2836</v>
      </c>
      <c r="P106" t="n">
        <v>1</v>
      </c>
      <c r="Q106" t="n">
        <v>0</v>
      </c>
      <c r="R106" t="n">
        <v>7</v>
      </c>
      <c r="S106" t="n">
        <v>938</v>
      </c>
      <c r="T106" t="n">
        <v>12938</v>
      </c>
      <c r="U106" t="n">
        <v>12938</v>
      </c>
      <c r="V106" t="n">
        <v>2471</v>
      </c>
      <c r="W106" t="n">
        <v>17.65</v>
      </c>
      <c r="X106" t="n">
        <v>353</v>
      </c>
      <c r="Y106" t="n">
        <v>187</v>
      </c>
      <c r="Z106">
        <f>IF(L106&gt;=70,"Yes","No")</f>
        <v/>
      </c>
      <c r="AA106">
        <f>IF(OR(AND(E106="A",G106="Commercial_1_Balls"),AND(E106="B",G106="Commercial_2_Paint")),"first","second")</f>
        <v/>
      </c>
      <c r="AB106">
        <f>IF(ISNUMBER(W106),W106,0)</f>
        <v/>
      </c>
      <c r="AC106">
        <f>IF(ISNUMBER(S106),1,0)</f>
        <v/>
      </c>
      <c r="AD106">
        <f>IF(ISNUMBER(R106),R106,0)</f>
        <v/>
      </c>
    </row>
    <row r="107">
      <c r="A107" t="inlineStr">
        <is>
          <t>SIMULATED_AdTest_Balls_vs_Paint</t>
        </is>
      </c>
      <c r="B107" t="inlineStr">
        <is>
          <t>R14</t>
        </is>
      </c>
      <c r="C107" t="inlineStr">
        <is>
          <t>M</t>
        </is>
      </c>
      <c r="D107" t="n">
        <v>30</v>
      </c>
      <c r="E107" t="inlineStr">
        <is>
          <t>B</t>
        </is>
      </c>
      <c r="F107" t="inlineStr">
        <is>
          <t>2026-10-19</t>
        </is>
      </c>
      <c r="G107" t="inlineStr">
        <is>
          <t>Commercial_1_Balls</t>
        </is>
      </c>
      <c r="H107" t="inlineStr">
        <is>
          <t>Brand_Logo</t>
        </is>
      </c>
      <c r="I107" t="n">
        <v>60000</v>
      </c>
      <c r="J107" t="n">
        <v>5000</v>
      </c>
      <c r="K107" t="n">
        <v>8.33</v>
      </c>
      <c r="L107" t="n">
        <v>87.40000000000001</v>
      </c>
      <c r="M107" t="n">
        <v>847</v>
      </c>
      <c r="N107" t="n">
        <v>1</v>
      </c>
      <c r="O107" t="n">
        <v>2091</v>
      </c>
      <c r="P107" t="n">
        <v>1</v>
      </c>
      <c r="Q107" t="n">
        <v>0</v>
      </c>
      <c r="R107" t="n">
        <v>12</v>
      </c>
      <c r="S107" t="n">
        <v>1070</v>
      </c>
      <c r="T107" t="n">
        <v>56070</v>
      </c>
      <c r="U107" t="n">
        <v>56070</v>
      </c>
      <c r="V107" t="n">
        <v>1893</v>
      </c>
      <c r="W107" t="n">
        <v>37.86</v>
      </c>
      <c r="X107" t="n">
        <v>158</v>
      </c>
      <c r="Y107" t="n">
        <v>138</v>
      </c>
      <c r="Z107">
        <f>IF(L107&gt;=70,"Yes","No")</f>
        <v/>
      </c>
      <c r="AA107">
        <f>IF(OR(AND(E107="A",G107="Commercial_1_Balls"),AND(E107="B",G107="Commercial_2_Paint")),"first","second")</f>
        <v/>
      </c>
      <c r="AB107">
        <f>IF(ISNUMBER(W107),W107,0)</f>
        <v/>
      </c>
      <c r="AC107">
        <f>IF(ISNUMBER(S107),1,0)</f>
        <v/>
      </c>
      <c r="AD107">
        <f>IF(ISNUMBER(R107),R107,0)</f>
        <v/>
      </c>
    </row>
    <row r="108">
      <c r="A108" t="inlineStr">
        <is>
          <t>SIMULATED_AdTest_Balls_vs_Paint</t>
        </is>
      </c>
      <c r="B108" t="inlineStr">
        <is>
          <t>R14</t>
        </is>
      </c>
      <c r="C108" t="inlineStr">
        <is>
          <t>M</t>
        </is>
      </c>
      <c r="D108" t="n">
        <v>30</v>
      </c>
      <c r="E108" t="inlineStr">
        <is>
          <t>B</t>
        </is>
      </c>
      <c r="F108" t="inlineStr">
        <is>
          <t>2026-10-19</t>
        </is>
      </c>
      <c r="G108" t="inlineStr">
        <is>
          <t>Commercial_1_Balls</t>
        </is>
      </c>
      <c r="H108" t="inlineStr">
        <is>
          <t>Tagline_Text</t>
        </is>
      </c>
      <c r="I108" t="n">
        <v>60000</v>
      </c>
      <c r="J108" t="n">
        <v>4000</v>
      </c>
      <c r="K108" t="n">
        <v>6.67</v>
      </c>
      <c r="L108" t="n">
        <v>87.40000000000001</v>
      </c>
      <c r="M108" t="n">
        <v>1047</v>
      </c>
      <c r="N108" t="n">
        <v>2</v>
      </c>
      <c r="O108" t="n">
        <v>2461</v>
      </c>
      <c r="P108" t="n">
        <v>2</v>
      </c>
      <c r="Q108" t="n">
        <v>1</v>
      </c>
      <c r="R108" t="n">
        <v>9</v>
      </c>
      <c r="S108" t="n">
        <v>1304</v>
      </c>
      <c r="T108" t="n">
        <v>57304</v>
      </c>
      <c r="U108" t="n">
        <v>57304</v>
      </c>
      <c r="V108" t="n">
        <v>2315</v>
      </c>
      <c r="W108" t="n">
        <v>57.88</v>
      </c>
      <c r="X108" t="n">
        <v>257</v>
      </c>
      <c r="Y108" t="n">
        <v>157</v>
      </c>
      <c r="Z108">
        <f>IF(L108&gt;=70,"Yes","No")</f>
        <v/>
      </c>
      <c r="AA108">
        <f>IF(OR(AND(E108="A",G108="Commercial_1_Balls"),AND(E108="B",G108="Commercial_2_Paint")),"first","second")</f>
        <v/>
      </c>
      <c r="AB108">
        <f>IF(ISNUMBER(W108),W108,0)</f>
        <v/>
      </c>
      <c r="AC108">
        <f>IF(ISNUMBER(S108),1,0)</f>
        <v/>
      </c>
      <c r="AD108">
        <f>IF(ISNUMBER(R108),R108,0)</f>
        <v/>
      </c>
    </row>
    <row r="109">
      <c r="A109" t="inlineStr">
        <is>
          <t>SIMULATED_AdTest_Balls_vs_Paint</t>
        </is>
      </c>
      <c r="B109" t="inlineStr">
        <is>
          <t>R14</t>
        </is>
      </c>
      <c r="C109" t="inlineStr">
        <is>
          <t>M</t>
        </is>
      </c>
      <c r="D109" t="n">
        <v>30</v>
      </c>
      <c r="E109" t="inlineStr">
        <is>
          <t>B</t>
        </is>
      </c>
      <c r="F109" t="inlineStr">
        <is>
          <t>2026-10-19</t>
        </is>
      </c>
      <c r="G109" t="inlineStr">
        <is>
          <t>Commercial_1_Balls</t>
        </is>
      </c>
      <c r="H109" t="inlineStr">
        <is>
          <t>Hero_Element</t>
        </is>
      </c>
      <c r="I109" t="n">
        <v>60000</v>
      </c>
      <c r="J109" t="n">
        <v>40000</v>
      </c>
      <c r="K109" t="n">
        <v>66.67</v>
      </c>
      <c r="L109" t="n">
        <v>87.40000000000001</v>
      </c>
      <c r="M109" t="n">
        <v>449</v>
      </c>
      <c r="N109" t="n">
        <v>6</v>
      </c>
      <c r="O109" t="n">
        <v>29184</v>
      </c>
      <c r="P109" t="n">
        <v>6</v>
      </c>
      <c r="Q109" t="n">
        <v>5</v>
      </c>
      <c r="R109" t="n">
        <v>71</v>
      </c>
      <c r="S109" t="n">
        <v>669</v>
      </c>
      <c r="T109" t="n">
        <v>2669</v>
      </c>
      <c r="U109" t="n">
        <v>2669</v>
      </c>
      <c r="V109" t="n">
        <v>25580</v>
      </c>
      <c r="W109" t="n">
        <v>63.95</v>
      </c>
      <c r="X109" t="n">
        <v>360</v>
      </c>
      <c r="Y109" t="n">
        <v>195</v>
      </c>
      <c r="Z109">
        <f>IF(L109&gt;=70,"Yes","No")</f>
        <v/>
      </c>
      <c r="AA109">
        <f>IF(OR(AND(E109="A",G109="Commercial_1_Balls"),AND(E109="B",G109="Commercial_2_Paint")),"first","second")</f>
        <v/>
      </c>
      <c r="AB109">
        <f>IF(ISNUMBER(W109),W109,0)</f>
        <v/>
      </c>
      <c r="AC109">
        <f>IF(ISNUMBER(S109),1,0)</f>
        <v/>
      </c>
      <c r="AD109">
        <f>IF(ISNUMBER(R109),R109,0)</f>
        <v/>
      </c>
    </row>
    <row r="110">
      <c r="A110" t="inlineStr">
        <is>
          <t>SIMULATED_AdTest_Balls_vs_Paint</t>
        </is>
      </c>
      <c r="B110" t="inlineStr">
        <is>
          <t>R14</t>
        </is>
      </c>
      <c r="C110" t="inlineStr">
        <is>
          <t>M</t>
        </is>
      </c>
      <c r="D110" t="n">
        <v>30</v>
      </c>
      <c r="E110" t="inlineStr">
        <is>
          <t>B</t>
        </is>
      </c>
      <c r="F110" t="inlineStr">
        <is>
          <t>2026-10-19</t>
        </is>
      </c>
      <c r="G110" t="inlineStr">
        <is>
          <t>Commercial_2_Paint</t>
        </is>
      </c>
      <c r="H110" t="inlineStr">
        <is>
          <t>Product_TV</t>
        </is>
      </c>
      <c r="I110" t="n">
        <v>60000</v>
      </c>
      <c r="J110" t="n">
        <v>20000</v>
      </c>
      <c r="K110" t="n">
        <v>33.33</v>
      </c>
      <c r="L110" t="n">
        <v>87.40000000000001</v>
      </c>
      <c r="M110" t="n">
        <v>216</v>
      </c>
      <c r="N110" t="n">
        <v>4</v>
      </c>
      <c r="O110" t="n">
        <v>6370</v>
      </c>
      <c r="P110" t="n">
        <v>3</v>
      </c>
      <c r="Q110" t="n">
        <v>2</v>
      </c>
      <c r="R110" t="n">
        <v>22</v>
      </c>
      <c r="S110" t="n">
        <v>399</v>
      </c>
      <c r="T110" t="n">
        <v>9399</v>
      </c>
      <c r="U110" t="n">
        <v>9399</v>
      </c>
      <c r="V110" t="n">
        <v>5873</v>
      </c>
      <c r="W110" t="n">
        <v>29.36</v>
      </c>
      <c r="X110" t="n">
        <v>267</v>
      </c>
      <c r="Y110" t="n">
        <v>294</v>
      </c>
      <c r="Z110">
        <f>IF(L110&gt;=70,"Yes","No")</f>
        <v/>
      </c>
      <c r="AA110">
        <f>IF(OR(AND(E110="A",G110="Commercial_1_Balls"),AND(E110="B",G110="Commercial_2_Paint")),"first","second")</f>
        <v/>
      </c>
      <c r="AB110">
        <f>IF(ISNUMBER(W110),W110,0)</f>
        <v/>
      </c>
      <c r="AC110">
        <f>IF(ISNUMBER(S110),1,0)</f>
        <v/>
      </c>
      <c r="AD110">
        <f>IF(ISNUMBER(R110),R110,0)</f>
        <v/>
      </c>
    </row>
    <row r="111">
      <c r="A111" t="inlineStr">
        <is>
          <t>SIMULATED_AdTest_Balls_vs_Paint</t>
        </is>
      </c>
      <c r="B111" t="inlineStr">
        <is>
          <t>R14</t>
        </is>
      </c>
      <c r="C111" t="inlineStr">
        <is>
          <t>M</t>
        </is>
      </c>
      <c r="D111" t="n">
        <v>30</v>
      </c>
      <c r="E111" t="inlineStr">
        <is>
          <t>B</t>
        </is>
      </c>
      <c r="F111" t="inlineStr">
        <is>
          <t>2026-10-19</t>
        </is>
      </c>
      <c r="G111" t="inlineStr">
        <is>
          <t>Commercial_2_Paint</t>
        </is>
      </c>
      <c r="H111" t="inlineStr">
        <is>
          <t>Brand_Logo</t>
        </is>
      </c>
      <c r="I111" t="n">
        <v>60000</v>
      </c>
      <c r="J111" t="n">
        <v>5000</v>
      </c>
      <c r="K111" t="n">
        <v>8.33</v>
      </c>
      <c r="L111" t="n">
        <v>87.40000000000001</v>
      </c>
      <c r="M111" t="n">
        <v>559</v>
      </c>
      <c r="N111" t="n">
        <v>1</v>
      </c>
      <c r="O111" t="n">
        <v>2456</v>
      </c>
      <c r="P111" t="n">
        <v>1</v>
      </c>
      <c r="Q111" t="n">
        <v>0</v>
      </c>
      <c r="R111" t="n">
        <v>6</v>
      </c>
      <c r="S111" t="n">
        <v>673</v>
      </c>
      <c r="T111" t="n">
        <v>55673</v>
      </c>
      <c r="U111" t="n">
        <v>55673</v>
      </c>
      <c r="V111" t="n">
        <v>2299</v>
      </c>
      <c r="W111" t="n">
        <v>45.98</v>
      </c>
      <c r="X111" t="n">
        <v>383</v>
      </c>
      <c r="Y111" t="n">
        <v>245</v>
      </c>
      <c r="Z111">
        <f>IF(L111&gt;=70,"Yes","No")</f>
        <v/>
      </c>
      <c r="AA111">
        <f>IF(OR(AND(E111="A",G111="Commercial_1_Balls"),AND(E111="B",G111="Commercial_2_Paint")),"first","second")</f>
        <v/>
      </c>
      <c r="AB111">
        <f>IF(ISNUMBER(W111),W111,0)</f>
        <v/>
      </c>
      <c r="AC111">
        <f>IF(ISNUMBER(S111),1,0)</f>
        <v/>
      </c>
      <c r="AD111">
        <f>IF(ISNUMBER(R111),R111,0)</f>
        <v/>
      </c>
    </row>
    <row r="112">
      <c r="A112" t="inlineStr">
        <is>
          <t>SIMULATED_AdTest_Balls_vs_Paint</t>
        </is>
      </c>
      <c r="B112" t="inlineStr">
        <is>
          <t>R14</t>
        </is>
      </c>
      <c r="C112" t="inlineStr">
        <is>
          <t>M</t>
        </is>
      </c>
      <c r="D112" t="n">
        <v>30</v>
      </c>
      <c r="E112" t="inlineStr">
        <is>
          <t>B</t>
        </is>
      </c>
      <c r="F112" t="inlineStr">
        <is>
          <t>2026-10-19</t>
        </is>
      </c>
      <c r="G112" t="inlineStr">
        <is>
          <t>Commercial_2_Paint</t>
        </is>
      </c>
      <c r="H112" t="inlineStr">
        <is>
          <t>Tagline_Text</t>
        </is>
      </c>
      <c r="I112" t="n">
        <v>60000</v>
      </c>
      <c r="J112" t="n">
        <v>4000</v>
      </c>
      <c r="K112" t="n">
        <v>6.67</v>
      </c>
      <c r="L112" t="n">
        <v>87.40000000000001</v>
      </c>
      <c r="M112" t="n">
        <v>1309</v>
      </c>
      <c r="N112" t="n">
        <v>2</v>
      </c>
      <c r="O112" t="n">
        <v>1413</v>
      </c>
      <c r="P112" t="n">
        <v>2</v>
      </c>
      <c r="Q112" t="n">
        <v>1</v>
      </c>
      <c r="R112" t="n">
        <v>5</v>
      </c>
      <c r="S112" t="n">
        <v>1458</v>
      </c>
      <c r="T112" t="n">
        <v>57458</v>
      </c>
      <c r="U112" t="n">
        <v>57458</v>
      </c>
      <c r="V112" t="n">
        <v>1314</v>
      </c>
      <c r="W112" t="n">
        <v>32.85</v>
      </c>
      <c r="X112" t="n">
        <v>263</v>
      </c>
      <c r="Y112" t="n">
        <v>236</v>
      </c>
      <c r="Z112">
        <f>IF(L112&gt;=70,"Yes","No")</f>
        <v/>
      </c>
      <c r="AA112">
        <f>IF(OR(AND(E112="A",G112="Commercial_1_Balls"),AND(E112="B",G112="Commercial_2_Paint")),"first","second")</f>
        <v/>
      </c>
      <c r="AB112">
        <f>IF(ISNUMBER(W112),W112,0)</f>
        <v/>
      </c>
      <c r="AC112">
        <f>IF(ISNUMBER(S112),1,0)</f>
        <v/>
      </c>
      <c r="AD112">
        <f>IF(ISNUMBER(R112),R112,0)</f>
        <v/>
      </c>
    </row>
    <row r="113">
      <c r="A113" t="inlineStr">
        <is>
          <t>SIMULATED_AdTest_Balls_vs_Paint</t>
        </is>
      </c>
      <c r="B113" t="inlineStr">
        <is>
          <t>R14</t>
        </is>
      </c>
      <c r="C113" t="inlineStr">
        <is>
          <t>M</t>
        </is>
      </c>
      <c r="D113" t="n">
        <v>30</v>
      </c>
      <c r="E113" t="inlineStr">
        <is>
          <t>B</t>
        </is>
      </c>
      <c r="F113" t="inlineStr">
        <is>
          <t>2026-10-19</t>
        </is>
      </c>
      <c r="G113" t="inlineStr">
        <is>
          <t>Commercial_2_Paint</t>
        </is>
      </c>
      <c r="H113" t="inlineStr">
        <is>
          <t>Hero_Element</t>
        </is>
      </c>
      <c r="I113" t="n">
        <v>60000</v>
      </c>
      <c r="J113" t="n">
        <v>32000</v>
      </c>
      <c r="K113" t="n">
        <v>53.33</v>
      </c>
      <c r="L113" t="n">
        <v>87.40000000000001</v>
      </c>
      <c r="M113" t="n">
        <v>681</v>
      </c>
      <c r="N113" t="n">
        <v>4</v>
      </c>
      <c r="O113" t="n">
        <v>15724</v>
      </c>
      <c r="P113" t="n">
        <v>4</v>
      </c>
      <c r="Q113" t="n">
        <v>3</v>
      </c>
      <c r="R113" t="n">
        <v>53</v>
      </c>
      <c r="S113" t="n">
        <v>880</v>
      </c>
      <c r="T113" t="n">
        <v>3880</v>
      </c>
      <c r="U113" t="n">
        <v>3880</v>
      </c>
      <c r="V113" t="n">
        <v>14614</v>
      </c>
      <c r="W113" t="n">
        <v>45.67</v>
      </c>
      <c r="X113" t="n">
        <v>276</v>
      </c>
      <c r="Y113" t="n">
        <v>432</v>
      </c>
      <c r="Z113">
        <f>IF(L113&gt;=70,"Yes","No")</f>
        <v/>
      </c>
      <c r="AA113">
        <f>IF(OR(AND(E113="A",G113="Commercial_1_Balls"),AND(E113="B",G113="Commercial_2_Paint")),"first","second")</f>
        <v/>
      </c>
      <c r="AB113">
        <f>IF(ISNUMBER(W113),W113,0)</f>
        <v/>
      </c>
      <c r="AC113">
        <f>IF(ISNUMBER(S113),1,0)</f>
        <v/>
      </c>
      <c r="AD113">
        <f>IF(ISNUMBER(R113),R113,0)</f>
        <v/>
      </c>
    </row>
    <row r="114">
      <c r="A114" t="inlineStr">
        <is>
          <t>SIMULATED_AdTest_Balls_vs_Paint</t>
        </is>
      </c>
      <c r="B114" t="inlineStr">
        <is>
          <t>R15</t>
        </is>
      </c>
      <c r="C114" t="inlineStr">
        <is>
          <t>F</t>
        </is>
      </c>
      <c r="D114" t="n">
        <v>19</v>
      </c>
      <c r="E114" t="inlineStr">
        <is>
          <t>A</t>
        </is>
      </c>
      <c r="F114" t="inlineStr">
        <is>
          <t>2026-10-19</t>
        </is>
      </c>
      <c r="G114" t="inlineStr">
        <is>
          <t>Commercial_1_Balls</t>
        </is>
      </c>
      <c r="H114" t="inlineStr">
        <is>
          <t>Product_TV</t>
        </is>
      </c>
      <c r="I114" t="n">
        <v>60000</v>
      </c>
      <c r="J114" t="n">
        <v>14000</v>
      </c>
      <c r="K114" t="n">
        <v>23.33</v>
      </c>
      <c r="L114" t="n">
        <v>85.5</v>
      </c>
      <c r="M114" t="n">
        <v>2663</v>
      </c>
      <c r="N114" t="n">
        <v>2</v>
      </c>
      <c r="O114" t="n">
        <v>3668</v>
      </c>
      <c r="P114" t="n">
        <v>2</v>
      </c>
      <c r="Q114" t="n">
        <v>1</v>
      </c>
      <c r="R114" t="n">
        <v>13</v>
      </c>
      <c r="S114" t="n">
        <v>2829</v>
      </c>
      <c r="T114" t="n">
        <v>14829</v>
      </c>
      <c r="U114" t="n">
        <v>14829</v>
      </c>
      <c r="V114" t="n">
        <v>3492</v>
      </c>
      <c r="W114" t="n">
        <v>24.94</v>
      </c>
      <c r="X114" t="n">
        <v>269</v>
      </c>
      <c r="Y114" t="n">
        <v>239</v>
      </c>
      <c r="Z114">
        <f>IF(L114&gt;=70,"Yes","No")</f>
        <v/>
      </c>
      <c r="AA114">
        <f>IF(OR(AND(E114="A",G114="Commercial_1_Balls"),AND(E114="B",G114="Commercial_2_Paint")),"first","second")</f>
        <v/>
      </c>
      <c r="AB114">
        <f>IF(ISNUMBER(W114),W114,0)</f>
        <v/>
      </c>
      <c r="AC114">
        <f>IF(ISNUMBER(S114),1,0)</f>
        <v/>
      </c>
      <c r="AD114">
        <f>IF(ISNUMBER(R114),R114,0)</f>
        <v/>
      </c>
    </row>
    <row r="115">
      <c r="A115" t="inlineStr">
        <is>
          <t>SIMULATED_AdTest_Balls_vs_Paint</t>
        </is>
      </c>
      <c r="B115" t="inlineStr">
        <is>
          <t>R15</t>
        </is>
      </c>
      <c r="C115" t="inlineStr">
        <is>
          <t>F</t>
        </is>
      </c>
      <c r="D115" t="n">
        <v>19</v>
      </c>
      <c r="E115" t="inlineStr">
        <is>
          <t>A</t>
        </is>
      </c>
      <c r="F115" t="inlineStr">
        <is>
          <t>2026-10-19</t>
        </is>
      </c>
      <c r="G115" t="inlineStr">
        <is>
          <t>Commercial_1_Balls</t>
        </is>
      </c>
      <c r="H115" t="inlineStr">
        <is>
          <t>Brand_Logo</t>
        </is>
      </c>
      <c r="I115" t="n">
        <v>60000</v>
      </c>
      <c r="J115" t="n">
        <v>5000</v>
      </c>
      <c r="K115" t="n">
        <v>8.33</v>
      </c>
      <c r="L115" t="n">
        <v>85.5</v>
      </c>
      <c r="M115" t="n">
        <v>630</v>
      </c>
      <c r="N115" t="n">
        <v>2</v>
      </c>
      <c r="O115" t="n">
        <v>3388</v>
      </c>
      <c r="P115" t="n">
        <v>2</v>
      </c>
      <c r="Q115" t="n">
        <v>1</v>
      </c>
      <c r="R115" t="n">
        <v>9</v>
      </c>
      <c r="S115" t="n">
        <v>800</v>
      </c>
      <c r="T115" t="n">
        <v>55800</v>
      </c>
      <c r="U115" t="n">
        <v>55800</v>
      </c>
      <c r="V115" t="n">
        <v>2999</v>
      </c>
      <c r="W115" t="n">
        <v>59.98</v>
      </c>
      <c r="X115" t="n">
        <v>333</v>
      </c>
      <c r="Y115" t="n">
        <v>313</v>
      </c>
      <c r="Z115">
        <f>IF(L115&gt;=70,"Yes","No")</f>
        <v/>
      </c>
      <c r="AA115">
        <f>IF(OR(AND(E115="A",G115="Commercial_1_Balls"),AND(E115="B",G115="Commercial_2_Paint")),"first","second")</f>
        <v/>
      </c>
      <c r="AB115">
        <f>IF(ISNUMBER(W115),W115,0)</f>
        <v/>
      </c>
      <c r="AC115">
        <f>IF(ISNUMBER(S115),1,0)</f>
        <v/>
      </c>
      <c r="AD115">
        <f>IF(ISNUMBER(R115),R115,0)</f>
        <v/>
      </c>
    </row>
    <row r="116">
      <c r="A116" t="inlineStr">
        <is>
          <t>SIMULATED_AdTest_Balls_vs_Paint</t>
        </is>
      </c>
      <c r="B116" t="inlineStr">
        <is>
          <t>R15</t>
        </is>
      </c>
      <c r="C116" t="inlineStr">
        <is>
          <t>F</t>
        </is>
      </c>
      <c r="D116" t="n">
        <v>19</v>
      </c>
      <c r="E116" t="inlineStr">
        <is>
          <t>A</t>
        </is>
      </c>
      <c r="F116" t="inlineStr">
        <is>
          <t>2026-10-19</t>
        </is>
      </c>
      <c r="G116" t="inlineStr">
        <is>
          <t>Commercial_1_Balls</t>
        </is>
      </c>
      <c r="H116" t="inlineStr">
        <is>
          <t>Tagline_Text</t>
        </is>
      </c>
      <c r="I116" t="n">
        <v>60000</v>
      </c>
      <c r="J116" t="n">
        <v>4000</v>
      </c>
      <c r="K116" t="n">
        <v>6.67</v>
      </c>
      <c r="L116" t="n">
        <v>85.5</v>
      </c>
      <c r="M116" t="n">
        <v>1113</v>
      </c>
      <c r="N116" t="n">
        <v>2</v>
      </c>
      <c r="O116" t="n">
        <v>1540</v>
      </c>
      <c r="P116" t="n">
        <v>1</v>
      </c>
      <c r="Q116" t="n">
        <v>0</v>
      </c>
      <c r="R116" t="n">
        <v>6</v>
      </c>
      <c r="S116" t="n">
        <v>1353</v>
      </c>
      <c r="T116" t="n">
        <v>57353</v>
      </c>
      <c r="U116" t="n">
        <v>57353</v>
      </c>
      <c r="V116" t="n">
        <v>1439</v>
      </c>
      <c r="W116" t="n">
        <v>35.98</v>
      </c>
      <c r="X116" t="n">
        <v>240</v>
      </c>
      <c r="Y116" t="n">
        <v>218</v>
      </c>
      <c r="Z116">
        <f>IF(L116&gt;=70,"Yes","No")</f>
        <v/>
      </c>
      <c r="AA116">
        <f>IF(OR(AND(E116="A",G116="Commercial_1_Balls"),AND(E116="B",G116="Commercial_2_Paint")),"first","second")</f>
        <v/>
      </c>
      <c r="AB116">
        <f>IF(ISNUMBER(W116),W116,0)</f>
        <v/>
      </c>
      <c r="AC116">
        <f>IF(ISNUMBER(S116),1,0)</f>
        <v/>
      </c>
      <c r="AD116">
        <f>IF(ISNUMBER(R116),R116,0)</f>
        <v/>
      </c>
    </row>
    <row r="117">
      <c r="A117" t="inlineStr">
        <is>
          <t>SIMULATED_AdTest_Balls_vs_Paint</t>
        </is>
      </c>
      <c r="B117" t="inlineStr">
        <is>
          <t>R15</t>
        </is>
      </c>
      <c r="C117" t="inlineStr">
        <is>
          <t>F</t>
        </is>
      </c>
      <c r="D117" t="n">
        <v>19</v>
      </c>
      <c r="E117" t="inlineStr">
        <is>
          <t>A</t>
        </is>
      </c>
      <c r="F117" t="inlineStr">
        <is>
          <t>2026-10-19</t>
        </is>
      </c>
      <c r="G117" t="inlineStr">
        <is>
          <t>Commercial_1_Balls</t>
        </is>
      </c>
      <c r="H117" t="inlineStr">
        <is>
          <t>Hero_Element</t>
        </is>
      </c>
      <c r="I117" t="n">
        <v>60000</v>
      </c>
      <c r="J117" t="n">
        <v>40000</v>
      </c>
      <c r="K117" t="n">
        <v>66.67</v>
      </c>
      <c r="L117" t="n">
        <v>85.5</v>
      </c>
      <c r="M117" t="n">
        <v>151</v>
      </c>
      <c r="N117" t="n">
        <v>4</v>
      </c>
      <c r="O117" t="n">
        <v>27924</v>
      </c>
      <c r="P117" t="n">
        <v>3</v>
      </c>
      <c r="Q117" t="n">
        <v>2</v>
      </c>
      <c r="R117" t="n">
        <v>103</v>
      </c>
      <c r="S117" t="n">
        <v>435</v>
      </c>
      <c r="T117" t="n">
        <v>2435</v>
      </c>
      <c r="U117" t="n">
        <v>2435</v>
      </c>
      <c r="V117" t="n">
        <v>26047</v>
      </c>
      <c r="W117" t="n">
        <v>65.12</v>
      </c>
      <c r="X117" t="n">
        <v>253</v>
      </c>
      <c r="Y117" t="n">
        <v>492</v>
      </c>
      <c r="Z117">
        <f>IF(L117&gt;=70,"Yes","No")</f>
        <v/>
      </c>
      <c r="AA117">
        <f>IF(OR(AND(E117="A",G117="Commercial_1_Balls"),AND(E117="B",G117="Commercial_2_Paint")),"first","second")</f>
        <v/>
      </c>
      <c r="AB117">
        <f>IF(ISNUMBER(W117),W117,0)</f>
        <v/>
      </c>
      <c r="AC117">
        <f>IF(ISNUMBER(S117),1,0)</f>
        <v/>
      </c>
      <c r="AD117">
        <f>IF(ISNUMBER(R117),R117,0)</f>
        <v/>
      </c>
    </row>
    <row r="118">
      <c r="A118" t="inlineStr">
        <is>
          <t>SIMULATED_AdTest_Balls_vs_Paint</t>
        </is>
      </c>
      <c r="B118" t="inlineStr">
        <is>
          <t>R15</t>
        </is>
      </c>
      <c r="C118" t="inlineStr">
        <is>
          <t>F</t>
        </is>
      </c>
      <c r="D118" t="n">
        <v>19</v>
      </c>
      <c r="E118" t="inlineStr">
        <is>
          <t>A</t>
        </is>
      </c>
      <c r="F118" t="inlineStr">
        <is>
          <t>2026-10-19</t>
        </is>
      </c>
      <c r="G118" t="inlineStr">
        <is>
          <t>Commercial_2_Paint</t>
        </is>
      </c>
      <c r="H118" t="inlineStr">
        <is>
          <t>Product_TV</t>
        </is>
      </c>
      <c r="I118" t="n">
        <v>60000</v>
      </c>
      <c r="J118" t="n">
        <v>20000</v>
      </c>
      <c r="K118" t="n">
        <v>33.33</v>
      </c>
      <c r="L118" t="n">
        <v>85.5</v>
      </c>
      <c r="M118" t="n">
        <v>328</v>
      </c>
      <c r="N118" t="n">
        <v>1</v>
      </c>
      <c r="O118" t="n">
        <v>5468</v>
      </c>
      <c r="P118" t="n">
        <v>1</v>
      </c>
      <c r="Q118" t="n">
        <v>0</v>
      </c>
      <c r="R118" t="n">
        <v>17</v>
      </c>
      <c r="S118" t="n">
        <v>486</v>
      </c>
      <c r="T118" t="n">
        <v>9486</v>
      </c>
      <c r="U118" t="n">
        <v>9486</v>
      </c>
      <c r="V118" t="n">
        <v>4801</v>
      </c>
      <c r="W118" t="n">
        <v>24</v>
      </c>
      <c r="X118" t="n">
        <v>282</v>
      </c>
      <c r="Y118" t="n">
        <v>197</v>
      </c>
      <c r="Z118">
        <f>IF(L118&gt;=70,"Yes","No")</f>
        <v/>
      </c>
      <c r="AA118">
        <f>IF(OR(AND(E118="A",G118="Commercial_1_Balls"),AND(E118="B",G118="Commercial_2_Paint")),"first","second")</f>
        <v/>
      </c>
      <c r="AB118">
        <f>IF(ISNUMBER(W118),W118,0)</f>
        <v/>
      </c>
      <c r="AC118">
        <f>IF(ISNUMBER(S118),1,0)</f>
        <v/>
      </c>
      <c r="AD118">
        <f>IF(ISNUMBER(R118),R118,0)</f>
        <v/>
      </c>
    </row>
    <row r="119">
      <c r="A119" t="inlineStr">
        <is>
          <t>SIMULATED_AdTest_Balls_vs_Paint</t>
        </is>
      </c>
      <c r="B119" t="inlineStr">
        <is>
          <t>R15</t>
        </is>
      </c>
      <c r="C119" t="inlineStr">
        <is>
          <t>F</t>
        </is>
      </c>
      <c r="D119" t="n">
        <v>19</v>
      </c>
      <c r="E119" t="inlineStr">
        <is>
          <t>A</t>
        </is>
      </c>
      <c r="F119" t="inlineStr">
        <is>
          <t>2026-10-19</t>
        </is>
      </c>
      <c r="G119" t="inlineStr">
        <is>
          <t>Commercial_2_Paint</t>
        </is>
      </c>
      <c r="H119" t="inlineStr">
        <is>
          <t>Brand_Logo</t>
        </is>
      </c>
      <c r="I119" t="n">
        <v>60000</v>
      </c>
      <c r="J119" t="n">
        <v>5000</v>
      </c>
      <c r="K119" t="n">
        <v>8.33</v>
      </c>
      <c r="L119" t="n">
        <v>85.5</v>
      </c>
      <c r="M119" t="n">
        <v>655</v>
      </c>
      <c r="N119" t="n">
        <v>2</v>
      </c>
      <c r="O119" t="n">
        <v>3357</v>
      </c>
      <c r="P119" t="n">
        <v>1</v>
      </c>
      <c r="Q119" t="n">
        <v>0</v>
      </c>
      <c r="R119" t="n">
        <v>9</v>
      </c>
      <c r="S119" t="n">
        <v>809</v>
      </c>
      <c r="T119" t="n">
        <v>55809</v>
      </c>
      <c r="U119" t="n">
        <v>55809</v>
      </c>
      <c r="V119" t="n">
        <v>3017</v>
      </c>
      <c r="W119" t="n">
        <v>60.34</v>
      </c>
      <c r="X119" t="n">
        <v>335</v>
      </c>
      <c r="Y119" t="n">
        <v>184</v>
      </c>
      <c r="Z119">
        <f>IF(L119&gt;=70,"Yes","No")</f>
        <v/>
      </c>
      <c r="AA119">
        <f>IF(OR(AND(E119="A",G119="Commercial_1_Balls"),AND(E119="B",G119="Commercial_2_Paint")),"first","second")</f>
        <v/>
      </c>
      <c r="AB119">
        <f>IF(ISNUMBER(W119),W119,0)</f>
        <v/>
      </c>
      <c r="AC119">
        <f>IF(ISNUMBER(S119),1,0)</f>
        <v/>
      </c>
      <c r="AD119">
        <f>IF(ISNUMBER(R119),R119,0)</f>
        <v/>
      </c>
    </row>
    <row r="120">
      <c r="A120" t="inlineStr">
        <is>
          <t>SIMULATED_AdTest_Balls_vs_Paint</t>
        </is>
      </c>
      <c r="B120" t="inlineStr">
        <is>
          <t>R15</t>
        </is>
      </c>
      <c r="C120" t="inlineStr">
        <is>
          <t>F</t>
        </is>
      </c>
      <c r="D120" t="n">
        <v>19</v>
      </c>
      <c r="E120" t="inlineStr">
        <is>
          <t>A</t>
        </is>
      </c>
      <c r="F120" t="inlineStr">
        <is>
          <t>2026-10-19</t>
        </is>
      </c>
      <c r="G120" t="inlineStr">
        <is>
          <t>Commercial_2_Paint</t>
        </is>
      </c>
      <c r="H120" t="inlineStr">
        <is>
          <t>Tagline_Text</t>
        </is>
      </c>
      <c r="I120" t="n">
        <v>60000</v>
      </c>
      <c r="J120" t="n">
        <v>4000</v>
      </c>
      <c r="K120" t="n">
        <v>6.67</v>
      </c>
      <c r="L120" t="n">
        <v>85.5</v>
      </c>
      <c r="M120" t="n">
        <v>817</v>
      </c>
      <c r="N120" t="n">
        <v>1</v>
      </c>
      <c r="O120" t="n">
        <v>1187</v>
      </c>
      <c r="P120" t="n">
        <v>1</v>
      </c>
      <c r="Q120" t="n">
        <v>0</v>
      </c>
      <c r="R120" t="n">
        <v>3</v>
      </c>
      <c r="S120" t="n">
        <v>950</v>
      </c>
      <c r="T120" t="n">
        <v>56950</v>
      </c>
      <c r="U120" t="n">
        <v>56950</v>
      </c>
      <c r="V120" t="n">
        <v>1146</v>
      </c>
      <c r="W120" t="n">
        <v>28.65</v>
      </c>
      <c r="X120" t="n">
        <v>382</v>
      </c>
      <c r="Y120" t="n">
        <v>154</v>
      </c>
      <c r="Z120">
        <f>IF(L120&gt;=70,"Yes","No")</f>
        <v/>
      </c>
      <c r="AA120">
        <f>IF(OR(AND(E120="A",G120="Commercial_1_Balls"),AND(E120="B",G120="Commercial_2_Paint")),"first","second")</f>
        <v/>
      </c>
      <c r="AB120">
        <f>IF(ISNUMBER(W120),W120,0)</f>
        <v/>
      </c>
      <c r="AC120">
        <f>IF(ISNUMBER(S120),1,0)</f>
        <v/>
      </c>
      <c r="AD120">
        <f>IF(ISNUMBER(R120),R120,0)</f>
        <v/>
      </c>
    </row>
    <row r="121">
      <c r="A121" t="inlineStr">
        <is>
          <t>SIMULATED_AdTest_Balls_vs_Paint</t>
        </is>
      </c>
      <c r="B121" t="inlineStr">
        <is>
          <t>R15</t>
        </is>
      </c>
      <c r="C121" t="inlineStr">
        <is>
          <t>F</t>
        </is>
      </c>
      <c r="D121" t="n">
        <v>19</v>
      </c>
      <c r="E121" t="inlineStr">
        <is>
          <t>A</t>
        </is>
      </c>
      <c r="F121" t="inlineStr">
        <is>
          <t>2026-10-19</t>
        </is>
      </c>
      <c r="G121" t="inlineStr">
        <is>
          <t>Commercial_2_Paint</t>
        </is>
      </c>
      <c r="H121" t="inlineStr">
        <is>
          <t>Hero_Element</t>
        </is>
      </c>
      <c r="I121" t="n">
        <v>60000</v>
      </c>
      <c r="J121" t="n">
        <v>32000</v>
      </c>
      <c r="K121" t="n">
        <v>53.33</v>
      </c>
      <c r="L121" t="n">
        <v>85.5</v>
      </c>
      <c r="M121" t="n">
        <v>346</v>
      </c>
      <c r="N121" t="n">
        <v>3</v>
      </c>
      <c r="O121" t="n">
        <v>15844</v>
      </c>
      <c r="P121" t="n">
        <v>3</v>
      </c>
      <c r="Q121" t="n">
        <v>2</v>
      </c>
      <c r="R121" t="n">
        <v>52</v>
      </c>
      <c r="S121" t="n">
        <v>480</v>
      </c>
      <c r="T121" t="n">
        <v>3480</v>
      </c>
      <c r="U121" t="n">
        <v>3480</v>
      </c>
      <c r="V121" t="n">
        <v>14228</v>
      </c>
      <c r="W121" t="n">
        <v>44.46</v>
      </c>
      <c r="X121" t="n">
        <v>274</v>
      </c>
      <c r="Y121" t="n">
        <v>204</v>
      </c>
      <c r="Z121">
        <f>IF(L121&gt;=70,"Yes","No")</f>
        <v/>
      </c>
      <c r="AA121">
        <f>IF(OR(AND(E121="A",G121="Commercial_1_Balls"),AND(E121="B",G121="Commercial_2_Paint")),"first","second")</f>
        <v/>
      </c>
      <c r="AB121">
        <f>IF(ISNUMBER(W121),W121,0)</f>
        <v/>
      </c>
      <c r="AC121">
        <f>IF(ISNUMBER(S121),1,0)</f>
        <v/>
      </c>
      <c r="AD121">
        <f>IF(ISNUMBER(R121),R121,0)</f>
        <v/>
      </c>
    </row>
    <row r="122">
      <c r="A122" t="inlineStr">
        <is>
          <t>SIMULATED_AdTest_Balls_vs_Paint</t>
        </is>
      </c>
      <c r="B122" t="inlineStr">
        <is>
          <t>R16</t>
        </is>
      </c>
      <c r="C122" t="inlineStr">
        <is>
          <t>F</t>
        </is>
      </c>
      <c r="D122" t="n">
        <v>21</v>
      </c>
      <c r="E122" t="inlineStr">
        <is>
          <t>B</t>
        </is>
      </c>
      <c r="F122" t="inlineStr">
        <is>
          <t>2026-10-20</t>
        </is>
      </c>
      <c r="G122" t="inlineStr">
        <is>
          <t>Commercial_1_Balls</t>
        </is>
      </c>
      <c r="H122" t="inlineStr">
        <is>
          <t>Product_TV</t>
        </is>
      </c>
      <c r="I122" t="n">
        <v>60000</v>
      </c>
      <c r="J122" t="n">
        <v>14000</v>
      </c>
      <c r="K122" t="n">
        <v>23.33</v>
      </c>
      <c r="L122" t="n">
        <v>83.8</v>
      </c>
      <c r="M122" t="n">
        <v>726</v>
      </c>
      <c r="N122" t="n">
        <v>1</v>
      </c>
      <c r="O122" t="n">
        <v>3127</v>
      </c>
      <c r="P122" t="n">
        <v>1</v>
      </c>
      <c r="Q122" t="n">
        <v>0</v>
      </c>
      <c r="R122" t="n">
        <v>18</v>
      </c>
      <c r="S122" t="n">
        <v>916</v>
      </c>
      <c r="T122" t="n">
        <v>12916</v>
      </c>
      <c r="U122" t="n">
        <v>12916</v>
      </c>
      <c r="V122" t="n">
        <v>2759</v>
      </c>
      <c r="W122" t="n">
        <v>19.71</v>
      </c>
      <c r="X122" t="n">
        <v>153</v>
      </c>
      <c r="Y122" t="n">
        <v>133</v>
      </c>
      <c r="Z122">
        <f>IF(L122&gt;=70,"Yes","No")</f>
        <v/>
      </c>
      <c r="AA122">
        <f>IF(OR(AND(E122="A",G122="Commercial_1_Balls"),AND(E122="B",G122="Commercial_2_Paint")),"first","second")</f>
        <v/>
      </c>
      <c r="AB122">
        <f>IF(ISNUMBER(W122),W122,0)</f>
        <v/>
      </c>
      <c r="AC122">
        <f>IF(ISNUMBER(S122),1,0)</f>
        <v/>
      </c>
      <c r="AD122">
        <f>IF(ISNUMBER(R122),R122,0)</f>
        <v/>
      </c>
    </row>
    <row r="123">
      <c r="A123" t="inlineStr">
        <is>
          <t>SIMULATED_AdTest_Balls_vs_Paint</t>
        </is>
      </c>
      <c r="B123" t="inlineStr">
        <is>
          <t>R16</t>
        </is>
      </c>
      <c r="C123" t="inlineStr">
        <is>
          <t>F</t>
        </is>
      </c>
      <c r="D123" t="n">
        <v>21</v>
      </c>
      <c r="E123" t="inlineStr">
        <is>
          <t>B</t>
        </is>
      </c>
      <c r="F123" t="inlineStr">
        <is>
          <t>2026-10-20</t>
        </is>
      </c>
      <c r="G123" t="inlineStr">
        <is>
          <t>Commercial_1_Balls</t>
        </is>
      </c>
      <c r="H123" t="inlineStr">
        <is>
          <t>Brand_Logo</t>
        </is>
      </c>
      <c r="I123" t="n">
        <v>60000</v>
      </c>
      <c r="J123" t="n">
        <v>5000</v>
      </c>
      <c r="K123" t="n">
        <v>8.33</v>
      </c>
      <c r="L123" t="n">
        <v>83.8</v>
      </c>
      <c r="M123" t="n">
        <v>1039</v>
      </c>
      <c r="N123" t="n">
        <v>3</v>
      </c>
      <c r="O123" t="n">
        <v>2989</v>
      </c>
      <c r="P123" t="n">
        <v>2</v>
      </c>
      <c r="Q123" t="n">
        <v>1</v>
      </c>
      <c r="R123" t="n">
        <v>7</v>
      </c>
      <c r="S123" t="n">
        <v>1276</v>
      </c>
      <c r="T123" t="n">
        <v>56276</v>
      </c>
      <c r="U123" t="n">
        <v>56276</v>
      </c>
      <c r="V123" t="n">
        <v>2763</v>
      </c>
      <c r="W123" t="n">
        <v>55.26</v>
      </c>
      <c r="X123" t="n">
        <v>395</v>
      </c>
      <c r="Y123" t="n">
        <v>196</v>
      </c>
      <c r="Z123">
        <f>IF(L123&gt;=70,"Yes","No")</f>
        <v/>
      </c>
      <c r="AA123">
        <f>IF(OR(AND(E123="A",G123="Commercial_1_Balls"),AND(E123="B",G123="Commercial_2_Paint")),"first","second")</f>
        <v/>
      </c>
      <c r="AB123">
        <f>IF(ISNUMBER(W123),W123,0)</f>
        <v/>
      </c>
      <c r="AC123">
        <f>IF(ISNUMBER(S123),1,0)</f>
        <v/>
      </c>
      <c r="AD123">
        <f>IF(ISNUMBER(R123),R123,0)</f>
        <v/>
      </c>
    </row>
    <row r="124">
      <c r="A124" t="inlineStr">
        <is>
          <t>SIMULATED_AdTest_Balls_vs_Paint</t>
        </is>
      </c>
      <c r="B124" t="inlineStr">
        <is>
          <t>R16</t>
        </is>
      </c>
      <c r="C124" t="inlineStr">
        <is>
          <t>F</t>
        </is>
      </c>
      <c r="D124" t="n">
        <v>21</v>
      </c>
      <c r="E124" t="inlineStr">
        <is>
          <t>B</t>
        </is>
      </c>
      <c r="F124" t="inlineStr">
        <is>
          <t>2026-10-20</t>
        </is>
      </c>
      <c r="G124" t="inlineStr">
        <is>
          <t>Commercial_1_Balls</t>
        </is>
      </c>
      <c r="H124" t="inlineStr">
        <is>
          <t>Tagline_Text</t>
        </is>
      </c>
      <c r="I124" t="n">
        <v>60000</v>
      </c>
      <c r="J124" t="n">
        <v>4000</v>
      </c>
      <c r="K124" t="n">
        <v>6.67</v>
      </c>
      <c r="L124" t="n">
        <v>83.8</v>
      </c>
      <c r="M124" t="n">
        <v>1104</v>
      </c>
      <c r="N124" t="n">
        <v>2</v>
      </c>
      <c r="O124" t="n">
        <v>1071</v>
      </c>
      <c r="P124" t="n">
        <v>1</v>
      </c>
      <c r="Q124" t="n">
        <v>0</v>
      </c>
      <c r="R124" t="n">
        <v>3</v>
      </c>
      <c r="S124" t="n">
        <v>1285</v>
      </c>
      <c r="T124" t="n">
        <v>57285</v>
      </c>
      <c r="U124" t="n">
        <v>57285</v>
      </c>
      <c r="V124" t="n">
        <v>943</v>
      </c>
      <c r="W124" t="n">
        <v>23.57</v>
      </c>
      <c r="X124" t="n">
        <v>314</v>
      </c>
      <c r="Y124" t="n">
        <v>477</v>
      </c>
      <c r="Z124">
        <f>IF(L124&gt;=70,"Yes","No")</f>
        <v/>
      </c>
      <c r="AA124">
        <f>IF(OR(AND(E124="A",G124="Commercial_1_Balls"),AND(E124="B",G124="Commercial_2_Paint")),"first","second")</f>
        <v/>
      </c>
      <c r="AB124">
        <f>IF(ISNUMBER(W124),W124,0)</f>
        <v/>
      </c>
      <c r="AC124">
        <f>IF(ISNUMBER(S124),1,0)</f>
        <v/>
      </c>
      <c r="AD124">
        <f>IF(ISNUMBER(R124),R124,0)</f>
        <v/>
      </c>
    </row>
    <row r="125">
      <c r="A125" t="inlineStr">
        <is>
          <t>SIMULATED_AdTest_Balls_vs_Paint</t>
        </is>
      </c>
      <c r="B125" t="inlineStr">
        <is>
          <t>R16</t>
        </is>
      </c>
      <c r="C125" t="inlineStr">
        <is>
          <t>F</t>
        </is>
      </c>
      <c r="D125" t="n">
        <v>21</v>
      </c>
      <c r="E125" t="inlineStr">
        <is>
          <t>B</t>
        </is>
      </c>
      <c r="F125" t="inlineStr">
        <is>
          <t>2026-10-20</t>
        </is>
      </c>
      <c r="G125" t="inlineStr">
        <is>
          <t>Commercial_1_Balls</t>
        </is>
      </c>
      <c r="H125" t="inlineStr">
        <is>
          <t>Hero_Element</t>
        </is>
      </c>
      <c r="I125" t="n">
        <v>60000</v>
      </c>
      <c r="J125" t="n">
        <v>40000</v>
      </c>
      <c r="K125" t="n">
        <v>66.67</v>
      </c>
      <c r="L125" t="n">
        <v>83.8</v>
      </c>
      <c r="M125" t="n">
        <v>447</v>
      </c>
      <c r="N125" t="n">
        <v>4</v>
      </c>
      <c r="O125" t="n">
        <v>23960</v>
      </c>
      <c r="P125" t="n">
        <v>3</v>
      </c>
      <c r="Q125" t="n">
        <v>2</v>
      </c>
      <c r="R125" t="n">
        <v>78</v>
      </c>
      <c r="S125" t="n">
        <v>547</v>
      </c>
      <c r="T125" t="n">
        <v>2547</v>
      </c>
      <c r="U125" t="n">
        <v>2547</v>
      </c>
      <c r="V125" t="n">
        <v>22930</v>
      </c>
      <c r="W125" t="n">
        <v>57.33</v>
      </c>
      <c r="X125" t="n">
        <v>294</v>
      </c>
      <c r="Y125" t="n">
        <v>292</v>
      </c>
      <c r="Z125">
        <f>IF(L125&gt;=70,"Yes","No")</f>
        <v/>
      </c>
      <c r="AA125">
        <f>IF(OR(AND(E125="A",G125="Commercial_1_Balls"),AND(E125="B",G125="Commercial_2_Paint")),"first","second")</f>
        <v/>
      </c>
      <c r="AB125">
        <f>IF(ISNUMBER(W125),W125,0)</f>
        <v/>
      </c>
      <c r="AC125">
        <f>IF(ISNUMBER(S125),1,0)</f>
        <v/>
      </c>
      <c r="AD125">
        <f>IF(ISNUMBER(R125),R125,0)</f>
        <v/>
      </c>
    </row>
    <row r="126">
      <c r="A126" t="inlineStr">
        <is>
          <t>SIMULATED_AdTest_Balls_vs_Paint</t>
        </is>
      </c>
      <c r="B126" t="inlineStr">
        <is>
          <t>R16</t>
        </is>
      </c>
      <c r="C126" t="inlineStr">
        <is>
          <t>F</t>
        </is>
      </c>
      <c r="D126" t="n">
        <v>21</v>
      </c>
      <c r="E126" t="inlineStr">
        <is>
          <t>B</t>
        </is>
      </c>
      <c r="F126" t="inlineStr">
        <is>
          <t>2026-10-20</t>
        </is>
      </c>
      <c r="G126" t="inlineStr">
        <is>
          <t>Commercial_2_Paint</t>
        </is>
      </c>
      <c r="H126" t="inlineStr">
        <is>
          <t>Product_TV</t>
        </is>
      </c>
      <c r="I126" t="n">
        <v>60000</v>
      </c>
      <c r="J126" t="n">
        <v>20000</v>
      </c>
      <c r="K126" t="n">
        <v>33.33</v>
      </c>
      <c r="L126" t="n">
        <v>83.8</v>
      </c>
      <c r="M126" t="n">
        <v>583</v>
      </c>
      <c r="N126" t="n">
        <v>2</v>
      </c>
      <c r="O126" t="n">
        <v>3945</v>
      </c>
      <c r="P126" t="n">
        <v>2</v>
      </c>
      <c r="Q126" t="n">
        <v>1</v>
      </c>
      <c r="R126" t="n">
        <v>12</v>
      </c>
      <c r="S126" t="n">
        <v>692</v>
      </c>
      <c r="T126" t="n">
        <v>9692</v>
      </c>
      <c r="U126" t="n">
        <v>9692</v>
      </c>
      <c r="V126" t="n">
        <v>3552</v>
      </c>
      <c r="W126" t="n">
        <v>17.76</v>
      </c>
      <c r="X126" t="n">
        <v>296</v>
      </c>
      <c r="Y126" t="n">
        <v>197</v>
      </c>
      <c r="Z126">
        <f>IF(L126&gt;=70,"Yes","No")</f>
        <v/>
      </c>
      <c r="AA126">
        <f>IF(OR(AND(E126="A",G126="Commercial_1_Balls"),AND(E126="B",G126="Commercial_2_Paint")),"first","second")</f>
        <v/>
      </c>
      <c r="AB126">
        <f>IF(ISNUMBER(W126),W126,0)</f>
        <v/>
      </c>
      <c r="AC126">
        <f>IF(ISNUMBER(S126),1,0)</f>
        <v/>
      </c>
      <c r="AD126">
        <f>IF(ISNUMBER(R126),R126,0)</f>
        <v/>
      </c>
    </row>
    <row r="127">
      <c r="A127" t="inlineStr">
        <is>
          <t>SIMULATED_AdTest_Balls_vs_Paint</t>
        </is>
      </c>
      <c r="B127" t="inlineStr">
        <is>
          <t>R16</t>
        </is>
      </c>
      <c r="C127" t="inlineStr">
        <is>
          <t>F</t>
        </is>
      </c>
      <c r="D127" t="n">
        <v>21</v>
      </c>
      <c r="E127" t="inlineStr">
        <is>
          <t>B</t>
        </is>
      </c>
      <c r="F127" t="inlineStr">
        <is>
          <t>2026-10-20</t>
        </is>
      </c>
      <c r="G127" t="inlineStr">
        <is>
          <t>Commercial_2_Paint</t>
        </is>
      </c>
      <c r="H127" t="inlineStr">
        <is>
          <t>Brand_Logo</t>
        </is>
      </c>
      <c r="I127" t="n">
        <v>60000</v>
      </c>
      <c r="J127" t="n">
        <v>5000</v>
      </c>
      <c r="K127" t="n">
        <v>8.33</v>
      </c>
      <c r="L127" t="n">
        <v>83.8</v>
      </c>
      <c r="M127" t="n">
        <v>475</v>
      </c>
      <c r="N127" t="n">
        <v>1</v>
      </c>
      <c r="O127" t="n">
        <v>3718</v>
      </c>
      <c r="P127" t="n">
        <v>1</v>
      </c>
      <c r="Q127" t="n">
        <v>0</v>
      </c>
      <c r="R127" t="n">
        <v>10</v>
      </c>
      <c r="S127" t="n">
        <v>745</v>
      </c>
      <c r="T127" t="n">
        <v>55745</v>
      </c>
      <c r="U127" t="n">
        <v>55745</v>
      </c>
      <c r="V127" t="n">
        <v>3340</v>
      </c>
      <c r="W127" t="n">
        <v>66.8</v>
      </c>
      <c r="X127" t="n">
        <v>334</v>
      </c>
      <c r="Y127" t="n">
        <v>334</v>
      </c>
      <c r="Z127">
        <f>IF(L127&gt;=70,"Yes","No")</f>
        <v/>
      </c>
      <c r="AA127">
        <f>IF(OR(AND(E127="A",G127="Commercial_1_Balls"),AND(E127="B",G127="Commercial_2_Paint")),"first","second")</f>
        <v/>
      </c>
      <c r="AB127">
        <f>IF(ISNUMBER(W127),W127,0)</f>
        <v/>
      </c>
      <c r="AC127">
        <f>IF(ISNUMBER(S127),1,0)</f>
        <v/>
      </c>
      <c r="AD127">
        <f>IF(ISNUMBER(R127),R127,0)</f>
        <v/>
      </c>
    </row>
    <row r="128">
      <c r="A128" t="inlineStr">
        <is>
          <t>SIMULATED_AdTest_Balls_vs_Paint</t>
        </is>
      </c>
      <c r="B128" t="inlineStr">
        <is>
          <t>R16</t>
        </is>
      </c>
      <c r="C128" t="inlineStr">
        <is>
          <t>F</t>
        </is>
      </c>
      <c r="D128" t="n">
        <v>21</v>
      </c>
      <c r="E128" t="inlineStr">
        <is>
          <t>B</t>
        </is>
      </c>
      <c r="F128" t="inlineStr">
        <is>
          <t>2026-10-20</t>
        </is>
      </c>
      <c r="G128" t="inlineStr">
        <is>
          <t>Commercial_2_Paint</t>
        </is>
      </c>
      <c r="H128" t="inlineStr">
        <is>
          <t>Tagline_Text</t>
        </is>
      </c>
      <c r="I128" t="n">
        <v>60000</v>
      </c>
      <c r="J128" t="n">
        <v>4000</v>
      </c>
      <c r="K128" t="n">
        <v>6.67</v>
      </c>
      <c r="L128" t="n">
        <v>83.8</v>
      </c>
      <c r="M128" t="n">
        <v>659</v>
      </c>
      <c r="N128" t="n">
        <v>1</v>
      </c>
      <c r="O128" t="n">
        <v>1860</v>
      </c>
      <c r="P128" t="n">
        <v>1</v>
      </c>
      <c r="Q128" t="n">
        <v>0</v>
      </c>
      <c r="R128" t="n">
        <v>8</v>
      </c>
      <c r="S128" t="n">
        <v>862</v>
      </c>
      <c r="T128" t="n">
        <v>56862</v>
      </c>
      <c r="U128" t="n">
        <v>56862</v>
      </c>
      <c r="V128" t="n">
        <v>1654</v>
      </c>
      <c r="W128" t="n">
        <v>41.35</v>
      </c>
      <c r="X128" t="n">
        <v>207</v>
      </c>
      <c r="Y128" t="n">
        <v>158</v>
      </c>
      <c r="Z128">
        <f>IF(L128&gt;=70,"Yes","No")</f>
        <v/>
      </c>
      <c r="AA128">
        <f>IF(OR(AND(E128="A",G128="Commercial_1_Balls"),AND(E128="B",G128="Commercial_2_Paint")),"first","second")</f>
        <v/>
      </c>
      <c r="AB128">
        <f>IF(ISNUMBER(W128),W128,0)</f>
        <v/>
      </c>
      <c r="AC128">
        <f>IF(ISNUMBER(S128),1,0)</f>
        <v/>
      </c>
      <c r="AD128">
        <f>IF(ISNUMBER(R128),R128,0)</f>
        <v/>
      </c>
    </row>
    <row r="129">
      <c r="A129" t="inlineStr">
        <is>
          <t>SIMULATED_AdTest_Balls_vs_Paint</t>
        </is>
      </c>
      <c r="B129" t="inlineStr">
        <is>
          <t>R16</t>
        </is>
      </c>
      <c r="C129" t="inlineStr">
        <is>
          <t>F</t>
        </is>
      </c>
      <c r="D129" t="n">
        <v>21</v>
      </c>
      <c r="E129" t="inlineStr">
        <is>
          <t>B</t>
        </is>
      </c>
      <c r="F129" t="inlineStr">
        <is>
          <t>2026-10-20</t>
        </is>
      </c>
      <c r="G129" t="inlineStr">
        <is>
          <t>Commercial_2_Paint</t>
        </is>
      </c>
      <c r="H129" t="inlineStr">
        <is>
          <t>Hero_Element</t>
        </is>
      </c>
      <c r="I129" t="n">
        <v>60000</v>
      </c>
      <c r="J129" t="n">
        <v>32000</v>
      </c>
      <c r="K129" t="n">
        <v>53.33</v>
      </c>
      <c r="L129" t="n">
        <v>83.8</v>
      </c>
      <c r="M129" t="n">
        <v>734</v>
      </c>
      <c r="N129" t="n">
        <v>3</v>
      </c>
      <c r="O129" t="n">
        <v>16666</v>
      </c>
      <c r="P129" t="n">
        <v>3</v>
      </c>
      <c r="Q129" t="n">
        <v>2</v>
      </c>
      <c r="R129" t="n">
        <v>60</v>
      </c>
      <c r="S129" t="n">
        <v>991</v>
      </c>
      <c r="T129" t="n">
        <v>3991</v>
      </c>
      <c r="U129" t="n">
        <v>3991</v>
      </c>
      <c r="V129" t="n">
        <v>15804</v>
      </c>
      <c r="W129" t="n">
        <v>49.39</v>
      </c>
      <c r="X129" t="n">
        <v>263</v>
      </c>
      <c r="Y129" t="n">
        <v>258</v>
      </c>
      <c r="Z129">
        <f>IF(L129&gt;=70,"Yes","No")</f>
        <v/>
      </c>
      <c r="AA129">
        <f>IF(OR(AND(E129="A",G129="Commercial_1_Balls"),AND(E129="B",G129="Commercial_2_Paint")),"first","second")</f>
        <v/>
      </c>
      <c r="AB129">
        <f>IF(ISNUMBER(W129),W129,0)</f>
        <v/>
      </c>
      <c r="AC129">
        <f>IF(ISNUMBER(S129),1,0)</f>
        <v/>
      </c>
      <c r="AD129">
        <f>IF(ISNUMBER(R129),R129,0)</f>
        <v/>
      </c>
    </row>
    <row r="130">
      <c r="A130" t="inlineStr">
        <is>
          <t>SIMULATED_AdTest_Balls_vs_Paint</t>
        </is>
      </c>
      <c r="B130" t="inlineStr">
        <is>
          <t>R17</t>
        </is>
      </c>
      <c r="C130" t="inlineStr">
        <is>
          <t>F</t>
        </is>
      </c>
      <c r="D130" t="n">
        <v>37</v>
      </c>
      <c r="E130" t="inlineStr">
        <is>
          <t>A</t>
        </is>
      </c>
      <c r="F130" t="inlineStr">
        <is>
          <t>2026-10-20</t>
        </is>
      </c>
      <c r="G130" t="inlineStr">
        <is>
          <t>Commercial_1_Balls</t>
        </is>
      </c>
      <c r="H130" t="inlineStr">
        <is>
          <t>Product_TV</t>
        </is>
      </c>
      <c r="I130" t="n">
        <v>60000</v>
      </c>
      <c r="J130" t="n">
        <v>14000</v>
      </c>
      <c r="K130" t="n">
        <v>23.33</v>
      </c>
      <c r="L130" t="n">
        <v>94</v>
      </c>
      <c r="M130" t="n">
        <v>549</v>
      </c>
      <c r="N130" t="n">
        <v>2</v>
      </c>
      <c r="O130" t="n">
        <v>2560</v>
      </c>
      <c r="P130" t="n">
        <v>2</v>
      </c>
      <c r="Q130" t="n">
        <v>1</v>
      </c>
      <c r="R130" t="n">
        <v>11</v>
      </c>
      <c r="S130" t="n">
        <v>652</v>
      </c>
      <c r="T130" t="n">
        <v>12652</v>
      </c>
      <c r="U130" t="n">
        <v>12652</v>
      </c>
      <c r="V130" t="n">
        <v>2380</v>
      </c>
      <c r="W130" t="n">
        <v>17</v>
      </c>
      <c r="X130" t="n">
        <v>216</v>
      </c>
      <c r="Y130" t="n">
        <v>141</v>
      </c>
      <c r="Z130">
        <f>IF(L130&gt;=70,"Yes","No")</f>
        <v/>
      </c>
      <c r="AA130">
        <f>IF(OR(AND(E130="A",G130="Commercial_1_Balls"),AND(E130="B",G130="Commercial_2_Paint")),"first","second")</f>
        <v/>
      </c>
      <c r="AB130">
        <f>IF(ISNUMBER(W130),W130,0)</f>
        <v/>
      </c>
      <c r="AC130">
        <f>IF(ISNUMBER(S130),1,0)</f>
        <v/>
      </c>
      <c r="AD130">
        <f>IF(ISNUMBER(R130),R130,0)</f>
        <v/>
      </c>
    </row>
    <row r="131">
      <c r="A131" t="inlineStr">
        <is>
          <t>SIMULATED_AdTest_Balls_vs_Paint</t>
        </is>
      </c>
      <c r="B131" t="inlineStr">
        <is>
          <t>R17</t>
        </is>
      </c>
      <c r="C131" t="inlineStr">
        <is>
          <t>F</t>
        </is>
      </c>
      <c r="D131" t="n">
        <v>37</v>
      </c>
      <c r="E131" t="inlineStr">
        <is>
          <t>A</t>
        </is>
      </c>
      <c r="F131" t="inlineStr">
        <is>
          <t>2026-10-20</t>
        </is>
      </c>
      <c r="G131" t="inlineStr">
        <is>
          <t>Commercial_1_Balls</t>
        </is>
      </c>
      <c r="H131" t="inlineStr">
        <is>
          <t>Brand_Logo</t>
        </is>
      </c>
      <c r="I131" t="n">
        <v>60000</v>
      </c>
      <c r="J131" t="n">
        <v>5000</v>
      </c>
      <c r="K131" t="n">
        <v>8.33</v>
      </c>
      <c r="L131" t="n">
        <v>94</v>
      </c>
      <c r="M131" t="n">
        <v>656</v>
      </c>
      <c r="N131" t="n">
        <v>2</v>
      </c>
      <c r="O131" t="n">
        <v>1554</v>
      </c>
      <c r="P131" t="n">
        <v>1</v>
      </c>
      <c r="Q131" t="n">
        <v>0</v>
      </c>
      <c r="R131" t="n">
        <v>6</v>
      </c>
      <c r="S131" t="n">
        <v>782</v>
      </c>
      <c r="T131" t="n">
        <v>55782</v>
      </c>
      <c r="U131" t="n">
        <v>55782</v>
      </c>
      <c r="V131" t="n">
        <v>1452</v>
      </c>
      <c r="W131" t="n">
        <v>29.04</v>
      </c>
      <c r="X131" t="n">
        <v>242</v>
      </c>
      <c r="Y131" t="n">
        <v>340</v>
      </c>
      <c r="Z131">
        <f>IF(L131&gt;=70,"Yes","No")</f>
        <v/>
      </c>
      <c r="AA131">
        <f>IF(OR(AND(E131="A",G131="Commercial_1_Balls"),AND(E131="B",G131="Commercial_2_Paint")),"first","second")</f>
        <v/>
      </c>
      <c r="AB131">
        <f>IF(ISNUMBER(W131),W131,0)</f>
        <v/>
      </c>
      <c r="AC131">
        <f>IF(ISNUMBER(S131),1,0)</f>
        <v/>
      </c>
      <c r="AD131">
        <f>IF(ISNUMBER(R131),R131,0)</f>
        <v/>
      </c>
    </row>
    <row r="132">
      <c r="A132" t="inlineStr">
        <is>
          <t>SIMULATED_AdTest_Balls_vs_Paint</t>
        </is>
      </c>
      <c r="B132" t="inlineStr">
        <is>
          <t>R17</t>
        </is>
      </c>
      <c r="C132" t="inlineStr">
        <is>
          <t>F</t>
        </is>
      </c>
      <c r="D132" t="n">
        <v>37</v>
      </c>
      <c r="E132" t="inlineStr">
        <is>
          <t>A</t>
        </is>
      </c>
      <c r="F132" t="inlineStr">
        <is>
          <t>2026-10-20</t>
        </is>
      </c>
      <c r="G132" t="inlineStr">
        <is>
          <t>Commercial_1_Balls</t>
        </is>
      </c>
      <c r="H132" t="inlineStr">
        <is>
          <t>Tagline_Text</t>
        </is>
      </c>
      <c r="I132" t="n">
        <v>60000</v>
      </c>
      <c r="J132" t="n">
        <v>4000</v>
      </c>
      <c r="K132" t="n">
        <v>6.67</v>
      </c>
      <c r="L132" t="n">
        <v>94</v>
      </c>
      <c r="M132" t="n">
        <v>1391</v>
      </c>
      <c r="N132" t="n">
        <v>1</v>
      </c>
      <c r="O132" t="n">
        <v>1857</v>
      </c>
      <c r="P132" t="n">
        <v>1</v>
      </c>
      <c r="Q132" t="n">
        <v>0</v>
      </c>
      <c r="R132" t="n">
        <v>12</v>
      </c>
      <c r="S132" t="n">
        <v>1608</v>
      </c>
      <c r="T132" t="n">
        <v>57608</v>
      </c>
      <c r="U132" t="n">
        <v>57608</v>
      </c>
      <c r="V132" t="n">
        <v>1764</v>
      </c>
      <c r="W132" t="n">
        <v>44.1</v>
      </c>
      <c r="X132" t="n">
        <v>147</v>
      </c>
      <c r="Y132" t="n">
        <v>251</v>
      </c>
      <c r="Z132">
        <f>IF(L132&gt;=70,"Yes","No")</f>
        <v/>
      </c>
      <c r="AA132">
        <f>IF(OR(AND(E132="A",G132="Commercial_1_Balls"),AND(E132="B",G132="Commercial_2_Paint")),"first","second")</f>
        <v/>
      </c>
      <c r="AB132">
        <f>IF(ISNUMBER(W132),W132,0)</f>
        <v/>
      </c>
      <c r="AC132">
        <f>IF(ISNUMBER(S132),1,0)</f>
        <v/>
      </c>
      <c r="AD132">
        <f>IF(ISNUMBER(R132),R132,0)</f>
        <v/>
      </c>
    </row>
    <row r="133">
      <c r="A133" t="inlineStr">
        <is>
          <t>SIMULATED_AdTest_Balls_vs_Paint</t>
        </is>
      </c>
      <c r="B133" t="inlineStr">
        <is>
          <t>R17</t>
        </is>
      </c>
      <c r="C133" t="inlineStr">
        <is>
          <t>F</t>
        </is>
      </c>
      <c r="D133" t="n">
        <v>37</v>
      </c>
      <c r="E133" t="inlineStr">
        <is>
          <t>A</t>
        </is>
      </c>
      <c r="F133" t="inlineStr">
        <is>
          <t>2026-10-20</t>
        </is>
      </c>
      <c r="G133" t="inlineStr">
        <is>
          <t>Commercial_1_Balls</t>
        </is>
      </c>
      <c r="H133" t="inlineStr">
        <is>
          <t>Hero_Element</t>
        </is>
      </c>
      <c r="I133" t="n">
        <v>60000</v>
      </c>
      <c r="J133" t="n">
        <v>40000</v>
      </c>
      <c r="K133" t="n">
        <v>66.67</v>
      </c>
      <c r="L133" t="n">
        <v>94</v>
      </c>
      <c r="M133" t="n">
        <v>394</v>
      </c>
      <c r="N133" t="n">
        <v>6</v>
      </c>
      <c r="O133" t="n">
        <v>15682</v>
      </c>
      <c r="P133" t="n">
        <v>5</v>
      </c>
      <c r="Q133" t="n">
        <v>4</v>
      </c>
      <c r="R133" t="n">
        <v>39</v>
      </c>
      <c r="S133" t="n">
        <v>516</v>
      </c>
      <c r="T133" t="n">
        <v>2516</v>
      </c>
      <c r="U133" t="n">
        <v>2516</v>
      </c>
      <c r="V133" t="n">
        <v>14140</v>
      </c>
      <c r="W133" t="n">
        <v>35.35</v>
      </c>
      <c r="X133" t="n">
        <v>363</v>
      </c>
      <c r="Y133" t="n">
        <v>260</v>
      </c>
      <c r="Z133">
        <f>IF(L133&gt;=70,"Yes","No")</f>
        <v/>
      </c>
      <c r="AA133">
        <f>IF(OR(AND(E133="A",G133="Commercial_1_Balls"),AND(E133="B",G133="Commercial_2_Paint")),"first","second")</f>
        <v/>
      </c>
      <c r="AB133">
        <f>IF(ISNUMBER(W133),W133,0)</f>
        <v/>
      </c>
      <c r="AC133">
        <f>IF(ISNUMBER(S133),1,0)</f>
        <v/>
      </c>
      <c r="AD133">
        <f>IF(ISNUMBER(R133),R133,0)</f>
        <v/>
      </c>
    </row>
    <row r="134">
      <c r="A134" t="inlineStr">
        <is>
          <t>SIMULATED_AdTest_Balls_vs_Paint</t>
        </is>
      </c>
      <c r="B134" t="inlineStr">
        <is>
          <t>R17</t>
        </is>
      </c>
      <c r="C134" t="inlineStr">
        <is>
          <t>F</t>
        </is>
      </c>
      <c r="D134" t="n">
        <v>37</v>
      </c>
      <c r="E134" t="inlineStr">
        <is>
          <t>A</t>
        </is>
      </c>
      <c r="F134" t="inlineStr">
        <is>
          <t>2026-10-20</t>
        </is>
      </c>
      <c r="G134" t="inlineStr">
        <is>
          <t>Commercial_2_Paint</t>
        </is>
      </c>
      <c r="H134" t="inlineStr">
        <is>
          <t>Product_TV</t>
        </is>
      </c>
      <c r="I134" t="n">
        <v>60000</v>
      </c>
      <c r="J134" t="n">
        <v>20000</v>
      </c>
      <c r="K134" t="n">
        <v>33.33</v>
      </c>
      <c r="L134" t="n">
        <v>94</v>
      </c>
      <c r="M134" t="n">
        <v>470</v>
      </c>
      <c r="N134" t="n">
        <v>1</v>
      </c>
      <c r="O134" t="n">
        <v>9473</v>
      </c>
      <c r="P134" t="n">
        <v>1</v>
      </c>
      <c r="Q134" t="n">
        <v>0</v>
      </c>
      <c r="R134" t="n">
        <v>36</v>
      </c>
      <c r="S134" t="n">
        <v>635</v>
      </c>
      <c r="T134" t="n">
        <v>9635</v>
      </c>
      <c r="U134" t="n">
        <v>9635</v>
      </c>
      <c r="V134" t="n">
        <v>8303</v>
      </c>
      <c r="W134" t="n">
        <v>41.52</v>
      </c>
      <c r="X134" t="n">
        <v>231</v>
      </c>
      <c r="Y134" t="n">
        <v>257</v>
      </c>
      <c r="Z134">
        <f>IF(L134&gt;=70,"Yes","No")</f>
        <v/>
      </c>
      <c r="AA134">
        <f>IF(OR(AND(E134="A",G134="Commercial_1_Balls"),AND(E134="B",G134="Commercial_2_Paint")),"first","second")</f>
        <v/>
      </c>
      <c r="AB134">
        <f>IF(ISNUMBER(W134),W134,0)</f>
        <v/>
      </c>
      <c r="AC134">
        <f>IF(ISNUMBER(S134),1,0)</f>
        <v/>
      </c>
      <c r="AD134">
        <f>IF(ISNUMBER(R134),R134,0)</f>
        <v/>
      </c>
    </row>
    <row r="135">
      <c r="A135" t="inlineStr">
        <is>
          <t>SIMULATED_AdTest_Balls_vs_Paint</t>
        </is>
      </c>
      <c r="B135" t="inlineStr">
        <is>
          <t>R17</t>
        </is>
      </c>
      <c r="C135" t="inlineStr">
        <is>
          <t>F</t>
        </is>
      </c>
      <c r="D135" t="n">
        <v>37</v>
      </c>
      <c r="E135" t="inlineStr">
        <is>
          <t>A</t>
        </is>
      </c>
      <c r="F135" t="inlineStr">
        <is>
          <t>2026-10-20</t>
        </is>
      </c>
      <c r="G135" t="inlineStr">
        <is>
          <t>Commercial_2_Paint</t>
        </is>
      </c>
      <c r="H135" t="inlineStr">
        <is>
          <t>Brand_Logo</t>
        </is>
      </c>
      <c r="I135" t="n">
        <v>60000</v>
      </c>
      <c r="J135" t="n">
        <v>5000</v>
      </c>
      <c r="K135" t="n">
        <v>8.33</v>
      </c>
      <c r="L135" t="n">
        <v>94</v>
      </c>
      <c r="M135" t="n">
        <v>852</v>
      </c>
      <c r="N135" t="n">
        <v>1</v>
      </c>
      <c r="O135" t="n">
        <v>1309</v>
      </c>
      <c r="P135" t="n">
        <v>1</v>
      </c>
      <c r="Q135" t="n">
        <v>0</v>
      </c>
      <c r="R135" t="n">
        <v>4</v>
      </c>
      <c r="S135" t="n">
        <v>1131</v>
      </c>
      <c r="T135" t="n">
        <v>56131</v>
      </c>
      <c r="U135" t="n">
        <v>56131</v>
      </c>
      <c r="V135" t="n">
        <v>1255</v>
      </c>
      <c r="W135" t="n">
        <v>25.1</v>
      </c>
      <c r="X135" t="n">
        <v>314</v>
      </c>
      <c r="Y135" t="n">
        <v>261</v>
      </c>
      <c r="Z135">
        <f>IF(L135&gt;=70,"Yes","No")</f>
        <v/>
      </c>
      <c r="AA135">
        <f>IF(OR(AND(E135="A",G135="Commercial_1_Balls"),AND(E135="B",G135="Commercial_2_Paint")),"first","second")</f>
        <v/>
      </c>
      <c r="AB135">
        <f>IF(ISNUMBER(W135),W135,0)</f>
        <v/>
      </c>
      <c r="AC135">
        <f>IF(ISNUMBER(S135),1,0)</f>
        <v/>
      </c>
      <c r="AD135">
        <f>IF(ISNUMBER(R135),R135,0)</f>
        <v/>
      </c>
    </row>
    <row r="136">
      <c r="A136" t="inlineStr">
        <is>
          <t>SIMULATED_AdTest_Balls_vs_Paint</t>
        </is>
      </c>
      <c r="B136" t="inlineStr">
        <is>
          <t>R17</t>
        </is>
      </c>
      <c r="C136" t="inlineStr">
        <is>
          <t>F</t>
        </is>
      </c>
      <c r="D136" t="n">
        <v>37</v>
      </c>
      <c r="E136" t="inlineStr">
        <is>
          <t>A</t>
        </is>
      </c>
      <c r="F136" t="inlineStr">
        <is>
          <t>2026-10-20</t>
        </is>
      </c>
      <c r="G136" t="inlineStr">
        <is>
          <t>Commercial_2_Paint</t>
        </is>
      </c>
      <c r="H136" t="inlineStr">
        <is>
          <t>Tagline_Text</t>
        </is>
      </c>
      <c r="I136" t="n">
        <v>60000</v>
      </c>
      <c r="J136" t="n">
        <v>4000</v>
      </c>
      <c r="K136" t="n">
        <v>6.67</v>
      </c>
      <c r="L136" t="n">
        <v>94</v>
      </c>
      <c r="M136" t="n">
        <v>1455</v>
      </c>
      <c r="N136" t="n">
        <v>1</v>
      </c>
      <c r="O136" t="n">
        <v>1652</v>
      </c>
      <c r="P136" t="n">
        <v>1</v>
      </c>
      <c r="Q136" t="n">
        <v>0</v>
      </c>
      <c r="R136" t="n">
        <v>5</v>
      </c>
      <c r="S136" t="n">
        <v>1681</v>
      </c>
      <c r="T136" t="n">
        <v>57681</v>
      </c>
      <c r="U136" t="n">
        <v>57681</v>
      </c>
      <c r="V136" t="n">
        <v>1564</v>
      </c>
      <c r="W136" t="n">
        <v>39.1</v>
      </c>
      <c r="X136" t="n">
        <v>313</v>
      </c>
      <c r="Y136" t="n">
        <v>226</v>
      </c>
      <c r="Z136">
        <f>IF(L136&gt;=70,"Yes","No")</f>
        <v/>
      </c>
      <c r="AA136">
        <f>IF(OR(AND(E136="A",G136="Commercial_1_Balls"),AND(E136="B",G136="Commercial_2_Paint")),"first","second")</f>
        <v/>
      </c>
      <c r="AB136">
        <f>IF(ISNUMBER(W136),W136,0)</f>
        <v/>
      </c>
      <c r="AC136">
        <f>IF(ISNUMBER(S136),1,0)</f>
        <v/>
      </c>
      <c r="AD136">
        <f>IF(ISNUMBER(R136),R136,0)</f>
        <v/>
      </c>
    </row>
    <row r="137">
      <c r="A137" t="inlineStr">
        <is>
          <t>SIMULATED_AdTest_Balls_vs_Paint</t>
        </is>
      </c>
      <c r="B137" t="inlineStr">
        <is>
          <t>R17</t>
        </is>
      </c>
      <c r="C137" t="inlineStr">
        <is>
          <t>F</t>
        </is>
      </c>
      <c r="D137" t="n">
        <v>37</v>
      </c>
      <c r="E137" t="inlineStr">
        <is>
          <t>A</t>
        </is>
      </c>
      <c r="F137" t="inlineStr">
        <is>
          <t>2026-10-20</t>
        </is>
      </c>
      <c r="G137" t="inlineStr">
        <is>
          <t>Commercial_2_Paint</t>
        </is>
      </c>
      <c r="H137" t="inlineStr">
        <is>
          <t>Hero_Element</t>
        </is>
      </c>
      <c r="I137" t="n">
        <v>60000</v>
      </c>
      <c r="J137" t="n">
        <v>32000</v>
      </c>
      <c r="K137" t="n">
        <v>53.33</v>
      </c>
      <c r="L137" t="n">
        <v>94</v>
      </c>
      <c r="M137" t="n">
        <v>207</v>
      </c>
      <c r="N137" t="n">
        <v>5</v>
      </c>
      <c r="O137" t="n">
        <v>10802</v>
      </c>
      <c r="P137" t="n">
        <v>4</v>
      </c>
      <c r="Q137" t="n">
        <v>3</v>
      </c>
      <c r="R137" t="n">
        <v>38</v>
      </c>
      <c r="S137" t="n">
        <v>453</v>
      </c>
      <c r="T137" t="n">
        <v>3453</v>
      </c>
      <c r="U137" t="n">
        <v>3453</v>
      </c>
      <c r="V137" t="n">
        <v>10033</v>
      </c>
      <c r="W137" t="n">
        <v>31.35</v>
      </c>
      <c r="X137" t="n">
        <v>264</v>
      </c>
      <c r="Y137" t="n">
        <v>228</v>
      </c>
      <c r="Z137">
        <f>IF(L137&gt;=70,"Yes","No")</f>
        <v/>
      </c>
      <c r="AA137">
        <f>IF(OR(AND(E137="A",G137="Commercial_1_Balls"),AND(E137="B",G137="Commercial_2_Paint")),"first","second")</f>
        <v/>
      </c>
      <c r="AB137">
        <f>IF(ISNUMBER(W137),W137,0)</f>
        <v/>
      </c>
      <c r="AC137">
        <f>IF(ISNUMBER(S137),1,0)</f>
        <v/>
      </c>
      <c r="AD137">
        <f>IF(ISNUMBER(R137),R137,0)</f>
        <v/>
      </c>
    </row>
    <row r="138">
      <c r="A138" t="inlineStr">
        <is>
          <t>SIMULATED_AdTest_Balls_vs_Paint</t>
        </is>
      </c>
      <c r="B138" t="inlineStr">
        <is>
          <t>R18</t>
        </is>
      </c>
      <c r="C138" t="inlineStr">
        <is>
          <t>M</t>
        </is>
      </c>
      <c r="D138" t="n">
        <v>23</v>
      </c>
      <c r="E138" t="inlineStr">
        <is>
          <t>B</t>
        </is>
      </c>
      <c r="F138" t="inlineStr">
        <is>
          <t>2026-10-20</t>
        </is>
      </c>
      <c r="G138" t="inlineStr">
        <is>
          <t>Commercial_1_Balls</t>
        </is>
      </c>
      <c r="H138" t="inlineStr">
        <is>
          <t>Product_TV</t>
        </is>
      </c>
      <c r="I138" t="n">
        <v>60000</v>
      </c>
      <c r="J138" t="n">
        <v>14000</v>
      </c>
      <c r="K138" t="n">
        <v>23.33</v>
      </c>
      <c r="L138" t="n">
        <v>94.90000000000001</v>
      </c>
      <c r="M138" t="n">
        <v>1283</v>
      </c>
      <c r="N138" t="n">
        <v>2</v>
      </c>
      <c r="O138" t="n">
        <v>1633</v>
      </c>
      <c r="P138" t="n">
        <v>1</v>
      </c>
      <c r="Q138" t="n">
        <v>0</v>
      </c>
      <c r="R138" t="n">
        <v>5</v>
      </c>
      <c r="S138" t="n">
        <v>1474</v>
      </c>
      <c r="T138" t="n">
        <v>13474</v>
      </c>
      <c r="U138" t="n">
        <v>13474</v>
      </c>
      <c r="V138" t="n">
        <v>1572</v>
      </c>
      <c r="W138" t="n">
        <v>11.23</v>
      </c>
      <c r="X138" t="n">
        <v>314</v>
      </c>
      <c r="Y138" t="n">
        <v>203</v>
      </c>
      <c r="Z138">
        <f>IF(L138&gt;=70,"Yes","No")</f>
        <v/>
      </c>
      <c r="AA138">
        <f>IF(OR(AND(E138="A",G138="Commercial_1_Balls"),AND(E138="B",G138="Commercial_2_Paint")),"first","second")</f>
        <v/>
      </c>
      <c r="AB138">
        <f>IF(ISNUMBER(W138),W138,0)</f>
        <v/>
      </c>
      <c r="AC138">
        <f>IF(ISNUMBER(S138),1,0)</f>
        <v/>
      </c>
      <c r="AD138">
        <f>IF(ISNUMBER(R138),R138,0)</f>
        <v/>
      </c>
    </row>
    <row r="139">
      <c r="A139" t="inlineStr">
        <is>
          <t>SIMULATED_AdTest_Balls_vs_Paint</t>
        </is>
      </c>
      <c r="B139" t="inlineStr">
        <is>
          <t>R18</t>
        </is>
      </c>
      <c r="C139" t="inlineStr">
        <is>
          <t>M</t>
        </is>
      </c>
      <c r="D139" t="n">
        <v>23</v>
      </c>
      <c r="E139" t="inlineStr">
        <is>
          <t>B</t>
        </is>
      </c>
      <c r="F139" t="inlineStr">
        <is>
          <t>2026-10-20</t>
        </is>
      </c>
      <c r="G139" t="inlineStr">
        <is>
          <t>Commercial_1_Balls</t>
        </is>
      </c>
      <c r="H139" t="inlineStr">
        <is>
          <t>Brand_Logo</t>
        </is>
      </c>
      <c r="I139" t="n">
        <v>60000</v>
      </c>
      <c r="J139" t="n">
        <v>5000</v>
      </c>
      <c r="K139" t="n">
        <v>8.33</v>
      </c>
      <c r="L139" t="n">
        <v>94.90000000000001</v>
      </c>
      <c r="M139" t="n">
        <v>683</v>
      </c>
      <c r="N139" t="n">
        <v>1</v>
      </c>
      <c r="O139" t="n">
        <v>2952</v>
      </c>
      <c r="P139" t="n">
        <v>1</v>
      </c>
      <c r="Q139" t="n">
        <v>0</v>
      </c>
      <c r="R139" t="n">
        <v>7</v>
      </c>
      <c r="S139" t="n">
        <v>779</v>
      </c>
      <c r="T139" t="n">
        <v>55779</v>
      </c>
      <c r="U139" t="n">
        <v>55779</v>
      </c>
      <c r="V139" t="n">
        <v>2837</v>
      </c>
      <c r="W139" t="n">
        <v>56.74</v>
      </c>
      <c r="X139" t="n">
        <v>405</v>
      </c>
      <c r="Y139" t="n">
        <v>240</v>
      </c>
      <c r="Z139">
        <f>IF(L139&gt;=70,"Yes","No")</f>
        <v/>
      </c>
      <c r="AA139">
        <f>IF(OR(AND(E139="A",G139="Commercial_1_Balls"),AND(E139="B",G139="Commercial_2_Paint")),"first","second")</f>
        <v/>
      </c>
      <c r="AB139">
        <f>IF(ISNUMBER(W139),W139,0)</f>
        <v/>
      </c>
      <c r="AC139">
        <f>IF(ISNUMBER(S139),1,0)</f>
        <v/>
      </c>
      <c r="AD139">
        <f>IF(ISNUMBER(R139),R139,0)</f>
        <v/>
      </c>
    </row>
    <row r="140">
      <c r="A140" t="inlineStr">
        <is>
          <t>SIMULATED_AdTest_Balls_vs_Paint</t>
        </is>
      </c>
      <c r="B140" t="inlineStr">
        <is>
          <t>R18</t>
        </is>
      </c>
      <c r="C140" t="inlineStr">
        <is>
          <t>M</t>
        </is>
      </c>
      <c r="D140" t="n">
        <v>23</v>
      </c>
      <c r="E140" t="inlineStr">
        <is>
          <t>B</t>
        </is>
      </c>
      <c r="F140" t="inlineStr">
        <is>
          <t>2026-10-20</t>
        </is>
      </c>
      <c r="G140" t="inlineStr">
        <is>
          <t>Commercial_1_Balls</t>
        </is>
      </c>
      <c r="H140" t="inlineStr">
        <is>
          <t>Tagline_Text</t>
        </is>
      </c>
      <c r="I140" t="n">
        <v>60000</v>
      </c>
      <c r="J140" t="n">
        <v>4000</v>
      </c>
      <c r="K140" t="n">
        <v>6.67</v>
      </c>
      <c r="L140" t="n">
        <v>94.90000000000001</v>
      </c>
      <c r="M140" t="n">
        <v>735</v>
      </c>
      <c r="N140" t="n">
        <v>1</v>
      </c>
      <c r="O140" t="n">
        <v>960</v>
      </c>
      <c r="P140" t="n">
        <v>1</v>
      </c>
      <c r="Q140" t="n">
        <v>0</v>
      </c>
      <c r="R140" t="n">
        <v>3</v>
      </c>
      <c r="S140" t="n">
        <v>1001</v>
      </c>
      <c r="T140" t="n">
        <v>57001</v>
      </c>
      <c r="U140" t="n">
        <v>57001</v>
      </c>
      <c r="V140" t="n">
        <v>892</v>
      </c>
      <c r="W140" t="n">
        <v>22.3</v>
      </c>
      <c r="X140" t="n">
        <v>297</v>
      </c>
      <c r="Y140" t="n">
        <v>284</v>
      </c>
      <c r="Z140">
        <f>IF(L140&gt;=70,"Yes","No")</f>
        <v/>
      </c>
      <c r="AA140">
        <f>IF(OR(AND(E140="A",G140="Commercial_1_Balls"),AND(E140="B",G140="Commercial_2_Paint")),"first","second")</f>
        <v/>
      </c>
      <c r="AB140">
        <f>IF(ISNUMBER(W140),W140,0)</f>
        <v/>
      </c>
      <c r="AC140">
        <f>IF(ISNUMBER(S140),1,0)</f>
        <v/>
      </c>
      <c r="AD140">
        <f>IF(ISNUMBER(R140),R140,0)</f>
        <v/>
      </c>
    </row>
    <row r="141">
      <c r="A141" t="inlineStr">
        <is>
          <t>SIMULATED_AdTest_Balls_vs_Paint</t>
        </is>
      </c>
      <c r="B141" t="inlineStr">
        <is>
          <t>R18</t>
        </is>
      </c>
      <c r="C141" t="inlineStr">
        <is>
          <t>M</t>
        </is>
      </c>
      <c r="D141" t="n">
        <v>23</v>
      </c>
      <c r="E141" t="inlineStr">
        <is>
          <t>B</t>
        </is>
      </c>
      <c r="F141" t="inlineStr">
        <is>
          <t>2026-10-20</t>
        </is>
      </c>
      <c r="G141" t="inlineStr">
        <is>
          <t>Commercial_1_Balls</t>
        </is>
      </c>
      <c r="H141" t="inlineStr">
        <is>
          <t>Hero_Element</t>
        </is>
      </c>
      <c r="I141" t="n">
        <v>60000</v>
      </c>
      <c r="J141" t="n">
        <v>40000</v>
      </c>
      <c r="K141" t="n">
        <v>66.67</v>
      </c>
      <c r="L141" t="n">
        <v>94.90000000000001</v>
      </c>
      <c r="M141" t="n">
        <v>1174</v>
      </c>
      <c r="N141" t="n">
        <v>4</v>
      </c>
      <c r="O141" t="n">
        <v>19309</v>
      </c>
      <c r="P141" t="n">
        <v>4</v>
      </c>
      <c r="Q141" t="n">
        <v>3</v>
      </c>
      <c r="R141" t="n">
        <v>47</v>
      </c>
      <c r="S141" t="n">
        <v>1442</v>
      </c>
      <c r="T141" t="n">
        <v>3442</v>
      </c>
      <c r="U141" t="n">
        <v>3442</v>
      </c>
      <c r="V141" t="n">
        <v>18265</v>
      </c>
      <c r="W141" t="n">
        <v>45.66</v>
      </c>
      <c r="X141" t="n">
        <v>389</v>
      </c>
      <c r="Y141" t="n">
        <v>244</v>
      </c>
      <c r="Z141">
        <f>IF(L141&gt;=70,"Yes","No")</f>
        <v/>
      </c>
      <c r="AA141">
        <f>IF(OR(AND(E141="A",G141="Commercial_1_Balls"),AND(E141="B",G141="Commercial_2_Paint")),"first","second")</f>
        <v/>
      </c>
      <c r="AB141">
        <f>IF(ISNUMBER(W141),W141,0)</f>
        <v/>
      </c>
      <c r="AC141">
        <f>IF(ISNUMBER(S141),1,0)</f>
        <v/>
      </c>
      <c r="AD141">
        <f>IF(ISNUMBER(R141),R141,0)</f>
        <v/>
      </c>
    </row>
    <row r="142">
      <c r="A142" t="inlineStr">
        <is>
          <t>SIMULATED_AdTest_Balls_vs_Paint</t>
        </is>
      </c>
      <c r="B142" t="inlineStr">
        <is>
          <t>R18</t>
        </is>
      </c>
      <c r="C142" t="inlineStr">
        <is>
          <t>M</t>
        </is>
      </c>
      <c r="D142" t="n">
        <v>23</v>
      </c>
      <c r="E142" t="inlineStr">
        <is>
          <t>B</t>
        </is>
      </c>
      <c r="F142" t="inlineStr">
        <is>
          <t>2026-10-20</t>
        </is>
      </c>
      <c r="G142" t="inlineStr">
        <is>
          <t>Commercial_2_Paint</t>
        </is>
      </c>
      <c r="H142" t="inlineStr">
        <is>
          <t>Product_TV</t>
        </is>
      </c>
      <c r="I142" t="n">
        <v>60000</v>
      </c>
      <c r="J142" t="n">
        <v>20000</v>
      </c>
      <c r="K142" t="n">
        <v>33.33</v>
      </c>
      <c r="L142" t="n">
        <v>94.90000000000001</v>
      </c>
      <c r="M142" t="n">
        <v>632</v>
      </c>
      <c r="N142" t="n">
        <v>1</v>
      </c>
      <c r="O142" t="n">
        <v>3873</v>
      </c>
      <c r="P142" t="n">
        <v>1</v>
      </c>
      <c r="Q142" t="n">
        <v>0</v>
      </c>
      <c r="R142" t="n">
        <v>12</v>
      </c>
      <c r="S142" t="n">
        <v>857</v>
      </c>
      <c r="T142" t="n">
        <v>9857</v>
      </c>
      <c r="U142" t="n">
        <v>9857</v>
      </c>
      <c r="V142" t="n">
        <v>3733</v>
      </c>
      <c r="W142" t="n">
        <v>18.66</v>
      </c>
      <c r="X142" t="n">
        <v>311</v>
      </c>
      <c r="Y142" t="n">
        <v>239</v>
      </c>
      <c r="Z142">
        <f>IF(L142&gt;=70,"Yes","No")</f>
        <v/>
      </c>
      <c r="AA142">
        <f>IF(OR(AND(E142="A",G142="Commercial_1_Balls"),AND(E142="B",G142="Commercial_2_Paint")),"first","second")</f>
        <v/>
      </c>
      <c r="AB142">
        <f>IF(ISNUMBER(W142),W142,0)</f>
        <v/>
      </c>
      <c r="AC142">
        <f>IF(ISNUMBER(S142),1,0)</f>
        <v/>
      </c>
      <c r="AD142">
        <f>IF(ISNUMBER(R142),R142,0)</f>
        <v/>
      </c>
    </row>
    <row r="143">
      <c r="A143" t="inlineStr">
        <is>
          <t>SIMULATED_AdTest_Balls_vs_Paint</t>
        </is>
      </c>
      <c r="B143" t="inlineStr">
        <is>
          <t>R18</t>
        </is>
      </c>
      <c r="C143" t="inlineStr">
        <is>
          <t>M</t>
        </is>
      </c>
      <c r="D143" t="n">
        <v>23</v>
      </c>
      <c r="E143" t="inlineStr">
        <is>
          <t>B</t>
        </is>
      </c>
      <c r="F143" t="inlineStr">
        <is>
          <t>2026-10-20</t>
        </is>
      </c>
      <c r="G143" t="inlineStr">
        <is>
          <t>Commercial_2_Paint</t>
        </is>
      </c>
      <c r="H143" t="inlineStr">
        <is>
          <t>Brand_Logo</t>
        </is>
      </c>
      <c r="I143" t="n">
        <v>60000</v>
      </c>
      <c r="J143" t="n">
        <v>5000</v>
      </c>
      <c r="K143" t="n">
        <v>8.33</v>
      </c>
      <c r="L143" t="n">
        <v>94.90000000000001</v>
      </c>
      <c r="M143" t="n">
        <v>835</v>
      </c>
      <c r="N143" t="n">
        <v>1</v>
      </c>
      <c r="O143" t="n">
        <v>1896</v>
      </c>
      <c r="P143" t="n">
        <v>1</v>
      </c>
      <c r="Q143" t="n">
        <v>0</v>
      </c>
      <c r="R143" t="n">
        <v>6</v>
      </c>
      <c r="S143" t="n">
        <v>1002</v>
      </c>
      <c r="T143" t="n">
        <v>56002</v>
      </c>
      <c r="U143" t="n">
        <v>56002</v>
      </c>
      <c r="V143" t="n">
        <v>1658</v>
      </c>
      <c r="W143" t="n">
        <v>33.16</v>
      </c>
      <c r="X143" t="n">
        <v>276</v>
      </c>
      <c r="Y143" t="n">
        <v>222</v>
      </c>
      <c r="Z143">
        <f>IF(L143&gt;=70,"Yes","No")</f>
        <v/>
      </c>
      <c r="AA143">
        <f>IF(OR(AND(E143="A",G143="Commercial_1_Balls"),AND(E143="B",G143="Commercial_2_Paint")),"first","second")</f>
        <v/>
      </c>
      <c r="AB143">
        <f>IF(ISNUMBER(W143),W143,0)</f>
        <v/>
      </c>
      <c r="AC143">
        <f>IF(ISNUMBER(S143),1,0)</f>
        <v/>
      </c>
      <c r="AD143">
        <f>IF(ISNUMBER(R143),R143,0)</f>
        <v/>
      </c>
    </row>
    <row r="144">
      <c r="A144" t="inlineStr">
        <is>
          <t>SIMULATED_AdTest_Balls_vs_Paint</t>
        </is>
      </c>
      <c r="B144" t="inlineStr">
        <is>
          <t>R18</t>
        </is>
      </c>
      <c r="C144" t="inlineStr">
        <is>
          <t>M</t>
        </is>
      </c>
      <c r="D144" t="n">
        <v>23</v>
      </c>
      <c r="E144" t="inlineStr">
        <is>
          <t>B</t>
        </is>
      </c>
      <c r="F144" t="inlineStr">
        <is>
          <t>2026-10-20</t>
        </is>
      </c>
      <c r="G144" t="inlineStr">
        <is>
          <t>Commercial_2_Paint</t>
        </is>
      </c>
      <c r="H144" t="inlineStr">
        <is>
          <t>Tagline_Text</t>
        </is>
      </c>
      <c r="I144" t="n">
        <v>60000</v>
      </c>
      <c r="J144" t="n">
        <v>4000</v>
      </c>
      <c r="K144" t="n">
        <v>6.67</v>
      </c>
      <c r="L144" t="n">
        <v>94.90000000000001</v>
      </c>
      <c r="M144" t="n">
        <v>2088</v>
      </c>
      <c r="N144" t="n">
        <v>3</v>
      </c>
      <c r="O144" t="n">
        <v>1011</v>
      </c>
      <c r="P144" t="n">
        <v>1</v>
      </c>
      <c r="Q144" t="n">
        <v>0</v>
      </c>
      <c r="R144" t="n">
        <v>3</v>
      </c>
      <c r="S144" t="n">
        <v>2342</v>
      </c>
      <c r="T144" t="n">
        <v>58342</v>
      </c>
      <c r="U144" t="n">
        <v>58342</v>
      </c>
      <c r="V144" t="n">
        <v>898</v>
      </c>
      <c r="W144" t="n">
        <v>22.45</v>
      </c>
      <c r="X144" t="n">
        <v>299</v>
      </c>
      <c r="Y144" t="n">
        <v>150</v>
      </c>
      <c r="Z144">
        <f>IF(L144&gt;=70,"Yes","No")</f>
        <v/>
      </c>
      <c r="AA144">
        <f>IF(OR(AND(E144="A",G144="Commercial_1_Balls"),AND(E144="B",G144="Commercial_2_Paint")),"first","second")</f>
        <v/>
      </c>
      <c r="AB144">
        <f>IF(ISNUMBER(W144),W144,0)</f>
        <v/>
      </c>
      <c r="AC144">
        <f>IF(ISNUMBER(S144),1,0)</f>
        <v/>
      </c>
      <c r="AD144">
        <f>IF(ISNUMBER(R144),R144,0)</f>
        <v/>
      </c>
    </row>
    <row r="145">
      <c r="A145" t="inlineStr">
        <is>
          <t>SIMULATED_AdTest_Balls_vs_Paint</t>
        </is>
      </c>
      <c r="B145" t="inlineStr">
        <is>
          <t>R18</t>
        </is>
      </c>
      <c r="C145" t="inlineStr">
        <is>
          <t>M</t>
        </is>
      </c>
      <c r="D145" t="n">
        <v>23</v>
      </c>
      <c r="E145" t="inlineStr">
        <is>
          <t>B</t>
        </is>
      </c>
      <c r="F145" t="inlineStr">
        <is>
          <t>2026-10-20</t>
        </is>
      </c>
      <c r="G145" t="inlineStr">
        <is>
          <t>Commercial_2_Paint</t>
        </is>
      </c>
      <c r="H145" t="inlineStr">
        <is>
          <t>Hero_Element</t>
        </is>
      </c>
      <c r="I145" t="n">
        <v>60000</v>
      </c>
      <c r="J145" t="n">
        <v>32000</v>
      </c>
      <c r="K145" t="n">
        <v>53.33</v>
      </c>
      <c r="L145" t="n">
        <v>94.90000000000001</v>
      </c>
      <c r="M145" t="n">
        <v>553</v>
      </c>
      <c r="N145" t="n">
        <v>1</v>
      </c>
      <c r="O145" t="n">
        <v>12326</v>
      </c>
      <c r="P145" t="n">
        <v>1</v>
      </c>
      <c r="Q145" t="n">
        <v>0</v>
      </c>
      <c r="R145" t="n">
        <v>44</v>
      </c>
      <c r="S145" t="n">
        <v>645</v>
      </c>
      <c r="T145" t="n">
        <v>3645</v>
      </c>
      <c r="U145" t="n">
        <v>3645</v>
      </c>
      <c r="V145" t="n">
        <v>11044</v>
      </c>
      <c r="W145" t="n">
        <v>34.51</v>
      </c>
      <c r="X145" t="n">
        <v>251</v>
      </c>
      <c r="Y145" t="n">
        <v>227</v>
      </c>
      <c r="Z145">
        <f>IF(L145&gt;=70,"Yes","No")</f>
        <v/>
      </c>
      <c r="AA145">
        <f>IF(OR(AND(E145="A",G145="Commercial_1_Balls"),AND(E145="B",G145="Commercial_2_Paint")),"first","second")</f>
        <v/>
      </c>
      <c r="AB145">
        <f>IF(ISNUMBER(W145),W145,0)</f>
        <v/>
      </c>
      <c r="AC145">
        <f>IF(ISNUMBER(S145),1,0)</f>
        <v/>
      </c>
      <c r="AD145">
        <f>IF(ISNUMBER(R145),R145,0)</f>
        <v/>
      </c>
    </row>
    <row r="146">
      <c r="A146" t="inlineStr">
        <is>
          <t>SIMULATED_AdTest_Balls_vs_Paint</t>
        </is>
      </c>
      <c r="B146" t="inlineStr">
        <is>
          <t>R19</t>
        </is>
      </c>
      <c r="C146" t="inlineStr">
        <is>
          <t>M</t>
        </is>
      </c>
      <c r="D146" t="n">
        <v>19</v>
      </c>
      <c r="E146" t="inlineStr">
        <is>
          <t>A</t>
        </is>
      </c>
      <c r="F146" t="inlineStr">
        <is>
          <t>2026-10-20</t>
        </is>
      </c>
      <c r="G146" t="inlineStr">
        <is>
          <t>Commercial_1_Balls</t>
        </is>
      </c>
      <c r="H146" t="inlineStr">
        <is>
          <t>Product_TV</t>
        </is>
      </c>
      <c r="I146" t="n">
        <v>60000</v>
      </c>
      <c r="J146" t="n">
        <v>14000</v>
      </c>
      <c r="K146" t="n">
        <v>23.33</v>
      </c>
      <c r="L146" t="n">
        <v>95</v>
      </c>
      <c r="M146" t="n">
        <v>561</v>
      </c>
      <c r="N146" t="n">
        <v>1</v>
      </c>
      <c r="O146" t="n">
        <v>3139</v>
      </c>
      <c r="P146" t="n">
        <v>1</v>
      </c>
      <c r="Q146" t="n">
        <v>0</v>
      </c>
      <c r="R146" t="n">
        <v>11</v>
      </c>
      <c r="S146" t="n">
        <v>718</v>
      </c>
      <c r="T146" t="n">
        <v>12718</v>
      </c>
      <c r="U146" t="n">
        <v>12718</v>
      </c>
      <c r="V146" t="n">
        <v>2866</v>
      </c>
      <c r="W146" t="n">
        <v>20.47</v>
      </c>
      <c r="X146" t="n">
        <v>261</v>
      </c>
      <c r="Y146" t="n">
        <v>242</v>
      </c>
      <c r="Z146">
        <f>IF(L146&gt;=70,"Yes","No")</f>
        <v/>
      </c>
      <c r="AA146">
        <f>IF(OR(AND(E146="A",G146="Commercial_1_Balls"),AND(E146="B",G146="Commercial_2_Paint")),"first","second")</f>
        <v/>
      </c>
      <c r="AB146">
        <f>IF(ISNUMBER(W146),W146,0)</f>
        <v/>
      </c>
      <c r="AC146">
        <f>IF(ISNUMBER(S146),1,0)</f>
        <v/>
      </c>
      <c r="AD146">
        <f>IF(ISNUMBER(R146),R146,0)</f>
        <v/>
      </c>
    </row>
    <row r="147">
      <c r="A147" t="inlineStr">
        <is>
          <t>SIMULATED_AdTest_Balls_vs_Paint</t>
        </is>
      </c>
      <c r="B147" t="inlineStr">
        <is>
          <t>R19</t>
        </is>
      </c>
      <c r="C147" t="inlineStr">
        <is>
          <t>M</t>
        </is>
      </c>
      <c r="D147" t="n">
        <v>19</v>
      </c>
      <c r="E147" t="inlineStr">
        <is>
          <t>A</t>
        </is>
      </c>
      <c r="F147" t="inlineStr">
        <is>
          <t>2026-10-20</t>
        </is>
      </c>
      <c r="G147" t="inlineStr">
        <is>
          <t>Commercial_1_Balls</t>
        </is>
      </c>
      <c r="H147" t="inlineStr">
        <is>
          <t>Brand_Logo</t>
        </is>
      </c>
      <c r="I147" t="n">
        <v>60000</v>
      </c>
      <c r="J147" t="n">
        <v>5000</v>
      </c>
      <c r="K147" t="n">
        <v>8.33</v>
      </c>
      <c r="L147" t="n">
        <v>95</v>
      </c>
      <c r="M147" t="n">
        <v>457</v>
      </c>
      <c r="N147" t="n">
        <v>2</v>
      </c>
      <c r="O147" t="n">
        <v>2909</v>
      </c>
      <c r="P147" t="n">
        <v>2</v>
      </c>
      <c r="Q147" t="n">
        <v>1</v>
      </c>
      <c r="R147" t="n">
        <v>7</v>
      </c>
      <c r="S147" t="n">
        <v>749</v>
      </c>
      <c r="T147" t="n">
        <v>55749</v>
      </c>
      <c r="U147" t="n">
        <v>55749</v>
      </c>
      <c r="V147" t="n">
        <v>2682</v>
      </c>
      <c r="W147" t="n">
        <v>53.64</v>
      </c>
      <c r="X147" t="n">
        <v>383</v>
      </c>
      <c r="Y147" t="n">
        <v>288</v>
      </c>
      <c r="Z147">
        <f>IF(L147&gt;=70,"Yes","No")</f>
        <v/>
      </c>
      <c r="AA147">
        <f>IF(OR(AND(E147="A",G147="Commercial_1_Balls"),AND(E147="B",G147="Commercial_2_Paint")),"first","second")</f>
        <v/>
      </c>
      <c r="AB147">
        <f>IF(ISNUMBER(W147),W147,0)</f>
        <v/>
      </c>
      <c r="AC147">
        <f>IF(ISNUMBER(S147),1,0)</f>
        <v/>
      </c>
      <c r="AD147">
        <f>IF(ISNUMBER(R147),R147,0)</f>
        <v/>
      </c>
    </row>
    <row r="148">
      <c r="A148" t="inlineStr">
        <is>
          <t>SIMULATED_AdTest_Balls_vs_Paint</t>
        </is>
      </c>
      <c r="B148" t="inlineStr">
        <is>
          <t>R19</t>
        </is>
      </c>
      <c r="C148" t="inlineStr">
        <is>
          <t>M</t>
        </is>
      </c>
      <c r="D148" t="n">
        <v>19</v>
      </c>
      <c r="E148" t="inlineStr">
        <is>
          <t>A</t>
        </is>
      </c>
      <c r="F148" t="inlineStr">
        <is>
          <t>2026-10-20</t>
        </is>
      </c>
      <c r="G148" t="inlineStr">
        <is>
          <t>Commercial_1_Balls</t>
        </is>
      </c>
      <c r="H148" t="inlineStr">
        <is>
          <t>Tagline_Text</t>
        </is>
      </c>
      <c r="I148" t="n">
        <v>60000</v>
      </c>
      <c r="J148" t="n">
        <v>4000</v>
      </c>
      <c r="K148" t="n">
        <v>6.67</v>
      </c>
      <c r="L148" t="n">
        <v>95</v>
      </c>
      <c r="M148" t="n">
        <v>1354</v>
      </c>
      <c r="N148" t="n">
        <v>1</v>
      </c>
      <c r="O148" t="n">
        <v>1458</v>
      </c>
      <c r="P148" t="n">
        <v>1</v>
      </c>
      <c r="Q148" t="n">
        <v>0</v>
      </c>
      <c r="R148" t="n">
        <v>6</v>
      </c>
      <c r="S148" t="n">
        <v>1542</v>
      </c>
      <c r="T148" t="n">
        <v>57542</v>
      </c>
      <c r="U148" t="n">
        <v>57542</v>
      </c>
      <c r="V148" t="n">
        <v>1340</v>
      </c>
      <c r="W148" t="n">
        <v>33.5</v>
      </c>
      <c r="X148" t="n">
        <v>223</v>
      </c>
      <c r="Y148" t="n">
        <v>202</v>
      </c>
      <c r="Z148">
        <f>IF(L148&gt;=70,"Yes","No")</f>
        <v/>
      </c>
      <c r="AA148">
        <f>IF(OR(AND(E148="A",G148="Commercial_1_Balls"),AND(E148="B",G148="Commercial_2_Paint")),"first","second")</f>
        <v/>
      </c>
      <c r="AB148">
        <f>IF(ISNUMBER(W148),W148,0)</f>
        <v/>
      </c>
      <c r="AC148">
        <f>IF(ISNUMBER(S148),1,0)</f>
        <v/>
      </c>
      <c r="AD148">
        <f>IF(ISNUMBER(R148),R148,0)</f>
        <v/>
      </c>
    </row>
    <row r="149">
      <c r="A149" t="inlineStr">
        <is>
          <t>SIMULATED_AdTest_Balls_vs_Paint</t>
        </is>
      </c>
      <c r="B149" t="inlineStr">
        <is>
          <t>R19</t>
        </is>
      </c>
      <c r="C149" t="inlineStr">
        <is>
          <t>M</t>
        </is>
      </c>
      <c r="D149" t="n">
        <v>19</v>
      </c>
      <c r="E149" t="inlineStr">
        <is>
          <t>A</t>
        </is>
      </c>
      <c r="F149" t="inlineStr">
        <is>
          <t>2026-10-20</t>
        </is>
      </c>
      <c r="G149" t="inlineStr">
        <is>
          <t>Commercial_1_Balls</t>
        </is>
      </c>
      <c r="H149" t="inlineStr">
        <is>
          <t>Hero_Element</t>
        </is>
      </c>
      <c r="I149" t="n">
        <v>60000</v>
      </c>
      <c r="J149" t="n">
        <v>40000</v>
      </c>
      <c r="K149" t="n">
        <v>66.67</v>
      </c>
      <c r="L149" t="n">
        <v>95</v>
      </c>
      <c r="M149" t="n">
        <v>189</v>
      </c>
      <c r="N149" t="n">
        <v>6</v>
      </c>
      <c r="O149" t="n">
        <v>25211</v>
      </c>
      <c r="P149" t="n">
        <v>6</v>
      </c>
      <c r="Q149" t="n">
        <v>5</v>
      </c>
      <c r="R149" t="n">
        <v>116</v>
      </c>
      <c r="S149" t="n">
        <v>353</v>
      </c>
      <c r="T149" t="n">
        <v>2353</v>
      </c>
      <c r="U149" t="n">
        <v>2353</v>
      </c>
      <c r="V149" t="n">
        <v>22621</v>
      </c>
      <c r="W149" t="n">
        <v>56.55</v>
      </c>
      <c r="X149" t="n">
        <v>195</v>
      </c>
      <c r="Y149" t="n">
        <v>251</v>
      </c>
      <c r="Z149">
        <f>IF(L149&gt;=70,"Yes","No")</f>
        <v/>
      </c>
      <c r="AA149">
        <f>IF(OR(AND(E149="A",G149="Commercial_1_Balls"),AND(E149="B",G149="Commercial_2_Paint")),"first","second")</f>
        <v/>
      </c>
      <c r="AB149">
        <f>IF(ISNUMBER(W149),W149,0)</f>
        <v/>
      </c>
      <c r="AC149">
        <f>IF(ISNUMBER(S149),1,0)</f>
        <v/>
      </c>
      <c r="AD149">
        <f>IF(ISNUMBER(R149),R149,0)</f>
        <v/>
      </c>
    </row>
    <row r="150">
      <c r="A150" t="inlineStr">
        <is>
          <t>SIMULATED_AdTest_Balls_vs_Paint</t>
        </is>
      </c>
      <c r="B150" t="inlineStr">
        <is>
          <t>R19</t>
        </is>
      </c>
      <c r="C150" t="inlineStr">
        <is>
          <t>M</t>
        </is>
      </c>
      <c r="D150" t="n">
        <v>19</v>
      </c>
      <c r="E150" t="inlineStr">
        <is>
          <t>A</t>
        </is>
      </c>
      <c r="F150" t="inlineStr">
        <is>
          <t>2026-10-20</t>
        </is>
      </c>
      <c r="G150" t="inlineStr">
        <is>
          <t>Commercial_2_Paint</t>
        </is>
      </c>
      <c r="H150" t="inlineStr">
        <is>
          <t>Product_TV</t>
        </is>
      </c>
      <c r="I150" t="n">
        <v>60000</v>
      </c>
      <c r="J150" t="n">
        <v>20000</v>
      </c>
      <c r="K150" t="n">
        <v>33.33</v>
      </c>
      <c r="L150" t="n">
        <v>95</v>
      </c>
      <c r="M150" t="n">
        <v>405</v>
      </c>
      <c r="N150" t="n">
        <v>1</v>
      </c>
      <c r="O150" t="n">
        <v>4106</v>
      </c>
      <c r="P150" t="n">
        <v>1</v>
      </c>
      <c r="Q150" t="n">
        <v>0</v>
      </c>
      <c r="R150" t="n">
        <v>16</v>
      </c>
      <c r="S150" t="n">
        <v>655</v>
      </c>
      <c r="T150" t="n">
        <v>9655</v>
      </c>
      <c r="U150" t="n">
        <v>9655</v>
      </c>
      <c r="V150" t="n">
        <v>3932</v>
      </c>
      <c r="W150" t="n">
        <v>19.66</v>
      </c>
      <c r="X150" t="n">
        <v>246</v>
      </c>
      <c r="Y150" t="n">
        <v>226</v>
      </c>
      <c r="Z150">
        <f>IF(L150&gt;=70,"Yes","No")</f>
        <v/>
      </c>
      <c r="AA150">
        <f>IF(OR(AND(E150="A",G150="Commercial_1_Balls"),AND(E150="B",G150="Commercial_2_Paint")),"first","second")</f>
        <v/>
      </c>
      <c r="AB150">
        <f>IF(ISNUMBER(W150),W150,0)</f>
        <v/>
      </c>
      <c r="AC150">
        <f>IF(ISNUMBER(S150),1,0)</f>
        <v/>
      </c>
      <c r="AD150">
        <f>IF(ISNUMBER(R150),R150,0)</f>
        <v/>
      </c>
    </row>
    <row r="151">
      <c r="A151" t="inlineStr">
        <is>
          <t>SIMULATED_AdTest_Balls_vs_Paint</t>
        </is>
      </c>
      <c r="B151" t="inlineStr">
        <is>
          <t>R19</t>
        </is>
      </c>
      <c r="C151" t="inlineStr">
        <is>
          <t>M</t>
        </is>
      </c>
      <c r="D151" t="n">
        <v>19</v>
      </c>
      <c r="E151" t="inlineStr">
        <is>
          <t>A</t>
        </is>
      </c>
      <c r="F151" t="inlineStr">
        <is>
          <t>2026-10-20</t>
        </is>
      </c>
      <c r="G151" t="inlineStr">
        <is>
          <t>Commercial_2_Paint</t>
        </is>
      </c>
      <c r="H151" t="inlineStr">
        <is>
          <t>Brand_Logo</t>
        </is>
      </c>
      <c r="I151" t="n">
        <v>60000</v>
      </c>
      <c r="J151" t="n">
        <v>5000</v>
      </c>
      <c r="K151" t="n">
        <v>8.33</v>
      </c>
      <c r="L151" t="n">
        <v>95</v>
      </c>
      <c r="M151" t="n">
        <v>419</v>
      </c>
      <c r="N151" t="n">
        <v>3</v>
      </c>
      <c r="O151" t="n">
        <v>2416</v>
      </c>
      <c r="P151" t="n">
        <v>2</v>
      </c>
      <c r="Q151" t="n">
        <v>1</v>
      </c>
      <c r="R151" t="n">
        <v>11</v>
      </c>
      <c r="S151" t="n">
        <v>668</v>
      </c>
      <c r="T151" t="n">
        <v>55668</v>
      </c>
      <c r="U151" t="n">
        <v>55668</v>
      </c>
      <c r="V151" t="n">
        <v>2124</v>
      </c>
      <c r="W151" t="n">
        <v>42.48</v>
      </c>
      <c r="X151" t="n">
        <v>193</v>
      </c>
      <c r="Y151" t="n">
        <v>260</v>
      </c>
      <c r="Z151">
        <f>IF(L151&gt;=70,"Yes","No")</f>
        <v/>
      </c>
      <c r="AA151">
        <f>IF(OR(AND(E151="A",G151="Commercial_1_Balls"),AND(E151="B",G151="Commercial_2_Paint")),"first","second")</f>
        <v/>
      </c>
      <c r="AB151">
        <f>IF(ISNUMBER(W151),W151,0)</f>
        <v/>
      </c>
      <c r="AC151">
        <f>IF(ISNUMBER(S151),1,0)</f>
        <v/>
      </c>
      <c r="AD151">
        <f>IF(ISNUMBER(R151),R151,0)</f>
        <v/>
      </c>
    </row>
    <row r="152">
      <c r="A152" t="inlineStr">
        <is>
          <t>SIMULATED_AdTest_Balls_vs_Paint</t>
        </is>
      </c>
      <c r="B152" t="inlineStr">
        <is>
          <t>R19</t>
        </is>
      </c>
      <c r="C152" t="inlineStr">
        <is>
          <t>M</t>
        </is>
      </c>
      <c r="D152" t="n">
        <v>19</v>
      </c>
      <c r="E152" t="inlineStr">
        <is>
          <t>A</t>
        </is>
      </c>
      <c r="F152" t="inlineStr">
        <is>
          <t>2026-10-20</t>
        </is>
      </c>
      <c r="G152" t="inlineStr">
        <is>
          <t>Commercial_2_Paint</t>
        </is>
      </c>
      <c r="H152" t="inlineStr">
        <is>
          <t>Tagline_Text</t>
        </is>
      </c>
      <c r="I152" t="n">
        <v>60000</v>
      </c>
      <c r="J152" t="n">
        <v>4000</v>
      </c>
      <c r="K152" t="n">
        <v>6.67</v>
      </c>
      <c r="L152" t="n">
        <v>95</v>
      </c>
      <c r="M152" t="n">
        <v>1588</v>
      </c>
      <c r="N152" t="n">
        <v>2</v>
      </c>
      <c r="O152" t="n">
        <v>1114</v>
      </c>
      <c r="P152" t="n">
        <v>1</v>
      </c>
      <c r="Q152" t="n">
        <v>0</v>
      </c>
      <c r="R152" t="n">
        <v>3</v>
      </c>
      <c r="S152" t="n">
        <v>1671</v>
      </c>
      <c r="T152" t="n">
        <v>57671</v>
      </c>
      <c r="U152" t="n">
        <v>57671</v>
      </c>
      <c r="V152" t="n">
        <v>1060</v>
      </c>
      <c r="W152" t="n">
        <v>26.5</v>
      </c>
      <c r="X152" t="n">
        <v>353</v>
      </c>
      <c r="Y152" t="n">
        <v>259</v>
      </c>
      <c r="Z152">
        <f>IF(L152&gt;=70,"Yes","No")</f>
        <v/>
      </c>
      <c r="AA152">
        <f>IF(OR(AND(E152="A",G152="Commercial_1_Balls"),AND(E152="B",G152="Commercial_2_Paint")),"first","second")</f>
        <v/>
      </c>
      <c r="AB152">
        <f>IF(ISNUMBER(W152),W152,0)</f>
        <v/>
      </c>
      <c r="AC152">
        <f>IF(ISNUMBER(S152),1,0)</f>
        <v/>
      </c>
      <c r="AD152">
        <f>IF(ISNUMBER(R152),R152,0)</f>
        <v/>
      </c>
    </row>
    <row r="153">
      <c r="A153" t="inlineStr">
        <is>
          <t>SIMULATED_AdTest_Balls_vs_Paint</t>
        </is>
      </c>
      <c r="B153" t="inlineStr">
        <is>
          <t>R19</t>
        </is>
      </c>
      <c r="C153" t="inlineStr">
        <is>
          <t>M</t>
        </is>
      </c>
      <c r="D153" t="n">
        <v>19</v>
      </c>
      <c r="E153" t="inlineStr">
        <is>
          <t>A</t>
        </is>
      </c>
      <c r="F153" t="inlineStr">
        <is>
          <t>2026-10-20</t>
        </is>
      </c>
      <c r="G153" t="inlineStr">
        <is>
          <t>Commercial_2_Paint</t>
        </is>
      </c>
      <c r="H153" t="inlineStr">
        <is>
          <t>Hero_Element</t>
        </is>
      </c>
      <c r="I153" t="n">
        <v>60000</v>
      </c>
      <c r="J153" t="n">
        <v>32000</v>
      </c>
      <c r="K153" t="n">
        <v>53.33</v>
      </c>
      <c r="L153" t="n">
        <v>95</v>
      </c>
      <c r="M153" t="n">
        <v>337</v>
      </c>
      <c r="N153" t="n">
        <v>4</v>
      </c>
      <c r="O153" t="n">
        <v>14863</v>
      </c>
      <c r="P153" t="n">
        <v>4</v>
      </c>
      <c r="Q153" t="n">
        <v>3</v>
      </c>
      <c r="R153" t="n">
        <v>64</v>
      </c>
      <c r="S153" t="n">
        <v>417</v>
      </c>
      <c r="T153" t="n">
        <v>3417</v>
      </c>
      <c r="U153" t="n">
        <v>3417</v>
      </c>
      <c r="V153" t="n">
        <v>13516</v>
      </c>
      <c r="W153" t="n">
        <v>42.24</v>
      </c>
      <c r="X153" t="n">
        <v>211</v>
      </c>
      <c r="Y153" t="n">
        <v>107</v>
      </c>
      <c r="Z153">
        <f>IF(L153&gt;=70,"Yes","No")</f>
        <v/>
      </c>
      <c r="AA153">
        <f>IF(OR(AND(E153="A",G153="Commercial_1_Balls"),AND(E153="B",G153="Commercial_2_Paint")),"first","second")</f>
        <v/>
      </c>
      <c r="AB153">
        <f>IF(ISNUMBER(W153),W153,0)</f>
        <v/>
      </c>
      <c r="AC153">
        <f>IF(ISNUMBER(S153),1,0)</f>
        <v/>
      </c>
      <c r="AD153">
        <f>IF(ISNUMBER(R153),R153,0)</f>
        <v/>
      </c>
    </row>
    <row r="154">
      <c r="A154" t="inlineStr">
        <is>
          <t>SIMULATED_AdTest_Balls_vs_Paint</t>
        </is>
      </c>
      <c r="B154" t="inlineStr">
        <is>
          <t>R20</t>
        </is>
      </c>
      <c r="C154" t="inlineStr">
        <is>
          <t>F</t>
        </is>
      </c>
      <c r="D154" t="n">
        <v>35</v>
      </c>
      <c r="E154" t="inlineStr">
        <is>
          <t>B</t>
        </is>
      </c>
      <c r="F154" t="inlineStr">
        <is>
          <t>2026-10-20</t>
        </is>
      </c>
      <c r="G154" t="inlineStr">
        <is>
          <t>Commercial_1_Balls</t>
        </is>
      </c>
      <c r="H154" t="inlineStr">
        <is>
          <t>Product_TV</t>
        </is>
      </c>
      <c r="I154" t="n">
        <v>60000</v>
      </c>
      <c r="J154" t="n">
        <v>14000</v>
      </c>
      <c r="K154" t="n">
        <v>23.33</v>
      </c>
      <c r="L154" t="n">
        <v>98</v>
      </c>
      <c r="M154" t="n">
        <v>772</v>
      </c>
      <c r="N154" t="n">
        <v>1</v>
      </c>
      <c r="O154" t="n">
        <v>3935</v>
      </c>
      <c r="P154" t="n">
        <v>1</v>
      </c>
      <c r="Q154" t="n">
        <v>0</v>
      </c>
      <c r="R154" t="n">
        <v>12</v>
      </c>
      <c r="S154" t="n">
        <v>947</v>
      </c>
      <c r="T154" t="n">
        <v>12947</v>
      </c>
      <c r="U154" t="n">
        <v>12947</v>
      </c>
      <c r="V154" t="n">
        <v>3544</v>
      </c>
      <c r="W154" t="n">
        <v>25.31</v>
      </c>
      <c r="X154" t="n">
        <v>295</v>
      </c>
      <c r="Y154" t="n">
        <v>350</v>
      </c>
      <c r="Z154">
        <f>IF(L154&gt;=70,"Yes","No")</f>
        <v/>
      </c>
      <c r="AA154">
        <f>IF(OR(AND(E154="A",G154="Commercial_1_Balls"),AND(E154="B",G154="Commercial_2_Paint")),"first","second")</f>
        <v/>
      </c>
      <c r="AB154">
        <f>IF(ISNUMBER(W154),W154,0)</f>
        <v/>
      </c>
      <c r="AC154">
        <f>IF(ISNUMBER(S154),1,0)</f>
        <v/>
      </c>
      <c r="AD154">
        <f>IF(ISNUMBER(R154),R154,0)</f>
        <v/>
      </c>
    </row>
    <row r="155">
      <c r="A155" t="inlineStr">
        <is>
          <t>SIMULATED_AdTest_Balls_vs_Paint</t>
        </is>
      </c>
      <c r="B155" t="inlineStr">
        <is>
          <t>R20</t>
        </is>
      </c>
      <c r="C155" t="inlineStr">
        <is>
          <t>F</t>
        </is>
      </c>
      <c r="D155" t="n">
        <v>35</v>
      </c>
      <c r="E155" t="inlineStr">
        <is>
          <t>B</t>
        </is>
      </c>
      <c r="F155" t="inlineStr">
        <is>
          <t>2026-10-20</t>
        </is>
      </c>
      <c r="G155" t="inlineStr">
        <is>
          <t>Commercial_1_Balls</t>
        </is>
      </c>
      <c r="H155" t="inlineStr">
        <is>
          <t>Brand_Logo</t>
        </is>
      </c>
      <c r="I155" t="n">
        <v>60000</v>
      </c>
      <c r="J155" t="n">
        <v>5000</v>
      </c>
      <c r="K155" t="n">
        <v>8.33</v>
      </c>
      <c r="L155" t="n">
        <v>98</v>
      </c>
      <c r="M155" t="n">
        <v>1043</v>
      </c>
      <c r="N155" t="n">
        <v>2</v>
      </c>
      <c r="O155" t="n">
        <v>3720</v>
      </c>
      <c r="P155" t="n">
        <v>2</v>
      </c>
      <c r="Q155" t="n">
        <v>1</v>
      </c>
      <c r="R155" t="n">
        <v>12</v>
      </c>
      <c r="S155" t="n">
        <v>1161</v>
      </c>
      <c r="T155" t="n">
        <v>56161</v>
      </c>
      <c r="U155" t="n">
        <v>56161</v>
      </c>
      <c r="V155" t="n">
        <v>3456</v>
      </c>
      <c r="W155" t="n">
        <v>69.12</v>
      </c>
      <c r="X155" t="n">
        <v>288</v>
      </c>
      <c r="Y155" t="n">
        <v>223</v>
      </c>
      <c r="Z155">
        <f>IF(L155&gt;=70,"Yes","No")</f>
        <v/>
      </c>
      <c r="AA155">
        <f>IF(OR(AND(E155="A",G155="Commercial_1_Balls"),AND(E155="B",G155="Commercial_2_Paint")),"first","second")</f>
        <v/>
      </c>
      <c r="AB155">
        <f>IF(ISNUMBER(W155),W155,0)</f>
        <v/>
      </c>
      <c r="AC155">
        <f>IF(ISNUMBER(S155),1,0)</f>
        <v/>
      </c>
      <c r="AD155">
        <f>IF(ISNUMBER(R155),R155,0)</f>
        <v/>
      </c>
    </row>
    <row r="156">
      <c r="A156" t="inlineStr">
        <is>
          <t>SIMULATED_AdTest_Balls_vs_Paint</t>
        </is>
      </c>
      <c r="B156" t="inlineStr">
        <is>
          <t>R20</t>
        </is>
      </c>
      <c r="C156" t="inlineStr">
        <is>
          <t>F</t>
        </is>
      </c>
      <c r="D156" t="n">
        <v>35</v>
      </c>
      <c r="E156" t="inlineStr">
        <is>
          <t>B</t>
        </is>
      </c>
      <c r="F156" t="inlineStr">
        <is>
          <t>2026-10-20</t>
        </is>
      </c>
      <c r="G156" t="inlineStr">
        <is>
          <t>Commercial_1_Balls</t>
        </is>
      </c>
      <c r="H156" t="inlineStr">
        <is>
          <t>Tagline_Text</t>
        </is>
      </c>
      <c r="I156" t="n">
        <v>60000</v>
      </c>
      <c r="J156" t="n">
        <v>4000</v>
      </c>
      <c r="K156" t="n">
        <v>6.67</v>
      </c>
      <c r="L156" t="n">
        <v>98</v>
      </c>
      <c r="M156" t="n">
        <v>1619</v>
      </c>
      <c r="N156" t="n">
        <v>1</v>
      </c>
      <c r="O156" t="n">
        <v>1867</v>
      </c>
      <c r="P156" t="n">
        <v>1</v>
      </c>
      <c r="Q156" t="n">
        <v>0</v>
      </c>
      <c r="R156" t="n">
        <v>7</v>
      </c>
      <c r="S156" t="n">
        <v>1705</v>
      </c>
      <c r="T156" t="n">
        <v>57705</v>
      </c>
      <c r="U156" t="n">
        <v>57705</v>
      </c>
      <c r="V156" t="n">
        <v>1755</v>
      </c>
      <c r="W156" t="n">
        <v>43.88</v>
      </c>
      <c r="X156" t="n">
        <v>251</v>
      </c>
      <c r="Y156" t="n">
        <v>191</v>
      </c>
      <c r="Z156">
        <f>IF(L156&gt;=70,"Yes","No")</f>
        <v/>
      </c>
      <c r="AA156">
        <f>IF(OR(AND(E156="A",G156="Commercial_1_Balls"),AND(E156="B",G156="Commercial_2_Paint")),"first","second")</f>
        <v/>
      </c>
      <c r="AB156">
        <f>IF(ISNUMBER(W156),W156,0)</f>
        <v/>
      </c>
      <c r="AC156">
        <f>IF(ISNUMBER(S156),1,0)</f>
        <v/>
      </c>
      <c r="AD156">
        <f>IF(ISNUMBER(R156),R156,0)</f>
        <v/>
      </c>
    </row>
    <row r="157">
      <c r="A157" t="inlineStr">
        <is>
          <t>SIMULATED_AdTest_Balls_vs_Paint</t>
        </is>
      </c>
      <c r="B157" t="inlineStr">
        <is>
          <t>R20</t>
        </is>
      </c>
      <c r="C157" t="inlineStr">
        <is>
          <t>F</t>
        </is>
      </c>
      <c r="D157" t="n">
        <v>35</v>
      </c>
      <c r="E157" t="inlineStr">
        <is>
          <t>B</t>
        </is>
      </c>
      <c r="F157" t="inlineStr">
        <is>
          <t>2026-10-20</t>
        </is>
      </c>
      <c r="G157" t="inlineStr">
        <is>
          <t>Commercial_1_Balls</t>
        </is>
      </c>
      <c r="H157" t="inlineStr">
        <is>
          <t>Hero_Element</t>
        </is>
      </c>
      <c r="I157" t="n">
        <v>60000</v>
      </c>
      <c r="J157" t="n">
        <v>40000</v>
      </c>
      <c r="K157" t="n">
        <v>66.67</v>
      </c>
      <c r="L157" t="n">
        <v>98</v>
      </c>
      <c r="M157" t="n">
        <v>350</v>
      </c>
      <c r="N157" t="n">
        <v>3</v>
      </c>
      <c r="O157" t="n">
        <v>21808</v>
      </c>
      <c r="P157" t="n">
        <v>2</v>
      </c>
      <c r="Q157" t="n">
        <v>1</v>
      </c>
      <c r="R157" t="n">
        <v>64</v>
      </c>
      <c r="S157" t="n">
        <v>587</v>
      </c>
      <c r="T157" t="n">
        <v>2587</v>
      </c>
      <c r="U157" t="n">
        <v>2587</v>
      </c>
      <c r="V157" t="n">
        <v>19072</v>
      </c>
      <c r="W157" t="n">
        <v>47.68</v>
      </c>
      <c r="X157" t="n">
        <v>298</v>
      </c>
      <c r="Y157" t="n">
        <v>291</v>
      </c>
      <c r="Z157">
        <f>IF(L157&gt;=70,"Yes","No")</f>
        <v/>
      </c>
      <c r="AA157">
        <f>IF(OR(AND(E157="A",G157="Commercial_1_Balls"),AND(E157="B",G157="Commercial_2_Paint")),"first","second")</f>
        <v/>
      </c>
      <c r="AB157">
        <f>IF(ISNUMBER(W157),W157,0)</f>
        <v/>
      </c>
      <c r="AC157">
        <f>IF(ISNUMBER(S157),1,0)</f>
        <v/>
      </c>
      <c r="AD157">
        <f>IF(ISNUMBER(R157),R157,0)</f>
        <v/>
      </c>
    </row>
    <row r="158">
      <c r="A158" t="inlineStr">
        <is>
          <t>SIMULATED_AdTest_Balls_vs_Paint</t>
        </is>
      </c>
      <c r="B158" t="inlineStr">
        <is>
          <t>R20</t>
        </is>
      </c>
      <c r="C158" t="inlineStr">
        <is>
          <t>F</t>
        </is>
      </c>
      <c r="D158" t="n">
        <v>35</v>
      </c>
      <c r="E158" t="inlineStr">
        <is>
          <t>B</t>
        </is>
      </c>
      <c r="F158" t="inlineStr">
        <is>
          <t>2026-10-20</t>
        </is>
      </c>
      <c r="G158" t="inlineStr">
        <is>
          <t>Commercial_2_Paint</t>
        </is>
      </c>
      <c r="H158" t="inlineStr">
        <is>
          <t>Product_TV</t>
        </is>
      </c>
      <c r="I158" t="n">
        <v>60000</v>
      </c>
      <c r="J158" t="n">
        <v>20000</v>
      </c>
      <c r="K158" t="n">
        <v>33.33</v>
      </c>
      <c r="L158" t="n">
        <v>98</v>
      </c>
      <c r="M158" t="n">
        <v>701</v>
      </c>
      <c r="N158" t="n">
        <v>4</v>
      </c>
      <c r="O158" t="n">
        <v>6689</v>
      </c>
      <c r="P158" t="n">
        <v>4</v>
      </c>
      <c r="Q158" t="n">
        <v>3</v>
      </c>
      <c r="R158" t="n">
        <v>16</v>
      </c>
      <c r="S158" t="n">
        <v>977</v>
      </c>
      <c r="T158" t="n">
        <v>9977</v>
      </c>
      <c r="U158" t="n">
        <v>9977</v>
      </c>
      <c r="V158" t="n">
        <v>5853</v>
      </c>
      <c r="W158" t="n">
        <v>29.27</v>
      </c>
      <c r="X158" t="n">
        <v>366</v>
      </c>
      <c r="Y158" t="n">
        <v>368</v>
      </c>
      <c r="Z158">
        <f>IF(L158&gt;=70,"Yes","No")</f>
        <v/>
      </c>
      <c r="AA158">
        <f>IF(OR(AND(E158="A",G158="Commercial_1_Balls"),AND(E158="B",G158="Commercial_2_Paint")),"first","second")</f>
        <v/>
      </c>
      <c r="AB158">
        <f>IF(ISNUMBER(W158),W158,0)</f>
        <v/>
      </c>
      <c r="AC158">
        <f>IF(ISNUMBER(S158),1,0)</f>
        <v/>
      </c>
      <c r="AD158">
        <f>IF(ISNUMBER(R158),R158,0)</f>
        <v/>
      </c>
    </row>
    <row r="159">
      <c r="A159" t="inlineStr">
        <is>
          <t>SIMULATED_AdTest_Balls_vs_Paint</t>
        </is>
      </c>
      <c r="B159" t="inlineStr">
        <is>
          <t>R20</t>
        </is>
      </c>
      <c r="C159" t="inlineStr">
        <is>
          <t>F</t>
        </is>
      </c>
      <c r="D159" t="n">
        <v>35</v>
      </c>
      <c r="E159" t="inlineStr">
        <is>
          <t>B</t>
        </is>
      </c>
      <c r="F159" t="inlineStr">
        <is>
          <t>2026-10-20</t>
        </is>
      </c>
      <c r="G159" t="inlineStr">
        <is>
          <t>Commercial_2_Paint</t>
        </is>
      </c>
      <c r="H159" t="inlineStr">
        <is>
          <t>Brand_Logo</t>
        </is>
      </c>
      <c r="I159" t="n">
        <v>60000</v>
      </c>
      <c r="J159" t="n">
        <v>5000</v>
      </c>
      <c r="K159" t="n">
        <v>8.33</v>
      </c>
      <c r="L159" t="n">
        <v>98</v>
      </c>
      <c r="M159" t="n">
        <v>580</v>
      </c>
      <c r="N159" t="n">
        <v>2</v>
      </c>
      <c r="O159" t="n">
        <v>4176</v>
      </c>
      <c r="P159" t="n">
        <v>2</v>
      </c>
      <c r="Q159" t="n">
        <v>1</v>
      </c>
      <c r="R159" t="n">
        <v>10</v>
      </c>
      <c r="S159" t="n">
        <v>748</v>
      </c>
      <c r="T159" t="n">
        <v>55748</v>
      </c>
      <c r="U159" t="n">
        <v>55748</v>
      </c>
      <c r="V159" t="n">
        <v>3695</v>
      </c>
      <c r="W159" t="n">
        <v>73.90000000000001</v>
      </c>
      <c r="X159" t="n">
        <v>370</v>
      </c>
      <c r="Y159" t="n">
        <v>475</v>
      </c>
      <c r="Z159">
        <f>IF(L159&gt;=70,"Yes","No")</f>
        <v/>
      </c>
      <c r="AA159">
        <f>IF(OR(AND(E159="A",G159="Commercial_1_Balls"),AND(E159="B",G159="Commercial_2_Paint")),"first","second")</f>
        <v/>
      </c>
      <c r="AB159">
        <f>IF(ISNUMBER(W159),W159,0)</f>
        <v/>
      </c>
      <c r="AC159">
        <f>IF(ISNUMBER(S159),1,0)</f>
        <v/>
      </c>
      <c r="AD159">
        <f>IF(ISNUMBER(R159),R159,0)</f>
        <v/>
      </c>
    </row>
    <row r="160">
      <c r="A160" t="inlineStr">
        <is>
          <t>SIMULATED_AdTest_Balls_vs_Paint</t>
        </is>
      </c>
      <c r="B160" t="inlineStr">
        <is>
          <t>R20</t>
        </is>
      </c>
      <c r="C160" t="inlineStr">
        <is>
          <t>F</t>
        </is>
      </c>
      <c r="D160" t="n">
        <v>35</v>
      </c>
      <c r="E160" t="inlineStr">
        <is>
          <t>B</t>
        </is>
      </c>
      <c r="F160" t="inlineStr">
        <is>
          <t>2026-10-20</t>
        </is>
      </c>
      <c r="G160" t="inlineStr">
        <is>
          <t>Commercial_2_Paint</t>
        </is>
      </c>
      <c r="H160" t="inlineStr">
        <is>
          <t>Tagline_Text</t>
        </is>
      </c>
      <c r="I160" t="n">
        <v>60000</v>
      </c>
      <c r="J160" t="n">
        <v>4000</v>
      </c>
      <c r="K160" t="n">
        <v>6.67</v>
      </c>
      <c r="L160" t="n">
        <v>98</v>
      </c>
      <c r="M160" t="n">
        <v>1378</v>
      </c>
      <c r="N160" t="n">
        <v>5</v>
      </c>
      <c r="O160" t="n">
        <v>1972</v>
      </c>
      <c r="P160" t="n">
        <v>1</v>
      </c>
      <c r="Q160" t="n">
        <v>0</v>
      </c>
      <c r="R160" t="n">
        <v>7</v>
      </c>
      <c r="S160" t="n">
        <v>1472</v>
      </c>
      <c r="T160" t="n">
        <v>57472</v>
      </c>
      <c r="U160" t="n">
        <v>57472</v>
      </c>
      <c r="V160" t="n">
        <v>1796</v>
      </c>
      <c r="W160" t="n">
        <v>44.9</v>
      </c>
      <c r="X160" t="n">
        <v>257</v>
      </c>
      <c r="Y160" t="n">
        <v>210</v>
      </c>
      <c r="Z160">
        <f>IF(L160&gt;=70,"Yes","No")</f>
        <v/>
      </c>
      <c r="AA160">
        <f>IF(OR(AND(E160="A",G160="Commercial_1_Balls"),AND(E160="B",G160="Commercial_2_Paint")),"first","second")</f>
        <v/>
      </c>
      <c r="AB160">
        <f>IF(ISNUMBER(W160),W160,0)</f>
        <v/>
      </c>
      <c r="AC160">
        <f>IF(ISNUMBER(S160),1,0)</f>
        <v/>
      </c>
      <c r="AD160">
        <f>IF(ISNUMBER(R160),R160,0)</f>
        <v/>
      </c>
    </row>
    <row r="161">
      <c r="A161" t="inlineStr">
        <is>
          <t>SIMULATED_AdTest_Balls_vs_Paint</t>
        </is>
      </c>
      <c r="B161" t="inlineStr">
        <is>
          <t>R20</t>
        </is>
      </c>
      <c r="C161" t="inlineStr">
        <is>
          <t>F</t>
        </is>
      </c>
      <c r="D161" t="n">
        <v>35</v>
      </c>
      <c r="E161" t="inlineStr">
        <is>
          <t>B</t>
        </is>
      </c>
      <c r="F161" t="inlineStr">
        <is>
          <t>2026-10-20</t>
        </is>
      </c>
      <c r="G161" t="inlineStr">
        <is>
          <t>Commercial_2_Paint</t>
        </is>
      </c>
      <c r="H161" t="inlineStr">
        <is>
          <t>Hero_Element</t>
        </is>
      </c>
      <c r="I161" t="n">
        <v>60000</v>
      </c>
      <c r="J161" t="n">
        <v>32000</v>
      </c>
      <c r="K161" t="n">
        <v>53.33</v>
      </c>
      <c r="L161" t="n">
        <v>98</v>
      </c>
      <c r="M161" t="n">
        <v>227</v>
      </c>
      <c r="N161" t="n">
        <v>3</v>
      </c>
      <c r="O161" t="n">
        <v>13249</v>
      </c>
      <c r="P161" t="n">
        <v>2</v>
      </c>
      <c r="Q161" t="n">
        <v>1</v>
      </c>
      <c r="R161" t="n">
        <v>43</v>
      </c>
      <c r="S161" t="n">
        <v>422</v>
      </c>
      <c r="T161" t="n">
        <v>3422</v>
      </c>
      <c r="U161" t="n">
        <v>3422</v>
      </c>
      <c r="V161" t="n">
        <v>12301</v>
      </c>
      <c r="W161" t="n">
        <v>38.44</v>
      </c>
      <c r="X161" t="n">
        <v>286</v>
      </c>
      <c r="Y161" t="n">
        <v>355</v>
      </c>
      <c r="Z161">
        <f>IF(L161&gt;=70,"Yes","No")</f>
        <v/>
      </c>
      <c r="AA161">
        <f>IF(OR(AND(E161="A",G161="Commercial_1_Balls"),AND(E161="B",G161="Commercial_2_Paint")),"first","second")</f>
        <v/>
      </c>
      <c r="AB161">
        <f>IF(ISNUMBER(W161),W161,0)</f>
        <v/>
      </c>
      <c r="AC161">
        <f>IF(ISNUMBER(S161),1,0)</f>
        <v/>
      </c>
      <c r="AD161">
        <f>IF(ISNUMBER(R161),R161,0)</f>
        <v/>
      </c>
    </row>
    <row r="162">
      <c r="A162" t="inlineStr">
        <is>
          <t>SIMULATED_AdTest_Balls_vs_Paint</t>
        </is>
      </c>
      <c r="B162" t="inlineStr">
        <is>
          <t>R21</t>
        </is>
      </c>
      <c r="C162" t="inlineStr">
        <is>
          <t>M</t>
        </is>
      </c>
      <c r="D162" t="n">
        <v>28</v>
      </c>
      <c r="E162" t="inlineStr">
        <is>
          <t>A</t>
        </is>
      </c>
      <c r="F162" t="inlineStr">
        <is>
          <t>2026-10-20</t>
        </is>
      </c>
      <c r="G162" t="inlineStr">
        <is>
          <t>Commercial_1_Balls</t>
        </is>
      </c>
      <c r="H162" t="inlineStr">
        <is>
          <t>Product_TV</t>
        </is>
      </c>
      <c r="I162" t="n">
        <v>60000</v>
      </c>
      <c r="J162" t="n">
        <v>14000</v>
      </c>
      <c r="K162" t="n">
        <v>23.33</v>
      </c>
      <c r="L162" t="n">
        <v>98.5</v>
      </c>
      <c r="M162" t="n">
        <v>616</v>
      </c>
      <c r="N162" t="n">
        <v>1</v>
      </c>
      <c r="O162" t="n">
        <v>4027</v>
      </c>
      <c r="P162" t="n">
        <v>1</v>
      </c>
      <c r="Q162" t="n">
        <v>0</v>
      </c>
      <c r="R162" t="n">
        <v>16</v>
      </c>
      <c r="S162" t="n">
        <v>891</v>
      </c>
      <c r="T162" t="n">
        <v>12891</v>
      </c>
      <c r="U162" t="n">
        <v>12891</v>
      </c>
      <c r="V162" t="n">
        <v>3684</v>
      </c>
      <c r="W162" t="n">
        <v>26.31</v>
      </c>
      <c r="X162" t="n">
        <v>230</v>
      </c>
      <c r="Y162" t="n">
        <v>296</v>
      </c>
      <c r="Z162">
        <f>IF(L162&gt;=70,"Yes","No")</f>
        <v/>
      </c>
      <c r="AA162">
        <f>IF(OR(AND(E162="A",G162="Commercial_1_Balls"),AND(E162="B",G162="Commercial_2_Paint")),"first","second")</f>
        <v/>
      </c>
      <c r="AB162">
        <f>IF(ISNUMBER(W162),W162,0)</f>
        <v/>
      </c>
      <c r="AC162">
        <f>IF(ISNUMBER(S162),1,0)</f>
        <v/>
      </c>
      <c r="AD162">
        <f>IF(ISNUMBER(R162),R162,0)</f>
        <v/>
      </c>
    </row>
    <row r="163">
      <c r="A163" t="inlineStr">
        <is>
          <t>SIMULATED_AdTest_Balls_vs_Paint</t>
        </is>
      </c>
      <c r="B163" t="inlineStr">
        <is>
          <t>R21</t>
        </is>
      </c>
      <c r="C163" t="inlineStr">
        <is>
          <t>M</t>
        </is>
      </c>
      <c r="D163" t="n">
        <v>28</v>
      </c>
      <c r="E163" t="inlineStr">
        <is>
          <t>A</t>
        </is>
      </c>
      <c r="F163" t="inlineStr">
        <is>
          <t>2026-10-20</t>
        </is>
      </c>
      <c r="G163" t="inlineStr">
        <is>
          <t>Commercial_1_Balls</t>
        </is>
      </c>
      <c r="H163" t="inlineStr">
        <is>
          <t>Brand_Logo</t>
        </is>
      </c>
      <c r="I163" t="n">
        <v>60000</v>
      </c>
      <c r="J163" t="n">
        <v>5000</v>
      </c>
      <c r="K163" t="n">
        <v>8.33</v>
      </c>
      <c r="L163" t="n">
        <v>98.5</v>
      </c>
      <c r="M163" t="n">
        <v>499</v>
      </c>
      <c r="N163" t="n">
        <v>2</v>
      </c>
      <c r="O163" t="n">
        <v>1214</v>
      </c>
      <c r="P163" t="n">
        <v>1</v>
      </c>
      <c r="Q163" t="n">
        <v>0</v>
      </c>
      <c r="R163" t="n">
        <v>3</v>
      </c>
      <c r="S163" t="n">
        <v>646</v>
      </c>
      <c r="T163" t="n">
        <v>55646</v>
      </c>
      <c r="U163" t="n">
        <v>55646</v>
      </c>
      <c r="V163" t="n">
        <v>1108</v>
      </c>
      <c r="W163" t="n">
        <v>22.16</v>
      </c>
      <c r="X163" t="n">
        <v>369</v>
      </c>
      <c r="Y163" t="n">
        <v>283</v>
      </c>
      <c r="Z163">
        <f>IF(L163&gt;=70,"Yes","No")</f>
        <v/>
      </c>
      <c r="AA163">
        <f>IF(OR(AND(E163="A",G163="Commercial_1_Balls"),AND(E163="B",G163="Commercial_2_Paint")),"first","second")</f>
        <v/>
      </c>
      <c r="AB163">
        <f>IF(ISNUMBER(W163),W163,0)</f>
        <v/>
      </c>
      <c r="AC163">
        <f>IF(ISNUMBER(S163),1,0)</f>
        <v/>
      </c>
      <c r="AD163">
        <f>IF(ISNUMBER(R163),R163,0)</f>
        <v/>
      </c>
    </row>
    <row r="164">
      <c r="A164" t="inlineStr">
        <is>
          <t>SIMULATED_AdTest_Balls_vs_Paint</t>
        </is>
      </c>
      <c r="B164" t="inlineStr">
        <is>
          <t>R21</t>
        </is>
      </c>
      <c r="C164" t="inlineStr">
        <is>
          <t>M</t>
        </is>
      </c>
      <c r="D164" t="n">
        <v>28</v>
      </c>
      <c r="E164" t="inlineStr">
        <is>
          <t>A</t>
        </is>
      </c>
      <c r="F164" t="inlineStr">
        <is>
          <t>2026-10-20</t>
        </is>
      </c>
      <c r="G164" t="inlineStr">
        <is>
          <t>Commercial_1_Balls</t>
        </is>
      </c>
      <c r="H164" t="inlineStr">
        <is>
          <t>Tagline_Text</t>
        </is>
      </c>
      <c r="I164" t="n">
        <v>60000</v>
      </c>
      <c r="J164" t="n">
        <v>4000</v>
      </c>
      <c r="K164" t="n">
        <v>6.67</v>
      </c>
      <c r="L164" t="n">
        <v>98.5</v>
      </c>
      <c r="M164" t="n">
        <v>375</v>
      </c>
      <c r="N164" t="n">
        <v>1</v>
      </c>
      <c r="O164" t="n">
        <v>689</v>
      </c>
      <c r="P164" t="n">
        <v>1</v>
      </c>
      <c r="Q164" t="n">
        <v>0</v>
      </c>
      <c r="R164" t="n">
        <v>2</v>
      </c>
      <c r="S164" t="n">
        <v>613</v>
      </c>
      <c r="T164" t="n">
        <v>56613</v>
      </c>
      <c r="U164" t="n">
        <v>56613</v>
      </c>
      <c r="V164" t="n">
        <v>618</v>
      </c>
      <c r="W164" t="n">
        <v>15.45</v>
      </c>
      <c r="X164" t="n">
        <v>309</v>
      </c>
      <c r="Y164" t="n">
        <v>260</v>
      </c>
      <c r="Z164">
        <f>IF(L164&gt;=70,"Yes","No")</f>
        <v/>
      </c>
      <c r="AA164">
        <f>IF(OR(AND(E164="A",G164="Commercial_1_Balls"),AND(E164="B",G164="Commercial_2_Paint")),"first","second")</f>
        <v/>
      </c>
      <c r="AB164">
        <f>IF(ISNUMBER(W164),W164,0)</f>
        <v/>
      </c>
      <c r="AC164">
        <f>IF(ISNUMBER(S164),1,0)</f>
        <v/>
      </c>
      <c r="AD164">
        <f>IF(ISNUMBER(R164),R164,0)</f>
        <v/>
      </c>
    </row>
    <row r="165">
      <c r="A165" t="inlineStr">
        <is>
          <t>SIMULATED_AdTest_Balls_vs_Paint</t>
        </is>
      </c>
      <c r="B165" t="inlineStr">
        <is>
          <t>R21</t>
        </is>
      </c>
      <c r="C165" t="inlineStr">
        <is>
          <t>M</t>
        </is>
      </c>
      <c r="D165" t="n">
        <v>28</v>
      </c>
      <c r="E165" t="inlineStr">
        <is>
          <t>A</t>
        </is>
      </c>
      <c r="F165" t="inlineStr">
        <is>
          <t>2026-10-20</t>
        </is>
      </c>
      <c r="G165" t="inlineStr">
        <is>
          <t>Commercial_1_Balls</t>
        </is>
      </c>
      <c r="H165" t="inlineStr">
        <is>
          <t>Hero_Element</t>
        </is>
      </c>
      <c r="I165" t="n">
        <v>60000</v>
      </c>
      <c r="J165" t="n">
        <v>40000</v>
      </c>
      <c r="K165" t="n">
        <v>66.67</v>
      </c>
      <c r="L165" t="n">
        <v>98.5</v>
      </c>
      <c r="M165" t="n">
        <v>726</v>
      </c>
      <c r="N165" t="n">
        <v>4</v>
      </c>
      <c r="O165" t="n">
        <v>21153</v>
      </c>
      <c r="P165" t="n">
        <v>3</v>
      </c>
      <c r="Q165" t="n">
        <v>2</v>
      </c>
      <c r="R165" t="n">
        <v>64</v>
      </c>
      <c r="S165" t="n">
        <v>969</v>
      </c>
      <c r="T165" t="n">
        <v>2969</v>
      </c>
      <c r="U165" t="n">
        <v>2969</v>
      </c>
      <c r="V165" t="n">
        <v>20528</v>
      </c>
      <c r="W165" t="n">
        <v>51.32</v>
      </c>
      <c r="X165" t="n">
        <v>321</v>
      </c>
      <c r="Y165" t="n">
        <v>217</v>
      </c>
      <c r="Z165">
        <f>IF(L165&gt;=70,"Yes","No")</f>
        <v/>
      </c>
      <c r="AA165">
        <f>IF(OR(AND(E165="A",G165="Commercial_1_Balls"),AND(E165="B",G165="Commercial_2_Paint")),"first","second")</f>
        <v/>
      </c>
      <c r="AB165">
        <f>IF(ISNUMBER(W165),W165,0)</f>
        <v/>
      </c>
      <c r="AC165">
        <f>IF(ISNUMBER(S165),1,0)</f>
        <v/>
      </c>
      <c r="AD165">
        <f>IF(ISNUMBER(R165),R165,0)</f>
        <v/>
      </c>
    </row>
    <row r="166">
      <c r="A166" t="inlineStr">
        <is>
          <t>SIMULATED_AdTest_Balls_vs_Paint</t>
        </is>
      </c>
      <c r="B166" t="inlineStr">
        <is>
          <t>R21</t>
        </is>
      </c>
      <c r="C166" t="inlineStr">
        <is>
          <t>M</t>
        </is>
      </c>
      <c r="D166" t="n">
        <v>28</v>
      </c>
      <c r="E166" t="inlineStr">
        <is>
          <t>A</t>
        </is>
      </c>
      <c r="F166" t="inlineStr">
        <is>
          <t>2026-10-20</t>
        </is>
      </c>
      <c r="G166" t="inlineStr">
        <is>
          <t>Commercial_2_Paint</t>
        </is>
      </c>
      <c r="H166" t="inlineStr">
        <is>
          <t>Product_TV</t>
        </is>
      </c>
      <c r="I166" t="n">
        <v>60000</v>
      </c>
      <c r="J166" t="n">
        <v>20000</v>
      </c>
      <c r="K166" t="n">
        <v>33.33</v>
      </c>
      <c r="L166" t="n">
        <v>98.5</v>
      </c>
      <c r="M166" t="n">
        <v>1073</v>
      </c>
      <c r="N166" t="n">
        <v>1</v>
      </c>
      <c r="O166" t="n">
        <v>7132</v>
      </c>
      <c r="P166" t="n">
        <v>1</v>
      </c>
      <c r="Q166" t="n">
        <v>0</v>
      </c>
      <c r="R166" t="n">
        <v>17</v>
      </c>
      <c r="S166" t="n">
        <v>1328</v>
      </c>
      <c r="T166" t="n">
        <v>10328</v>
      </c>
      <c r="U166" t="n">
        <v>10328</v>
      </c>
      <c r="V166" t="n">
        <v>6760</v>
      </c>
      <c r="W166" t="n">
        <v>33.8</v>
      </c>
      <c r="X166" t="n">
        <v>398</v>
      </c>
      <c r="Y166" t="n">
        <v>314</v>
      </c>
      <c r="Z166">
        <f>IF(L166&gt;=70,"Yes","No")</f>
        <v/>
      </c>
      <c r="AA166">
        <f>IF(OR(AND(E166="A",G166="Commercial_1_Balls"),AND(E166="B",G166="Commercial_2_Paint")),"first","second")</f>
        <v/>
      </c>
      <c r="AB166">
        <f>IF(ISNUMBER(W166),W166,0)</f>
        <v/>
      </c>
      <c r="AC166">
        <f>IF(ISNUMBER(S166),1,0)</f>
        <v/>
      </c>
      <c r="AD166">
        <f>IF(ISNUMBER(R166),R166,0)</f>
        <v/>
      </c>
    </row>
    <row r="167">
      <c r="A167" t="inlineStr">
        <is>
          <t>SIMULATED_AdTest_Balls_vs_Paint</t>
        </is>
      </c>
      <c r="B167" t="inlineStr">
        <is>
          <t>R21</t>
        </is>
      </c>
      <c r="C167" t="inlineStr">
        <is>
          <t>M</t>
        </is>
      </c>
      <c r="D167" t="n">
        <v>28</v>
      </c>
      <c r="E167" t="inlineStr">
        <is>
          <t>A</t>
        </is>
      </c>
      <c r="F167" t="inlineStr">
        <is>
          <t>2026-10-20</t>
        </is>
      </c>
      <c r="G167" t="inlineStr">
        <is>
          <t>Commercial_2_Paint</t>
        </is>
      </c>
      <c r="H167" t="inlineStr">
        <is>
          <t>Brand_Logo</t>
        </is>
      </c>
      <c r="I167" t="n">
        <v>60000</v>
      </c>
      <c r="J167" t="n">
        <v>5000</v>
      </c>
      <c r="K167" t="n">
        <v>8.33</v>
      </c>
      <c r="L167" t="n">
        <v>98.5</v>
      </c>
      <c r="M167" t="n">
        <v>426</v>
      </c>
      <c r="N167" t="n">
        <v>1</v>
      </c>
      <c r="O167" t="n">
        <v>1160</v>
      </c>
      <c r="P167" t="n">
        <v>1</v>
      </c>
      <c r="Q167" t="n">
        <v>0</v>
      </c>
      <c r="R167" t="n">
        <v>3</v>
      </c>
      <c r="S167" t="n">
        <v>572</v>
      </c>
      <c r="T167" t="n">
        <v>55572</v>
      </c>
      <c r="U167" t="n">
        <v>55572</v>
      </c>
      <c r="V167" t="n">
        <v>1032</v>
      </c>
      <c r="W167" t="n">
        <v>20.64</v>
      </c>
      <c r="X167" t="n">
        <v>344</v>
      </c>
      <c r="Y167" t="n">
        <v>198</v>
      </c>
      <c r="Z167">
        <f>IF(L167&gt;=70,"Yes","No")</f>
        <v/>
      </c>
      <c r="AA167">
        <f>IF(OR(AND(E167="A",G167="Commercial_1_Balls"),AND(E167="B",G167="Commercial_2_Paint")),"first","second")</f>
        <v/>
      </c>
      <c r="AB167">
        <f>IF(ISNUMBER(W167),W167,0)</f>
        <v/>
      </c>
      <c r="AC167">
        <f>IF(ISNUMBER(S167),1,0)</f>
        <v/>
      </c>
      <c r="AD167">
        <f>IF(ISNUMBER(R167),R167,0)</f>
        <v/>
      </c>
    </row>
    <row r="168">
      <c r="A168" t="inlineStr">
        <is>
          <t>SIMULATED_AdTest_Balls_vs_Paint</t>
        </is>
      </c>
      <c r="B168" t="inlineStr">
        <is>
          <t>R21</t>
        </is>
      </c>
      <c r="C168" t="inlineStr">
        <is>
          <t>M</t>
        </is>
      </c>
      <c r="D168" t="n">
        <v>28</v>
      </c>
      <c r="E168" t="inlineStr">
        <is>
          <t>A</t>
        </is>
      </c>
      <c r="F168" t="inlineStr">
        <is>
          <t>2026-10-20</t>
        </is>
      </c>
      <c r="G168" t="inlineStr">
        <is>
          <t>Commercial_2_Paint</t>
        </is>
      </c>
      <c r="H168" t="inlineStr">
        <is>
          <t>Tagline_Text</t>
        </is>
      </c>
      <c r="I168" t="n">
        <v>60000</v>
      </c>
      <c r="J168" t="n">
        <v>4000</v>
      </c>
      <c r="K168" t="n">
        <v>6.67</v>
      </c>
      <c r="L168" t="n">
        <v>98.5</v>
      </c>
      <c r="M168" t="n">
        <v>1015</v>
      </c>
      <c r="N168" t="n">
        <v>3</v>
      </c>
      <c r="O168" t="n">
        <v>998</v>
      </c>
      <c r="P168" t="n">
        <v>2</v>
      </c>
      <c r="Q168" t="n">
        <v>1</v>
      </c>
      <c r="R168" t="n">
        <v>4</v>
      </c>
      <c r="S168" t="n">
        <v>1201</v>
      </c>
      <c r="T168" t="n">
        <v>57201</v>
      </c>
      <c r="U168" t="n">
        <v>57201</v>
      </c>
      <c r="V168" t="n">
        <v>871</v>
      </c>
      <c r="W168" t="n">
        <v>21.77</v>
      </c>
      <c r="X168" t="n">
        <v>218</v>
      </c>
      <c r="Y168" t="n">
        <v>370</v>
      </c>
      <c r="Z168">
        <f>IF(L168&gt;=70,"Yes","No")</f>
        <v/>
      </c>
      <c r="AA168">
        <f>IF(OR(AND(E168="A",G168="Commercial_1_Balls"),AND(E168="B",G168="Commercial_2_Paint")),"first","second")</f>
        <v/>
      </c>
      <c r="AB168">
        <f>IF(ISNUMBER(W168),W168,0)</f>
        <v/>
      </c>
      <c r="AC168">
        <f>IF(ISNUMBER(S168),1,0)</f>
        <v/>
      </c>
      <c r="AD168">
        <f>IF(ISNUMBER(R168),R168,0)</f>
        <v/>
      </c>
    </row>
    <row r="169">
      <c r="A169" t="inlineStr">
        <is>
          <t>SIMULATED_AdTest_Balls_vs_Paint</t>
        </is>
      </c>
      <c r="B169" t="inlineStr">
        <is>
          <t>R21</t>
        </is>
      </c>
      <c r="C169" t="inlineStr">
        <is>
          <t>M</t>
        </is>
      </c>
      <c r="D169" t="n">
        <v>28</v>
      </c>
      <c r="E169" t="inlineStr">
        <is>
          <t>A</t>
        </is>
      </c>
      <c r="F169" t="inlineStr">
        <is>
          <t>2026-10-20</t>
        </is>
      </c>
      <c r="G169" t="inlineStr">
        <is>
          <t>Commercial_2_Paint</t>
        </is>
      </c>
      <c r="H169" t="inlineStr">
        <is>
          <t>Hero_Element</t>
        </is>
      </c>
      <c r="I169" t="n">
        <v>60000</v>
      </c>
      <c r="J169" t="n">
        <v>32000</v>
      </c>
      <c r="K169" t="n">
        <v>53.33</v>
      </c>
      <c r="L169" t="n">
        <v>98.5</v>
      </c>
      <c r="M169" t="n">
        <v>316</v>
      </c>
      <c r="N169" t="n">
        <v>4</v>
      </c>
      <c r="O169" t="n">
        <v>16264</v>
      </c>
      <c r="P169" t="n">
        <v>2</v>
      </c>
      <c r="Q169" t="n">
        <v>1</v>
      </c>
      <c r="R169" t="n">
        <v>56</v>
      </c>
      <c r="S169" t="n">
        <v>480</v>
      </c>
      <c r="T169" t="n">
        <v>3480</v>
      </c>
      <c r="U169" t="n">
        <v>3480</v>
      </c>
      <c r="V169" t="n">
        <v>14843</v>
      </c>
      <c r="W169" t="n">
        <v>46.38</v>
      </c>
      <c r="X169" t="n">
        <v>265</v>
      </c>
      <c r="Y169" t="n">
        <v>221</v>
      </c>
      <c r="Z169">
        <f>IF(L169&gt;=70,"Yes","No")</f>
        <v/>
      </c>
      <c r="AA169">
        <f>IF(OR(AND(E169="A",G169="Commercial_1_Balls"),AND(E169="B",G169="Commercial_2_Paint")),"first","second")</f>
        <v/>
      </c>
      <c r="AB169">
        <f>IF(ISNUMBER(W169),W169,0)</f>
        <v/>
      </c>
      <c r="AC169">
        <f>IF(ISNUMBER(S169),1,0)</f>
        <v/>
      </c>
      <c r="AD169">
        <f>IF(ISNUMBER(R169),R169,0)</f>
        <v/>
      </c>
    </row>
    <row r="170">
      <c r="A170" t="inlineStr">
        <is>
          <t>SIMULATED_AdTest_Balls_vs_Paint</t>
        </is>
      </c>
      <c r="B170" t="inlineStr">
        <is>
          <t>R22</t>
        </is>
      </c>
      <c r="C170" t="inlineStr">
        <is>
          <t>M</t>
        </is>
      </c>
      <c r="D170" t="n">
        <v>30</v>
      </c>
      <c r="E170" t="inlineStr">
        <is>
          <t>B</t>
        </is>
      </c>
      <c r="F170" t="inlineStr">
        <is>
          <t>2026-10-20</t>
        </is>
      </c>
      <c r="G170" t="inlineStr">
        <is>
          <t>Commercial_1_Balls</t>
        </is>
      </c>
      <c r="H170" t="inlineStr">
        <is>
          <t>Product_TV</t>
        </is>
      </c>
      <c r="I170" t="n">
        <v>60000</v>
      </c>
      <c r="J170" t="n">
        <v>14000</v>
      </c>
      <c r="K170" t="n">
        <v>23.33</v>
      </c>
      <c r="L170" t="n">
        <v>87.7</v>
      </c>
      <c r="M170" t="n">
        <v>1096</v>
      </c>
      <c r="N170" t="n">
        <v>1</v>
      </c>
      <c r="O170" t="n">
        <v>4151</v>
      </c>
      <c r="P170" t="n">
        <v>1</v>
      </c>
      <c r="Q170" t="n">
        <v>0</v>
      </c>
      <c r="R170" t="n">
        <v>10</v>
      </c>
      <c r="S170" t="n">
        <v>1219</v>
      </c>
      <c r="T170" t="n">
        <v>13219</v>
      </c>
      <c r="U170" t="n">
        <v>13219</v>
      </c>
      <c r="V170" t="n">
        <v>3697</v>
      </c>
      <c r="W170" t="n">
        <v>26.41</v>
      </c>
      <c r="X170" t="n">
        <v>370</v>
      </c>
      <c r="Y170" t="n">
        <v>330</v>
      </c>
      <c r="Z170">
        <f>IF(L170&gt;=70,"Yes","No")</f>
        <v/>
      </c>
      <c r="AA170">
        <f>IF(OR(AND(E170="A",G170="Commercial_1_Balls"),AND(E170="B",G170="Commercial_2_Paint")),"first","second")</f>
        <v/>
      </c>
      <c r="AB170">
        <f>IF(ISNUMBER(W170),W170,0)</f>
        <v/>
      </c>
      <c r="AC170">
        <f>IF(ISNUMBER(S170),1,0)</f>
        <v/>
      </c>
      <c r="AD170">
        <f>IF(ISNUMBER(R170),R170,0)</f>
        <v/>
      </c>
    </row>
    <row r="171">
      <c r="A171" t="inlineStr">
        <is>
          <t>SIMULATED_AdTest_Balls_vs_Paint</t>
        </is>
      </c>
      <c r="B171" t="inlineStr">
        <is>
          <t>R22</t>
        </is>
      </c>
      <c r="C171" t="inlineStr">
        <is>
          <t>M</t>
        </is>
      </c>
      <c r="D171" t="n">
        <v>30</v>
      </c>
      <c r="E171" t="inlineStr">
        <is>
          <t>B</t>
        </is>
      </c>
      <c r="F171" t="inlineStr">
        <is>
          <t>2026-10-20</t>
        </is>
      </c>
      <c r="G171" t="inlineStr">
        <is>
          <t>Commercial_1_Balls</t>
        </is>
      </c>
      <c r="H171" t="inlineStr">
        <is>
          <t>Brand_Logo</t>
        </is>
      </c>
      <c r="I171" t="n">
        <v>60000</v>
      </c>
      <c r="J171" t="n">
        <v>5000</v>
      </c>
      <c r="K171" t="n">
        <v>8.33</v>
      </c>
      <c r="L171" t="n">
        <v>87.7</v>
      </c>
      <c r="M171" t="n">
        <v>602</v>
      </c>
      <c r="N171" t="n">
        <v>4</v>
      </c>
      <c r="O171" t="n">
        <v>3255</v>
      </c>
      <c r="P171" t="n">
        <v>3</v>
      </c>
      <c r="Q171" t="n">
        <v>2</v>
      </c>
      <c r="R171" t="n">
        <v>12</v>
      </c>
      <c r="S171" t="n">
        <v>814</v>
      </c>
      <c r="T171" t="n">
        <v>55814</v>
      </c>
      <c r="U171" t="n">
        <v>55814</v>
      </c>
      <c r="V171" t="n">
        <v>3155</v>
      </c>
      <c r="W171" t="n">
        <v>63.1</v>
      </c>
      <c r="X171" t="n">
        <v>263</v>
      </c>
      <c r="Y171" t="n">
        <v>220</v>
      </c>
      <c r="Z171">
        <f>IF(L171&gt;=70,"Yes","No")</f>
        <v/>
      </c>
      <c r="AA171">
        <f>IF(OR(AND(E171="A",G171="Commercial_1_Balls"),AND(E171="B",G171="Commercial_2_Paint")),"first","second")</f>
        <v/>
      </c>
      <c r="AB171">
        <f>IF(ISNUMBER(W171),W171,0)</f>
        <v/>
      </c>
      <c r="AC171">
        <f>IF(ISNUMBER(S171),1,0)</f>
        <v/>
      </c>
      <c r="AD171">
        <f>IF(ISNUMBER(R171),R171,0)</f>
        <v/>
      </c>
    </row>
    <row r="172">
      <c r="A172" t="inlineStr">
        <is>
          <t>SIMULATED_AdTest_Balls_vs_Paint</t>
        </is>
      </c>
      <c r="B172" t="inlineStr">
        <is>
          <t>R22</t>
        </is>
      </c>
      <c r="C172" t="inlineStr">
        <is>
          <t>M</t>
        </is>
      </c>
      <c r="D172" t="n">
        <v>30</v>
      </c>
      <c r="E172" t="inlineStr">
        <is>
          <t>B</t>
        </is>
      </c>
      <c r="F172" t="inlineStr">
        <is>
          <t>2026-10-20</t>
        </is>
      </c>
      <c r="G172" t="inlineStr">
        <is>
          <t>Commercial_1_Balls</t>
        </is>
      </c>
      <c r="H172" t="inlineStr">
        <is>
          <t>Tagline_Text</t>
        </is>
      </c>
      <c r="I172" t="n">
        <v>60000</v>
      </c>
      <c r="J172" t="n">
        <v>4000</v>
      </c>
      <c r="K172" t="n">
        <v>6.67</v>
      </c>
      <c r="L172" t="n">
        <v>87.7</v>
      </c>
      <c r="M172" t="n">
        <v>959</v>
      </c>
      <c r="N172" t="n">
        <v>1</v>
      </c>
      <c r="O172" t="n">
        <v>437</v>
      </c>
      <c r="P172" t="n">
        <v>1</v>
      </c>
      <c r="Q172" t="n">
        <v>0</v>
      </c>
      <c r="R172" t="n">
        <v>2</v>
      </c>
      <c r="S172" t="n">
        <v>1068</v>
      </c>
      <c r="T172" t="n">
        <v>57068</v>
      </c>
      <c r="U172" t="n">
        <v>57068</v>
      </c>
      <c r="V172" t="n">
        <v>384</v>
      </c>
      <c r="W172" t="n">
        <v>9.6</v>
      </c>
      <c r="X172" t="n">
        <v>192</v>
      </c>
      <c r="Y172" t="n">
        <v>283</v>
      </c>
      <c r="Z172">
        <f>IF(L172&gt;=70,"Yes","No")</f>
        <v/>
      </c>
      <c r="AA172">
        <f>IF(OR(AND(E172="A",G172="Commercial_1_Balls"),AND(E172="B",G172="Commercial_2_Paint")),"first","second")</f>
        <v/>
      </c>
      <c r="AB172">
        <f>IF(ISNUMBER(W172),W172,0)</f>
        <v/>
      </c>
      <c r="AC172">
        <f>IF(ISNUMBER(S172),1,0)</f>
        <v/>
      </c>
      <c r="AD172">
        <f>IF(ISNUMBER(R172),R172,0)</f>
        <v/>
      </c>
    </row>
    <row r="173">
      <c r="A173" t="inlineStr">
        <is>
          <t>SIMULATED_AdTest_Balls_vs_Paint</t>
        </is>
      </c>
      <c r="B173" t="inlineStr">
        <is>
          <t>R22</t>
        </is>
      </c>
      <c r="C173" t="inlineStr">
        <is>
          <t>M</t>
        </is>
      </c>
      <c r="D173" t="n">
        <v>30</v>
      </c>
      <c r="E173" t="inlineStr">
        <is>
          <t>B</t>
        </is>
      </c>
      <c r="F173" t="inlineStr">
        <is>
          <t>2026-10-20</t>
        </is>
      </c>
      <c r="G173" t="inlineStr">
        <is>
          <t>Commercial_1_Balls</t>
        </is>
      </c>
      <c r="H173" t="inlineStr">
        <is>
          <t>Hero_Element</t>
        </is>
      </c>
      <c r="I173" t="n">
        <v>60000</v>
      </c>
      <c r="J173" t="n">
        <v>40000</v>
      </c>
      <c r="K173" t="n">
        <v>66.67</v>
      </c>
      <c r="L173" t="n">
        <v>87.7</v>
      </c>
      <c r="M173" t="n">
        <v>254</v>
      </c>
      <c r="N173" t="n">
        <v>2</v>
      </c>
      <c r="O173" t="n">
        <v>25542</v>
      </c>
      <c r="P173" t="n">
        <v>2</v>
      </c>
      <c r="Q173" t="n">
        <v>1</v>
      </c>
      <c r="R173" t="n">
        <v>79</v>
      </c>
      <c r="S173" t="n">
        <v>360</v>
      </c>
      <c r="T173" t="n">
        <v>2360</v>
      </c>
      <c r="U173" t="n">
        <v>2360</v>
      </c>
      <c r="V173" t="n">
        <v>22861</v>
      </c>
      <c r="W173" t="n">
        <v>57.15</v>
      </c>
      <c r="X173" t="n">
        <v>289</v>
      </c>
      <c r="Y173" t="n">
        <v>241</v>
      </c>
      <c r="Z173">
        <f>IF(L173&gt;=70,"Yes","No")</f>
        <v/>
      </c>
      <c r="AA173">
        <f>IF(OR(AND(E173="A",G173="Commercial_1_Balls"),AND(E173="B",G173="Commercial_2_Paint")),"first","second")</f>
        <v/>
      </c>
      <c r="AB173">
        <f>IF(ISNUMBER(W173),W173,0)</f>
        <v/>
      </c>
      <c r="AC173">
        <f>IF(ISNUMBER(S173),1,0)</f>
        <v/>
      </c>
      <c r="AD173">
        <f>IF(ISNUMBER(R173),R173,0)</f>
        <v/>
      </c>
    </row>
    <row r="174">
      <c r="A174" t="inlineStr">
        <is>
          <t>SIMULATED_AdTest_Balls_vs_Paint</t>
        </is>
      </c>
      <c r="B174" t="inlineStr">
        <is>
          <t>R22</t>
        </is>
      </c>
      <c r="C174" t="inlineStr">
        <is>
          <t>M</t>
        </is>
      </c>
      <c r="D174" t="n">
        <v>30</v>
      </c>
      <c r="E174" t="inlineStr">
        <is>
          <t>B</t>
        </is>
      </c>
      <c r="F174" t="inlineStr">
        <is>
          <t>2026-10-20</t>
        </is>
      </c>
      <c r="G174" t="inlineStr">
        <is>
          <t>Commercial_2_Paint</t>
        </is>
      </c>
      <c r="H174" t="inlineStr">
        <is>
          <t>Product_TV</t>
        </is>
      </c>
      <c r="I174" t="n">
        <v>60000</v>
      </c>
      <c r="J174" t="n">
        <v>20000</v>
      </c>
      <c r="K174" t="n">
        <v>33.33</v>
      </c>
      <c r="L174" t="n">
        <v>87.7</v>
      </c>
      <c r="M174" t="n">
        <v>605</v>
      </c>
      <c r="N174" t="n">
        <v>1</v>
      </c>
      <c r="O174" t="n">
        <v>7807</v>
      </c>
      <c r="P174" t="n">
        <v>1</v>
      </c>
      <c r="Q174" t="n">
        <v>0</v>
      </c>
      <c r="R174" t="n">
        <v>23</v>
      </c>
      <c r="S174" t="n">
        <v>789</v>
      </c>
      <c r="T174" t="n">
        <v>9789</v>
      </c>
      <c r="U174" t="n">
        <v>9789</v>
      </c>
      <c r="V174" t="n">
        <v>7026</v>
      </c>
      <c r="W174" t="n">
        <v>35.13</v>
      </c>
      <c r="X174" t="n">
        <v>305</v>
      </c>
      <c r="Y174" t="n">
        <v>190</v>
      </c>
      <c r="Z174">
        <f>IF(L174&gt;=70,"Yes","No")</f>
        <v/>
      </c>
      <c r="AA174">
        <f>IF(OR(AND(E174="A",G174="Commercial_1_Balls"),AND(E174="B",G174="Commercial_2_Paint")),"first","second")</f>
        <v/>
      </c>
      <c r="AB174">
        <f>IF(ISNUMBER(W174),W174,0)</f>
        <v/>
      </c>
      <c r="AC174">
        <f>IF(ISNUMBER(S174),1,0)</f>
        <v/>
      </c>
      <c r="AD174">
        <f>IF(ISNUMBER(R174),R174,0)</f>
        <v/>
      </c>
    </row>
    <row r="175">
      <c r="A175" t="inlineStr">
        <is>
          <t>SIMULATED_AdTest_Balls_vs_Paint</t>
        </is>
      </c>
      <c r="B175" t="inlineStr">
        <is>
          <t>R22</t>
        </is>
      </c>
      <c r="C175" t="inlineStr">
        <is>
          <t>M</t>
        </is>
      </c>
      <c r="D175" t="n">
        <v>30</v>
      </c>
      <c r="E175" t="inlineStr">
        <is>
          <t>B</t>
        </is>
      </c>
      <c r="F175" t="inlineStr">
        <is>
          <t>2026-10-20</t>
        </is>
      </c>
      <c r="G175" t="inlineStr">
        <is>
          <t>Commercial_2_Paint</t>
        </is>
      </c>
      <c r="H175" t="inlineStr">
        <is>
          <t>Brand_Logo</t>
        </is>
      </c>
      <c r="I175" t="n">
        <v>60000</v>
      </c>
      <c r="J175" t="n">
        <v>5000</v>
      </c>
      <c r="K175" t="n">
        <v>8.33</v>
      </c>
      <c r="L175" t="n">
        <v>87.7</v>
      </c>
      <c r="M175" t="n">
        <v>253</v>
      </c>
      <c r="N175" t="n">
        <v>2</v>
      </c>
      <c r="O175" t="n">
        <v>2673</v>
      </c>
      <c r="P175" t="n">
        <v>2</v>
      </c>
      <c r="Q175" t="n">
        <v>1</v>
      </c>
      <c r="R175" t="n">
        <v>10</v>
      </c>
      <c r="S175" t="n">
        <v>551</v>
      </c>
      <c r="T175" t="n">
        <v>55551</v>
      </c>
      <c r="U175" t="n">
        <v>55551</v>
      </c>
      <c r="V175" t="n">
        <v>2533</v>
      </c>
      <c r="W175" t="n">
        <v>50.66</v>
      </c>
      <c r="X175" t="n">
        <v>253</v>
      </c>
      <c r="Y175" t="n">
        <v>338</v>
      </c>
      <c r="Z175">
        <f>IF(L175&gt;=70,"Yes","No")</f>
        <v/>
      </c>
      <c r="AA175">
        <f>IF(OR(AND(E175="A",G175="Commercial_1_Balls"),AND(E175="B",G175="Commercial_2_Paint")),"first","second")</f>
        <v/>
      </c>
      <c r="AB175">
        <f>IF(ISNUMBER(W175),W175,0)</f>
        <v/>
      </c>
      <c r="AC175">
        <f>IF(ISNUMBER(S175),1,0)</f>
        <v/>
      </c>
      <c r="AD175">
        <f>IF(ISNUMBER(R175),R175,0)</f>
        <v/>
      </c>
    </row>
    <row r="176">
      <c r="A176" t="inlineStr">
        <is>
          <t>SIMULATED_AdTest_Balls_vs_Paint</t>
        </is>
      </c>
      <c r="B176" t="inlineStr">
        <is>
          <t>R22</t>
        </is>
      </c>
      <c r="C176" t="inlineStr">
        <is>
          <t>M</t>
        </is>
      </c>
      <c r="D176" t="n">
        <v>30</v>
      </c>
      <c r="E176" t="inlineStr">
        <is>
          <t>B</t>
        </is>
      </c>
      <c r="F176" t="inlineStr">
        <is>
          <t>2026-10-20</t>
        </is>
      </c>
      <c r="G176" t="inlineStr">
        <is>
          <t>Commercial_2_Paint</t>
        </is>
      </c>
      <c r="H176" t="inlineStr">
        <is>
          <t>Tagline_Text</t>
        </is>
      </c>
      <c r="I176" t="n">
        <v>60000</v>
      </c>
      <c r="J176" t="n">
        <v>4000</v>
      </c>
      <c r="K176" t="n">
        <v>6.67</v>
      </c>
      <c r="L176" t="n">
        <v>87.7</v>
      </c>
      <c r="M176" t="n">
        <v>1440</v>
      </c>
      <c r="N176" t="n">
        <v>1</v>
      </c>
      <c r="O176" t="n">
        <v>929</v>
      </c>
      <c r="P176" t="n">
        <v>1</v>
      </c>
      <c r="Q176" t="n">
        <v>0</v>
      </c>
      <c r="R176" t="n">
        <v>3</v>
      </c>
      <c r="S176" t="n">
        <v>1701</v>
      </c>
      <c r="T176" t="n">
        <v>57701</v>
      </c>
      <c r="U176" t="n">
        <v>57701</v>
      </c>
      <c r="V176" t="n">
        <v>857</v>
      </c>
      <c r="W176" t="n">
        <v>21.43</v>
      </c>
      <c r="X176" t="n">
        <v>286</v>
      </c>
      <c r="Y176" t="n">
        <v>237</v>
      </c>
      <c r="Z176">
        <f>IF(L176&gt;=70,"Yes","No")</f>
        <v/>
      </c>
      <c r="AA176">
        <f>IF(OR(AND(E176="A",G176="Commercial_1_Balls"),AND(E176="B",G176="Commercial_2_Paint")),"first","second")</f>
        <v/>
      </c>
      <c r="AB176">
        <f>IF(ISNUMBER(W176),W176,0)</f>
        <v/>
      </c>
      <c r="AC176">
        <f>IF(ISNUMBER(S176),1,0)</f>
        <v/>
      </c>
      <c r="AD176">
        <f>IF(ISNUMBER(R176),R176,0)</f>
        <v/>
      </c>
    </row>
    <row r="177">
      <c r="A177" t="inlineStr">
        <is>
          <t>SIMULATED_AdTest_Balls_vs_Paint</t>
        </is>
      </c>
      <c r="B177" t="inlineStr">
        <is>
          <t>R22</t>
        </is>
      </c>
      <c r="C177" t="inlineStr">
        <is>
          <t>M</t>
        </is>
      </c>
      <c r="D177" t="n">
        <v>30</v>
      </c>
      <c r="E177" t="inlineStr">
        <is>
          <t>B</t>
        </is>
      </c>
      <c r="F177" t="inlineStr">
        <is>
          <t>2026-10-20</t>
        </is>
      </c>
      <c r="G177" t="inlineStr">
        <is>
          <t>Commercial_2_Paint</t>
        </is>
      </c>
      <c r="H177" t="inlineStr">
        <is>
          <t>Hero_Element</t>
        </is>
      </c>
      <c r="I177" t="n">
        <v>60000</v>
      </c>
      <c r="J177" t="n">
        <v>32000</v>
      </c>
      <c r="K177" t="n">
        <v>53.33</v>
      </c>
      <c r="L177" t="n">
        <v>87.7</v>
      </c>
      <c r="M177" t="n">
        <v>163</v>
      </c>
      <c r="N177" t="n">
        <v>1</v>
      </c>
      <c r="O177" t="n">
        <v>11682</v>
      </c>
      <c r="P177" t="n">
        <v>1</v>
      </c>
      <c r="Q177" t="n">
        <v>0</v>
      </c>
      <c r="R177" t="n">
        <v>36</v>
      </c>
      <c r="S177" t="n">
        <v>381</v>
      </c>
      <c r="T177" t="n">
        <v>3381</v>
      </c>
      <c r="U177" t="n">
        <v>3381</v>
      </c>
      <c r="V177" t="n">
        <v>11284</v>
      </c>
      <c r="W177" t="n">
        <v>35.26</v>
      </c>
      <c r="X177" t="n">
        <v>313</v>
      </c>
      <c r="Y177" t="n">
        <v>170</v>
      </c>
      <c r="Z177">
        <f>IF(L177&gt;=70,"Yes","No")</f>
        <v/>
      </c>
      <c r="AA177">
        <f>IF(OR(AND(E177="A",G177="Commercial_1_Balls"),AND(E177="B",G177="Commercial_2_Paint")),"first","second")</f>
        <v/>
      </c>
      <c r="AB177">
        <f>IF(ISNUMBER(W177),W177,0)</f>
        <v/>
      </c>
      <c r="AC177">
        <f>IF(ISNUMBER(S177),1,0)</f>
        <v/>
      </c>
      <c r="AD177">
        <f>IF(ISNUMBER(R177),R177,0)</f>
        <v/>
      </c>
    </row>
    <row r="178">
      <c r="A178" t="inlineStr">
        <is>
          <t>SIMULATED_AdTest_Balls_vs_Paint</t>
        </is>
      </c>
      <c r="B178" t="inlineStr">
        <is>
          <t>R23</t>
        </is>
      </c>
      <c r="C178" t="inlineStr">
        <is>
          <t>M</t>
        </is>
      </c>
      <c r="D178" t="n">
        <v>24</v>
      </c>
      <c r="E178" t="inlineStr">
        <is>
          <t>A</t>
        </is>
      </c>
      <c r="F178" t="inlineStr">
        <is>
          <t>2026-10-20</t>
        </is>
      </c>
      <c r="G178" t="inlineStr">
        <is>
          <t>Commercial_1_Balls</t>
        </is>
      </c>
      <c r="H178" t="inlineStr">
        <is>
          <t>Product_TV</t>
        </is>
      </c>
      <c r="I178" t="n">
        <v>60000</v>
      </c>
      <c r="J178" t="n">
        <v>14000</v>
      </c>
      <c r="K178" t="n">
        <v>23.33</v>
      </c>
      <c r="L178" t="n">
        <v>58</v>
      </c>
      <c r="M178" t="n">
        <v>273</v>
      </c>
      <c r="N178" t="n">
        <v>1</v>
      </c>
      <c r="O178" t="n">
        <v>1599</v>
      </c>
      <c r="P178" t="n">
        <v>1</v>
      </c>
      <c r="Q178" t="n">
        <v>0</v>
      </c>
      <c r="R178" t="n">
        <v>5</v>
      </c>
      <c r="S178" t="n">
        <v>411</v>
      </c>
      <c r="T178" t="n">
        <v>12411</v>
      </c>
      <c r="U178" t="n">
        <v>12411</v>
      </c>
      <c r="V178" t="n">
        <v>1428</v>
      </c>
      <c r="W178" t="n">
        <v>10.2</v>
      </c>
      <c r="X178" t="n">
        <v>286</v>
      </c>
      <c r="Y178" t="n">
        <v>171</v>
      </c>
      <c r="Z178">
        <f>IF(L178&gt;=70,"Yes","No")</f>
        <v/>
      </c>
      <c r="AA178">
        <f>IF(OR(AND(E178="A",G178="Commercial_1_Balls"),AND(E178="B",G178="Commercial_2_Paint")),"first","second")</f>
        <v/>
      </c>
      <c r="AB178">
        <f>IF(ISNUMBER(W178),W178,0)</f>
        <v/>
      </c>
      <c r="AC178">
        <f>IF(ISNUMBER(S178),1,0)</f>
        <v/>
      </c>
      <c r="AD178">
        <f>IF(ISNUMBER(R178),R178,0)</f>
        <v/>
      </c>
    </row>
    <row r="179">
      <c r="A179" t="inlineStr">
        <is>
          <t>SIMULATED_AdTest_Balls_vs_Paint</t>
        </is>
      </c>
      <c r="B179" t="inlineStr">
        <is>
          <t>R23</t>
        </is>
      </c>
      <c r="C179" t="inlineStr">
        <is>
          <t>M</t>
        </is>
      </c>
      <c r="D179" t="n">
        <v>24</v>
      </c>
      <c r="E179" t="inlineStr">
        <is>
          <t>A</t>
        </is>
      </c>
      <c r="F179" t="inlineStr">
        <is>
          <t>2026-10-20</t>
        </is>
      </c>
      <c r="G179" t="inlineStr">
        <is>
          <t>Commercial_1_Balls</t>
        </is>
      </c>
      <c r="H179" t="inlineStr">
        <is>
          <t>Brand_Logo</t>
        </is>
      </c>
      <c r="I179" t="n">
        <v>60000</v>
      </c>
      <c r="J179" t="n">
        <v>5000</v>
      </c>
      <c r="K179" t="n">
        <v>8.33</v>
      </c>
      <c r="L179" t="n">
        <v>58</v>
      </c>
      <c r="M179" t="n">
        <v>222</v>
      </c>
      <c r="N179" t="n">
        <v>1</v>
      </c>
      <c r="O179" t="n">
        <v>1418</v>
      </c>
      <c r="P179" t="n">
        <v>1</v>
      </c>
      <c r="Q179" t="n">
        <v>0</v>
      </c>
      <c r="R179" t="n">
        <v>3</v>
      </c>
      <c r="S179" t="n">
        <v>489</v>
      </c>
      <c r="T179" t="n">
        <v>55489</v>
      </c>
      <c r="U179" t="n">
        <v>55489</v>
      </c>
      <c r="V179" t="n">
        <v>1269</v>
      </c>
      <c r="W179" t="n">
        <v>25.38</v>
      </c>
      <c r="X179" t="n">
        <v>423</v>
      </c>
      <c r="Y179" t="n">
        <v>250</v>
      </c>
      <c r="Z179">
        <f>IF(L179&gt;=70,"Yes","No")</f>
        <v/>
      </c>
      <c r="AA179">
        <f>IF(OR(AND(E179="A",G179="Commercial_1_Balls"),AND(E179="B",G179="Commercial_2_Paint")),"first","second")</f>
        <v/>
      </c>
      <c r="AB179">
        <f>IF(ISNUMBER(W179),W179,0)</f>
        <v/>
      </c>
      <c r="AC179">
        <f>IF(ISNUMBER(S179),1,0)</f>
        <v/>
      </c>
      <c r="AD179">
        <f>IF(ISNUMBER(R179),R179,0)</f>
        <v/>
      </c>
    </row>
    <row r="180">
      <c r="A180" t="inlineStr">
        <is>
          <t>SIMULATED_AdTest_Balls_vs_Paint</t>
        </is>
      </c>
      <c r="B180" t="inlineStr">
        <is>
          <t>R23</t>
        </is>
      </c>
      <c r="C180" t="inlineStr">
        <is>
          <t>M</t>
        </is>
      </c>
      <c r="D180" t="n">
        <v>24</v>
      </c>
      <c r="E180" t="inlineStr">
        <is>
          <t>A</t>
        </is>
      </c>
      <c r="F180" t="inlineStr">
        <is>
          <t>2026-10-20</t>
        </is>
      </c>
      <c r="G180" t="inlineStr">
        <is>
          <t>Commercial_1_Balls</t>
        </is>
      </c>
      <c r="H180" t="inlineStr">
        <is>
          <t>Tagline_Text</t>
        </is>
      </c>
      <c r="I180" t="n">
        <v>60000</v>
      </c>
      <c r="J180" t="n">
        <v>4000</v>
      </c>
      <c r="K180" t="n">
        <v>6.67</v>
      </c>
      <c r="L180" t="n">
        <v>58</v>
      </c>
      <c r="M180" t="n">
        <v>1150</v>
      </c>
      <c r="N180" t="n">
        <v>1</v>
      </c>
      <c r="O180" t="n">
        <v>923</v>
      </c>
      <c r="P180" t="n">
        <v>1</v>
      </c>
      <c r="Q180" t="n">
        <v>0</v>
      </c>
      <c r="R180" t="n">
        <v>3</v>
      </c>
      <c r="S180" t="n">
        <v>1252</v>
      </c>
      <c r="T180" t="n">
        <v>57252</v>
      </c>
      <c r="U180" t="n">
        <v>57252</v>
      </c>
      <c r="V180" t="n">
        <v>874</v>
      </c>
      <c r="W180" t="n">
        <v>21.85</v>
      </c>
      <c r="X180" t="n">
        <v>291</v>
      </c>
      <c r="Y180" t="n">
        <v>310</v>
      </c>
      <c r="Z180">
        <f>IF(L180&gt;=70,"Yes","No")</f>
        <v/>
      </c>
      <c r="AA180">
        <f>IF(OR(AND(E180="A",G180="Commercial_1_Balls"),AND(E180="B",G180="Commercial_2_Paint")),"first","second")</f>
        <v/>
      </c>
      <c r="AB180">
        <f>IF(ISNUMBER(W180),W180,0)</f>
        <v/>
      </c>
      <c r="AC180">
        <f>IF(ISNUMBER(S180),1,0)</f>
        <v/>
      </c>
      <c r="AD180">
        <f>IF(ISNUMBER(R180),R180,0)</f>
        <v/>
      </c>
    </row>
    <row r="181">
      <c r="A181" t="inlineStr">
        <is>
          <t>SIMULATED_AdTest_Balls_vs_Paint</t>
        </is>
      </c>
      <c r="B181" t="inlineStr">
        <is>
          <t>R23</t>
        </is>
      </c>
      <c r="C181" t="inlineStr">
        <is>
          <t>M</t>
        </is>
      </c>
      <c r="D181" t="n">
        <v>24</v>
      </c>
      <c r="E181" t="inlineStr">
        <is>
          <t>A</t>
        </is>
      </c>
      <c r="F181" t="inlineStr">
        <is>
          <t>2026-10-20</t>
        </is>
      </c>
      <c r="G181" t="inlineStr">
        <is>
          <t>Commercial_1_Balls</t>
        </is>
      </c>
      <c r="H181" t="inlineStr">
        <is>
          <t>Hero_Element</t>
        </is>
      </c>
      <c r="I181" t="n">
        <v>60000</v>
      </c>
      <c r="J181" t="n">
        <v>40000</v>
      </c>
      <c r="K181" t="n">
        <v>66.67</v>
      </c>
      <c r="L181" t="n">
        <v>58</v>
      </c>
      <c r="M181" t="n">
        <v>493</v>
      </c>
      <c r="N181" t="n">
        <v>2</v>
      </c>
      <c r="O181" t="n">
        <v>11695</v>
      </c>
      <c r="P181" t="n">
        <v>2</v>
      </c>
      <c r="Q181" t="n">
        <v>1</v>
      </c>
      <c r="R181" t="n">
        <v>40</v>
      </c>
      <c r="S181" t="n">
        <v>667</v>
      </c>
      <c r="T181" t="n">
        <v>2667</v>
      </c>
      <c r="U181" t="n">
        <v>2667</v>
      </c>
      <c r="V181" t="n">
        <v>11121</v>
      </c>
      <c r="W181" t="n">
        <v>27.8</v>
      </c>
      <c r="X181" t="n">
        <v>278</v>
      </c>
      <c r="Y181" t="n">
        <v>247</v>
      </c>
      <c r="Z181">
        <f>IF(L181&gt;=70,"Yes","No")</f>
        <v/>
      </c>
      <c r="AA181">
        <f>IF(OR(AND(E181="A",G181="Commercial_1_Balls"),AND(E181="B",G181="Commercial_2_Paint")),"first","second")</f>
        <v/>
      </c>
      <c r="AB181">
        <f>IF(ISNUMBER(W181),W181,0)</f>
        <v/>
      </c>
      <c r="AC181">
        <f>IF(ISNUMBER(S181),1,0)</f>
        <v/>
      </c>
      <c r="AD181">
        <f>IF(ISNUMBER(R181),R181,0)</f>
        <v/>
      </c>
    </row>
    <row r="182">
      <c r="A182" t="inlineStr">
        <is>
          <t>SIMULATED_AdTest_Balls_vs_Paint</t>
        </is>
      </c>
      <c r="B182" t="inlineStr">
        <is>
          <t>R23</t>
        </is>
      </c>
      <c r="C182" t="inlineStr">
        <is>
          <t>M</t>
        </is>
      </c>
      <c r="D182" t="n">
        <v>24</v>
      </c>
      <c r="E182" t="inlineStr">
        <is>
          <t>A</t>
        </is>
      </c>
      <c r="F182" t="inlineStr">
        <is>
          <t>2026-10-20</t>
        </is>
      </c>
      <c r="G182" t="inlineStr">
        <is>
          <t>Commercial_2_Paint</t>
        </is>
      </c>
      <c r="H182" t="inlineStr">
        <is>
          <t>Product_TV</t>
        </is>
      </c>
      <c r="I182" t="n">
        <v>60000</v>
      </c>
      <c r="J182" t="n">
        <v>20000</v>
      </c>
      <c r="K182" t="n">
        <v>33.33</v>
      </c>
      <c r="L182" t="n">
        <v>58</v>
      </c>
      <c r="M182" t="n">
        <v>640</v>
      </c>
      <c r="N182" t="n">
        <v>3</v>
      </c>
      <c r="O182" t="n">
        <v>2615</v>
      </c>
      <c r="P182" t="n">
        <v>2</v>
      </c>
      <c r="Q182" t="n">
        <v>1</v>
      </c>
      <c r="R182" t="n">
        <v>7</v>
      </c>
      <c r="S182" t="n">
        <v>856</v>
      </c>
      <c r="T182" t="n">
        <v>9856</v>
      </c>
      <c r="U182" t="n">
        <v>9856</v>
      </c>
      <c r="V182" t="n">
        <v>2275</v>
      </c>
      <c r="W182" t="n">
        <v>11.38</v>
      </c>
      <c r="X182" t="n">
        <v>325</v>
      </c>
      <c r="Y182" t="n">
        <v>284</v>
      </c>
      <c r="Z182">
        <f>IF(L182&gt;=70,"Yes","No")</f>
        <v/>
      </c>
      <c r="AA182">
        <f>IF(OR(AND(E182="A",G182="Commercial_1_Balls"),AND(E182="B",G182="Commercial_2_Paint")),"first","second")</f>
        <v/>
      </c>
      <c r="AB182">
        <f>IF(ISNUMBER(W182),W182,0)</f>
        <v/>
      </c>
      <c r="AC182">
        <f>IF(ISNUMBER(S182),1,0)</f>
        <v/>
      </c>
      <c r="AD182">
        <f>IF(ISNUMBER(R182),R182,0)</f>
        <v/>
      </c>
    </row>
    <row r="183">
      <c r="A183" t="inlineStr">
        <is>
          <t>SIMULATED_AdTest_Balls_vs_Paint</t>
        </is>
      </c>
      <c r="B183" t="inlineStr">
        <is>
          <t>R23</t>
        </is>
      </c>
      <c r="C183" t="inlineStr">
        <is>
          <t>M</t>
        </is>
      </c>
      <c r="D183" t="n">
        <v>24</v>
      </c>
      <c r="E183" t="inlineStr">
        <is>
          <t>A</t>
        </is>
      </c>
      <c r="F183" t="inlineStr">
        <is>
          <t>2026-10-20</t>
        </is>
      </c>
      <c r="G183" t="inlineStr">
        <is>
          <t>Commercial_2_Paint</t>
        </is>
      </c>
      <c r="H183" t="inlineStr">
        <is>
          <t>Brand_Logo</t>
        </is>
      </c>
      <c r="I183" t="n">
        <v>60000</v>
      </c>
      <c r="J183" t="n">
        <v>5000</v>
      </c>
      <c r="K183" t="n">
        <v>8.33</v>
      </c>
      <c r="L183" t="n">
        <v>58</v>
      </c>
      <c r="M183" t="n">
        <v>475</v>
      </c>
      <c r="N183" t="n">
        <v>3</v>
      </c>
      <c r="O183" t="n">
        <v>752</v>
      </c>
      <c r="P183" t="n">
        <v>1</v>
      </c>
      <c r="Q183" t="n">
        <v>0</v>
      </c>
      <c r="R183" t="n">
        <v>3</v>
      </c>
      <c r="S183" t="n">
        <v>688</v>
      </c>
      <c r="T183" t="n">
        <v>55688</v>
      </c>
      <c r="U183" t="n">
        <v>55688</v>
      </c>
      <c r="V183" t="n">
        <v>668</v>
      </c>
      <c r="W183" t="n">
        <v>13.36</v>
      </c>
      <c r="X183" t="n">
        <v>223</v>
      </c>
      <c r="Y183" t="n">
        <v>347</v>
      </c>
      <c r="Z183">
        <f>IF(L183&gt;=70,"Yes","No")</f>
        <v/>
      </c>
      <c r="AA183">
        <f>IF(OR(AND(E183="A",G183="Commercial_1_Balls"),AND(E183="B",G183="Commercial_2_Paint")),"first","second")</f>
        <v/>
      </c>
      <c r="AB183">
        <f>IF(ISNUMBER(W183),W183,0)</f>
        <v/>
      </c>
      <c r="AC183">
        <f>IF(ISNUMBER(S183),1,0)</f>
        <v/>
      </c>
      <c r="AD183">
        <f>IF(ISNUMBER(R183),R183,0)</f>
        <v/>
      </c>
    </row>
    <row r="184">
      <c r="A184" t="inlineStr">
        <is>
          <t>SIMULATED_AdTest_Balls_vs_Paint</t>
        </is>
      </c>
      <c r="B184" t="inlineStr">
        <is>
          <t>R23</t>
        </is>
      </c>
      <c r="C184" t="inlineStr">
        <is>
          <t>M</t>
        </is>
      </c>
      <c r="D184" t="n">
        <v>24</v>
      </c>
      <c r="E184" t="inlineStr">
        <is>
          <t>A</t>
        </is>
      </c>
      <c r="F184" t="inlineStr">
        <is>
          <t>2026-10-20</t>
        </is>
      </c>
      <c r="G184" t="inlineStr">
        <is>
          <t>Commercial_2_Paint</t>
        </is>
      </c>
      <c r="H184" t="inlineStr">
        <is>
          <t>Tagline_Text</t>
        </is>
      </c>
      <c r="I184" t="n">
        <v>60000</v>
      </c>
      <c r="J184" t="n">
        <v>4000</v>
      </c>
      <c r="K184" t="n">
        <v>6.67</v>
      </c>
      <c r="L184" t="n">
        <v>58</v>
      </c>
      <c r="M184" t="n">
        <v>2072</v>
      </c>
      <c r="N184" t="n">
        <v>2</v>
      </c>
      <c r="O184" t="n">
        <v>505</v>
      </c>
      <c r="P184" t="n">
        <v>2</v>
      </c>
      <c r="Q184" t="n">
        <v>1</v>
      </c>
      <c r="R184" t="n">
        <v>2</v>
      </c>
      <c r="S184" t="n">
        <v>2254</v>
      </c>
      <c r="T184" t="n">
        <v>58254</v>
      </c>
      <c r="U184" t="n">
        <v>58254</v>
      </c>
      <c r="V184" t="n">
        <v>467</v>
      </c>
      <c r="W184" t="n">
        <v>11.68</v>
      </c>
      <c r="X184" t="n">
        <v>234</v>
      </c>
      <c r="Y184" t="n">
        <v>201</v>
      </c>
      <c r="Z184">
        <f>IF(L184&gt;=70,"Yes","No")</f>
        <v/>
      </c>
      <c r="AA184">
        <f>IF(OR(AND(E184="A",G184="Commercial_1_Balls"),AND(E184="B",G184="Commercial_2_Paint")),"first","second")</f>
        <v/>
      </c>
      <c r="AB184">
        <f>IF(ISNUMBER(W184),W184,0)</f>
        <v/>
      </c>
      <c r="AC184">
        <f>IF(ISNUMBER(S184),1,0)</f>
        <v/>
      </c>
      <c r="AD184">
        <f>IF(ISNUMBER(R184),R184,0)</f>
        <v/>
      </c>
    </row>
    <row r="185">
      <c r="A185" t="inlineStr">
        <is>
          <t>SIMULATED_AdTest_Balls_vs_Paint</t>
        </is>
      </c>
      <c r="B185" t="inlineStr">
        <is>
          <t>R23</t>
        </is>
      </c>
      <c r="C185" t="inlineStr">
        <is>
          <t>M</t>
        </is>
      </c>
      <c r="D185" t="n">
        <v>24</v>
      </c>
      <c r="E185" t="inlineStr">
        <is>
          <t>A</t>
        </is>
      </c>
      <c r="F185" t="inlineStr">
        <is>
          <t>2026-10-20</t>
        </is>
      </c>
      <c r="G185" t="inlineStr">
        <is>
          <t>Commercial_2_Paint</t>
        </is>
      </c>
      <c r="H185" t="inlineStr">
        <is>
          <t>Hero_Element</t>
        </is>
      </c>
      <c r="I185" t="n">
        <v>60000</v>
      </c>
      <c r="J185" t="n">
        <v>32000</v>
      </c>
      <c r="K185" t="n">
        <v>53.33</v>
      </c>
      <c r="L185" t="n">
        <v>58</v>
      </c>
      <c r="M185" t="n">
        <v>775</v>
      </c>
      <c r="N185" t="n">
        <v>1</v>
      </c>
      <c r="O185" t="n">
        <v>11523</v>
      </c>
      <c r="P185" t="n">
        <v>1</v>
      </c>
      <c r="Q185" t="n">
        <v>0</v>
      </c>
      <c r="R185" t="n">
        <v>46</v>
      </c>
      <c r="S185" t="n">
        <v>907</v>
      </c>
      <c r="T185" t="n">
        <v>3907</v>
      </c>
      <c r="U185" t="n">
        <v>3907</v>
      </c>
      <c r="V185" t="n">
        <v>11167</v>
      </c>
      <c r="W185" t="n">
        <v>34.9</v>
      </c>
      <c r="X185" t="n">
        <v>243</v>
      </c>
      <c r="Y185" t="n">
        <v>363</v>
      </c>
      <c r="Z185">
        <f>IF(L185&gt;=70,"Yes","No")</f>
        <v/>
      </c>
      <c r="AA185">
        <f>IF(OR(AND(E185="A",G185="Commercial_1_Balls"),AND(E185="B",G185="Commercial_2_Paint")),"first","second")</f>
        <v/>
      </c>
      <c r="AB185">
        <f>IF(ISNUMBER(W185),W185,0)</f>
        <v/>
      </c>
      <c r="AC185">
        <f>IF(ISNUMBER(S185),1,0)</f>
        <v/>
      </c>
      <c r="AD185">
        <f>IF(ISNUMBER(R185),R185,0)</f>
        <v/>
      </c>
    </row>
    <row r="186">
      <c r="A186" t="inlineStr">
        <is>
          <t>SIMULATED_AdTest_Balls_vs_Paint</t>
        </is>
      </c>
      <c r="B186" t="inlineStr">
        <is>
          <t>R24</t>
        </is>
      </c>
      <c r="C186" t="inlineStr">
        <is>
          <t>F</t>
        </is>
      </c>
      <c r="D186" t="n">
        <v>27</v>
      </c>
      <c r="E186" t="inlineStr">
        <is>
          <t>B</t>
        </is>
      </c>
      <c r="F186" t="inlineStr">
        <is>
          <t>2026-10-20</t>
        </is>
      </c>
      <c r="G186" t="inlineStr">
        <is>
          <t>Commercial_1_Balls</t>
        </is>
      </c>
      <c r="H186" t="inlineStr">
        <is>
          <t>Product_TV</t>
        </is>
      </c>
      <c r="I186" t="n">
        <v>60000</v>
      </c>
      <c r="J186" t="n">
        <v>14000</v>
      </c>
      <c r="K186" t="n">
        <v>23.33</v>
      </c>
      <c r="L186" t="n">
        <v>92.90000000000001</v>
      </c>
      <c r="M186" t="n">
        <v>877</v>
      </c>
      <c r="N186" t="n">
        <v>2</v>
      </c>
      <c r="O186" t="n">
        <v>2395</v>
      </c>
      <c r="P186" t="n">
        <v>2</v>
      </c>
      <c r="Q186" t="n">
        <v>1</v>
      </c>
      <c r="R186" t="n">
        <v>7</v>
      </c>
      <c r="S186" t="n">
        <v>1083</v>
      </c>
      <c r="T186" t="n">
        <v>13083</v>
      </c>
      <c r="U186" t="n">
        <v>13083</v>
      </c>
      <c r="V186" t="n">
        <v>2239</v>
      </c>
      <c r="W186" t="n">
        <v>15.99</v>
      </c>
      <c r="X186" t="n">
        <v>320</v>
      </c>
      <c r="Y186" t="n">
        <v>193</v>
      </c>
      <c r="Z186">
        <f>IF(L186&gt;=70,"Yes","No")</f>
        <v/>
      </c>
      <c r="AA186">
        <f>IF(OR(AND(E186="A",G186="Commercial_1_Balls"),AND(E186="B",G186="Commercial_2_Paint")),"first","second")</f>
        <v/>
      </c>
      <c r="AB186">
        <f>IF(ISNUMBER(W186),W186,0)</f>
        <v/>
      </c>
      <c r="AC186">
        <f>IF(ISNUMBER(S186),1,0)</f>
        <v/>
      </c>
      <c r="AD186">
        <f>IF(ISNUMBER(R186),R186,0)</f>
        <v/>
      </c>
    </row>
    <row r="187">
      <c r="A187" t="inlineStr">
        <is>
          <t>SIMULATED_AdTest_Balls_vs_Paint</t>
        </is>
      </c>
      <c r="B187" t="inlineStr">
        <is>
          <t>R24</t>
        </is>
      </c>
      <c r="C187" t="inlineStr">
        <is>
          <t>F</t>
        </is>
      </c>
      <c r="D187" t="n">
        <v>27</v>
      </c>
      <c r="E187" t="inlineStr">
        <is>
          <t>B</t>
        </is>
      </c>
      <c r="F187" t="inlineStr">
        <is>
          <t>2026-10-20</t>
        </is>
      </c>
      <c r="G187" t="inlineStr">
        <is>
          <t>Commercial_1_Balls</t>
        </is>
      </c>
      <c r="H187" t="inlineStr">
        <is>
          <t>Brand_Logo</t>
        </is>
      </c>
      <c r="I187" t="n">
        <v>60000</v>
      </c>
      <c r="J187" t="n">
        <v>5000</v>
      </c>
      <c r="K187" t="n">
        <v>8.33</v>
      </c>
      <c r="L187" t="n">
        <v>92.90000000000001</v>
      </c>
      <c r="M187" t="n">
        <v>773</v>
      </c>
      <c r="N187" t="n">
        <v>2</v>
      </c>
      <c r="O187" t="n">
        <v>2502</v>
      </c>
      <c r="P187" t="n">
        <v>1</v>
      </c>
      <c r="Q187" t="n">
        <v>0</v>
      </c>
      <c r="R187" t="n">
        <v>7</v>
      </c>
      <c r="S187" t="n">
        <v>949</v>
      </c>
      <c r="T187" t="n">
        <v>55949</v>
      </c>
      <c r="U187" t="n">
        <v>55949</v>
      </c>
      <c r="V187" t="n">
        <v>2319</v>
      </c>
      <c r="W187" t="n">
        <v>46.38</v>
      </c>
      <c r="X187" t="n">
        <v>331</v>
      </c>
      <c r="Y187" t="n">
        <v>150</v>
      </c>
      <c r="Z187">
        <f>IF(L187&gt;=70,"Yes","No")</f>
        <v/>
      </c>
      <c r="AA187">
        <f>IF(OR(AND(E187="A",G187="Commercial_1_Balls"),AND(E187="B",G187="Commercial_2_Paint")),"first","second")</f>
        <v/>
      </c>
      <c r="AB187">
        <f>IF(ISNUMBER(W187),W187,0)</f>
        <v/>
      </c>
      <c r="AC187">
        <f>IF(ISNUMBER(S187),1,0)</f>
        <v/>
      </c>
      <c r="AD187">
        <f>IF(ISNUMBER(R187),R187,0)</f>
        <v/>
      </c>
    </row>
    <row r="188">
      <c r="A188" t="inlineStr">
        <is>
          <t>SIMULATED_AdTest_Balls_vs_Paint</t>
        </is>
      </c>
      <c r="B188" t="inlineStr">
        <is>
          <t>R24</t>
        </is>
      </c>
      <c r="C188" t="inlineStr">
        <is>
          <t>F</t>
        </is>
      </c>
      <c r="D188" t="n">
        <v>27</v>
      </c>
      <c r="E188" t="inlineStr">
        <is>
          <t>B</t>
        </is>
      </c>
      <c r="F188" t="inlineStr">
        <is>
          <t>2026-10-20</t>
        </is>
      </c>
      <c r="G188" t="inlineStr">
        <is>
          <t>Commercial_1_Balls</t>
        </is>
      </c>
      <c r="H188" t="inlineStr">
        <is>
          <t>Tagline_Text</t>
        </is>
      </c>
      <c r="I188" t="n">
        <v>60000</v>
      </c>
      <c r="J188" t="n">
        <v>4000</v>
      </c>
      <c r="K188" t="n">
        <v>6.67</v>
      </c>
      <c r="L188" t="n">
        <v>92.90000000000001</v>
      </c>
      <c r="M188" t="n">
        <v>1151</v>
      </c>
      <c r="N188" t="n">
        <v>1</v>
      </c>
      <c r="O188" t="n">
        <v>1840</v>
      </c>
      <c r="P188" t="n">
        <v>1</v>
      </c>
      <c r="Q188" t="n">
        <v>0</v>
      </c>
      <c r="R188" t="n">
        <v>7</v>
      </c>
      <c r="S188" t="n">
        <v>1295</v>
      </c>
      <c r="T188" t="n">
        <v>57295</v>
      </c>
      <c r="U188" t="n">
        <v>57295</v>
      </c>
      <c r="V188" t="n">
        <v>1740</v>
      </c>
      <c r="W188" t="n">
        <v>43.5</v>
      </c>
      <c r="X188" t="n">
        <v>249</v>
      </c>
      <c r="Y188" t="n">
        <v>278</v>
      </c>
      <c r="Z188">
        <f>IF(L188&gt;=70,"Yes","No")</f>
        <v/>
      </c>
      <c r="AA188">
        <f>IF(OR(AND(E188="A",G188="Commercial_1_Balls"),AND(E188="B",G188="Commercial_2_Paint")),"first","second")</f>
        <v/>
      </c>
      <c r="AB188">
        <f>IF(ISNUMBER(W188),W188,0)</f>
        <v/>
      </c>
      <c r="AC188">
        <f>IF(ISNUMBER(S188),1,0)</f>
        <v/>
      </c>
      <c r="AD188">
        <f>IF(ISNUMBER(R188),R188,0)</f>
        <v/>
      </c>
    </row>
    <row r="189">
      <c r="A189" t="inlineStr">
        <is>
          <t>SIMULATED_AdTest_Balls_vs_Paint</t>
        </is>
      </c>
      <c r="B189" t="inlineStr">
        <is>
          <t>R24</t>
        </is>
      </c>
      <c r="C189" t="inlineStr">
        <is>
          <t>F</t>
        </is>
      </c>
      <c r="D189" t="n">
        <v>27</v>
      </c>
      <c r="E189" t="inlineStr">
        <is>
          <t>B</t>
        </is>
      </c>
      <c r="F189" t="inlineStr">
        <is>
          <t>2026-10-20</t>
        </is>
      </c>
      <c r="G189" t="inlineStr">
        <is>
          <t>Commercial_1_Balls</t>
        </is>
      </c>
      <c r="H189" t="inlineStr">
        <is>
          <t>Hero_Element</t>
        </is>
      </c>
      <c r="I189" t="n">
        <v>60000</v>
      </c>
      <c r="J189" t="n">
        <v>40000</v>
      </c>
      <c r="K189" t="n">
        <v>66.67</v>
      </c>
      <c r="L189" t="n">
        <v>92.90000000000001</v>
      </c>
      <c r="M189" t="n">
        <v>790</v>
      </c>
      <c r="N189" t="n">
        <v>6</v>
      </c>
      <c r="O189" t="n">
        <v>22312</v>
      </c>
      <c r="P189" t="n">
        <v>5</v>
      </c>
      <c r="Q189" t="n">
        <v>4</v>
      </c>
      <c r="R189" t="n">
        <v>48</v>
      </c>
      <c r="S189" t="n">
        <v>934</v>
      </c>
      <c r="T189" t="n">
        <v>2934</v>
      </c>
      <c r="U189" t="n">
        <v>2934</v>
      </c>
      <c r="V189" t="n">
        <v>20944</v>
      </c>
      <c r="W189" t="n">
        <v>52.36</v>
      </c>
      <c r="X189" t="n">
        <v>436</v>
      </c>
      <c r="Y189" t="n">
        <v>170</v>
      </c>
      <c r="Z189">
        <f>IF(L189&gt;=70,"Yes","No")</f>
        <v/>
      </c>
      <c r="AA189">
        <f>IF(OR(AND(E189="A",G189="Commercial_1_Balls"),AND(E189="B",G189="Commercial_2_Paint")),"first","second")</f>
        <v/>
      </c>
      <c r="AB189">
        <f>IF(ISNUMBER(W189),W189,0)</f>
        <v/>
      </c>
      <c r="AC189">
        <f>IF(ISNUMBER(S189),1,0)</f>
        <v/>
      </c>
      <c r="AD189">
        <f>IF(ISNUMBER(R189),R189,0)</f>
        <v/>
      </c>
    </row>
    <row r="190">
      <c r="A190" t="inlineStr">
        <is>
          <t>SIMULATED_AdTest_Balls_vs_Paint</t>
        </is>
      </c>
      <c r="B190" t="inlineStr">
        <is>
          <t>R24</t>
        </is>
      </c>
      <c r="C190" t="inlineStr">
        <is>
          <t>F</t>
        </is>
      </c>
      <c r="D190" t="n">
        <v>27</v>
      </c>
      <c r="E190" t="inlineStr">
        <is>
          <t>B</t>
        </is>
      </c>
      <c r="F190" t="inlineStr">
        <is>
          <t>2026-10-20</t>
        </is>
      </c>
      <c r="G190" t="inlineStr">
        <is>
          <t>Commercial_2_Paint</t>
        </is>
      </c>
      <c r="H190" t="inlineStr">
        <is>
          <t>Product_TV</t>
        </is>
      </c>
      <c r="I190" t="n">
        <v>60000</v>
      </c>
      <c r="J190" t="n">
        <v>20000</v>
      </c>
      <c r="K190" t="n">
        <v>33.33</v>
      </c>
      <c r="L190" t="n">
        <v>92.90000000000001</v>
      </c>
      <c r="M190" t="n">
        <v>735</v>
      </c>
      <c r="N190" t="n">
        <v>2</v>
      </c>
      <c r="O190" t="n">
        <v>5929</v>
      </c>
      <c r="P190" t="n">
        <v>2</v>
      </c>
      <c r="Q190" t="n">
        <v>1</v>
      </c>
      <c r="R190" t="n">
        <v>24</v>
      </c>
      <c r="S190" t="n">
        <v>946</v>
      </c>
      <c r="T190" t="n">
        <v>9946</v>
      </c>
      <c r="U190" t="n">
        <v>9946</v>
      </c>
      <c r="V190" t="n">
        <v>5354</v>
      </c>
      <c r="W190" t="n">
        <v>26.77</v>
      </c>
      <c r="X190" t="n">
        <v>223</v>
      </c>
      <c r="Y190" t="n">
        <v>353</v>
      </c>
      <c r="Z190">
        <f>IF(L190&gt;=70,"Yes","No")</f>
        <v/>
      </c>
      <c r="AA190">
        <f>IF(OR(AND(E190="A",G190="Commercial_1_Balls"),AND(E190="B",G190="Commercial_2_Paint")),"first","second")</f>
        <v/>
      </c>
      <c r="AB190">
        <f>IF(ISNUMBER(W190),W190,0)</f>
        <v/>
      </c>
      <c r="AC190">
        <f>IF(ISNUMBER(S190),1,0)</f>
        <v/>
      </c>
      <c r="AD190">
        <f>IF(ISNUMBER(R190),R190,0)</f>
        <v/>
      </c>
    </row>
    <row r="191">
      <c r="A191" t="inlineStr">
        <is>
          <t>SIMULATED_AdTest_Balls_vs_Paint</t>
        </is>
      </c>
      <c r="B191" t="inlineStr">
        <is>
          <t>R24</t>
        </is>
      </c>
      <c r="C191" t="inlineStr">
        <is>
          <t>F</t>
        </is>
      </c>
      <c r="D191" t="n">
        <v>27</v>
      </c>
      <c r="E191" t="inlineStr">
        <is>
          <t>B</t>
        </is>
      </c>
      <c r="F191" t="inlineStr">
        <is>
          <t>2026-10-20</t>
        </is>
      </c>
      <c r="G191" t="inlineStr">
        <is>
          <t>Commercial_2_Paint</t>
        </is>
      </c>
      <c r="H191" t="inlineStr">
        <is>
          <t>Brand_Logo</t>
        </is>
      </c>
      <c r="I191" t="n">
        <v>60000</v>
      </c>
      <c r="J191" t="n">
        <v>5000</v>
      </c>
      <c r="K191" t="n">
        <v>8.33</v>
      </c>
      <c r="L191" t="n">
        <v>92.90000000000001</v>
      </c>
      <c r="M191" t="n">
        <v>334</v>
      </c>
      <c r="N191" t="n">
        <v>2</v>
      </c>
      <c r="O191" t="n">
        <v>2496</v>
      </c>
      <c r="P191" t="n">
        <v>1</v>
      </c>
      <c r="Q191" t="n">
        <v>0</v>
      </c>
      <c r="R191" t="n">
        <v>7</v>
      </c>
      <c r="S191" t="n">
        <v>542</v>
      </c>
      <c r="T191" t="n">
        <v>55542</v>
      </c>
      <c r="U191" t="n">
        <v>55542</v>
      </c>
      <c r="V191" t="n">
        <v>2192</v>
      </c>
      <c r="W191" t="n">
        <v>43.84</v>
      </c>
      <c r="X191" t="n">
        <v>313</v>
      </c>
      <c r="Y191" t="n">
        <v>194</v>
      </c>
      <c r="Z191">
        <f>IF(L191&gt;=70,"Yes","No")</f>
        <v/>
      </c>
      <c r="AA191">
        <f>IF(OR(AND(E191="A",G191="Commercial_1_Balls"),AND(E191="B",G191="Commercial_2_Paint")),"first","second")</f>
        <v/>
      </c>
      <c r="AB191">
        <f>IF(ISNUMBER(W191),W191,0)</f>
        <v/>
      </c>
      <c r="AC191">
        <f>IF(ISNUMBER(S191),1,0)</f>
        <v/>
      </c>
      <c r="AD191">
        <f>IF(ISNUMBER(R191),R191,0)</f>
        <v/>
      </c>
    </row>
    <row r="192">
      <c r="A192" t="inlineStr">
        <is>
          <t>SIMULATED_AdTest_Balls_vs_Paint</t>
        </is>
      </c>
      <c r="B192" t="inlineStr">
        <is>
          <t>R24</t>
        </is>
      </c>
      <c r="C192" t="inlineStr">
        <is>
          <t>F</t>
        </is>
      </c>
      <c r="D192" t="n">
        <v>27</v>
      </c>
      <c r="E192" t="inlineStr">
        <is>
          <t>B</t>
        </is>
      </c>
      <c r="F192" t="inlineStr">
        <is>
          <t>2026-10-20</t>
        </is>
      </c>
      <c r="G192" t="inlineStr">
        <is>
          <t>Commercial_2_Paint</t>
        </is>
      </c>
      <c r="H192" t="inlineStr">
        <is>
          <t>Tagline_Text</t>
        </is>
      </c>
      <c r="I192" t="n">
        <v>60000</v>
      </c>
      <c r="J192" t="n">
        <v>4000</v>
      </c>
      <c r="K192" t="n">
        <v>6.67</v>
      </c>
      <c r="L192" t="n">
        <v>92.90000000000001</v>
      </c>
      <c r="M192" t="n">
        <v>1079</v>
      </c>
      <c r="N192" t="n">
        <v>2</v>
      </c>
      <c r="O192" t="n">
        <v>1467</v>
      </c>
      <c r="P192" t="n">
        <v>1</v>
      </c>
      <c r="Q192" t="n">
        <v>0</v>
      </c>
      <c r="R192" t="n">
        <v>3</v>
      </c>
      <c r="S192" t="n">
        <v>1366</v>
      </c>
      <c r="T192" t="n">
        <v>57366</v>
      </c>
      <c r="U192" t="n">
        <v>57366</v>
      </c>
      <c r="V192" t="n">
        <v>1281</v>
      </c>
      <c r="W192" t="n">
        <v>32.02</v>
      </c>
      <c r="X192" t="n">
        <v>427</v>
      </c>
      <c r="Y192" t="n">
        <v>185</v>
      </c>
      <c r="Z192">
        <f>IF(L192&gt;=70,"Yes","No")</f>
        <v/>
      </c>
      <c r="AA192">
        <f>IF(OR(AND(E192="A",G192="Commercial_1_Balls"),AND(E192="B",G192="Commercial_2_Paint")),"first","second")</f>
        <v/>
      </c>
      <c r="AB192">
        <f>IF(ISNUMBER(W192),W192,0)</f>
        <v/>
      </c>
      <c r="AC192">
        <f>IF(ISNUMBER(S192),1,0)</f>
        <v/>
      </c>
      <c r="AD192">
        <f>IF(ISNUMBER(R192),R192,0)</f>
        <v/>
      </c>
    </row>
    <row r="193">
      <c r="A193" t="inlineStr">
        <is>
          <t>SIMULATED_AdTest_Balls_vs_Paint</t>
        </is>
      </c>
      <c r="B193" t="inlineStr">
        <is>
          <t>R24</t>
        </is>
      </c>
      <c r="C193" t="inlineStr">
        <is>
          <t>F</t>
        </is>
      </c>
      <c r="D193" t="n">
        <v>27</v>
      </c>
      <c r="E193" t="inlineStr">
        <is>
          <t>B</t>
        </is>
      </c>
      <c r="F193" t="inlineStr">
        <is>
          <t>2026-10-20</t>
        </is>
      </c>
      <c r="G193" t="inlineStr">
        <is>
          <t>Commercial_2_Paint</t>
        </is>
      </c>
      <c r="H193" t="inlineStr">
        <is>
          <t>Hero_Element</t>
        </is>
      </c>
      <c r="I193" t="n">
        <v>60000</v>
      </c>
      <c r="J193" t="n">
        <v>32000</v>
      </c>
      <c r="K193" t="n">
        <v>53.33</v>
      </c>
      <c r="L193" t="n">
        <v>92.90000000000001</v>
      </c>
      <c r="M193" t="n">
        <v>248</v>
      </c>
      <c r="N193" t="n">
        <v>2</v>
      </c>
      <c r="O193" t="n">
        <v>15114</v>
      </c>
      <c r="P193" t="n">
        <v>2</v>
      </c>
      <c r="Q193" t="n">
        <v>1</v>
      </c>
      <c r="R193" t="n">
        <v>36</v>
      </c>
      <c r="S193" t="n">
        <v>540</v>
      </c>
      <c r="T193" t="n">
        <v>3540</v>
      </c>
      <c r="U193" t="n">
        <v>3540</v>
      </c>
      <c r="V193" t="n">
        <v>13373</v>
      </c>
      <c r="W193" t="n">
        <v>41.79</v>
      </c>
      <c r="X193" t="n">
        <v>371</v>
      </c>
      <c r="Y193" t="n">
        <v>283</v>
      </c>
      <c r="Z193">
        <f>IF(L193&gt;=70,"Yes","No")</f>
        <v/>
      </c>
      <c r="AA193">
        <f>IF(OR(AND(E193="A",G193="Commercial_1_Balls"),AND(E193="B",G193="Commercial_2_Paint")),"first","second")</f>
        <v/>
      </c>
      <c r="AB193">
        <f>IF(ISNUMBER(W193),W193,0)</f>
        <v/>
      </c>
      <c r="AC193">
        <f>IF(ISNUMBER(S193),1,0)</f>
        <v/>
      </c>
      <c r="AD193">
        <f>IF(ISNUMBER(R193),R193,0)</f>
        <v/>
      </c>
    </row>
    <row r="194">
      <c r="A194" t="inlineStr">
        <is>
          <t>SIMULATED_AdTest_Balls_vs_Paint</t>
        </is>
      </c>
      <c r="B194" t="inlineStr">
        <is>
          <t>R25</t>
        </is>
      </c>
      <c r="C194" t="inlineStr">
        <is>
          <t>F</t>
        </is>
      </c>
      <c r="D194" t="n">
        <v>19</v>
      </c>
      <c r="E194" t="inlineStr">
        <is>
          <t>A</t>
        </is>
      </c>
      <c r="F194" t="inlineStr">
        <is>
          <t>2026-10-20</t>
        </is>
      </c>
      <c r="G194" t="inlineStr">
        <is>
          <t>Commercial_1_Balls</t>
        </is>
      </c>
      <c r="H194" t="inlineStr">
        <is>
          <t>Product_TV</t>
        </is>
      </c>
      <c r="I194" t="n">
        <v>60000</v>
      </c>
      <c r="J194" t="n">
        <v>14000</v>
      </c>
      <c r="K194" t="n">
        <v>23.33</v>
      </c>
      <c r="L194" t="n">
        <v>99</v>
      </c>
      <c r="M194" t="n">
        <v>1061</v>
      </c>
      <c r="N194" t="n">
        <v>2</v>
      </c>
      <c r="O194" t="n">
        <v>4312</v>
      </c>
      <c r="P194" t="n">
        <v>2</v>
      </c>
      <c r="Q194" t="n">
        <v>1</v>
      </c>
      <c r="R194" t="n">
        <v>23</v>
      </c>
      <c r="S194" t="n">
        <v>1294</v>
      </c>
      <c r="T194" t="n">
        <v>13294</v>
      </c>
      <c r="U194" t="n">
        <v>13294</v>
      </c>
      <c r="V194" t="n">
        <v>4047</v>
      </c>
      <c r="W194" t="n">
        <v>28.91</v>
      </c>
      <c r="X194" t="n">
        <v>176</v>
      </c>
      <c r="Y194" t="n">
        <v>176</v>
      </c>
      <c r="Z194">
        <f>IF(L194&gt;=70,"Yes","No")</f>
        <v/>
      </c>
      <c r="AA194">
        <f>IF(OR(AND(E194="A",G194="Commercial_1_Balls"),AND(E194="B",G194="Commercial_2_Paint")),"first","second")</f>
        <v/>
      </c>
      <c r="AB194">
        <f>IF(ISNUMBER(W194),W194,0)</f>
        <v/>
      </c>
      <c r="AC194">
        <f>IF(ISNUMBER(S194),1,0)</f>
        <v/>
      </c>
      <c r="AD194">
        <f>IF(ISNUMBER(R194),R194,0)</f>
        <v/>
      </c>
    </row>
    <row r="195">
      <c r="A195" t="inlineStr">
        <is>
          <t>SIMULATED_AdTest_Balls_vs_Paint</t>
        </is>
      </c>
      <c r="B195" t="inlineStr">
        <is>
          <t>R25</t>
        </is>
      </c>
      <c r="C195" t="inlineStr">
        <is>
          <t>F</t>
        </is>
      </c>
      <c r="D195" t="n">
        <v>19</v>
      </c>
      <c r="E195" t="inlineStr">
        <is>
          <t>A</t>
        </is>
      </c>
      <c r="F195" t="inlineStr">
        <is>
          <t>2026-10-20</t>
        </is>
      </c>
      <c r="G195" t="inlineStr">
        <is>
          <t>Commercial_1_Balls</t>
        </is>
      </c>
      <c r="H195" t="inlineStr">
        <is>
          <t>Brand_Logo</t>
        </is>
      </c>
      <c r="I195" t="n">
        <v>60000</v>
      </c>
      <c r="J195" t="n">
        <v>5000</v>
      </c>
      <c r="K195" t="n">
        <v>8.33</v>
      </c>
      <c r="L195" t="n">
        <v>99</v>
      </c>
      <c r="M195" t="n">
        <v>1387</v>
      </c>
      <c r="N195" t="n">
        <v>1</v>
      </c>
      <c r="O195" t="n">
        <v>2482</v>
      </c>
      <c r="P195" t="n">
        <v>1</v>
      </c>
      <c r="Q195" t="n">
        <v>0</v>
      </c>
      <c r="R195" t="n">
        <v>8</v>
      </c>
      <c r="S195" t="n">
        <v>1510</v>
      </c>
      <c r="T195" t="n">
        <v>56510</v>
      </c>
      <c r="U195" t="n">
        <v>56510</v>
      </c>
      <c r="V195" t="n">
        <v>2354</v>
      </c>
      <c r="W195" t="n">
        <v>47.08</v>
      </c>
      <c r="X195" t="n">
        <v>294</v>
      </c>
      <c r="Y195" t="n">
        <v>358</v>
      </c>
      <c r="Z195">
        <f>IF(L195&gt;=70,"Yes","No")</f>
        <v/>
      </c>
      <c r="AA195">
        <f>IF(OR(AND(E195="A",G195="Commercial_1_Balls"),AND(E195="B",G195="Commercial_2_Paint")),"first","second")</f>
        <v/>
      </c>
      <c r="AB195">
        <f>IF(ISNUMBER(W195),W195,0)</f>
        <v/>
      </c>
      <c r="AC195">
        <f>IF(ISNUMBER(S195),1,0)</f>
        <v/>
      </c>
      <c r="AD195">
        <f>IF(ISNUMBER(R195),R195,0)</f>
        <v/>
      </c>
    </row>
    <row r="196">
      <c r="A196" t="inlineStr">
        <is>
          <t>SIMULATED_AdTest_Balls_vs_Paint</t>
        </is>
      </c>
      <c r="B196" t="inlineStr">
        <is>
          <t>R25</t>
        </is>
      </c>
      <c r="C196" t="inlineStr">
        <is>
          <t>F</t>
        </is>
      </c>
      <c r="D196" t="n">
        <v>19</v>
      </c>
      <c r="E196" t="inlineStr">
        <is>
          <t>A</t>
        </is>
      </c>
      <c r="F196" t="inlineStr">
        <is>
          <t>2026-10-20</t>
        </is>
      </c>
      <c r="G196" t="inlineStr">
        <is>
          <t>Commercial_1_Balls</t>
        </is>
      </c>
      <c r="H196" t="inlineStr">
        <is>
          <t>Tagline_Text</t>
        </is>
      </c>
      <c r="I196" t="n">
        <v>60000</v>
      </c>
      <c r="J196" t="n">
        <v>4000</v>
      </c>
      <c r="K196" t="n">
        <v>6.67</v>
      </c>
      <c r="L196" t="n">
        <v>99</v>
      </c>
      <c r="M196" t="n">
        <v>796</v>
      </c>
      <c r="N196" t="n">
        <v>2</v>
      </c>
      <c r="O196" t="n">
        <v>1045</v>
      </c>
      <c r="P196" t="n">
        <v>1</v>
      </c>
      <c r="Q196" t="n">
        <v>0</v>
      </c>
      <c r="R196" t="n">
        <v>4</v>
      </c>
      <c r="S196" t="n">
        <v>1029</v>
      </c>
      <c r="T196" t="n">
        <v>57029</v>
      </c>
      <c r="U196" t="n">
        <v>57029</v>
      </c>
      <c r="V196" t="n">
        <v>964</v>
      </c>
      <c r="W196" t="n">
        <v>24.1</v>
      </c>
      <c r="X196" t="n">
        <v>241</v>
      </c>
      <c r="Y196" t="n">
        <v>349</v>
      </c>
      <c r="Z196">
        <f>IF(L196&gt;=70,"Yes","No")</f>
        <v/>
      </c>
      <c r="AA196">
        <f>IF(OR(AND(E196="A",G196="Commercial_1_Balls"),AND(E196="B",G196="Commercial_2_Paint")),"first","second")</f>
        <v/>
      </c>
      <c r="AB196">
        <f>IF(ISNUMBER(W196),W196,0)</f>
        <v/>
      </c>
      <c r="AC196">
        <f>IF(ISNUMBER(S196),1,0)</f>
        <v/>
      </c>
      <c r="AD196">
        <f>IF(ISNUMBER(R196),R196,0)</f>
        <v/>
      </c>
    </row>
    <row r="197">
      <c r="A197" t="inlineStr">
        <is>
          <t>SIMULATED_AdTest_Balls_vs_Paint</t>
        </is>
      </c>
      <c r="B197" t="inlineStr">
        <is>
          <t>R25</t>
        </is>
      </c>
      <c r="C197" t="inlineStr">
        <is>
          <t>F</t>
        </is>
      </c>
      <c r="D197" t="n">
        <v>19</v>
      </c>
      <c r="E197" t="inlineStr">
        <is>
          <t>A</t>
        </is>
      </c>
      <c r="F197" t="inlineStr">
        <is>
          <t>2026-10-20</t>
        </is>
      </c>
      <c r="G197" t="inlineStr">
        <is>
          <t>Commercial_1_Balls</t>
        </is>
      </c>
      <c r="H197" t="inlineStr">
        <is>
          <t>Hero_Element</t>
        </is>
      </c>
      <c r="I197" t="n">
        <v>60000</v>
      </c>
      <c r="J197" t="n">
        <v>40000</v>
      </c>
      <c r="K197" t="n">
        <v>66.67</v>
      </c>
      <c r="L197" t="n">
        <v>99</v>
      </c>
      <c r="M197" t="n">
        <v>1164</v>
      </c>
      <c r="N197" t="n">
        <v>9</v>
      </c>
      <c r="O197" t="n">
        <v>31087</v>
      </c>
      <c r="P197" t="n">
        <v>8</v>
      </c>
      <c r="Q197" t="n">
        <v>7</v>
      </c>
      <c r="R197" t="n">
        <v>83</v>
      </c>
      <c r="S197" t="n">
        <v>1464</v>
      </c>
      <c r="T197" t="n">
        <v>3464</v>
      </c>
      <c r="U197" t="n">
        <v>3464</v>
      </c>
      <c r="V197" t="n">
        <v>27136</v>
      </c>
      <c r="W197" t="n">
        <v>67.84</v>
      </c>
      <c r="X197" t="n">
        <v>327</v>
      </c>
      <c r="Y197" t="n">
        <v>190</v>
      </c>
      <c r="Z197">
        <f>IF(L197&gt;=70,"Yes","No")</f>
        <v/>
      </c>
      <c r="AA197">
        <f>IF(OR(AND(E197="A",G197="Commercial_1_Balls"),AND(E197="B",G197="Commercial_2_Paint")),"first","second")</f>
        <v/>
      </c>
      <c r="AB197">
        <f>IF(ISNUMBER(W197),W197,0)</f>
        <v/>
      </c>
      <c r="AC197">
        <f>IF(ISNUMBER(S197),1,0)</f>
        <v/>
      </c>
      <c r="AD197">
        <f>IF(ISNUMBER(R197),R197,0)</f>
        <v/>
      </c>
    </row>
    <row r="198">
      <c r="A198" t="inlineStr">
        <is>
          <t>SIMULATED_AdTest_Balls_vs_Paint</t>
        </is>
      </c>
      <c r="B198" t="inlineStr">
        <is>
          <t>R25</t>
        </is>
      </c>
      <c r="C198" t="inlineStr">
        <is>
          <t>F</t>
        </is>
      </c>
      <c r="D198" t="n">
        <v>19</v>
      </c>
      <c r="E198" t="inlineStr">
        <is>
          <t>A</t>
        </is>
      </c>
      <c r="F198" t="inlineStr">
        <is>
          <t>2026-10-20</t>
        </is>
      </c>
      <c r="G198" t="inlineStr">
        <is>
          <t>Commercial_2_Paint</t>
        </is>
      </c>
      <c r="H198" t="inlineStr">
        <is>
          <t>Product_TV</t>
        </is>
      </c>
      <c r="I198" t="n">
        <v>60000</v>
      </c>
      <c r="J198" t="n">
        <v>20000</v>
      </c>
      <c r="K198" t="n">
        <v>33.33</v>
      </c>
      <c r="L198" t="n">
        <v>99</v>
      </c>
      <c r="M198" t="n">
        <v>1443</v>
      </c>
      <c r="N198" t="n">
        <v>6</v>
      </c>
      <c r="O198" t="n">
        <v>7987</v>
      </c>
      <c r="P198" t="n">
        <v>5</v>
      </c>
      <c r="Q198" t="n">
        <v>4</v>
      </c>
      <c r="R198" t="n">
        <v>23</v>
      </c>
      <c r="S198" t="n">
        <v>1743</v>
      </c>
      <c r="T198" t="n">
        <v>10743</v>
      </c>
      <c r="U198" t="n">
        <v>10743</v>
      </c>
      <c r="V198" t="n">
        <v>6983</v>
      </c>
      <c r="W198" t="n">
        <v>34.91</v>
      </c>
      <c r="X198" t="n">
        <v>304</v>
      </c>
      <c r="Y198" t="n">
        <v>180</v>
      </c>
      <c r="Z198">
        <f>IF(L198&gt;=70,"Yes","No")</f>
        <v/>
      </c>
      <c r="AA198">
        <f>IF(OR(AND(E198="A",G198="Commercial_1_Balls"),AND(E198="B",G198="Commercial_2_Paint")),"first","second")</f>
        <v/>
      </c>
      <c r="AB198">
        <f>IF(ISNUMBER(W198),W198,0)</f>
        <v/>
      </c>
      <c r="AC198">
        <f>IF(ISNUMBER(S198),1,0)</f>
        <v/>
      </c>
      <c r="AD198">
        <f>IF(ISNUMBER(R198),R198,0)</f>
        <v/>
      </c>
    </row>
    <row r="199">
      <c r="A199" t="inlineStr">
        <is>
          <t>SIMULATED_AdTest_Balls_vs_Paint</t>
        </is>
      </c>
      <c r="B199" t="inlineStr">
        <is>
          <t>R25</t>
        </is>
      </c>
      <c r="C199" t="inlineStr">
        <is>
          <t>F</t>
        </is>
      </c>
      <c r="D199" t="n">
        <v>19</v>
      </c>
      <c r="E199" t="inlineStr">
        <is>
          <t>A</t>
        </is>
      </c>
      <c r="F199" t="inlineStr">
        <is>
          <t>2026-10-20</t>
        </is>
      </c>
      <c r="G199" t="inlineStr">
        <is>
          <t>Commercial_2_Paint</t>
        </is>
      </c>
      <c r="H199" t="inlineStr">
        <is>
          <t>Brand_Logo</t>
        </is>
      </c>
      <c r="I199" t="n">
        <v>60000</v>
      </c>
      <c r="J199" t="n">
        <v>5000</v>
      </c>
      <c r="K199" t="n">
        <v>8.33</v>
      </c>
      <c r="L199" t="n">
        <v>99</v>
      </c>
      <c r="M199" t="n">
        <v>486</v>
      </c>
      <c r="N199" t="n">
        <v>3</v>
      </c>
      <c r="O199" t="n">
        <v>1872</v>
      </c>
      <c r="P199" t="n">
        <v>1</v>
      </c>
      <c r="Q199" t="n">
        <v>0</v>
      </c>
      <c r="R199" t="n">
        <v>6</v>
      </c>
      <c r="S199" t="n">
        <v>730</v>
      </c>
      <c r="T199" t="n">
        <v>55730</v>
      </c>
      <c r="U199" t="n">
        <v>55730</v>
      </c>
      <c r="V199" t="n">
        <v>1702</v>
      </c>
      <c r="W199" t="n">
        <v>34.04</v>
      </c>
      <c r="X199" t="n">
        <v>284</v>
      </c>
      <c r="Y199" t="n">
        <v>203</v>
      </c>
      <c r="Z199">
        <f>IF(L199&gt;=70,"Yes","No")</f>
        <v/>
      </c>
      <c r="AA199">
        <f>IF(OR(AND(E199="A",G199="Commercial_1_Balls"),AND(E199="B",G199="Commercial_2_Paint")),"first","second")</f>
        <v/>
      </c>
      <c r="AB199">
        <f>IF(ISNUMBER(W199),W199,0)</f>
        <v/>
      </c>
      <c r="AC199">
        <f>IF(ISNUMBER(S199),1,0)</f>
        <v/>
      </c>
      <c r="AD199">
        <f>IF(ISNUMBER(R199),R199,0)</f>
        <v/>
      </c>
    </row>
    <row r="200">
      <c r="A200" t="inlineStr">
        <is>
          <t>SIMULATED_AdTest_Balls_vs_Paint</t>
        </is>
      </c>
      <c r="B200" t="inlineStr">
        <is>
          <t>R25</t>
        </is>
      </c>
      <c r="C200" t="inlineStr">
        <is>
          <t>F</t>
        </is>
      </c>
      <c r="D200" t="n">
        <v>19</v>
      </c>
      <c r="E200" t="inlineStr">
        <is>
          <t>A</t>
        </is>
      </c>
      <c r="F200" t="inlineStr">
        <is>
          <t>2026-10-20</t>
        </is>
      </c>
      <c r="G200" t="inlineStr">
        <is>
          <t>Commercial_2_Paint</t>
        </is>
      </c>
      <c r="H200" t="inlineStr">
        <is>
          <t>Tagline_Text</t>
        </is>
      </c>
      <c r="I200" t="n">
        <v>60000</v>
      </c>
      <c r="J200" t="n">
        <v>4000</v>
      </c>
      <c r="K200" t="n">
        <v>6.67</v>
      </c>
      <c r="L200" t="n">
        <v>99</v>
      </c>
      <c r="M200" t="n">
        <v>1487</v>
      </c>
      <c r="N200" t="n">
        <v>2</v>
      </c>
      <c r="O200" t="n">
        <v>1784</v>
      </c>
      <c r="P200" t="n">
        <v>2</v>
      </c>
      <c r="Q200" t="n">
        <v>1</v>
      </c>
      <c r="R200" t="n">
        <v>9</v>
      </c>
      <c r="S200" t="n">
        <v>1752</v>
      </c>
      <c r="T200" t="n">
        <v>57752</v>
      </c>
      <c r="U200" t="n">
        <v>57752</v>
      </c>
      <c r="V200" t="n">
        <v>1647</v>
      </c>
      <c r="W200" t="n">
        <v>41.17</v>
      </c>
      <c r="X200" t="n">
        <v>183</v>
      </c>
      <c r="Y200" t="n">
        <v>321</v>
      </c>
      <c r="Z200">
        <f>IF(L200&gt;=70,"Yes","No")</f>
        <v/>
      </c>
      <c r="AA200">
        <f>IF(OR(AND(E200="A",G200="Commercial_1_Balls"),AND(E200="B",G200="Commercial_2_Paint")),"first","second")</f>
        <v/>
      </c>
      <c r="AB200">
        <f>IF(ISNUMBER(W200),W200,0)</f>
        <v/>
      </c>
      <c r="AC200">
        <f>IF(ISNUMBER(S200),1,0)</f>
        <v/>
      </c>
      <c r="AD200">
        <f>IF(ISNUMBER(R200),R200,0)</f>
        <v/>
      </c>
    </row>
    <row r="201">
      <c r="A201" t="inlineStr">
        <is>
          <t>SIMULATED_AdTest_Balls_vs_Paint</t>
        </is>
      </c>
      <c r="B201" t="inlineStr">
        <is>
          <t>R25</t>
        </is>
      </c>
      <c r="C201" t="inlineStr">
        <is>
          <t>F</t>
        </is>
      </c>
      <c r="D201" t="n">
        <v>19</v>
      </c>
      <c r="E201" t="inlineStr">
        <is>
          <t>A</t>
        </is>
      </c>
      <c r="F201" t="inlineStr">
        <is>
          <t>2026-10-20</t>
        </is>
      </c>
      <c r="G201" t="inlineStr">
        <is>
          <t>Commercial_2_Paint</t>
        </is>
      </c>
      <c r="H201" t="inlineStr">
        <is>
          <t>Hero_Element</t>
        </is>
      </c>
      <c r="I201" t="n">
        <v>60000</v>
      </c>
      <c r="J201" t="n">
        <v>32000</v>
      </c>
      <c r="K201" t="n">
        <v>53.33</v>
      </c>
      <c r="L201" t="n">
        <v>99</v>
      </c>
      <c r="M201" t="n">
        <v>941</v>
      </c>
      <c r="N201" t="n">
        <v>4</v>
      </c>
      <c r="O201" t="n">
        <v>16346</v>
      </c>
      <c r="P201" t="n">
        <v>4</v>
      </c>
      <c r="Q201" t="n">
        <v>3</v>
      </c>
      <c r="R201" t="n">
        <v>55</v>
      </c>
      <c r="S201" t="n">
        <v>1055</v>
      </c>
      <c r="T201" t="n">
        <v>4055</v>
      </c>
      <c r="U201" t="n">
        <v>4055</v>
      </c>
      <c r="V201" t="n">
        <v>15530</v>
      </c>
      <c r="W201" t="n">
        <v>48.53</v>
      </c>
      <c r="X201" t="n">
        <v>282</v>
      </c>
      <c r="Y201" t="n">
        <v>208</v>
      </c>
      <c r="Z201">
        <f>IF(L201&gt;=70,"Yes","No")</f>
        <v/>
      </c>
      <c r="AA201">
        <f>IF(OR(AND(E201="A",G201="Commercial_1_Balls"),AND(E201="B",G201="Commercial_2_Paint")),"first","second")</f>
        <v/>
      </c>
      <c r="AB201">
        <f>IF(ISNUMBER(W201),W201,0)</f>
        <v/>
      </c>
      <c r="AC201">
        <f>IF(ISNUMBER(S201),1,0)</f>
        <v/>
      </c>
      <c r="AD201">
        <f>IF(ISNUMBER(R201),R201,0)</f>
        <v/>
      </c>
    </row>
    <row r="202">
      <c r="A202" t="inlineStr">
        <is>
          <t>SIMULATED_AdTest_Balls_vs_Paint</t>
        </is>
      </c>
      <c r="B202" t="inlineStr">
        <is>
          <t>R26</t>
        </is>
      </c>
      <c r="C202" t="inlineStr">
        <is>
          <t>F</t>
        </is>
      </c>
      <c r="D202" t="n">
        <v>19</v>
      </c>
      <c r="E202" t="inlineStr">
        <is>
          <t>B</t>
        </is>
      </c>
      <c r="F202" t="inlineStr">
        <is>
          <t>2026-10-20</t>
        </is>
      </c>
      <c r="G202" t="inlineStr">
        <is>
          <t>Commercial_1_Balls</t>
        </is>
      </c>
      <c r="H202" t="inlineStr">
        <is>
          <t>Product_TV</t>
        </is>
      </c>
      <c r="I202" t="n">
        <v>60000</v>
      </c>
      <c r="J202" t="n">
        <v>14000</v>
      </c>
      <c r="K202" t="n">
        <v>23.33</v>
      </c>
      <c r="L202" t="n">
        <v>95.09999999999999</v>
      </c>
      <c r="M202" t="n">
        <v>586</v>
      </c>
      <c r="N202" t="n">
        <v>2</v>
      </c>
      <c r="O202" t="n">
        <v>3500</v>
      </c>
      <c r="P202" t="n">
        <v>2</v>
      </c>
      <c r="Q202" t="n">
        <v>1</v>
      </c>
      <c r="R202" t="n">
        <v>9</v>
      </c>
      <c r="S202" t="n">
        <v>795</v>
      </c>
      <c r="T202" t="n">
        <v>12795</v>
      </c>
      <c r="U202" t="n">
        <v>12795</v>
      </c>
      <c r="V202" t="n">
        <v>3397</v>
      </c>
      <c r="W202" t="n">
        <v>24.26</v>
      </c>
      <c r="X202" t="n">
        <v>377</v>
      </c>
      <c r="Y202" t="n">
        <v>150</v>
      </c>
      <c r="Z202">
        <f>IF(L202&gt;=70,"Yes","No")</f>
        <v/>
      </c>
      <c r="AA202">
        <f>IF(OR(AND(E202="A",G202="Commercial_1_Balls"),AND(E202="B",G202="Commercial_2_Paint")),"first","second")</f>
        <v/>
      </c>
      <c r="AB202">
        <f>IF(ISNUMBER(W202),W202,0)</f>
        <v/>
      </c>
      <c r="AC202">
        <f>IF(ISNUMBER(S202),1,0)</f>
        <v/>
      </c>
      <c r="AD202">
        <f>IF(ISNUMBER(R202),R202,0)</f>
        <v/>
      </c>
    </row>
    <row r="203">
      <c r="A203" t="inlineStr">
        <is>
          <t>SIMULATED_AdTest_Balls_vs_Paint</t>
        </is>
      </c>
      <c r="B203" t="inlineStr">
        <is>
          <t>R26</t>
        </is>
      </c>
      <c r="C203" t="inlineStr">
        <is>
          <t>F</t>
        </is>
      </c>
      <c r="D203" t="n">
        <v>19</v>
      </c>
      <c r="E203" t="inlineStr">
        <is>
          <t>B</t>
        </is>
      </c>
      <c r="F203" t="inlineStr">
        <is>
          <t>2026-10-20</t>
        </is>
      </c>
      <c r="G203" t="inlineStr">
        <is>
          <t>Commercial_1_Balls</t>
        </is>
      </c>
      <c r="H203" t="inlineStr">
        <is>
          <t>Brand_Logo</t>
        </is>
      </c>
      <c r="I203" t="n">
        <v>60000</v>
      </c>
      <c r="J203" t="n">
        <v>5000</v>
      </c>
      <c r="K203" t="n">
        <v>8.33</v>
      </c>
      <c r="L203" t="n">
        <v>95.09999999999999</v>
      </c>
      <c r="M203" t="n">
        <v>833</v>
      </c>
      <c r="N203" t="n">
        <v>2</v>
      </c>
      <c r="O203" t="n">
        <v>3027</v>
      </c>
      <c r="P203" t="n">
        <v>1</v>
      </c>
      <c r="Q203" t="n">
        <v>0</v>
      </c>
      <c r="R203" t="n">
        <v>10</v>
      </c>
      <c r="S203" t="n">
        <v>1122</v>
      </c>
      <c r="T203" t="n">
        <v>56122</v>
      </c>
      <c r="U203" t="n">
        <v>56122</v>
      </c>
      <c r="V203" t="n">
        <v>2763</v>
      </c>
      <c r="W203" t="n">
        <v>55.26</v>
      </c>
      <c r="X203" t="n">
        <v>276</v>
      </c>
      <c r="Y203" t="n">
        <v>225</v>
      </c>
      <c r="Z203">
        <f>IF(L203&gt;=70,"Yes","No")</f>
        <v/>
      </c>
      <c r="AA203">
        <f>IF(OR(AND(E203="A",G203="Commercial_1_Balls"),AND(E203="B",G203="Commercial_2_Paint")),"first","second")</f>
        <v/>
      </c>
      <c r="AB203">
        <f>IF(ISNUMBER(W203),W203,0)</f>
        <v/>
      </c>
      <c r="AC203">
        <f>IF(ISNUMBER(S203),1,0)</f>
        <v/>
      </c>
      <c r="AD203">
        <f>IF(ISNUMBER(R203),R203,0)</f>
        <v/>
      </c>
    </row>
    <row r="204">
      <c r="A204" t="inlineStr">
        <is>
          <t>SIMULATED_AdTest_Balls_vs_Paint</t>
        </is>
      </c>
      <c r="B204" t="inlineStr">
        <is>
          <t>R26</t>
        </is>
      </c>
      <c r="C204" t="inlineStr">
        <is>
          <t>F</t>
        </is>
      </c>
      <c r="D204" t="n">
        <v>19</v>
      </c>
      <c r="E204" t="inlineStr">
        <is>
          <t>B</t>
        </is>
      </c>
      <c r="F204" t="inlineStr">
        <is>
          <t>2026-10-20</t>
        </is>
      </c>
      <c r="G204" t="inlineStr">
        <is>
          <t>Commercial_1_Balls</t>
        </is>
      </c>
      <c r="H204" t="inlineStr">
        <is>
          <t>Tagline_Text</t>
        </is>
      </c>
      <c r="I204" t="n">
        <v>60000</v>
      </c>
      <c r="J204" t="n">
        <v>4000</v>
      </c>
      <c r="K204" t="n">
        <v>6.67</v>
      </c>
      <c r="L204" t="n">
        <v>95.09999999999999</v>
      </c>
      <c r="M204" t="n">
        <v>759</v>
      </c>
      <c r="N204" t="n">
        <v>3</v>
      </c>
      <c r="O204" t="n">
        <v>1536</v>
      </c>
      <c r="P204" t="n">
        <v>2</v>
      </c>
      <c r="Q204" t="n">
        <v>1</v>
      </c>
      <c r="R204" t="n">
        <v>6</v>
      </c>
      <c r="S204" t="n">
        <v>924</v>
      </c>
      <c r="T204" t="n">
        <v>56924</v>
      </c>
      <c r="U204" t="n">
        <v>56924</v>
      </c>
      <c r="V204" t="n">
        <v>1446</v>
      </c>
      <c r="W204" t="n">
        <v>36.15</v>
      </c>
      <c r="X204" t="n">
        <v>241</v>
      </c>
      <c r="Y204" t="n">
        <v>255</v>
      </c>
      <c r="Z204">
        <f>IF(L204&gt;=70,"Yes","No")</f>
        <v/>
      </c>
      <c r="AA204">
        <f>IF(OR(AND(E204="A",G204="Commercial_1_Balls"),AND(E204="B",G204="Commercial_2_Paint")),"first","second")</f>
        <v/>
      </c>
      <c r="AB204">
        <f>IF(ISNUMBER(W204),W204,0)</f>
        <v/>
      </c>
      <c r="AC204">
        <f>IF(ISNUMBER(S204),1,0)</f>
        <v/>
      </c>
      <c r="AD204">
        <f>IF(ISNUMBER(R204),R204,0)</f>
        <v/>
      </c>
    </row>
    <row r="205">
      <c r="A205" t="inlineStr">
        <is>
          <t>SIMULATED_AdTest_Balls_vs_Paint</t>
        </is>
      </c>
      <c r="B205" t="inlineStr">
        <is>
          <t>R26</t>
        </is>
      </c>
      <c r="C205" t="inlineStr">
        <is>
          <t>F</t>
        </is>
      </c>
      <c r="D205" t="n">
        <v>19</v>
      </c>
      <c r="E205" t="inlineStr">
        <is>
          <t>B</t>
        </is>
      </c>
      <c r="F205" t="inlineStr">
        <is>
          <t>2026-10-20</t>
        </is>
      </c>
      <c r="G205" t="inlineStr">
        <is>
          <t>Commercial_1_Balls</t>
        </is>
      </c>
      <c r="H205" t="inlineStr">
        <is>
          <t>Hero_Element</t>
        </is>
      </c>
      <c r="I205" t="n">
        <v>60000</v>
      </c>
      <c r="J205" t="n">
        <v>40000</v>
      </c>
      <c r="K205" t="n">
        <v>66.67</v>
      </c>
      <c r="L205" t="n">
        <v>95.09999999999999</v>
      </c>
      <c r="M205" t="n">
        <v>205</v>
      </c>
      <c r="N205" t="n">
        <v>7</v>
      </c>
      <c r="O205" t="n">
        <v>22959</v>
      </c>
      <c r="P205" t="n">
        <v>6</v>
      </c>
      <c r="Q205" t="n">
        <v>5</v>
      </c>
      <c r="R205" t="n">
        <v>79</v>
      </c>
      <c r="S205" t="n">
        <v>389</v>
      </c>
      <c r="T205" t="n">
        <v>2389</v>
      </c>
      <c r="U205" t="n">
        <v>2389</v>
      </c>
      <c r="V205" t="n">
        <v>22182</v>
      </c>
      <c r="W205" t="n">
        <v>55.45</v>
      </c>
      <c r="X205" t="n">
        <v>281</v>
      </c>
      <c r="Y205" t="n">
        <v>239</v>
      </c>
      <c r="Z205">
        <f>IF(L205&gt;=70,"Yes","No")</f>
        <v/>
      </c>
      <c r="AA205">
        <f>IF(OR(AND(E205="A",G205="Commercial_1_Balls"),AND(E205="B",G205="Commercial_2_Paint")),"first","second")</f>
        <v/>
      </c>
      <c r="AB205">
        <f>IF(ISNUMBER(W205),W205,0)</f>
        <v/>
      </c>
      <c r="AC205">
        <f>IF(ISNUMBER(S205),1,0)</f>
        <v/>
      </c>
      <c r="AD205">
        <f>IF(ISNUMBER(R205),R205,0)</f>
        <v/>
      </c>
    </row>
    <row r="206">
      <c r="A206" t="inlineStr">
        <is>
          <t>SIMULATED_AdTest_Balls_vs_Paint</t>
        </is>
      </c>
      <c r="B206" t="inlineStr">
        <is>
          <t>R26</t>
        </is>
      </c>
      <c r="C206" t="inlineStr">
        <is>
          <t>F</t>
        </is>
      </c>
      <c r="D206" t="n">
        <v>19</v>
      </c>
      <c r="E206" t="inlineStr">
        <is>
          <t>B</t>
        </is>
      </c>
      <c r="F206" t="inlineStr">
        <is>
          <t>2026-10-20</t>
        </is>
      </c>
      <c r="G206" t="inlineStr">
        <is>
          <t>Commercial_2_Paint</t>
        </is>
      </c>
      <c r="H206" t="inlineStr">
        <is>
          <t>Product_TV</t>
        </is>
      </c>
      <c r="I206" t="n">
        <v>60000</v>
      </c>
      <c r="J206" t="n">
        <v>20000</v>
      </c>
      <c r="K206" t="n">
        <v>33.33</v>
      </c>
      <c r="L206" t="n">
        <v>95.09999999999999</v>
      </c>
      <c r="M206" t="n">
        <v>240</v>
      </c>
      <c r="N206" t="n">
        <v>2</v>
      </c>
      <c r="O206" t="n">
        <v>5188</v>
      </c>
      <c r="P206" t="n">
        <v>2</v>
      </c>
      <c r="Q206" t="n">
        <v>1</v>
      </c>
      <c r="R206" t="n">
        <v>15</v>
      </c>
      <c r="S206" t="n">
        <v>446</v>
      </c>
      <c r="T206" t="n">
        <v>9446</v>
      </c>
      <c r="U206" t="n">
        <v>9446</v>
      </c>
      <c r="V206" t="n">
        <v>4871</v>
      </c>
      <c r="W206" t="n">
        <v>24.36</v>
      </c>
      <c r="X206" t="n">
        <v>325</v>
      </c>
      <c r="Y206" t="n">
        <v>299</v>
      </c>
      <c r="Z206">
        <f>IF(L206&gt;=70,"Yes","No")</f>
        <v/>
      </c>
      <c r="AA206">
        <f>IF(OR(AND(E206="A",G206="Commercial_1_Balls"),AND(E206="B",G206="Commercial_2_Paint")),"first","second")</f>
        <v/>
      </c>
      <c r="AB206">
        <f>IF(ISNUMBER(W206),W206,0)</f>
        <v/>
      </c>
      <c r="AC206">
        <f>IF(ISNUMBER(S206),1,0)</f>
        <v/>
      </c>
      <c r="AD206">
        <f>IF(ISNUMBER(R206),R206,0)</f>
        <v/>
      </c>
    </row>
    <row r="207">
      <c r="A207" t="inlineStr">
        <is>
          <t>SIMULATED_AdTest_Balls_vs_Paint</t>
        </is>
      </c>
      <c r="B207" t="inlineStr">
        <is>
          <t>R26</t>
        </is>
      </c>
      <c r="C207" t="inlineStr">
        <is>
          <t>F</t>
        </is>
      </c>
      <c r="D207" t="n">
        <v>19</v>
      </c>
      <c r="E207" t="inlineStr">
        <is>
          <t>B</t>
        </is>
      </c>
      <c r="F207" t="inlineStr">
        <is>
          <t>2026-10-20</t>
        </is>
      </c>
      <c r="G207" t="inlineStr">
        <is>
          <t>Commercial_2_Paint</t>
        </is>
      </c>
      <c r="H207" t="inlineStr">
        <is>
          <t>Brand_Logo</t>
        </is>
      </c>
      <c r="I207" t="n">
        <v>60000</v>
      </c>
      <c r="J207" t="n">
        <v>5000</v>
      </c>
      <c r="K207" t="n">
        <v>8.33</v>
      </c>
      <c r="L207" t="n">
        <v>95.09999999999999</v>
      </c>
      <c r="M207" t="n">
        <v>641</v>
      </c>
      <c r="N207" t="n">
        <v>1</v>
      </c>
      <c r="O207" t="n">
        <v>1397</v>
      </c>
      <c r="P207" t="n">
        <v>1</v>
      </c>
      <c r="Q207" t="n">
        <v>0</v>
      </c>
      <c r="R207" t="n">
        <v>3</v>
      </c>
      <c r="S207" t="n">
        <v>833</v>
      </c>
      <c r="T207" t="n">
        <v>55833</v>
      </c>
      <c r="U207" t="n">
        <v>55833</v>
      </c>
      <c r="V207" t="n">
        <v>1305</v>
      </c>
      <c r="W207" t="n">
        <v>26.1</v>
      </c>
      <c r="X207" t="n">
        <v>435</v>
      </c>
      <c r="Y207" t="n">
        <v>241</v>
      </c>
      <c r="Z207">
        <f>IF(L207&gt;=70,"Yes","No")</f>
        <v/>
      </c>
      <c r="AA207">
        <f>IF(OR(AND(E207="A",G207="Commercial_1_Balls"),AND(E207="B",G207="Commercial_2_Paint")),"first","second")</f>
        <v/>
      </c>
      <c r="AB207">
        <f>IF(ISNUMBER(W207),W207,0)</f>
        <v/>
      </c>
      <c r="AC207">
        <f>IF(ISNUMBER(S207),1,0)</f>
        <v/>
      </c>
      <c r="AD207">
        <f>IF(ISNUMBER(R207),R207,0)</f>
        <v/>
      </c>
    </row>
    <row r="208">
      <c r="A208" t="inlineStr">
        <is>
          <t>SIMULATED_AdTest_Balls_vs_Paint</t>
        </is>
      </c>
      <c r="B208" t="inlineStr">
        <is>
          <t>R26</t>
        </is>
      </c>
      <c r="C208" t="inlineStr">
        <is>
          <t>F</t>
        </is>
      </c>
      <c r="D208" t="n">
        <v>19</v>
      </c>
      <c r="E208" t="inlineStr">
        <is>
          <t>B</t>
        </is>
      </c>
      <c r="F208" t="inlineStr">
        <is>
          <t>2026-10-20</t>
        </is>
      </c>
      <c r="G208" t="inlineStr">
        <is>
          <t>Commercial_2_Paint</t>
        </is>
      </c>
      <c r="H208" t="inlineStr">
        <is>
          <t>Tagline_Text</t>
        </is>
      </c>
      <c r="I208" t="n">
        <v>60000</v>
      </c>
      <c r="J208" t="n">
        <v>4000</v>
      </c>
      <c r="K208" t="n">
        <v>6.67</v>
      </c>
      <c r="L208" t="n">
        <v>95.09999999999999</v>
      </c>
      <c r="M208" t="n">
        <v>1128</v>
      </c>
      <c r="N208" t="n">
        <v>1</v>
      </c>
      <c r="O208" t="n">
        <v>1257</v>
      </c>
      <c r="P208" t="n">
        <v>1</v>
      </c>
      <c r="Q208" t="n">
        <v>0</v>
      </c>
      <c r="R208" t="n">
        <v>4</v>
      </c>
      <c r="S208" t="n">
        <v>1216</v>
      </c>
      <c r="T208" t="n">
        <v>57216</v>
      </c>
      <c r="U208" t="n">
        <v>57216</v>
      </c>
      <c r="V208" t="n">
        <v>1098</v>
      </c>
      <c r="W208" t="n">
        <v>27.45</v>
      </c>
      <c r="X208" t="n">
        <v>274</v>
      </c>
      <c r="Y208" t="n">
        <v>306</v>
      </c>
      <c r="Z208">
        <f>IF(L208&gt;=70,"Yes","No")</f>
        <v/>
      </c>
      <c r="AA208">
        <f>IF(OR(AND(E208="A",G208="Commercial_1_Balls"),AND(E208="B",G208="Commercial_2_Paint")),"first","second")</f>
        <v/>
      </c>
      <c r="AB208">
        <f>IF(ISNUMBER(W208),W208,0)</f>
        <v/>
      </c>
      <c r="AC208">
        <f>IF(ISNUMBER(S208),1,0)</f>
        <v/>
      </c>
      <c r="AD208">
        <f>IF(ISNUMBER(R208),R208,0)</f>
        <v/>
      </c>
    </row>
    <row r="209">
      <c r="A209" t="inlineStr">
        <is>
          <t>SIMULATED_AdTest_Balls_vs_Paint</t>
        </is>
      </c>
      <c r="B209" t="inlineStr">
        <is>
          <t>R26</t>
        </is>
      </c>
      <c r="C209" t="inlineStr">
        <is>
          <t>F</t>
        </is>
      </c>
      <c r="D209" t="n">
        <v>19</v>
      </c>
      <c r="E209" t="inlineStr">
        <is>
          <t>B</t>
        </is>
      </c>
      <c r="F209" t="inlineStr">
        <is>
          <t>2026-10-20</t>
        </is>
      </c>
      <c r="G209" t="inlineStr">
        <is>
          <t>Commercial_2_Paint</t>
        </is>
      </c>
      <c r="H209" t="inlineStr">
        <is>
          <t>Hero_Element</t>
        </is>
      </c>
      <c r="I209" t="n">
        <v>60000</v>
      </c>
      <c r="J209" t="n">
        <v>32000</v>
      </c>
      <c r="K209" t="n">
        <v>53.33</v>
      </c>
      <c r="L209" t="n">
        <v>95.09999999999999</v>
      </c>
      <c r="M209" t="n">
        <v>455</v>
      </c>
      <c r="N209" t="n">
        <v>3</v>
      </c>
      <c r="O209" t="n">
        <v>17075</v>
      </c>
      <c r="P209" t="n">
        <v>3</v>
      </c>
      <c r="Q209" t="n">
        <v>2</v>
      </c>
      <c r="R209" t="n">
        <v>57</v>
      </c>
      <c r="S209" t="n">
        <v>650</v>
      </c>
      <c r="T209" t="n">
        <v>3650</v>
      </c>
      <c r="U209" t="n">
        <v>3650</v>
      </c>
      <c r="V209" t="n">
        <v>15541</v>
      </c>
      <c r="W209" t="n">
        <v>48.57</v>
      </c>
      <c r="X209" t="n">
        <v>273</v>
      </c>
      <c r="Y209" t="n">
        <v>230</v>
      </c>
      <c r="Z209">
        <f>IF(L209&gt;=70,"Yes","No")</f>
        <v/>
      </c>
      <c r="AA209">
        <f>IF(OR(AND(E209="A",G209="Commercial_1_Balls"),AND(E209="B",G209="Commercial_2_Paint")),"first","second")</f>
        <v/>
      </c>
      <c r="AB209">
        <f>IF(ISNUMBER(W209),W209,0)</f>
        <v/>
      </c>
      <c r="AC209">
        <f>IF(ISNUMBER(S209),1,0)</f>
        <v/>
      </c>
      <c r="AD209">
        <f>IF(ISNUMBER(R209),R209,0)</f>
        <v/>
      </c>
    </row>
    <row r="210">
      <c r="A210" t="inlineStr">
        <is>
          <t>SIMULATED_AdTest_Balls_vs_Paint</t>
        </is>
      </c>
      <c r="B210" t="inlineStr">
        <is>
          <t>R27</t>
        </is>
      </c>
      <c r="C210" t="inlineStr">
        <is>
          <t>M</t>
        </is>
      </c>
      <c r="D210" t="n">
        <v>28</v>
      </c>
      <c r="E210" t="inlineStr">
        <is>
          <t>A</t>
        </is>
      </c>
      <c r="F210" t="inlineStr">
        <is>
          <t>2026-10-20</t>
        </is>
      </c>
      <c r="G210" t="inlineStr">
        <is>
          <t>Commercial_1_Balls</t>
        </is>
      </c>
      <c r="H210" t="inlineStr">
        <is>
          <t>Product_TV</t>
        </is>
      </c>
      <c r="I210" t="n">
        <v>60000</v>
      </c>
      <c r="J210" t="n">
        <v>14000</v>
      </c>
      <c r="K210" t="n">
        <v>23.33</v>
      </c>
      <c r="L210" t="n">
        <v>86.5</v>
      </c>
      <c r="M210" t="n">
        <v>1129</v>
      </c>
      <c r="N210" t="n">
        <v>2</v>
      </c>
      <c r="O210" t="n">
        <v>3595</v>
      </c>
      <c r="P210" t="n">
        <v>1</v>
      </c>
      <c r="Q210" t="n">
        <v>0</v>
      </c>
      <c r="R210" t="n">
        <v>15</v>
      </c>
      <c r="S210" t="n">
        <v>1266</v>
      </c>
      <c r="T210" t="n">
        <v>13266</v>
      </c>
      <c r="U210" t="n">
        <v>13266</v>
      </c>
      <c r="V210" t="n">
        <v>3351</v>
      </c>
      <c r="W210" t="n">
        <v>23.94</v>
      </c>
      <c r="X210" t="n">
        <v>223</v>
      </c>
      <c r="Y210" t="n">
        <v>134</v>
      </c>
      <c r="Z210">
        <f>IF(L210&gt;=70,"Yes","No")</f>
        <v/>
      </c>
      <c r="AA210">
        <f>IF(OR(AND(E210="A",G210="Commercial_1_Balls"),AND(E210="B",G210="Commercial_2_Paint")),"first","second")</f>
        <v/>
      </c>
      <c r="AB210">
        <f>IF(ISNUMBER(W210),W210,0)</f>
        <v/>
      </c>
      <c r="AC210">
        <f>IF(ISNUMBER(S210),1,0)</f>
        <v/>
      </c>
      <c r="AD210">
        <f>IF(ISNUMBER(R210),R210,0)</f>
        <v/>
      </c>
    </row>
    <row r="211">
      <c r="A211" t="inlineStr">
        <is>
          <t>SIMULATED_AdTest_Balls_vs_Paint</t>
        </is>
      </c>
      <c r="B211" t="inlineStr">
        <is>
          <t>R27</t>
        </is>
      </c>
      <c r="C211" t="inlineStr">
        <is>
          <t>M</t>
        </is>
      </c>
      <c r="D211" t="n">
        <v>28</v>
      </c>
      <c r="E211" t="inlineStr">
        <is>
          <t>A</t>
        </is>
      </c>
      <c r="F211" t="inlineStr">
        <is>
          <t>2026-10-20</t>
        </is>
      </c>
      <c r="G211" t="inlineStr">
        <is>
          <t>Commercial_1_Balls</t>
        </is>
      </c>
      <c r="H211" t="inlineStr">
        <is>
          <t>Brand_Logo</t>
        </is>
      </c>
      <c r="I211" t="n">
        <v>60000</v>
      </c>
      <c r="J211" t="n">
        <v>5000</v>
      </c>
      <c r="K211" t="n">
        <v>8.33</v>
      </c>
      <c r="L211" t="n">
        <v>86.5</v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n">
        <v>60000</v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>
        <f>IF(L211&gt;=70,"Yes","No")</f>
        <v/>
      </c>
      <c r="AA211">
        <f>IF(OR(AND(E211="A",G211="Commercial_1_Balls"),AND(E211="B",G211="Commercial_2_Paint")),"first","second")</f>
        <v/>
      </c>
      <c r="AB211">
        <f>IF(ISNUMBER(W211),W211,0)</f>
        <v/>
      </c>
      <c r="AC211">
        <f>IF(ISNUMBER(S211),1,0)</f>
        <v/>
      </c>
      <c r="AD211">
        <f>IF(ISNUMBER(R211),R211,0)</f>
        <v/>
      </c>
    </row>
    <row r="212">
      <c r="A212" t="inlineStr">
        <is>
          <t>SIMULATED_AdTest_Balls_vs_Paint</t>
        </is>
      </c>
      <c r="B212" t="inlineStr">
        <is>
          <t>R27</t>
        </is>
      </c>
      <c r="C212" t="inlineStr">
        <is>
          <t>M</t>
        </is>
      </c>
      <c r="D212" t="n">
        <v>28</v>
      </c>
      <c r="E212" t="inlineStr">
        <is>
          <t>A</t>
        </is>
      </c>
      <c r="F212" t="inlineStr">
        <is>
          <t>2026-10-20</t>
        </is>
      </c>
      <c r="G212" t="inlineStr">
        <is>
          <t>Commercial_1_Balls</t>
        </is>
      </c>
      <c r="H212" t="inlineStr">
        <is>
          <t>Tagline_Text</t>
        </is>
      </c>
      <c r="I212" t="n">
        <v>60000</v>
      </c>
      <c r="J212" t="n">
        <v>4000</v>
      </c>
      <c r="K212" t="n">
        <v>6.67</v>
      </c>
      <c r="L212" t="n">
        <v>86.5</v>
      </c>
      <c r="M212" t="n">
        <v>954</v>
      </c>
      <c r="N212" t="n">
        <v>1</v>
      </c>
      <c r="O212" t="n">
        <v>831</v>
      </c>
      <c r="P212" t="n">
        <v>1</v>
      </c>
      <c r="Q212" t="n">
        <v>0</v>
      </c>
      <c r="R212" t="n">
        <v>3</v>
      </c>
      <c r="S212" t="n">
        <v>1245</v>
      </c>
      <c r="T212" t="n">
        <v>57245</v>
      </c>
      <c r="U212" t="n">
        <v>57245</v>
      </c>
      <c r="V212" t="n">
        <v>789</v>
      </c>
      <c r="W212" t="n">
        <v>19.73</v>
      </c>
      <c r="X212" t="n">
        <v>263</v>
      </c>
      <c r="Y212" t="n">
        <v>378</v>
      </c>
      <c r="Z212">
        <f>IF(L212&gt;=70,"Yes","No")</f>
        <v/>
      </c>
      <c r="AA212">
        <f>IF(OR(AND(E212="A",G212="Commercial_1_Balls"),AND(E212="B",G212="Commercial_2_Paint")),"first","second")</f>
        <v/>
      </c>
      <c r="AB212">
        <f>IF(ISNUMBER(W212),W212,0)</f>
        <v/>
      </c>
      <c r="AC212">
        <f>IF(ISNUMBER(S212),1,0)</f>
        <v/>
      </c>
      <c r="AD212">
        <f>IF(ISNUMBER(R212),R212,0)</f>
        <v/>
      </c>
    </row>
    <row r="213">
      <c r="A213" t="inlineStr">
        <is>
          <t>SIMULATED_AdTest_Balls_vs_Paint</t>
        </is>
      </c>
      <c r="B213" t="inlineStr">
        <is>
          <t>R27</t>
        </is>
      </c>
      <c r="C213" t="inlineStr">
        <is>
          <t>M</t>
        </is>
      </c>
      <c r="D213" t="n">
        <v>28</v>
      </c>
      <c r="E213" t="inlineStr">
        <is>
          <t>A</t>
        </is>
      </c>
      <c r="F213" t="inlineStr">
        <is>
          <t>2026-10-20</t>
        </is>
      </c>
      <c r="G213" t="inlineStr">
        <is>
          <t>Commercial_1_Balls</t>
        </is>
      </c>
      <c r="H213" t="inlineStr">
        <is>
          <t>Hero_Element</t>
        </is>
      </c>
      <c r="I213" t="n">
        <v>60000</v>
      </c>
      <c r="J213" t="n">
        <v>40000</v>
      </c>
      <c r="K213" t="n">
        <v>66.67</v>
      </c>
      <c r="L213" t="n">
        <v>86.5</v>
      </c>
      <c r="M213" t="n">
        <v>569</v>
      </c>
      <c r="N213" t="n">
        <v>7</v>
      </c>
      <c r="O213" t="n">
        <v>20814</v>
      </c>
      <c r="P213" t="n">
        <v>6</v>
      </c>
      <c r="Q213" t="n">
        <v>5</v>
      </c>
      <c r="R213" t="n">
        <v>49</v>
      </c>
      <c r="S213" t="n">
        <v>856</v>
      </c>
      <c r="T213" t="n">
        <v>2856</v>
      </c>
      <c r="U213" t="n">
        <v>2856</v>
      </c>
      <c r="V213" t="n">
        <v>18716</v>
      </c>
      <c r="W213" t="n">
        <v>46.79</v>
      </c>
      <c r="X213" t="n">
        <v>382</v>
      </c>
      <c r="Y213" t="n">
        <v>385</v>
      </c>
      <c r="Z213">
        <f>IF(L213&gt;=70,"Yes","No")</f>
        <v/>
      </c>
      <c r="AA213">
        <f>IF(OR(AND(E213="A",G213="Commercial_1_Balls"),AND(E213="B",G213="Commercial_2_Paint")),"first","second")</f>
        <v/>
      </c>
      <c r="AB213">
        <f>IF(ISNUMBER(W213),W213,0)</f>
        <v/>
      </c>
      <c r="AC213">
        <f>IF(ISNUMBER(S213),1,0)</f>
        <v/>
      </c>
      <c r="AD213">
        <f>IF(ISNUMBER(R213),R213,0)</f>
        <v/>
      </c>
    </row>
    <row r="214">
      <c r="A214" t="inlineStr">
        <is>
          <t>SIMULATED_AdTest_Balls_vs_Paint</t>
        </is>
      </c>
      <c r="B214" t="inlineStr">
        <is>
          <t>R27</t>
        </is>
      </c>
      <c r="C214" t="inlineStr">
        <is>
          <t>M</t>
        </is>
      </c>
      <c r="D214" t="n">
        <v>28</v>
      </c>
      <c r="E214" t="inlineStr">
        <is>
          <t>A</t>
        </is>
      </c>
      <c r="F214" t="inlineStr">
        <is>
          <t>2026-10-20</t>
        </is>
      </c>
      <c r="G214" t="inlineStr">
        <is>
          <t>Commercial_2_Paint</t>
        </is>
      </c>
      <c r="H214" t="inlineStr">
        <is>
          <t>Product_TV</t>
        </is>
      </c>
      <c r="I214" t="n">
        <v>60000</v>
      </c>
      <c r="J214" t="n">
        <v>20000</v>
      </c>
      <c r="K214" t="n">
        <v>33.33</v>
      </c>
      <c r="L214" t="n">
        <v>86.5</v>
      </c>
      <c r="M214" t="n">
        <v>604</v>
      </c>
      <c r="N214" t="n">
        <v>1</v>
      </c>
      <c r="O214" t="n">
        <v>7622</v>
      </c>
      <c r="P214" t="n">
        <v>1</v>
      </c>
      <c r="Q214" t="n">
        <v>0</v>
      </c>
      <c r="R214" t="n">
        <v>27</v>
      </c>
      <c r="S214" t="n">
        <v>693</v>
      </c>
      <c r="T214" t="n">
        <v>9693</v>
      </c>
      <c r="U214" t="n">
        <v>9693</v>
      </c>
      <c r="V214" t="n">
        <v>7018</v>
      </c>
      <c r="W214" t="n">
        <v>35.09</v>
      </c>
      <c r="X214" t="n">
        <v>260</v>
      </c>
      <c r="Y214" t="n">
        <v>206</v>
      </c>
      <c r="Z214">
        <f>IF(L214&gt;=70,"Yes","No")</f>
        <v/>
      </c>
      <c r="AA214">
        <f>IF(OR(AND(E214="A",G214="Commercial_1_Balls"),AND(E214="B",G214="Commercial_2_Paint")),"first","second")</f>
        <v/>
      </c>
      <c r="AB214">
        <f>IF(ISNUMBER(W214),W214,0)</f>
        <v/>
      </c>
      <c r="AC214">
        <f>IF(ISNUMBER(S214),1,0)</f>
        <v/>
      </c>
      <c r="AD214">
        <f>IF(ISNUMBER(R214),R214,0)</f>
        <v/>
      </c>
    </row>
    <row r="215">
      <c r="A215" t="inlineStr">
        <is>
          <t>SIMULATED_AdTest_Balls_vs_Paint</t>
        </is>
      </c>
      <c r="B215" t="inlineStr">
        <is>
          <t>R27</t>
        </is>
      </c>
      <c r="C215" t="inlineStr">
        <is>
          <t>M</t>
        </is>
      </c>
      <c r="D215" t="n">
        <v>28</v>
      </c>
      <c r="E215" t="inlineStr">
        <is>
          <t>A</t>
        </is>
      </c>
      <c r="F215" t="inlineStr">
        <is>
          <t>2026-10-20</t>
        </is>
      </c>
      <c r="G215" t="inlineStr">
        <is>
          <t>Commercial_2_Paint</t>
        </is>
      </c>
      <c r="H215" t="inlineStr">
        <is>
          <t>Brand_Logo</t>
        </is>
      </c>
      <c r="I215" t="n">
        <v>60000</v>
      </c>
      <c r="J215" t="n">
        <v>5000</v>
      </c>
      <c r="K215" t="n">
        <v>8.33</v>
      </c>
      <c r="L215" t="n">
        <v>86.5</v>
      </c>
      <c r="M215" t="n">
        <v>633</v>
      </c>
      <c r="N215" t="n">
        <v>1</v>
      </c>
      <c r="O215" t="n">
        <v>2367</v>
      </c>
      <c r="P215" t="n">
        <v>1</v>
      </c>
      <c r="Q215" t="n">
        <v>0</v>
      </c>
      <c r="R215" t="n">
        <v>9</v>
      </c>
      <c r="S215" t="n">
        <v>809</v>
      </c>
      <c r="T215" t="n">
        <v>55809</v>
      </c>
      <c r="U215" t="n">
        <v>55809</v>
      </c>
      <c r="V215" t="n">
        <v>2165</v>
      </c>
      <c r="W215" t="n">
        <v>43.3</v>
      </c>
      <c r="X215" t="n">
        <v>241</v>
      </c>
      <c r="Y215" t="n">
        <v>337</v>
      </c>
      <c r="Z215">
        <f>IF(L215&gt;=70,"Yes","No")</f>
        <v/>
      </c>
      <c r="AA215">
        <f>IF(OR(AND(E215="A",G215="Commercial_1_Balls"),AND(E215="B",G215="Commercial_2_Paint")),"first","second")</f>
        <v/>
      </c>
      <c r="AB215">
        <f>IF(ISNUMBER(W215),W215,0)</f>
        <v/>
      </c>
      <c r="AC215">
        <f>IF(ISNUMBER(S215),1,0)</f>
        <v/>
      </c>
      <c r="AD215">
        <f>IF(ISNUMBER(R215),R215,0)</f>
        <v/>
      </c>
    </row>
    <row r="216">
      <c r="A216" t="inlineStr">
        <is>
          <t>SIMULATED_AdTest_Balls_vs_Paint</t>
        </is>
      </c>
      <c r="B216" t="inlineStr">
        <is>
          <t>R27</t>
        </is>
      </c>
      <c r="C216" t="inlineStr">
        <is>
          <t>M</t>
        </is>
      </c>
      <c r="D216" t="n">
        <v>28</v>
      </c>
      <c r="E216" t="inlineStr">
        <is>
          <t>A</t>
        </is>
      </c>
      <c r="F216" t="inlineStr">
        <is>
          <t>2026-10-20</t>
        </is>
      </c>
      <c r="G216" t="inlineStr">
        <is>
          <t>Commercial_2_Paint</t>
        </is>
      </c>
      <c r="H216" t="inlineStr">
        <is>
          <t>Tagline_Text</t>
        </is>
      </c>
      <c r="I216" t="n">
        <v>60000</v>
      </c>
      <c r="J216" t="n">
        <v>4000</v>
      </c>
      <c r="K216" t="n">
        <v>6.67</v>
      </c>
      <c r="L216" t="n">
        <v>86.5</v>
      </c>
      <c r="M216" t="n">
        <v>894</v>
      </c>
      <c r="N216" t="n">
        <v>1</v>
      </c>
      <c r="O216" t="n">
        <v>1042</v>
      </c>
      <c r="P216" t="n">
        <v>1</v>
      </c>
      <c r="Q216" t="n">
        <v>0</v>
      </c>
      <c r="R216" t="n">
        <v>4</v>
      </c>
      <c r="S216" t="n">
        <v>1093</v>
      </c>
      <c r="T216" t="n">
        <v>57093</v>
      </c>
      <c r="U216" t="n">
        <v>57093</v>
      </c>
      <c r="V216" t="n">
        <v>989</v>
      </c>
      <c r="W216" t="n">
        <v>24.73</v>
      </c>
      <c r="X216" t="n">
        <v>247</v>
      </c>
      <c r="Y216" t="n">
        <v>177</v>
      </c>
      <c r="Z216">
        <f>IF(L216&gt;=70,"Yes","No")</f>
        <v/>
      </c>
      <c r="AA216">
        <f>IF(OR(AND(E216="A",G216="Commercial_1_Balls"),AND(E216="B",G216="Commercial_2_Paint")),"first","second")</f>
        <v/>
      </c>
      <c r="AB216">
        <f>IF(ISNUMBER(W216),W216,0)</f>
        <v/>
      </c>
      <c r="AC216">
        <f>IF(ISNUMBER(S216),1,0)</f>
        <v/>
      </c>
      <c r="AD216">
        <f>IF(ISNUMBER(R216),R216,0)</f>
        <v/>
      </c>
    </row>
    <row r="217">
      <c r="A217" t="inlineStr">
        <is>
          <t>SIMULATED_AdTest_Balls_vs_Paint</t>
        </is>
      </c>
      <c r="B217" t="inlineStr">
        <is>
          <t>R27</t>
        </is>
      </c>
      <c r="C217" t="inlineStr">
        <is>
          <t>M</t>
        </is>
      </c>
      <c r="D217" t="n">
        <v>28</v>
      </c>
      <c r="E217" t="inlineStr">
        <is>
          <t>A</t>
        </is>
      </c>
      <c r="F217" t="inlineStr">
        <is>
          <t>2026-10-20</t>
        </is>
      </c>
      <c r="G217" t="inlineStr">
        <is>
          <t>Commercial_2_Paint</t>
        </is>
      </c>
      <c r="H217" t="inlineStr">
        <is>
          <t>Hero_Element</t>
        </is>
      </c>
      <c r="I217" t="n">
        <v>60000</v>
      </c>
      <c r="J217" t="n">
        <v>32000</v>
      </c>
      <c r="K217" t="n">
        <v>53.33</v>
      </c>
      <c r="L217" t="n">
        <v>86.5</v>
      </c>
      <c r="M217" t="n">
        <v>439</v>
      </c>
      <c r="N217" t="n">
        <v>1</v>
      </c>
      <c r="O217" t="n">
        <v>18125</v>
      </c>
      <c r="P217" t="n">
        <v>1</v>
      </c>
      <c r="Q217" t="n">
        <v>0</v>
      </c>
      <c r="R217" t="n">
        <v>61</v>
      </c>
      <c r="S217" t="n">
        <v>716</v>
      </c>
      <c r="T217" t="n">
        <v>3716</v>
      </c>
      <c r="U217" t="n">
        <v>3716</v>
      </c>
      <c r="V217" t="n">
        <v>16862</v>
      </c>
      <c r="W217" t="n">
        <v>52.69</v>
      </c>
      <c r="X217" t="n">
        <v>276</v>
      </c>
      <c r="Y217" t="n">
        <v>188</v>
      </c>
      <c r="Z217">
        <f>IF(L217&gt;=70,"Yes","No")</f>
        <v/>
      </c>
      <c r="AA217">
        <f>IF(OR(AND(E217="A",G217="Commercial_1_Balls"),AND(E217="B",G217="Commercial_2_Paint")),"first","second")</f>
        <v/>
      </c>
      <c r="AB217">
        <f>IF(ISNUMBER(W217),W217,0)</f>
        <v/>
      </c>
      <c r="AC217">
        <f>IF(ISNUMBER(S217),1,0)</f>
        <v/>
      </c>
      <c r="AD217">
        <f>IF(ISNUMBER(R217),R217,0)</f>
        <v/>
      </c>
    </row>
    <row r="218">
      <c r="A218" t="inlineStr">
        <is>
          <t>SIMULATED_AdTest_Balls_vs_Paint</t>
        </is>
      </c>
      <c r="B218" t="inlineStr">
        <is>
          <t>R28</t>
        </is>
      </c>
      <c r="C218" t="inlineStr">
        <is>
          <t>M</t>
        </is>
      </c>
      <c r="D218" t="n">
        <v>23</v>
      </c>
      <c r="E218" t="inlineStr">
        <is>
          <t>B</t>
        </is>
      </c>
      <c r="F218" t="inlineStr">
        <is>
          <t>2026-10-20</t>
        </is>
      </c>
      <c r="G218" t="inlineStr">
        <is>
          <t>Commercial_1_Balls</t>
        </is>
      </c>
      <c r="H218" t="inlineStr">
        <is>
          <t>Product_TV</t>
        </is>
      </c>
      <c r="I218" t="n">
        <v>60000</v>
      </c>
      <c r="J218" t="n">
        <v>14000</v>
      </c>
      <c r="K218" t="n">
        <v>23.33</v>
      </c>
      <c r="L218" t="n">
        <v>82.5</v>
      </c>
      <c r="M218" t="n">
        <v>1331</v>
      </c>
      <c r="N218" t="n">
        <v>4</v>
      </c>
      <c r="O218" t="n">
        <v>2468</v>
      </c>
      <c r="P218" t="n">
        <v>1</v>
      </c>
      <c r="Q218" t="n">
        <v>0</v>
      </c>
      <c r="R218" t="n">
        <v>7</v>
      </c>
      <c r="S218" t="n">
        <v>1469</v>
      </c>
      <c r="T218" t="n">
        <v>13469</v>
      </c>
      <c r="U218" t="n">
        <v>13469</v>
      </c>
      <c r="V218" t="n">
        <v>2275</v>
      </c>
      <c r="W218" t="n">
        <v>16.25</v>
      </c>
      <c r="X218" t="n">
        <v>325</v>
      </c>
      <c r="Y218" t="n">
        <v>319</v>
      </c>
      <c r="Z218">
        <f>IF(L218&gt;=70,"Yes","No")</f>
        <v/>
      </c>
      <c r="AA218">
        <f>IF(OR(AND(E218="A",G218="Commercial_1_Balls"),AND(E218="B",G218="Commercial_2_Paint")),"first","second")</f>
        <v/>
      </c>
      <c r="AB218">
        <f>IF(ISNUMBER(W218),W218,0)</f>
        <v/>
      </c>
      <c r="AC218">
        <f>IF(ISNUMBER(S218),1,0)</f>
        <v/>
      </c>
      <c r="AD218">
        <f>IF(ISNUMBER(R218),R218,0)</f>
        <v/>
      </c>
    </row>
    <row r="219">
      <c r="A219" t="inlineStr">
        <is>
          <t>SIMULATED_AdTest_Balls_vs_Paint</t>
        </is>
      </c>
      <c r="B219" t="inlineStr">
        <is>
          <t>R28</t>
        </is>
      </c>
      <c r="C219" t="inlineStr">
        <is>
          <t>M</t>
        </is>
      </c>
      <c r="D219" t="n">
        <v>23</v>
      </c>
      <c r="E219" t="inlineStr">
        <is>
          <t>B</t>
        </is>
      </c>
      <c r="F219" t="inlineStr">
        <is>
          <t>2026-10-20</t>
        </is>
      </c>
      <c r="G219" t="inlineStr">
        <is>
          <t>Commercial_1_Balls</t>
        </is>
      </c>
      <c r="H219" t="inlineStr">
        <is>
          <t>Brand_Logo</t>
        </is>
      </c>
      <c r="I219" t="n">
        <v>60000</v>
      </c>
      <c r="J219" t="n">
        <v>5000</v>
      </c>
      <c r="K219" t="n">
        <v>8.33</v>
      </c>
      <c r="L219" t="n">
        <v>82.5</v>
      </c>
      <c r="M219" t="n">
        <v>724</v>
      </c>
      <c r="N219" t="n">
        <v>1</v>
      </c>
      <c r="O219" t="n">
        <v>1625</v>
      </c>
      <c r="P219" t="n">
        <v>1</v>
      </c>
      <c r="Q219" t="n">
        <v>0</v>
      </c>
      <c r="R219" t="n">
        <v>5</v>
      </c>
      <c r="S219" t="n">
        <v>918</v>
      </c>
      <c r="T219" t="n">
        <v>55918</v>
      </c>
      <c r="U219" t="n">
        <v>55918</v>
      </c>
      <c r="V219" t="n">
        <v>1433</v>
      </c>
      <c r="W219" t="n">
        <v>28.66</v>
      </c>
      <c r="X219" t="n">
        <v>287</v>
      </c>
      <c r="Y219" t="n">
        <v>244</v>
      </c>
      <c r="Z219">
        <f>IF(L219&gt;=70,"Yes","No")</f>
        <v/>
      </c>
      <c r="AA219">
        <f>IF(OR(AND(E219="A",G219="Commercial_1_Balls"),AND(E219="B",G219="Commercial_2_Paint")),"first","second")</f>
        <v/>
      </c>
      <c r="AB219">
        <f>IF(ISNUMBER(W219),W219,0)</f>
        <v/>
      </c>
      <c r="AC219">
        <f>IF(ISNUMBER(S219),1,0)</f>
        <v/>
      </c>
      <c r="AD219">
        <f>IF(ISNUMBER(R219),R219,0)</f>
        <v/>
      </c>
    </row>
    <row r="220">
      <c r="A220" t="inlineStr">
        <is>
          <t>SIMULATED_AdTest_Balls_vs_Paint</t>
        </is>
      </c>
      <c r="B220" t="inlineStr">
        <is>
          <t>R28</t>
        </is>
      </c>
      <c r="C220" t="inlineStr">
        <is>
          <t>M</t>
        </is>
      </c>
      <c r="D220" t="n">
        <v>23</v>
      </c>
      <c r="E220" t="inlineStr">
        <is>
          <t>B</t>
        </is>
      </c>
      <c r="F220" t="inlineStr">
        <is>
          <t>2026-10-20</t>
        </is>
      </c>
      <c r="G220" t="inlineStr">
        <is>
          <t>Commercial_1_Balls</t>
        </is>
      </c>
      <c r="H220" t="inlineStr">
        <is>
          <t>Tagline_Text</t>
        </is>
      </c>
      <c r="I220" t="n">
        <v>60000</v>
      </c>
      <c r="J220" t="n">
        <v>4000</v>
      </c>
      <c r="K220" t="n">
        <v>6.67</v>
      </c>
      <c r="L220" t="n">
        <v>82.5</v>
      </c>
      <c r="M220" t="n">
        <v>1294</v>
      </c>
      <c r="N220" t="n">
        <v>1</v>
      </c>
      <c r="O220" t="n">
        <v>1413</v>
      </c>
      <c r="P220" t="n">
        <v>1</v>
      </c>
      <c r="Q220" t="n">
        <v>0</v>
      </c>
      <c r="R220" t="n">
        <v>5</v>
      </c>
      <c r="S220" t="n">
        <v>1441</v>
      </c>
      <c r="T220" t="n">
        <v>57441</v>
      </c>
      <c r="U220" t="n">
        <v>57441</v>
      </c>
      <c r="V220" t="n">
        <v>1294</v>
      </c>
      <c r="W220" t="n">
        <v>32.35</v>
      </c>
      <c r="X220" t="n">
        <v>259</v>
      </c>
      <c r="Y220" t="n">
        <v>330</v>
      </c>
      <c r="Z220">
        <f>IF(L220&gt;=70,"Yes","No")</f>
        <v/>
      </c>
      <c r="AA220">
        <f>IF(OR(AND(E220="A",G220="Commercial_1_Balls"),AND(E220="B",G220="Commercial_2_Paint")),"first","second")</f>
        <v/>
      </c>
      <c r="AB220">
        <f>IF(ISNUMBER(W220),W220,0)</f>
        <v/>
      </c>
      <c r="AC220">
        <f>IF(ISNUMBER(S220),1,0)</f>
        <v/>
      </c>
      <c r="AD220">
        <f>IF(ISNUMBER(R220),R220,0)</f>
        <v/>
      </c>
    </row>
    <row r="221">
      <c r="A221" t="inlineStr">
        <is>
          <t>SIMULATED_AdTest_Balls_vs_Paint</t>
        </is>
      </c>
      <c r="B221" t="inlineStr">
        <is>
          <t>R28</t>
        </is>
      </c>
      <c r="C221" t="inlineStr">
        <is>
          <t>M</t>
        </is>
      </c>
      <c r="D221" t="n">
        <v>23</v>
      </c>
      <c r="E221" t="inlineStr">
        <is>
          <t>B</t>
        </is>
      </c>
      <c r="F221" t="inlineStr">
        <is>
          <t>2026-10-20</t>
        </is>
      </c>
      <c r="G221" t="inlineStr">
        <is>
          <t>Commercial_1_Balls</t>
        </is>
      </c>
      <c r="H221" t="inlineStr">
        <is>
          <t>Hero_Element</t>
        </is>
      </c>
      <c r="I221" t="n">
        <v>60000</v>
      </c>
      <c r="J221" t="n">
        <v>40000</v>
      </c>
      <c r="K221" t="n">
        <v>66.67</v>
      </c>
      <c r="L221" t="n">
        <v>82.5</v>
      </c>
      <c r="M221" t="n">
        <v>340</v>
      </c>
      <c r="N221" t="n">
        <v>2</v>
      </c>
      <c r="O221" t="n">
        <v>13124</v>
      </c>
      <c r="P221" t="n">
        <v>2</v>
      </c>
      <c r="Q221" t="n">
        <v>1</v>
      </c>
      <c r="R221" t="n">
        <v>36</v>
      </c>
      <c r="S221" t="n">
        <v>596</v>
      </c>
      <c r="T221" t="n">
        <v>2596</v>
      </c>
      <c r="U221" t="n">
        <v>2596</v>
      </c>
      <c r="V221" t="n">
        <v>12484</v>
      </c>
      <c r="W221" t="n">
        <v>31.21</v>
      </c>
      <c r="X221" t="n">
        <v>347</v>
      </c>
      <c r="Y221" t="n">
        <v>201</v>
      </c>
      <c r="Z221">
        <f>IF(L221&gt;=70,"Yes","No")</f>
        <v/>
      </c>
      <c r="AA221">
        <f>IF(OR(AND(E221="A",G221="Commercial_1_Balls"),AND(E221="B",G221="Commercial_2_Paint")),"first","second")</f>
        <v/>
      </c>
      <c r="AB221">
        <f>IF(ISNUMBER(W221),W221,0)</f>
        <v/>
      </c>
      <c r="AC221">
        <f>IF(ISNUMBER(S221),1,0)</f>
        <v/>
      </c>
      <c r="AD221">
        <f>IF(ISNUMBER(R221),R221,0)</f>
        <v/>
      </c>
    </row>
    <row r="222">
      <c r="A222" t="inlineStr">
        <is>
          <t>SIMULATED_AdTest_Balls_vs_Paint</t>
        </is>
      </c>
      <c r="B222" t="inlineStr">
        <is>
          <t>R28</t>
        </is>
      </c>
      <c r="C222" t="inlineStr">
        <is>
          <t>M</t>
        </is>
      </c>
      <c r="D222" t="n">
        <v>23</v>
      </c>
      <c r="E222" t="inlineStr">
        <is>
          <t>B</t>
        </is>
      </c>
      <c r="F222" t="inlineStr">
        <is>
          <t>2026-10-20</t>
        </is>
      </c>
      <c r="G222" t="inlineStr">
        <is>
          <t>Commercial_2_Paint</t>
        </is>
      </c>
      <c r="H222" t="inlineStr">
        <is>
          <t>Product_TV</t>
        </is>
      </c>
      <c r="I222" t="n">
        <v>60000</v>
      </c>
      <c r="J222" t="n">
        <v>20000</v>
      </c>
      <c r="K222" t="n">
        <v>33.33</v>
      </c>
      <c r="L222" t="n">
        <v>82.5</v>
      </c>
      <c r="M222" t="n">
        <v>1414</v>
      </c>
      <c r="N222" t="n">
        <v>5</v>
      </c>
      <c r="O222" t="n">
        <v>3866</v>
      </c>
      <c r="P222" t="n">
        <v>3</v>
      </c>
      <c r="Q222" t="n">
        <v>2</v>
      </c>
      <c r="R222" t="n">
        <v>9</v>
      </c>
      <c r="S222" t="n">
        <v>1594</v>
      </c>
      <c r="T222" t="n">
        <v>10594</v>
      </c>
      <c r="U222" t="n">
        <v>10594</v>
      </c>
      <c r="V222" t="n">
        <v>3421</v>
      </c>
      <c r="W222" t="n">
        <v>17.11</v>
      </c>
      <c r="X222" t="n">
        <v>380</v>
      </c>
      <c r="Y222" t="n">
        <v>397</v>
      </c>
      <c r="Z222">
        <f>IF(L222&gt;=70,"Yes","No")</f>
        <v/>
      </c>
      <c r="AA222">
        <f>IF(OR(AND(E222="A",G222="Commercial_1_Balls"),AND(E222="B",G222="Commercial_2_Paint")),"first","second")</f>
        <v/>
      </c>
      <c r="AB222">
        <f>IF(ISNUMBER(W222),W222,0)</f>
        <v/>
      </c>
      <c r="AC222">
        <f>IF(ISNUMBER(S222),1,0)</f>
        <v/>
      </c>
      <c r="AD222">
        <f>IF(ISNUMBER(R222),R222,0)</f>
        <v/>
      </c>
    </row>
    <row r="223">
      <c r="A223" t="inlineStr">
        <is>
          <t>SIMULATED_AdTest_Balls_vs_Paint</t>
        </is>
      </c>
      <c r="B223" t="inlineStr">
        <is>
          <t>R28</t>
        </is>
      </c>
      <c r="C223" t="inlineStr">
        <is>
          <t>M</t>
        </is>
      </c>
      <c r="D223" t="n">
        <v>23</v>
      </c>
      <c r="E223" t="inlineStr">
        <is>
          <t>B</t>
        </is>
      </c>
      <c r="F223" t="inlineStr">
        <is>
          <t>2026-10-20</t>
        </is>
      </c>
      <c r="G223" t="inlineStr">
        <is>
          <t>Commercial_2_Paint</t>
        </is>
      </c>
      <c r="H223" t="inlineStr">
        <is>
          <t>Brand_Logo</t>
        </is>
      </c>
      <c r="I223" t="n">
        <v>60000</v>
      </c>
      <c r="J223" t="n">
        <v>5000</v>
      </c>
      <c r="K223" t="n">
        <v>8.33</v>
      </c>
      <c r="L223" t="n">
        <v>82.5</v>
      </c>
      <c r="M223" t="n">
        <v>667</v>
      </c>
      <c r="N223" t="n">
        <v>1</v>
      </c>
      <c r="O223" t="n">
        <v>1596</v>
      </c>
      <c r="P223" t="n">
        <v>1</v>
      </c>
      <c r="Q223" t="n">
        <v>0</v>
      </c>
      <c r="R223" t="n">
        <v>5</v>
      </c>
      <c r="S223" t="n">
        <v>898</v>
      </c>
      <c r="T223" t="n">
        <v>55898</v>
      </c>
      <c r="U223" t="n">
        <v>55898</v>
      </c>
      <c r="V223" t="n">
        <v>1529</v>
      </c>
      <c r="W223" t="n">
        <v>30.58</v>
      </c>
      <c r="X223" t="n">
        <v>306</v>
      </c>
      <c r="Y223" t="n">
        <v>205</v>
      </c>
      <c r="Z223">
        <f>IF(L223&gt;=70,"Yes","No")</f>
        <v/>
      </c>
      <c r="AA223">
        <f>IF(OR(AND(E223="A",G223="Commercial_1_Balls"),AND(E223="B",G223="Commercial_2_Paint")),"first","second")</f>
        <v/>
      </c>
      <c r="AB223">
        <f>IF(ISNUMBER(W223),W223,0)</f>
        <v/>
      </c>
      <c r="AC223">
        <f>IF(ISNUMBER(S223),1,0)</f>
        <v/>
      </c>
      <c r="AD223">
        <f>IF(ISNUMBER(R223),R223,0)</f>
        <v/>
      </c>
    </row>
    <row r="224">
      <c r="A224" t="inlineStr">
        <is>
          <t>SIMULATED_AdTest_Balls_vs_Paint</t>
        </is>
      </c>
      <c r="B224" t="inlineStr">
        <is>
          <t>R28</t>
        </is>
      </c>
      <c r="C224" t="inlineStr">
        <is>
          <t>M</t>
        </is>
      </c>
      <c r="D224" t="n">
        <v>23</v>
      </c>
      <c r="E224" t="inlineStr">
        <is>
          <t>B</t>
        </is>
      </c>
      <c r="F224" t="inlineStr">
        <is>
          <t>2026-10-20</t>
        </is>
      </c>
      <c r="G224" t="inlineStr">
        <is>
          <t>Commercial_2_Paint</t>
        </is>
      </c>
      <c r="H224" t="inlineStr">
        <is>
          <t>Tagline_Text</t>
        </is>
      </c>
      <c r="I224" t="n">
        <v>60000</v>
      </c>
      <c r="J224" t="n">
        <v>4000</v>
      </c>
      <c r="K224" t="n">
        <v>6.67</v>
      </c>
      <c r="L224" t="n">
        <v>82.5</v>
      </c>
      <c r="M224" t="n">
        <v>909</v>
      </c>
      <c r="N224" t="n">
        <v>2</v>
      </c>
      <c r="O224" t="n">
        <v>1788</v>
      </c>
      <c r="P224" t="n">
        <v>2</v>
      </c>
      <c r="Q224" t="n">
        <v>1</v>
      </c>
      <c r="R224" t="n">
        <v>5</v>
      </c>
      <c r="S224" t="n">
        <v>1064</v>
      </c>
      <c r="T224" t="n">
        <v>57064</v>
      </c>
      <c r="U224" t="n">
        <v>57064</v>
      </c>
      <c r="V224" t="n">
        <v>1712</v>
      </c>
      <c r="W224" t="n">
        <v>42.8</v>
      </c>
      <c r="X224" t="n">
        <v>342</v>
      </c>
      <c r="Y224" t="n">
        <v>133</v>
      </c>
      <c r="Z224">
        <f>IF(L224&gt;=70,"Yes","No")</f>
        <v/>
      </c>
      <c r="AA224">
        <f>IF(OR(AND(E224="A",G224="Commercial_1_Balls"),AND(E224="B",G224="Commercial_2_Paint")),"first","second")</f>
        <v/>
      </c>
      <c r="AB224">
        <f>IF(ISNUMBER(W224),W224,0)</f>
        <v/>
      </c>
      <c r="AC224">
        <f>IF(ISNUMBER(S224),1,0)</f>
        <v/>
      </c>
      <c r="AD224">
        <f>IF(ISNUMBER(R224),R224,0)</f>
        <v/>
      </c>
    </row>
    <row r="225">
      <c r="A225" t="inlineStr">
        <is>
          <t>SIMULATED_AdTest_Balls_vs_Paint</t>
        </is>
      </c>
      <c r="B225" t="inlineStr">
        <is>
          <t>R28</t>
        </is>
      </c>
      <c r="C225" t="inlineStr">
        <is>
          <t>M</t>
        </is>
      </c>
      <c r="D225" t="n">
        <v>23</v>
      </c>
      <c r="E225" t="inlineStr">
        <is>
          <t>B</t>
        </is>
      </c>
      <c r="F225" t="inlineStr">
        <is>
          <t>2026-10-20</t>
        </is>
      </c>
      <c r="G225" t="inlineStr">
        <is>
          <t>Commercial_2_Paint</t>
        </is>
      </c>
      <c r="H225" t="inlineStr">
        <is>
          <t>Hero_Element</t>
        </is>
      </c>
      <c r="I225" t="n">
        <v>60000</v>
      </c>
      <c r="J225" t="n">
        <v>32000</v>
      </c>
      <c r="K225" t="n">
        <v>53.33</v>
      </c>
      <c r="L225" t="n">
        <v>82.5</v>
      </c>
      <c r="M225" t="n">
        <v>480</v>
      </c>
      <c r="N225" t="n">
        <v>3</v>
      </c>
      <c r="O225" t="n">
        <v>16193</v>
      </c>
      <c r="P225" t="n">
        <v>3</v>
      </c>
      <c r="Q225" t="n">
        <v>2</v>
      </c>
      <c r="R225" t="n">
        <v>60</v>
      </c>
      <c r="S225" t="n">
        <v>740</v>
      </c>
      <c r="T225" t="n">
        <v>3740</v>
      </c>
      <c r="U225" t="n">
        <v>3740</v>
      </c>
      <c r="V225" t="n">
        <v>15544</v>
      </c>
      <c r="W225" t="n">
        <v>48.58</v>
      </c>
      <c r="X225" t="n">
        <v>259</v>
      </c>
      <c r="Y225" t="n">
        <v>238</v>
      </c>
      <c r="Z225">
        <f>IF(L225&gt;=70,"Yes","No")</f>
        <v/>
      </c>
      <c r="AA225">
        <f>IF(OR(AND(E225="A",G225="Commercial_1_Balls"),AND(E225="B",G225="Commercial_2_Paint")),"first","second")</f>
        <v/>
      </c>
      <c r="AB225">
        <f>IF(ISNUMBER(W225),W225,0)</f>
        <v/>
      </c>
      <c r="AC225">
        <f>IF(ISNUMBER(S225),1,0)</f>
        <v/>
      </c>
      <c r="AD225">
        <f>IF(ISNUMBER(R225),R225,0)</f>
        <v/>
      </c>
    </row>
    <row r="226">
      <c r="A226" t="inlineStr">
        <is>
          <t>SIMULATED_AdTest_Balls_vs_Paint</t>
        </is>
      </c>
      <c r="B226" t="inlineStr">
        <is>
          <t>R29</t>
        </is>
      </c>
      <c r="C226" t="inlineStr">
        <is>
          <t>M</t>
        </is>
      </c>
      <c r="D226" t="n">
        <v>19</v>
      </c>
      <c r="E226" t="inlineStr">
        <is>
          <t>A</t>
        </is>
      </c>
      <c r="F226" t="inlineStr">
        <is>
          <t>2026-10-20</t>
        </is>
      </c>
      <c r="G226" t="inlineStr">
        <is>
          <t>Commercial_1_Balls</t>
        </is>
      </c>
      <c r="H226" t="inlineStr">
        <is>
          <t>Product_TV</t>
        </is>
      </c>
      <c r="I226" t="n">
        <v>60000</v>
      </c>
      <c r="J226" t="n">
        <v>14000</v>
      </c>
      <c r="K226" t="n">
        <v>23.33</v>
      </c>
      <c r="L226" t="n">
        <v>84.09999999999999</v>
      </c>
      <c r="M226" t="n">
        <v>167</v>
      </c>
      <c r="N226" t="n">
        <v>1</v>
      </c>
      <c r="O226" t="n">
        <v>2192</v>
      </c>
      <c r="P226" t="n">
        <v>1</v>
      </c>
      <c r="Q226" t="n">
        <v>0</v>
      </c>
      <c r="R226" t="n">
        <v>7</v>
      </c>
      <c r="S226" t="n">
        <v>400</v>
      </c>
      <c r="T226" t="n">
        <v>12400</v>
      </c>
      <c r="U226" t="n">
        <v>12400</v>
      </c>
      <c r="V226" t="n">
        <v>2024</v>
      </c>
      <c r="W226" t="n">
        <v>14.46</v>
      </c>
      <c r="X226" t="n">
        <v>289</v>
      </c>
      <c r="Y226" t="n">
        <v>310</v>
      </c>
      <c r="Z226">
        <f>IF(L226&gt;=70,"Yes","No")</f>
        <v/>
      </c>
      <c r="AA226">
        <f>IF(OR(AND(E226="A",G226="Commercial_1_Balls"),AND(E226="B",G226="Commercial_2_Paint")),"first","second")</f>
        <v/>
      </c>
      <c r="AB226">
        <f>IF(ISNUMBER(W226),W226,0)</f>
        <v/>
      </c>
      <c r="AC226">
        <f>IF(ISNUMBER(S226),1,0)</f>
        <v/>
      </c>
      <c r="AD226">
        <f>IF(ISNUMBER(R226),R226,0)</f>
        <v/>
      </c>
    </row>
    <row r="227">
      <c r="A227" t="inlineStr">
        <is>
          <t>SIMULATED_AdTest_Balls_vs_Paint</t>
        </is>
      </c>
      <c r="B227" t="inlineStr">
        <is>
          <t>R29</t>
        </is>
      </c>
      <c r="C227" t="inlineStr">
        <is>
          <t>M</t>
        </is>
      </c>
      <c r="D227" t="n">
        <v>19</v>
      </c>
      <c r="E227" t="inlineStr">
        <is>
          <t>A</t>
        </is>
      </c>
      <c r="F227" t="inlineStr">
        <is>
          <t>2026-10-20</t>
        </is>
      </c>
      <c r="G227" t="inlineStr">
        <is>
          <t>Commercial_1_Balls</t>
        </is>
      </c>
      <c r="H227" t="inlineStr">
        <is>
          <t>Brand_Logo</t>
        </is>
      </c>
      <c r="I227" t="n">
        <v>60000</v>
      </c>
      <c r="J227" t="n">
        <v>5000</v>
      </c>
      <c r="K227" t="n">
        <v>8.33</v>
      </c>
      <c r="L227" t="n">
        <v>84.09999999999999</v>
      </c>
      <c r="M227" t="n">
        <v>2686</v>
      </c>
      <c r="N227" t="n">
        <v>1</v>
      </c>
      <c r="O227" t="n">
        <v>166</v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n">
        <v>60000</v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>
        <f>IF(L227&gt;=70,"Yes","No")</f>
        <v/>
      </c>
      <c r="AA227">
        <f>IF(OR(AND(E227="A",G227="Commercial_1_Balls"),AND(E227="B",G227="Commercial_2_Paint")),"first","second")</f>
        <v/>
      </c>
      <c r="AB227">
        <f>IF(ISNUMBER(W227),W227,0)</f>
        <v/>
      </c>
      <c r="AC227">
        <f>IF(ISNUMBER(S227),1,0)</f>
        <v/>
      </c>
      <c r="AD227">
        <f>IF(ISNUMBER(R227),R227,0)</f>
        <v/>
      </c>
    </row>
    <row r="228">
      <c r="A228" t="inlineStr">
        <is>
          <t>SIMULATED_AdTest_Balls_vs_Paint</t>
        </is>
      </c>
      <c r="B228" t="inlineStr">
        <is>
          <t>R29</t>
        </is>
      </c>
      <c r="C228" t="inlineStr">
        <is>
          <t>M</t>
        </is>
      </c>
      <c r="D228" t="n">
        <v>19</v>
      </c>
      <c r="E228" t="inlineStr">
        <is>
          <t>A</t>
        </is>
      </c>
      <c r="F228" t="inlineStr">
        <is>
          <t>2026-10-20</t>
        </is>
      </c>
      <c r="G228" t="inlineStr">
        <is>
          <t>Commercial_1_Balls</t>
        </is>
      </c>
      <c r="H228" t="inlineStr">
        <is>
          <t>Tagline_Text</t>
        </is>
      </c>
      <c r="I228" t="n">
        <v>60000</v>
      </c>
      <c r="J228" t="n">
        <v>4000</v>
      </c>
      <c r="K228" t="n">
        <v>6.67</v>
      </c>
      <c r="L228" t="n">
        <v>84.09999999999999</v>
      </c>
      <c r="M228" t="n">
        <v>1445</v>
      </c>
      <c r="N228" t="n">
        <v>2</v>
      </c>
      <c r="O228" t="n">
        <v>905</v>
      </c>
      <c r="P228" t="n">
        <v>1</v>
      </c>
      <c r="Q228" t="n">
        <v>0</v>
      </c>
      <c r="R228" t="n">
        <v>3</v>
      </c>
      <c r="S228" t="n">
        <v>1741</v>
      </c>
      <c r="T228" t="n">
        <v>57741</v>
      </c>
      <c r="U228" t="n">
        <v>57741</v>
      </c>
      <c r="V228" t="n">
        <v>854</v>
      </c>
      <c r="W228" t="n">
        <v>21.35</v>
      </c>
      <c r="X228" t="n">
        <v>285</v>
      </c>
      <c r="Y228" t="n">
        <v>172</v>
      </c>
      <c r="Z228">
        <f>IF(L228&gt;=70,"Yes","No")</f>
        <v/>
      </c>
      <c r="AA228">
        <f>IF(OR(AND(E228="A",G228="Commercial_1_Balls"),AND(E228="B",G228="Commercial_2_Paint")),"first","second")</f>
        <v/>
      </c>
      <c r="AB228">
        <f>IF(ISNUMBER(W228),W228,0)</f>
        <v/>
      </c>
      <c r="AC228">
        <f>IF(ISNUMBER(S228),1,0)</f>
        <v/>
      </c>
      <c r="AD228">
        <f>IF(ISNUMBER(R228),R228,0)</f>
        <v/>
      </c>
    </row>
    <row r="229">
      <c r="A229" t="inlineStr">
        <is>
          <t>SIMULATED_AdTest_Balls_vs_Paint</t>
        </is>
      </c>
      <c r="B229" t="inlineStr">
        <is>
          <t>R29</t>
        </is>
      </c>
      <c r="C229" t="inlineStr">
        <is>
          <t>M</t>
        </is>
      </c>
      <c r="D229" t="n">
        <v>19</v>
      </c>
      <c r="E229" t="inlineStr">
        <is>
          <t>A</t>
        </is>
      </c>
      <c r="F229" t="inlineStr">
        <is>
          <t>2026-10-20</t>
        </is>
      </c>
      <c r="G229" t="inlineStr">
        <is>
          <t>Commercial_1_Balls</t>
        </is>
      </c>
      <c r="H229" t="inlineStr">
        <is>
          <t>Hero_Element</t>
        </is>
      </c>
      <c r="I229" t="n">
        <v>60000</v>
      </c>
      <c r="J229" t="n">
        <v>40000</v>
      </c>
      <c r="K229" t="n">
        <v>66.67</v>
      </c>
      <c r="L229" t="n">
        <v>84.09999999999999</v>
      </c>
      <c r="M229" t="n">
        <v>336</v>
      </c>
      <c r="N229" t="n">
        <v>3</v>
      </c>
      <c r="O229" t="n">
        <v>23725</v>
      </c>
      <c r="P229" t="n">
        <v>3</v>
      </c>
      <c r="Q229" t="n">
        <v>2</v>
      </c>
      <c r="R229" t="n">
        <v>97</v>
      </c>
      <c r="S229" t="n">
        <v>478</v>
      </c>
      <c r="T229" t="n">
        <v>2478</v>
      </c>
      <c r="U229" t="n">
        <v>2478</v>
      </c>
      <c r="V229" t="n">
        <v>20766</v>
      </c>
      <c r="W229" t="n">
        <v>51.91</v>
      </c>
      <c r="X229" t="n">
        <v>214</v>
      </c>
      <c r="Y229" t="n">
        <v>212</v>
      </c>
      <c r="Z229">
        <f>IF(L229&gt;=70,"Yes","No")</f>
        <v/>
      </c>
      <c r="AA229">
        <f>IF(OR(AND(E229="A",G229="Commercial_1_Balls"),AND(E229="B",G229="Commercial_2_Paint")),"first","second")</f>
        <v/>
      </c>
      <c r="AB229">
        <f>IF(ISNUMBER(W229),W229,0)</f>
        <v/>
      </c>
      <c r="AC229">
        <f>IF(ISNUMBER(S229),1,0)</f>
        <v/>
      </c>
      <c r="AD229">
        <f>IF(ISNUMBER(R229),R229,0)</f>
        <v/>
      </c>
    </row>
    <row r="230">
      <c r="A230" t="inlineStr">
        <is>
          <t>SIMULATED_AdTest_Balls_vs_Paint</t>
        </is>
      </c>
      <c r="B230" t="inlineStr">
        <is>
          <t>R29</t>
        </is>
      </c>
      <c r="C230" t="inlineStr">
        <is>
          <t>M</t>
        </is>
      </c>
      <c r="D230" t="n">
        <v>19</v>
      </c>
      <c r="E230" t="inlineStr">
        <is>
          <t>A</t>
        </is>
      </c>
      <c r="F230" t="inlineStr">
        <is>
          <t>2026-10-20</t>
        </is>
      </c>
      <c r="G230" t="inlineStr">
        <is>
          <t>Commercial_2_Paint</t>
        </is>
      </c>
      <c r="H230" t="inlineStr">
        <is>
          <t>Product_TV</t>
        </is>
      </c>
      <c r="I230" t="n">
        <v>60000</v>
      </c>
      <c r="J230" t="n">
        <v>20000</v>
      </c>
      <c r="K230" t="n">
        <v>33.33</v>
      </c>
      <c r="L230" t="n">
        <v>84.09999999999999</v>
      </c>
      <c r="M230" t="n">
        <v>452</v>
      </c>
      <c r="N230" t="n">
        <v>2</v>
      </c>
      <c r="O230" t="n">
        <v>5169</v>
      </c>
      <c r="P230" t="n">
        <v>2</v>
      </c>
      <c r="Q230" t="n">
        <v>1</v>
      </c>
      <c r="R230" t="n">
        <v>16</v>
      </c>
      <c r="S230" t="n">
        <v>676</v>
      </c>
      <c r="T230" t="n">
        <v>9676</v>
      </c>
      <c r="U230" t="n">
        <v>9676</v>
      </c>
      <c r="V230" t="n">
        <v>4793</v>
      </c>
      <c r="W230" t="n">
        <v>23.96</v>
      </c>
      <c r="X230" t="n">
        <v>300</v>
      </c>
      <c r="Y230" t="n">
        <v>155</v>
      </c>
      <c r="Z230">
        <f>IF(L230&gt;=70,"Yes","No")</f>
        <v/>
      </c>
      <c r="AA230">
        <f>IF(OR(AND(E230="A",G230="Commercial_1_Balls"),AND(E230="B",G230="Commercial_2_Paint")),"first","second")</f>
        <v/>
      </c>
      <c r="AB230">
        <f>IF(ISNUMBER(W230),W230,0)</f>
        <v/>
      </c>
      <c r="AC230">
        <f>IF(ISNUMBER(S230),1,0)</f>
        <v/>
      </c>
      <c r="AD230">
        <f>IF(ISNUMBER(R230),R230,0)</f>
        <v/>
      </c>
    </row>
    <row r="231">
      <c r="A231" t="inlineStr">
        <is>
          <t>SIMULATED_AdTest_Balls_vs_Paint</t>
        </is>
      </c>
      <c r="B231" t="inlineStr">
        <is>
          <t>R29</t>
        </is>
      </c>
      <c r="C231" t="inlineStr">
        <is>
          <t>M</t>
        </is>
      </c>
      <c r="D231" t="n">
        <v>19</v>
      </c>
      <c r="E231" t="inlineStr">
        <is>
          <t>A</t>
        </is>
      </c>
      <c r="F231" t="inlineStr">
        <is>
          <t>2026-10-20</t>
        </is>
      </c>
      <c r="G231" t="inlineStr">
        <is>
          <t>Commercial_2_Paint</t>
        </is>
      </c>
      <c r="H231" t="inlineStr">
        <is>
          <t>Brand_Logo</t>
        </is>
      </c>
      <c r="I231" t="n">
        <v>60000</v>
      </c>
      <c r="J231" t="n">
        <v>5000</v>
      </c>
      <c r="K231" t="n">
        <v>8.33</v>
      </c>
      <c r="L231" t="n">
        <v>84.09999999999999</v>
      </c>
      <c r="M231" t="n">
        <v>222</v>
      </c>
      <c r="N231" t="n">
        <v>1</v>
      </c>
      <c r="O231" t="n">
        <v>2092</v>
      </c>
      <c r="P231" t="n">
        <v>1</v>
      </c>
      <c r="Q231" t="n">
        <v>0</v>
      </c>
      <c r="R231" t="n">
        <v>6</v>
      </c>
      <c r="S231" t="n">
        <v>401</v>
      </c>
      <c r="T231" t="n">
        <v>55401</v>
      </c>
      <c r="U231" t="n">
        <v>55401</v>
      </c>
      <c r="V231" t="n">
        <v>1849</v>
      </c>
      <c r="W231" t="n">
        <v>36.98</v>
      </c>
      <c r="X231" t="n">
        <v>308</v>
      </c>
      <c r="Y231" t="n">
        <v>334</v>
      </c>
      <c r="Z231">
        <f>IF(L231&gt;=70,"Yes","No")</f>
        <v/>
      </c>
      <c r="AA231">
        <f>IF(OR(AND(E231="A",G231="Commercial_1_Balls"),AND(E231="B",G231="Commercial_2_Paint")),"first","second")</f>
        <v/>
      </c>
      <c r="AB231">
        <f>IF(ISNUMBER(W231),W231,0)</f>
        <v/>
      </c>
      <c r="AC231">
        <f>IF(ISNUMBER(S231),1,0)</f>
        <v/>
      </c>
      <c r="AD231">
        <f>IF(ISNUMBER(R231),R231,0)</f>
        <v/>
      </c>
    </row>
    <row r="232">
      <c r="A232" t="inlineStr">
        <is>
          <t>SIMULATED_AdTest_Balls_vs_Paint</t>
        </is>
      </c>
      <c r="B232" t="inlineStr">
        <is>
          <t>R29</t>
        </is>
      </c>
      <c r="C232" t="inlineStr">
        <is>
          <t>M</t>
        </is>
      </c>
      <c r="D232" t="n">
        <v>19</v>
      </c>
      <c r="E232" t="inlineStr">
        <is>
          <t>A</t>
        </is>
      </c>
      <c r="F232" t="inlineStr">
        <is>
          <t>2026-10-20</t>
        </is>
      </c>
      <c r="G232" t="inlineStr">
        <is>
          <t>Commercial_2_Paint</t>
        </is>
      </c>
      <c r="H232" t="inlineStr">
        <is>
          <t>Tagline_Text</t>
        </is>
      </c>
      <c r="I232" t="n">
        <v>60000</v>
      </c>
      <c r="J232" t="n">
        <v>4000</v>
      </c>
      <c r="K232" t="n">
        <v>6.67</v>
      </c>
      <c r="L232" t="n">
        <v>84.09999999999999</v>
      </c>
      <c r="M232" t="n">
        <v>1109</v>
      </c>
      <c r="N232" t="n">
        <v>1</v>
      </c>
      <c r="O232" t="n">
        <v>1679</v>
      </c>
      <c r="P232" t="n">
        <v>1</v>
      </c>
      <c r="Q232" t="n">
        <v>0</v>
      </c>
      <c r="R232" t="n">
        <v>5</v>
      </c>
      <c r="S232" t="n">
        <v>1220</v>
      </c>
      <c r="T232" t="n">
        <v>57220</v>
      </c>
      <c r="U232" t="n">
        <v>57220</v>
      </c>
      <c r="V232" t="n">
        <v>1580</v>
      </c>
      <c r="W232" t="n">
        <v>39.5</v>
      </c>
      <c r="X232" t="n">
        <v>316</v>
      </c>
      <c r="Y232" t="n">
        <v>452</v>
      </c>
      <c r="Z232">
        <f>IF(L232&gt;=70,"Yes","No")</f>
        <v/>
      </c>
      <c r="AA232">
        <f>IF(OR(AND(E232="A",G232="Commercial_1_Balls"),AND(E232="B",G232="Commercial_2_Paint")),"first","second")</f>
        <v/>
      </c>
      <c r="AB232">
        <f>IF(ISNUMBER(W232),W232,0)</f>
        <v/>
      </c>
      <c r="AC232">
        <f>IF(ISNUMBER(S232),1,0)</f>
        <v/>
      </c>
      <c r="AD232">
        <f>IF(ISNUMBER(R232),R232,0)</f>
        <v/>
      </c>
    </row>
    <row r="233">
      <c r="A233" t="inlineStr">
        <is>
          <t>SIMULATED_AdTest_Balls_vs_Paint</t>
        </is>
      </c>
      <c r="B233" t="inlineStr">
        <is>
          <t>R29</t>
        </is>
      </c>
      <c r="C233" t="inlineStr">
        <is>
          <t>M</t>
        </is>
      </c>
      <c r="D233" t="n">
        <v>19</v>
      </c>
      <c r="E233" t="inlineStr">
        <is>
          <t>A</t>
        </is>
      </c>
      <c r="F233" t="inlineStr">
        <is>
          <t>2026-10-20</t>
        </is>
      </c>
      <c r="G233" t="inlineStr">
        <is>
          <t>Commercial_2_Paint</t>
        </is>
      </c>
      <c r="H233" t="inlineStr">
        <is>
          <t>Hero_Element</t>
        </is>
      </c>
      <c r="I233" t="n">
        <v>60000</v>
      </c>
      <c r="J233" t="n">
        <v>32000</v>
      </c>
      <c r="K233" t="n">
        <v>53.33</v>
      </c>
      <c r="L233" t="n">
        <v>84.09999999999999</v>
      </c>
      <c r="M233" t="n">
        <v>1261</v>
      </c>
      <c r="N233" t="n">
        <v>2</v>
      </c>
      <c r="O233" t="n">
        <v>14767</v>
      </c>
      <c r="P233" t="n">
        <v>2</v>
      </c>
      <c r="Q233" t="n">
        <v>1</v>
      </c>
      <c r="R233" t="n">
        <v>49</v>
      </c>
      <c r="S233" t="n">
        <v>1444</v>
      </c>
      <c r="T233" t="n">
        <v>4444</v>
      </c>
      <c r="U233" t="n">
        <v>4444</v>
      </c>
      <c r="V233" t="n">
        <v>12934</v>
      </c>
      <c r="W233" t="n">
        <v>40.42</v>
      </c>
      <c r="X233" t="n">
        <v>264</v>
      </c>
      <c r="Y233" t="n">
        <v>226</v>
      </c>
      <c r="Z233">
        <f>IF(L233&gt;=70,"Yes","No")</f>
        <v/>
      </c>
      <c r="AA233">
        <f>IF(OR(AND(E233="A",G233="Commercial_1_Balls"),AND(E233="B",G233="Commercial_2_Paint")),"first","second")</f>
        <v/>
      </c>
      <c r="AB233">
        <f>IF(ISNUMBER(W233),W233,0)</f>
        <v/>
      </c>
      <c r="AC233">
        <f>IF(ISNUMBER(S233),1,0)</f>
        <v/>
      </c>
      <c r="AD233">
        <f>IF(ISNUMBER(R233),R233,0)</f>
        <v/>
      </c>
    </row>
    <row r="234">
      <c r="A234" t="inlineStr">
        <is>
          <t>SIMULATED_AdTest_Balls_vs_Paint</t>
        </is>
      </c>
      <c r="B234" t="inlineStr">
        <is>
          <t>R30</t>
        </is>
      </c>
      <c r="C234" t="inlineStr">
        <is>
          <t>M</t>
        </is>
      </c>
      <c r="D234" t="n">
        <v>21</v>
      </c>
      <c r="E234" t="inlineStr">
        <is>
          <t>B</t>
        </is>
      </c>
      <c r="F234" t="inlineStr">
        <is>
          <t>2026-10-20</t>
        </is>
      </c>
      <c r="G234" t="inlineStr">
        <is>
          <t>Commercial_1_Balls</t>
        </is>
      </c>
      <c r="H234" t="inlineStr">
        <is>
          <t>Product_TV</t>
        </is>
      </c>
      <c r="I234" t="n">
        <v>60000</v>
      </c>
      <c r="J234" t="n">
        <v>14000</v>
      </c>
      <c r="K234" t="n">
        <v>23.33</v>
      </c>
      <c r="L234" t="n">
        <v>93.40000000000001</v>
      </c>
      <c r="M234" t="n">
        <v>211</v>
      </c>
      <c r="N234" t="n">
        <v>2</v>
      </c>
      <c r="O234" t="n">
        <v>3503</v>
      </c>
      <c r="P234" t="n">
        <v>2</v>
      </c>
      <c r="Q234" t="n">
        <v>1</v>
      </c>
      <c r="R234" t="n">
        <v>9</v>
      </c>
      <c r="S234" t="n">
        <v>343</v>
      </c>
      <c r="T234" t="n">
        <v>12343</v>
      </c>
      <c r="U234" t="n">
        <v>12343</v>
      </c>
      <c r="V234" t="n">
        <v>3225</v>
      </c>
      <c r="W234" t="n">
        <v>23.04</v>
      </c>
      <c r="X234" t="n">
        <v>358</v>
      </c>
      <c r="Y234" t="n">
        <v>223</v>
      </c>
      <c r="Z234">
        <f>IF(L234&gt;=70,"Yes","No")</f>
        <v/>
      </c>
      <c r="AA234">
        <f>IF(OR(AND(E234="A",G234="Commercial_1_Balls"),AND(E234="B",G234="Commercial_2_Paint")),"first","second")</f>
        <v/>
      </c>
      <c r="AB234">
        <f>IF(ISNUMBER(W234),W234,0)</f>
        <v/>
      </c>
      <c r="AC234">
        <f>IF(ISNUMBER(S234),1,0)</f>
        <v/>
      </c>
      <c r="AD234">
        <f>IF(ISNUMBER(R234),R234,0)</f>
        <v/>
      </c>
    </row>
    <row r="235">
      <c r="A235" t="inlineStr">
        <is>
          <t>SIMULATED_AdTest_Balls_vs_Paint</t>
        </is>
      </c>
      <c r="B235" t="inlineStr">
        <is>
          <t>R30</t>
        </is>
      </c>
      <c r="C235" t="inlineStr">
        <is>
          <t>M</t>
        </is>
      </c>
      <c r="D235" t="n">
        <v>21</v>
      </c>
      <c r="E235" t="inlineStr">
        <is>
          <t>B</t>
        </is>
      </c>
      <c r="F235" t="inlineStr">
        <is>
          <t>2026-10-20</t>
        </is>
      </c>
      <c r="G235" t="inlineStr">
        <is>
          <t>Commercial_1_Balls</t>
        </is>
      </c>
      <c r="H235" t="inlineStr">
        <is>
          <t>Brand_Logo</t>
        </is>
      </c>
      <c r="I235" t="n">
        <v>60000</v>
      </c>
      <c r="J235" t="n">
        <v>5000</v>
      </c>
      <c r="K235" t="n">
        <v>8.33</v>
      </c>
      <c r="L235" t="n">
        <v>93.40000000000001</v>
      </c>
      <c r="M235" t="n">
        <v>929</v>
      </c>
      <c r="N235" t="n">
        <v>1</v>
      </c>
      <c r="O235" t="n">
        <v>962</v>
      </c>
      <c r="P235" t="n">
        <v>1</v>
      </c>
      <c r="Q235" t="n">
        <v>0</v>
      </c>
      <c r="R235" t="n">
        <v>4</v>
      </c>
      <c r="S235" t="n">
        <v>1010</v>
      </c>
      <c r="T235" t="n">
        <v>56010</v>
      </c>
      <c r="U235" t="n">
        <v>56010</v>
      </c>
      <c r="V235" t="n">
        <v>853</v>
      </c>
      <c r="W235" t="n">
        <v>17.06</v>
      </c>
      <c r="X235" t="n">
        <v>213</v>
      </c>
      <c r="Y235" t="n">
        <v>355</v>
      </c>
      <c r="Z235">
        <f>IF(L235&gt;=70,"Yes","No")</f>
        <v/>
      </c>
      <c r="AA235">
        <f>IF(OR(AND(E235="A",G235="Commercial_1_Balls"),AND(E235="B",G235="Commercial_2_Paint")),"first","second")</f>
        <v/>
      </c>
      <c r="AB235">
        <f>IF(ISNUMBER(W235),W235,0)</f>
        <v/>
      </c>
      <c r="AC235">
        <f>IF(ISNUMBER(S235),1,0)</f>
        <v/>
      </c>
      <c r="AD235">
        <f>IF(ISNUMBER(R235),R235,0)</f>
        <v/>
      </c>
    </row>
    <row r="236">
      <c r="A236" t="inlineStr">
        <is>
          <t>SIMULATED_AdTest_Balls_vs_Paint</t>
        </is>
      </c>
      <c r="B236" t="inlineStr">
        <is>
          <t>R30</t>
        </is>
      </c>
      <c r="C236" t="inlineStr">
        <is>
          <t>M</t>
        </is>
      </c>
      <c r="D236" t="n">
        <v>21</v>
      </c>
      <c r="E236" t="inlineStr">
        <is>
          <t>B</t>
        </is>
      </c>
      <c r="F236" t="inlineStr">
        <is>
          <t>2026-10-20</t>
        </is>
      </c>
      <c r="G236" t="inlineStr">
        <is>
          <t>Commercial_1_Balls</t>
        </is>
      </c>
      <c r="H236" t="inlineStr">
        <is>
          <t>Tagline_Text</t>
        </is>
      </c>
      <c r="I236" t="n">
        <v>60000</v>
      </c>
      <c r="J236" t="n">
        <v>4000</v>
      </c>
      <c r="K236" t="n">
        <v>6.67</v>
      </c>
      <c r="L236" t="n">
        <v>93.40000000000001</v>
      </c>
      <c r="M236" t="n">
        <v>576</v>
      </c>
      <c r="N236" t="n">
        <v>1</v>
      </c>
      <c r="O236" t="n">
        <v>1489</v>
      </c>
      <c r="P236" t="n">
        <v>1</v>
      </c>
      <c r="Q236" t="n">
        <v>0</v>
      </c>
      <c r="R236" t="n">
        <v>5</v>
      </c>
      <c r="S236" t="n">
        <v>867</v>
      </c>
      <c r="T236" t="n">
        <v>56867</v>
      </c>
      <c r="U236" t="n">
        <v>56867</v>
      </c>
      <c r="V236" t="n">
        <v>1332</v>
      </c>
      <c r="W236" t="n">
        <v>33.3</v>
      </c>
      <c r="X236" t="n">
        <v>266</v>
      </c>
      <c r="Y236" t="n">
        <v>160</v>
      </c>
      <c r="Z236">
        <f>IF(L236&gt;=70,"Yes","No")</f>
        <v/>
      </c>
      <c r="AA236">
        <f>IF(OR(AND(E236="A",G236="Commercial_1_Balls"),AND(E236="B",G236="Commercial_2_Paint")),"first","second")</f>
        <v/>
      </c>
      <c r="AB236">
        <f>IF(ISNUMBER(W236),W236,0)</f>
        <v/>
      </c>
      <c r="AC236">
        <f>IF(ISNUMBER(S236),1,0)</f>
        <v/>
      </c>
      <c r="AD236">
        <f>IF(ISNUMBER(R236),R236,0)</f>
        <v/>
      </c>
    </row>
    <row r="237">
      <c r="A237" t="inlineStr">
        <is>
          <t>SIMULATED_AdTest_Balls_vs_Paint</t>
        </is>
      </c>
      <c r="B237" t="inlineStr">
        <is>
          <t>R30</t>
        </is>
      </c>
      <c r="C237" t="inlineStr">
        <is>
          <t>M</t>
        </is>
      </c>
      <c r="D237" t="n">
        <v>21</v>
      </c>
      <c r="E237" t="inlineStr">
        <is>
          <t>B</t>
        </is>
      </c>
      <c r="F237" t="inlineStr">
        <is>
          <t>2026-10-20</t>
        </is>
      </c>
      <c r="G237" t="inlineStr">
        <is>
          <t>Commercial_1_Balls</t>
        </is>
      </c>
      <c r="H237" t="inlineStr">
        <is>
          <t>Hero_Element</t>
        </is>
      </c>
      <c r="I237" t="n">
        <v>60000</v>
      </c>
      <c r="J237" t="n">
        <v>40000</v>
      </c>
      <c r="K237" t="n">
        <v>66.67</v>
      </c>
      <c r="L237" t="n">
        <v>93.40000000000001</v>
      </c>
      <c r="M237" t="n">
        <v>206</v>
      </c>
      <c r="N237" t="n">
        <v>7</v>
      </c>
      <c r="O237" t="n">
        <v>25807</v>
      </c>
      <c r="P237" t="n">
        <v>6</v>
      </c>
      <c r="Q237" t="n">
        <v>5</v>
      </c>
      <c r="R237" t="n">
        <v>58</v>
      </c>
      <c r="S237" t="n">
        <v>421</v>
      </c>
      <c r="T237" t="n">
        <v>2421</v>
      </c>
      <c r="U237" t="n">
        <v>2421</v>
      </c>
      <c r="V237" t="n">
        <v>22553</v>
      </c>
      <c r="W237" t="n">
        <v>56.38</v>
      </c>
      <c r="X237" t="n">
        <v>389</v>
      </c>
      <c r="Y237" t="n">
        <v>350</v>
      </c>
      <c r="Z237">
        <f>IF(L237&gt;=70,"Yes","No")</f>
        <v/>
      </c>
      <c r="AA237">
        <f>IF(OR(AND(E237="A",G237="Commercial_1_Balls"),AND(E237="B",G237="Commercial_2_Paint")),"first","second")</f>
        <v/>
      </c>
      <c r="AB237">
        <f>IF(ISNUMBER(W237),W237,0)</f>
        <v/>
      </c>
      <c r="AC237">
        <f>IF(ISNUMBER(S237),1,0)</f>
        <v/>
      </c>
      <c r="AD237">
        <f>IF(ISNUMBER(R237),R237,0)</f>
        <v/>
      </c>
    </row>
    <row r="238">
      <c r="A238" t="inlineStr">
        <is>
          <t>SIMULATED_AdTest_Balls_vs_Paint</t>
        </is>
      </c>
      <c r="B238" t="inlineStr">
        <is>
          <t>R30</t>
        </is>
      </c>
      <c r="C238" t="inlineStr">
        <is>
          <t>M</t>
        </is>
      </c>
      <c r="D238" t="n">
        <v>21</v>
      </c>
      <c r="E238" t="inlineStr">
        <is>
          <t>B</t>
        </is>
      </c>
      <c r="F238" t="inlineStr">
        <is>
          <t>2026-10-20</t>
        </is>
      </c>
      <c r="G238" t="inlineStr">
        <is>
          <t>Commercial_2_Paint</t>
        </is>
      </c>
      <c r="H238" t="inlineStr">
        <is>
          <t>Product_TV</t>
        </is>
      </c>
      <c r="I238" t="n">
        <v>60000</v>
      </c>
      <c r="J238" t="n">
        <v>20000</v>
      </c>
      <c r="K238" t="n">
        <v>33.33</v>
      </c>
      <c r="L238" t="n">
        <v>93.40000000000001</v>
      </c>
      <c r="M238" t="n">
        <v>456</v>
      </c>
      <c r="N238" t="n">
        <v>2</v>
      </c>
      <c r="O238" t="n">
        <v>5861</v>
      </c>
      <c r="P238" t="n">
        <v>2</v>
      </c>
      <c r="Q238" t="n">
        <v>1</v>
      </c>
      <c r="R238" t="n">
        <v>16</v>
      </c>
      <c r="S238" t="n">
        <v>697</v>
      </c>
      <c r="T238" t="n">
        <v>9697</v>
      </c>
      <c r="U238" t="n">
        <v>9697</v>
      </c>
      <c r="V238" t="n">
        <v>5394</v>
      </c>
      <c r="W238" t="n">
        <v>26.97</v>
      </c>
      <c r="X238" t="n">
        <v>337</v>
      </c>
      <c r="Y238" t="n">
        <v>366</v>
      </c>
      <c r="Z238">
        <f>IF(L238&gt;=70,"Yes","No")</f>
        <v/>
      </c>
      <c r="AA238">
        <f>IF(OR(AND(E238="A",G238="Commercial_1_Balls"),AND(E238="B",G238="Commercial_2_Paint")),"first","second")</f>
        <v/>
      </c>
      <c r="AB238">
        <f>IF(ISNUMBER(W238),W238,0)</f>
        <v/>
      </c>
      <c r="AC238">
        <f>IF(ISNUMBER(S238),1,0)</f>
        <v/>
      </c>
      <c r="AD238">
        <f>IF(ISNUMBER(R238),R238,0)</f>
        <v/>
      </c>
    </row>
    <row r="239">
      <c r="A239" t="inlineStr">
        <is>
          <t>SIMULATED_AdTest_Balls_vs_Paint</t>
        </is>
      </c>
      <c r="B239" t="inlineStr">
        <is>
          <t>R30</t>
        </is>
      </c>
      <c r="C239" t="inlineStr">
        <is>
          <t>M</t>
        </is>
      </c>
      <c r="D239" t="n">
        <v>21</v>
      </c>
      <c r="E239" t="inlineStr">
        <is>
          <t>B</t>
        </is>
      </c>
      <c r="F239" t="inlineStr">
        <is>
          <t>2026-10-20</t>
        </is>
      </c>
      <c r="G239" t="inlineStr">
        <is>
          <t>Commercial_2_Paint</t>
        </is>
      </c>
      <c r="H239" t="inlineStr">
        <is>
          <t>Brand_Logo</t>
        </is>
      </c>
      <c r="I239" t="n">
        <v>60000</v>
      </c>
      <c r="J239" t="n">
        <v>5000</v>
      </c>
      <c r="K239" t="n">
        <v>8.33</v>
      </c>
      <c r="L239" t="n">
        <v>93.40000000000001</v>
      </c>
      <c r="M239" t="n">
        <v>506</v>
      </c>
      <c r="N239" t="n">
        <v>2</v>
      </c>
      <c r="O239" t="n">
        <v>2149</v>
      </c>
      <c r="P239" t="n">
        <v>1</v>
      </c>
      <c r="Q239" t="n">
        <v>0</v>
      </c>
      <c r="R239" t="n">
        <v>10</v>
      </c>
      <c r="S239" t="n">
        <v>775</v>
      </c>
      <c r="T239" t="n">
        <v>55775</v>
      </c>
      <c r="U239" t="n">
        <v>55775</v>
      </c>
      <c r="V239" t="n">
        <v>2021</v>
      </c>
      <c r="W239" t="n">
        <v>40.42</v>
      </c>
      <c r="X239" t="n">
        <v>202</v>
      </c>
      <c r="Y239" t="n">
        <v>195</v>
      </c>
      <c r="Z239">
        <f>IF(L239&gt;=70,"Yes","No")</f>
        <v/>
      </c>
      <c r="AA239">
        <f>IF(OR(AND(E239="A",G239="Commercial_1_Balls"),AND(E239="B",G239="Commercial_2_Paint")),"first","second")</f>
        <v/>
      </c>
      <c r="AB239">
        <f>IF(ISNUMBER(W239),W239,0)</f>
        <v/>
      </c>
      <c r="AC239">
        <f>IF(ISNUMBER(S239),1,0)</f>
        <v/>
      </c>
      <c r="AD239">
        <f>IF(ISNUMBER(R239),R239,0)</f>
        <v/>
      </c>
    </row>
    <row r="240">
      <c r="A240" t="inlineStr">
        <is>
          <t>SIMULATED_AdTest_Balls_vs_Paint</t>
        </is>
      </c>
      <c r="B240" t="inlineStr">
        <is>
          <t>R30</t>
        </is>
      </c>
      <c r="C240" t="inlineStr">
        <is>
          <t>M</t>
        </is>
      </c>
      <c r="D240" t="n">
        <v>21</v>
      </c>
      <c r="E240" t="inlineStr">
        <is>
          <t>B</t>
        </is>
      </c>
      <c r="F240" t="inlineStr">
        <is>
          <t>2026-10-20</t>
        </is>
      </c>
      <c r="G240" t="inlineStr">
        <is>
          <t>Commercial_2_Paint</t>
        </is>
      </c>
      <c r="H240" t="inlineStr">
        <is>
          <t>Tagline_Text</t>
        </is>
      </c>
      <c r="I240" t="n">
        <v>60000</v>
      </c>
      <c r="J240" t="n">
        <v>4000</v>
      </c>
      <c r="K240" t="n">
        <v>6.67</v>
      </c>
      <c r="L240" t="n">
        <v>93.40000000000001</v>
      </c>
      <c r="M240" t="n">
        <v>451</v>
      </c>
      <c r="N240" t="n">
        <v>1</v>
      </c>
      <c r="O240" t="n">
        <v>173</v>
      </c>
      <c r="P240" t="n">
        <v>1</v>
      </c>
      <c r="Q240" t="n">
        <v>0</v>
      </c>
      <c r="R240" t="n">
        <v>1</v>
      </c>
      <c r="S240" t="n">
        <v>540</v>
      </c>
      <c r="T240" t="n">
        <v>56540</v>
      </c>
      <c r="U240" t="n">
        <v>56540</v>
      </c>
      <c r="V240" t="n">
        <v>152</v>
      </c>
      <c r="W240" t="n">
        <v>3.8</v>
      </c>
      <c r="X240" t="n">
        <v>152</v>
      </c>
      <c r="Y240" t="n">
        <v>152</v>
      </c>
      <c r="Z240">
        <f>IF(L240&gt;=70,"Yes","No")</f>
        <v/>
      </c>
      <c r="AA240">
        <f>IF(OR(AND(E240="A",G240="Commercial_1_Balls"),AND(E240="B",G240="Commercial_2_Paint")),"first","second")</f>
        <v/>
      </c>
      <c r="AB240">
        <f>IF(ISNUMBER(W240),W240,0)</f>
        <v/>
      </c>
      <c r="AC240">
        <f>IF(ISNUMBER(S240),1,0)</f>
        <v/>
      </c>
      <c r="AD240">
        <f>IF(ISNUMBER(R240),R240,0)</f>
        <v/>
      </c>
    </row>
    <row r="241">
      <c r="A241" t="inlineStr">
        <is>
          <t>SIMULATED_AdTest_Balls_vs_Paint</t>
        </is>
      </c>
      <c r="B241" t="inlineStr">
        <is>
          <t>R30</t>
        </is>
      </c>
      <c r="C241" t="inlineStr">
        <is>
          <t>M</t>
        </is>
      </c>
      <c r="D241" t="n">
        <v>21</v>
      </c>
      <c r="E241" t="inlineStr">
        <is>
          <t>B</t>
        </is>
      </c>
      <c r="F241" t="inlineStr">
        <is>
          <t>2026-10-20</t>
        </is>
      </c>
      <c r="G241" t="inlineStr">
        <is>
          <t>Commercial_2_Paint</t>
        </is>
      </c>
      <c r="H241" t="inlineStr">
        <is>
          <t>Hero_Element</t>
        </is>
      </c>
      <c r="I241" t="n">
        <v>60000</v>
      </c>
      <c r="J241" t="n">
        <v>32000</v>
      </c>
      <c r="K241" t="n">
        <v>53.33</v>
      </c>
      <c r="L241" t="n">
        <v>93.40000000000001</v>
      </c>
      <c r="M241" t="n">
        <v>585</v>
      </c>
      <c r="N241" t="n">
        <v>7</v>
      </c>
      <c r="O241" t="n">
        <v>14337</v>
      </c>
      <c r="P241" t="n">
        <v>6</v>
      </c>
      <c r="Q241" t="n">
        <v>5</v>
      </c>
      <c r="R241" t="n">
        <v>47</v>
      </c>
      <c r="S241" t="n">
        <v>822</v>
      </c>
      <c r="T241" t="n">
        <v>3822</v>
      </c>
      <c r="U241" t="n">
        <v>3822</v>
      </c>
      <c r="V241" t="n">
        <v>12908</v>
      </c>
      <c r="W241" t="n">
        <v>40.34</v>
      </c>
      <c r="X241" t="n">
        <v>275</v>
      </c>
      <c r="Y241" t="n">
        <v>328</v>
      </c>
      <c r="Z241">
        <f>IF(L241&gt;=70,"Yes","No")</f>
        <v/>
      </c>
      <c r="AA241">
        <f>IF(OR(AND(E241="A",G241="Commercial_1_Balls"),AND(E241="B",G241="Commercial_2_Paint")),"first","second")</f>
        <v/>
      </c>
      <c r="AB241">
        <f>IF(ISNUMBER(W241),W241,0)</f>
        <v/>
      </c>
      <c r="AC241">
        <f>IF(ISNUMBER(S241),1,0)</f>
        <v/>
      </c>
      <c r="AD241">
        <f>IF(ISNUMBER(R241),R241,0)</f>
        <v/>
      </c>
    </row>
  </sheetData>
  <autoFilter ref="A1:AD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2" customWidth="1" min="4" max="4"/>
    <col width="14" customWidth="1" min="5" max="5"/>
    <col width="20" customWidth="1" min="6" max="6"/>
    <col width="22" customWidth="1" min="7" max="7"/>
    <col width="21" customWidth="1" min="8" max="8"/>
    <col width="22" customWidth="1" min="9" max="9"/>
    <col width="21" customWidth="1" min="10" max="10"/>
  </cols>
  <sheetData>
    <row r="1">
      <c r="A1" s="4" t="inlineStr">
        <is>
          <t>Descriptive table by AOI and commercial (kept respondents only). SIMULATED data.</t>
        </is>
      </c>
    </row>
    <row r="2">
      <c r="A2" s="5" t="inlineStr">
        <is>
          <t>n = kept respondents with a row for the AOI; Respondent ratio = percent who fixated the AOI; TTFF statistics use fixators only; dwell and fixation count statistics count never fixated AOIs as 0.</t>
        </is>
      </c>
    </row>
    <row r="3"/>
    <row r="4">
      <c r="A4" s="2" t="inlineStr">
        <is>
          <t>AOI</t>
        </is>
      </c>
      <c r="B4" s="2" t="inlineStr">
        <is>
          <t>Stimulus</t>
        </is>
      </c>
      <c r="C4" s="2" t="inlineStr">
        <is>
          <t>n</t>
        </is>
      </c>
      <c r="D4" s="2" t="inlineStr">
        <is>
          <t>Respondent ratio (%)</t>
        </is>
      </c>
      <c r="E4" s="2" t="inlineStr">
        <is>
          <t>n with TTFF</t>
        </is>
      </c>
      <c r="F4" s="2" t="inlineStr">
        <is>
          <t>TTFF AOI mean (ms)</t>
        </is>
      </c>
      <c r="G4" s="2" t="inlineStr">
        <is>
          <t>TTFF AOI SD (ms)</t>
        </is>
      </c>
      <c r="H4" s="2" t="inlineStr">
        <is>
          <t>Dwell time mean (%)</t>
        </is>
      </c>
      <c r="I4" s="2" t="inlineStr">
        <is>
          <t>Dwell time SD (%)</t>
        </is>
      </c>
      <c r="J4" s="2" t="inlineStr">
        <is>
          <t>Fixation count mean</t>
        </is>
      </c>
    </row>
    <row r="5">
      <c r="A5" s="6" t="inlineStr">
        <is>
          <t>Product_TV</t>
        </is>
      </c>
      <c r="B5" s="6" t="inlineStr">
        <is>
          <t>Commercial_1_Balls</t>
        </is>
      </c>
      <c r="C5" s="7">
        <f>COUNTIFS(Data!$G$2:$G$241,$B5,Data!$H$2:$H$241,$A5,Data!$Z$2:$Z$241,"Yes")</f>
        <v/>
      </c>
      <c r="D5" s="7">
        <f>100*AVERAGEIFS(Data!$AC$2:$AC$241,Data!$G$2:$G$241,$B5,Data!$H$2:$H$241,$A5,Data!$Z$2:$Z$241,"Yes")</f>
        <v/>
      </c>
      <c r="E5" s="7">
        <f>COUNTIFS(Data!$G$2:$G$241,$B5,Data!$H$2:$H$241,$A5,Data!$Z$2:$Z$241,"Yes",Data!$S$2:$S$241,"&gt;0")</f>
        <v/>
      </c>
      <c r="F5" s="7">
        <f>AVERAGEIFS(Data!$S$2:$S$241,Data!$G$2:$G$241,$B5,Data!$H$2:$H$241,$A5,Data!$Z$2:$Z$241,"Yes")</f>
        <v/>
      </c>
      <c r="G5" s="7">
        <f t="array" ref="G5">_xlfn.STDEV.S(IF((Data!$G$2:$G$241=$B5)*(Data!$H$2:$H$241=$A5)*(Data!$Z$2:$Z$241="Yes")*ISNUMBER(Data!$S$2:$S$241),Data!$S$2:$S$241))</f>
        <v/>
      </c>
      <c r="H5" s="7">
        <f>AVERAGEIFS(Data!$AB$2:$AB$241,Data!$G$2:$G$241,$B5,Data!$H$2:$H$241,$A5,Data!$Z$2:$Z$241,"Yes")</f>
        <v/>
      </c>
      <c r="I5" s="7">
        <f t="array" ref="I5">_xlfn.STDEV.S(IF((Data!$G$2:$G$241=$B5)*(Data!$H$2:$H$241=$A5)*(Data!$Z$2:$Z$241="Yes"),Data!$AB$2:$AB$241))</f>
        <v/>
      </c>
      <c r="J5" s="7">
        <f>AVERAGEIFS(Data!$AD$2:$AD$241,Data!$G$2:$G$241,$B5,Data!$H$2:$H$241,$A5,Data!$Z$2:$Z$241,"Yes")</f>
        <v/>
      </c>
    </row>
    <row r="6">
      <c r="A6" s="6" t="inlineStr">
        <is>
          <t>Product_TV</t>
        </is>
      </c>
      <c r="B6" s="6" t="inlineStr">
        <is>
          <t>Commercial_2_Paint</t>
        </is>
      </c>
      <c r="C6" s="7">
        <f>COUNTIFS(Data!$G$2:$G$241,$B6,Data!$H$2:$H$241,$A6,Data!$Z$2:$Z$241,"Yes")</f>
        <v/>
      </c>
      <c r="D6" s="7">
        <f>100*AVERAGEIFS(Data!$AC$2:$AC$241,Data!$G$2:$G$241,$B6,Data!$H$2:$H$241,$A6,Data!$Z$2:$Z$241,"Yes")</f>
        <v/>
      </c>
      <c r="E6" s="7">
        <f>COUNTIFS(Data!$G$2:$G$241,$B6,Data!$H$2:$H$241,$A6,Data!$Z$2:$Z$241,"Yes",Data!$S$2:$S$241,"&gt;0")</f>
        <v/>
      </c>
      <c r="F6" s="7">
        <f>AVERAGEIFS(Data!$S$2:$S$241,Data!$G$2:$G$241,$B6,Data!$H$2:$H$241,$A6,Data!$Z$2:$Z$241,"Yes")</f>
        <v/>
      </c>
      <c r="G6" s="7">
        <f t="array" ref="G6">_xlfn.STDEV.S(IF((Data!$G$2:$G$241=$B6)*(Data!$H$2:$H$241=$A6)*(Data!$Z$2:$Z$241="Yes")*ISNUMBER(Data!$S$2:$S$241),Data!$S$2:$S$241))</f>
        <v/>
      </c>
      <c r="H6" s="7">
        <f>AVERAGEIFS(Data!$AB$2:$AB$241,Data!$G$2:$G$241,$B6,Data!$H$2:$H$241,$A6,Data!$Z$2:$Z$241,"Yes")</f>
        <v/>
      </c>
      <c r="I6" s="7">
        <f t="array" ref="I6">_xlfn.STDEV.S(IF((Data!$G$2:$G$241=$B6)*(Data!$H$2:$H$241=$A6)*(Data!$Z$2:$Z$241="Yes"),Data!$AB$2:$AB$241))</f>
        <v/>
      </c>
      <c r="J6" s="7">
        <f>AVERAGEIFS(Data!$AD$2:$AD$241,Data!$G$2:$G$241,$B6,Data!$H$2:$H$241,$A6,Data!$Z$2:$Z$241,"Yes")</f>
        <v/>
      </c>
    </row>
    <row r="7">
      <c r="A7" s="6" t="inlineStr">
        <is>
          <t>Brand_Logo</t>
        </is>
      </c>
      <c r="B7" s="6" t="inlineStr">
        <is>
          <t>Commercial_1_Balls</t>
        </is>
      </c>
      <c r="C7" s="7">
        <f>COUNTIFS(Data!$G$2:$G$241,$B7,Data!$H$2:$H$241,$A7,Data!$Z$2:$Z$241,"Yes")</f>
        <v/>
      </c>
      <c r="D7" s="7">
        <f>100*AVERAGEIFS(Data!$AC$2:$AC$241,Data!$G$2:$G$241,$B7,Data!$H$2:$H$241,$A7,Data!$Z$2:$Z$241,"Yes")</f>
        <v/>
      </c>
      <c r="E7" s="7">
        <f>COUNTIFS(Data!$G$2:$G$241,$B7,Data!$H$2:$H$241,$A7,Data!$Z$2:$Z$241,"Yes",Data!$S$2:$S$241,"&gt;0")</f>
        <v/>
      </c>
      <c r="F7" s="7">
        <f>AVERAGEIFS(Data!$S$2:$S$241,Data!$G$2:$G$241,$B7,Data!$H$2:$H$241,$A7,Data!$Z$2:$Z$241,"Yes")</f>
        <v/>
      </c>
      <c r="G7" s="7">
        <f t="array" ref="G7">_xlfn.STDEV.S(IF((Data!$G$2:$G$241=$B7)*(Data!$H$2:$H$241=$A7)*(Data!$Z$2:$Z$241="Yes")*ISNUMBER(Data!$S$2:$S$241),Data!$S$2:$S$241))</f>
        <v/>
      </c>
      <c r="H7" s="7">
        <f>AVERAGEIFS(Data!$AB$2:$AB$241,Data!$G$2:$G$241,$B7,Data!$H$2:$H$241,$A7,Data!$Z$2:$Z$241,"Yes")</f>
        <v/>
      </c>
      <c r="I7" s="7">
        <f t="array" ref="I7">_xlfn.STDEV.S(IF((Data!$G$2:$G$241=$B7)*(Data!$H$2:$H$241=$A7)*(Data!$Z$2:$Z$241="Yes"),Data!$AB$2:$AB$241))</f>
        <v/>
      </c>
      <c r="J7" s="7">
        <f>AVERAGEIFS(Data!$AD$2:$AD$241,Data!$G$2:$G$241,$B7,Data!$H$2:$H$241,$A7,Data!$Z$2:$Z$241,"Yes")</f>
        <v/>
      </c>
    </row>
    <row r="8">
      <c r="A8" s="6" t="inlineStr">
        <is>
          <t>Brand_Logo</t>
        </is>
      </c>
      <c r="B8" s="6" t="inlineStr">
        <is>
          <t>Commercial_2_Paint</t>
        </is>
      </c>
      <c r="C8" s="7">
        <f>COUNTIFS(Data!$G$2:$G$241,$B8,Data!$H$2:$H$241,$A8,Data!$Z$2:$Z$241,"Yes")</f>
        <v/>
      </c>
      <c r="D8" s="7">
        <f>100*AVERAGEIFS(Data!$AC$2:$AC$241,Data!$G$2:$G$241,$B8,Data!$H$2:$H$241,$A8,Data!$Z$2:$Z$241,"Yes")</f>
        <v/>
      </c>
      <c r="E8" s="7">
        <f>COUNTIFS(Data!$G$2:$G$241,$B8,Data!$H$2:$H$241,$A8,Data!$Z$2:$Z$241,"Yes",Data!$S$2:$S$241,"&gt;0")</f>
        <v/>
      </c>
      <c r="F8" s="7">
        <f>AVERAGEIFS(Data!$S$2:$S$241,Data!$G$2:$G$241,$B8,Data!$H$2:$H$241,$A8,Data!$Z$2:$Z$241,"Yes")</f>
        <v/>
      </c>
      <c r="G8" s="7">
        <f t="array" ref="G8">_xlfn.STDEV.S(IF((Data!$G$2:$G$241=$B8)*(Data!$H$2:$H$241=$A8)*(Data!$Z$2:$Z$241="Yes")*ISNUMBER(Data!$S$2:$S$241),Data!$S$2:$S$241))</f>
        <v/>
      </c>
      <c r="H8" s="7">
        <f>AVERAGEIFS(Data!$AB$2:$AB$241,Data!$G$2:$G$241,$B8,Data!$H$2:$H$241,$A8,Data!$Z$2:$Z$241,"Yes")</f>
        <v/>
      </c>
      <c r="I8" s="7">
        <f t="array" ref="I8">_xlfn.STDEV.S(IF((Data!$G$2:$G$241=$B8)*(Data!$H$2:$H$241=$A8)*(Data!$Z$2:$Z$241="Yes"),Data!$AB$2:$AB$241))</f>
        <v/>
      </c>
      <c r="J8" s="7">
        <f>AVERAGEIFS(Data!$AD$2:$AD$241,Data!$G$2:$G$241,$B8,Data!$H$2:$H$241,$A8,Data!$Z$2:$Z$241,"Yes")</f>
        <v/>
      </c>
    </row>
    <row r="9">
      <c r="A9" s="6" t="inlineStr">
        <is>
          <t>Tagline_Text</t>
        </is>
      </c>
      <c r="B9" s="6" t="inlineStr">
        <is>
          <t>Commercial_1_Balls</t>
        </is>
      </c>
      <c r="C9" s="7">
        <f>COUNTIFS(Data!$G$2:$G$241,$B9,Data!$H$2:$H$241,$A9,Data!$Z$2:$Z$241,"Yes")</f>
        <v/>
      </c>
      <c r="D9" s="7">
        <f>100*AVERAGEIFS(Data!$AC$2:$AC$241,Data!$G$2:$G$241,$B9,Data!$H$2:$H$241,$A9,Data!$Z$2:$Z$241,"Yes")</f>
        <v/>
      </c>
      <c r="E9" s="7">
        <f>COUNTIFS(Data!$G$2:$G$241,$B9,Data!$H$2:$H$241,$A9,Data!$Z$2:$Z$241,"Yes",Data!$S$2:$S$241,"&gt;0")</f>
        <v/>
      </c>
      <c r="F9" s="7">
        <f>AVERAGEIFS(Data!$S$2:$S$241,Data!$G$2:$G$241,$B9,Data!$H$2:$H$241,$A9,Data!$Z$2:$Z$241,"Yes")</f>
        <v/>
      </c>
      <c r="G9" s="7">
        <f t="array" ref="G9">_xlfn.STDEV.S(IF((Data!$G$2:$G$241=$B9)*(Data!$H$2:$H$241=$A9)*(Data!$Z$2:$Z$241="Yes")*ISNUMBER(Data!$S$2:$S$241),Data!$S$2:$S$241))</f>
        <v/>
      </c>
      <c r="H9" s="7">
        <f>AVERAGEIFS(Data!$AB$2:$AB$241,Data!$G$2:$G$241,$B9,Data!$H$2:$H$241,$A9,Data!$Z$2:$Z$241,"Yes")</f>
        <v/>
      </c>
      <c r="I9" s="7">
        <f t="array" ref="I9">_xlfn.STDEV.S(IF((Data!$G$2:$G$241=$B9)*(Data!$H$2:$H$241=$A9)*(Data!$Z$2:$Z$241="Yes"),Data!$AB$2:$AB$241))</f>
        <v/>
      </c>
      <c r="J9" s="7">
        <f>AVERAGEIFS(Data!$AD$2:$AD$241,Data!$G$2:$G$241,$B9,Data!$H$2:$H$241,$A9,Data!$Z$2:$Z$241,"Yes")</f>
        <v/>
      </c>
    </row>
    <row r="10">
      <c r="A10" s="6" t="inlineStr">
        <is>
          <t>Tagline_Text</t>
        </is>
      </c>
      <c r="B10" s="6" t="inlineStr">
        <is>
          <t>Commercial_2_Paint</t>
        </is>
      </c>
      <c r="C10" s="7">
        <f>COUNTIFS(Data!$G$2:$G$241,$B10,Data!$H$2:$H$241,$A10,Data!$Z$2:$Z$241,"Yes")</f>
        <v/>
      </c>
      <c r="D10" s="7">
        <f>100*AVERAGEIFS(Data!$AC$2:$AC$241,Data!$G$2:$G$241,$B10,Data!$H$2:$H$241,$A10,Data!$Z$2:$Z$241,"Yes")</f>
        <v/>
      </c>
      <c r="E10" s="7">
        <f>COUNTIFS(Data!$G$2:$G$241,$B10,Data!$H$2:$H$241,$A10,Data!$Z$2:$Z$241,"Yes",Data!$S$2:$S$241,"&gt;0")</f>
        <v/>
      </c>
      <c r="F10" s="7">
        <f>AVERAGEIFS(Data!$S$2:$S$241,Data!$G$2:$G$241,$B10,Data!$H$2:$H$241,$A10,Data!$Z$2:$Z$241,"Yes")</f>
        <v/>
      </c>
      <c r="G10" s="7">
        <f t="array" ref="G10">_xlfn.STDEV.S(IF((Data!$G$2:$G$241=$B10)*(Data!$H$2:$H$241=$A10)*(Data!$Z$2:$Z$241="Yes")*ISNUMBER(Data!$S$2:$S$241),Data!$S$2:$S$241))</f>
        <v/>
      </c>
      <c r="H10" s="7">
        <f>AVERAGEIFS(Data!$AB$2:$AB$241,Data!$G$2:$G$241,$B10,Data!$H$2:$H$241,$A10,Data!$Z$2:$Z$241,"Yes")</f>
        <v/>
      </c>
      <c r="I10" s="7">
        <f t="array" ref="I10">_xlfn.STDEV.S(IF((Data!$G$2:$G$241=$B10)*(Data!$H$2:$H$241=$A10)*(Data!$Z$2:$Z$241="Yes"),Data!$AB$2:$AB$241))</f>
        <v/>
      </c>
      <c r="J10" s="7">
        <f>AVERAGEIFS(Data!$AD$2:$AD$241,Data!$G$2:$G$241,$B10,Data!$H$2:$H$241,$A10,Data!$Z$2:$Z$241,"Yes")</f>
        <v/>
      </c>
    </row>
    <row r="11">
      <c r="A11" s="6" t="inlineStr">
        <is>
          <t>Hero_Element</t>
        </is>
      </c>
      <c r="B11" s="6" t="inlineStr">
        <is>
          <t>Commercial_1_Balls</t>
        </is>
      </c>
      <c r="C11" s="7">
        <f>COUNTIFS(Data!$G$2:$G$241,$B11,Data!$H$2:$H$241,$A11,Data!$Z$2:$Z$241,"Yes")</f>
        <v/>
      </c>
      <c r="D11" s="7">
        <f>100*AVERAGEIFS(Data!$AC$2:$AC$241,Data!$G$2:$G$241,$B11,Data!$H$2:$H$241,$A11,Data!$Z$2:$Z$241,"Yes")</f>
        <v/>
      </c>
      <c r="E11" s="7">
        <f>COUNTIFS(Data!$G$2:$G$241,$B11,Data!$H$2:$H$241,$A11,Data!$Z$2:$Z$241,"Yes",Data!$S$2:$S$241,"&gt;0")</f>
        <v/>
      </c>
      <c r="F11" s="7">
        <f>AVERAGEIFS(Data!$S$2:$S$241,Data!$G$2:$G$241,$B11,Data!$H$2:$H$241,$A11,Data!$Z$2:$Z$241,"Yes")</f>
        <v/>
      </c>
      <c r="G11" s="7">
        <f t="array" ref="G11">_xlfn.STDEV.S(IF((Data!$G$2:$G$241=$B11)*(Data!$H$2:$H$241=$A11)*(Data!$Z$2:$Z$241="Yes")*ISNUMBER(Data!$S$2:$S$241),Data!$S$2:$S$241))</f>
        <v/>
      </c>
      <c r="H11" s="7">
        <f>AVERAGEIFS(Data!$AB$2:$AB$241,Data!$G$2:$G$241,$B11,Data!$H$2:$H$241,$A11,Data!$Z$2:$Z$241,"Yes")</f>
        <v/>
      </c>
      <c r="I11" s="7">
        <f t="array" ref="I11">_xlfn.STDEV.S(IF((Data!$G$2:$G$241=$B11)*(Data!$H$2:$H$241=$A11)*(Data!$Z$2:$Z$241="Yes"),Data!$AB$2:$AB$241))</f>
        <v/>
      </c>
      <c r="J11" s="7">
        <f>AVERAGEIFS(Data!$AD$2:$AD$241,Data!$G$2:$G$241,$B11,Data!$H$2:$H$241,$A11,Data!$Z$2:$Z$241,"Yes")</f>
        <v/>
      </c>
    </row>
    <row r="12">
      <c r="A12" s="6" t="inlineStr">
        <is>
          <t>Hero_Element</t>
        </is>
      </c>
      <c r="B12" s="6" t="inlineStr">
        <is>
          <t>Commercial_2_Paint</t>
        </is>
      </c>
      <c r="C12" s="7">
        <f>COUNTIFS(Data!$G$2:$G$241,$B12,Data!$H$2:$H$241,$A12,Data!$Z$2:$Z$241,"Yes")</f>
        <v/>
      </c>
      <c r="D12" s="7">
        <f>100*AVERAGEIFS(Data!$AC$2:$AC$241,Data!$G$2:$G$241,$B12,Data!$H$2:$H$241,$A12,Data!$Z$2:$Z$241,"Yes")</f>
        <v/>
      </c>
      <c r="E12" s="7">
        <f>COUNTIFS(Data!$G$2:$G$241,$B12,Data!$H$2:$H$241,$A12,Data!$Z$2:$Z$241,"Yes",Data!$S$2:$S$241,"&gt;0")</f>
        <v/>
      </c>
      <c r="F12" s="7">
        <f>AVERAGEIFS(Data!$S$2:$S$241,Data!$G$2:$G$241,$B12,Data!$H$2:$H$241,$A12,Data!$Z$2:$Z$241,"Yes")</f>
        <v/>
      </c>
      <c r="G12" s="7">
        <f t="array" ref="G12">_xlfn.STDEV.S(IF((Data!$G$2:$G$241=$B12)*(Data!$H$2:$H$241=$A12)*(Data!$Z$2:$Z$241="Yes")*ISNUMBER(Data!$S$2:$S$241),Data!$S$2:$S$241))</f>
        <v/>
      </c>
      <c r="H12" s="7">
        <f>AVERAGEIFS(Data!$AB$2:$AB$241,Data!$G$2:$G$241,$B12,Data!$H$2:$H$241,$A12,Data!$Z$2:$Z$241,"Yes")</f>
        <v/>
      </c>
      <c r="I12" s="7">
        <f t="array" ref="I12">_xlfn.STDEV.S(IF((Data!$G$2:$G$241=$B12)*(Data!$H$2:$H$241=$A12)*(Data!$Z$2:$Z$241="Yes"),Data!$AB$2:$AB$241))</f>
        <v/>
      </c>
      <c r="J12" s="7">
        <f>AVERAGEIFS(Data!$AD$2:$AD$241,Data!$G$2:$G$241,$B12,Data!$H$2:$H$241,$A12,Data!$Z$2:$Z$241,"Yes")</f>
        <v/>
      </c>
    </row>
    <row r="13"/>
    <row r="14">
      <c r="A14" s="5" t="inlineStr">
        <is>
          <t>Array formulas (columns G and I): Excel 365 evaluates them with Enter; Excel 2019 or older needs Ctrl+Shift+Enter after editing.</t>
        </is>
      </c>
    </row>
    <row r="16">
      <c r="A16" s="8" t="inlineStr">
        <is>
          <t>Chart table: mean Dwell time (%) by AOI and commercial</t>
        </is>
      </c>
    </row>
    <row r="17">
      <c r="A17" t="inlineStr">
        <is>
          <t>AOI</t>
        </is>
      </c>
      <c r="B17" t="inlineStr">
        <is>
          <t>Balls</t>
        </is>
      </c>
      <c r="C17" t="inlineStr">
        <is>
          <t>Paint</t>
        </is>
      </c>
    </row>
    <row r="18">
      <c r="A18" t="inlineStr">
        <is>
          <t>Product_TV</t>
        </is>
      </c>
      <c r="B18" s="9">
        <f>H5</f>
        <v/>
      </c>
      <c r="C18" s="9">
        <f>H6</f>
        <v/>
      </c>
    </row>
    <row r="19">
      <c r="A19" t="inlineStr">
        <is>
          <t>Brand_Logo</t>
        </is>
      </c>
      <c r="B19" s="9">
        <f>H7</f>
        <v/>
      </c>
      <c r="C19" s="9">
        <f>H8</f>
        <v/>
      </c>
    </row>
    <row r="20">
      <c r="A20" t="inlineStr">
        <is>
          <t>Tagline_Text</t>
        </is>
      </c>
      <c r="B20" s="9">
        <f>H9</f>
        <v/>
      </c>
      <c r="C20" s="9">
        <f>H10</f>
        <v/>
      </c>
    </row>
    <row r="21">
      <c r="A21" t="inlineStr">
        <is>
          <t>Hero_Element</t>
        </is>
      </c>
      <c r="B21" s="9">
        <f>H11</f>
        <v/>
      </c>
      <c r="C21" s="9">
        <f>H12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0" customWidth="1" min="4" max="4"/>
    <col width="20" customWidth="1" min="5" max="5"/>
    <col width="26" customWidth="1" min="6" max="6"/>
    <col width="11" customWidth="1" min="7" max="7"/>
    <col width="3" customWidth="1" min="8" max="8"/>
    <col width="54" customWidth="1" min="9" max="9"/>
    <col width="12" customWidth="1" min="10" max="10"/>
    <col width="72" customWidth="1" min="11" max="11"/>
    <col width="62" customWidth="1" min="12" max="12"/>
  </cols>
  <sheetData>
    <row r="1">
      <c r="A1" s="4" t="inlineStr">
        <is>
          <t>H1. Product_TV Dwell time (%), Balls versus Paint, kept respondents. SIMULATED data.</t>
        </is>
      </c>
    </row>
    <row r="2">
      <c r="A2" s="5" t="inlineStr">
        <is>
          <t>One row per kept respondent. Columns D and E pull the two dwell shares from the Data sheet with SUMIFS (each respondent has exactly one Product_TV row per commercial). Difference is Paint minus Balls.</t>
        </is>
      </c>
    </row>
    <row r="4">
      <c r="A4" s="2" t="inlineStr">
        <is>
          <t>Respondent Name</t>
        </is>
      </c>
      <c r="B4" s="2" t="inlineStr">
        <is>
          <t>Group (order)</t>
        </is>
      </c>
      <c r="C4" s="2" t="inlineStr">
        <is>
          <t>Valid data</t>
        </is>
      </c>
      <c r="D4" s="2" t="inlineStr">
        <is>
          <t>Balls Dwell time (%)</t>
        </is>
      </c>
      <c r="E4" s="2" t="inlineStr">
        <is>
          <t>Paint Dwell time (%)</t>
        </is>
      </c>
      <c r="F4" s="2" t="inlineStr">
        <is>
          <t>Difference (Paint minus Balls)</t>
        </is>
      </c>
      <c r="G4" s="2" t="inlineStr">
        <is>
          <t>Paint seen</t>
        </is>
      </c>
      <c r="I4" s="10" t="inlineStr">
        <is>
          <t>Statistic</t>
        </is>
      </c>
      <c r="J4" s="10" t="inlineStr">
        <is>
          <t>Value</t>
        </is>
      </c>
      <c r="K4" s="10" t="inlineStr">
        <is>
          <t>Formula shown</t>
        </is>
      </c>
      <c r="L4" s="10" t="inlineStr">
        <is>
          <t>Note</t>
        </is>
      </c>
    </row>
    <row r="5">
      <c r="A5" s="6" t="inlineStr">
        <is>
          <t>R01</t>
        </is>
      </c>
      <c r="B5" s="6">
        <f>INDEX(Data!$E$2:$E$241,MATCH($A5,Data!$B$2:$B$241,0))</f>
        <v/>
      </c>
      <c r="C5" s="6">
        <f>INDEX(Data!$L$2:$L$241,MATCH($A5,Data!$B$2:$B$241,0))</f>
        <v/>
      </c>
      <c r="D5" s="7">
        <f>SUMIFS(Data!$AB$2:$AB$241,Data!$B$2:$B$241,$A5,Data!$H$2:$H$241,"Product_TV",Data!$G$2:$G$241,"Commercial_1_Balls")</f>
        <v/>
      </c>
      <c r="E5" s="7">
        <f>SUMIFS(Data!$AB$2:$AB$241,Data!$B$2:$B$241,$A5,Data!$H$2:$H$241,"Product_TV",Data!$G$2:$G$241,"Commercial_2_Paint")</f>
        <v/>
      </c>
      <c r="F5" s="7">
        <f>E5-D5</f>
        <v/>
      </c>
      <c r="G5" s="6">
        <f>IF(B5="A","second","first")</f>
        <v/>
      </c>
      <c r="I5" s="11" t="inlineStr">
        <is>
          <t>Paired t test and d_z: Product_TV Dwell time (%)</t>
        </is>
      </c>
    </row>
    <row r="6">
      <c r="A6" s="6" t="inlineStr">
        <is>
          <t>R02</t>
        </is>
      </c>
      <c r="B6" s="6">
        <f>INDEX(Data!$E$2:$E$241,MATCH($A6,Data!$B$2:$B$241,0))</f>
        <v/>
      </c>
      <c r="C6" s="6">
        <f>INDEX(Data!$L$2:$L$241,MATCH($A6,Data!$B$2:$B$241,0))</f>
        <v/>
      </c>
      <c r="D6" s="7">
        <f>SUMIFS(Data!$AB$2:$AB$241,Data!$B$2:$B$241,$A6,Data!$H$2:$H$241,"Product_TV",Data!$G$2:$G$241,"Commercial_1_Balls")</f>
        <v/>
      </c>
      <c r="E6" s="7">
        <f>SUMIFS(Data!$AB$2:$AB$241,Data!$B$2:$B$241,$A6,Data!$H$2:$H$241,"Product_TV",Data!$G$2:$G$241,"Commercial_2_Paint")</f>
        <v/>
      </c>
      <c r="F6" s="7">
        <f>E6-D6</f>
        <v/>
      </c>
      <c r="G6" s="6">
        <f>IF(B6="A","second","first")</f>
        <v/>
      </c>
      <c r="I6" t="inlineStr">
        <is>
          <t>Balls mean (%)</t>
        </is>
      </c>
      <c r="J6" s="12">
        <f>AVERAGE(D5:D33)</f>
        <v/>
      </c>
      <c r="K6" s="13" t="inlineStr">
        <is>
          <t>=AVERAGE(D5:D33)</t>
        </is>
      </c>
      <c r="L6" s="5" t="inlineStr">
        <is>
          <t>AVERAGE of the Balls column</t>
        </is>
      </c>
    </row>
    <row r="7">
      <c r="A7" s="6" t="inlineStr">
        <is>
          <t>R03</t>
        </is>
      </c>
      <c r="B7" s="6">
        <f>INDEX(Data!$E$2:$E$241,MATCH($A7,Data!$B$2:$B$241,0))</f>
        <v/>
      </c>
      <c r="C7" s="6">
        <f>INDEX(Data!$L$2:$L$241,MATCH($A7,Data!$B$2:$B$241,0))</f>
        <v/>
      </c>
      <c r="D7" s="7">
        <f>SUMIFS(Data!$AB$2:$AB$241,Data!$B$2:$B$241,$A7,Data!$H$2:$H$241,"Product_TV",Data!$G$2:$G$241,"Commercial_1_Balls")</f>
        <v/>
      </c>
      <c r="E7" s="7">
        <f>SUMIFS(Data!$AB$2:$AB$241,Data!$B$2:$B$241,$A7,Data!$H$2:$H$241,"Product_TV",Data!$G$2:$G$241,"Commercial_2_Paint")</f>
        <v/>
      </c>
      <c r="F7" s="7">
        <f>E7-D7</f>
        <v/>
      </c>
      <c r="G7" s="6">
        <f>IF(B7="A","second","first")</f>
        <v/>
      </c>
      <c r="I7" t="inlineStr">
        <is>
          <t>Balls SD (%)</t>
        </is>
      </c>
      <c r="J7" s="12">
        <f>_xlfn.STDEV.S(D5:D33)</f>
        <v/>
      </c>
      <c r="K7" s="13" t="inlineStr">
        <is>
          <t>=STDEV.S(D5:D33)</t>
        </is>
      </c>
      <c r="L7" s="5" t="inlineStr">
        <is>
          <t>STDEV.S = sample standard deviation</t>
        </is>
      </c>
    </row>
    <row r="8">
      <c r="A8" s="6" t="inlineStr">
        <is>
          <t>R04</t>
        </is>
      </c>
      <c r="B8" s="6">
        <f>INDEX(Data!$E$2:$E$241,MATCH($A8,Data!$B$2:$B$241,0))</f>
        <v/>
      </c>
      <c r="C8" s="6">
        <f>INDEX(Data!$L$2:$L$241,MATCH($A8,Data!$B$2:$B$241,0))</f>
        <v/>
      </c>
      <c r="D8" s="7">
        <f>SUMIFS(Data!$AB$2:$AB$241,Data!$B$2:$B$241,$A8,Data!$H$2:$H$241,"Product_TV",Data!$G$2:$G$241,"Commercial_1_Balls")</f>
        <v/>
      </c>
      <c r="E8" s="7">
        <f>SUMIFS(Data!$AB$2:$AB$241,Data!$B$2:$B$241,$A8,Data!$H$2:$H$241,"Product_TV",Data!$G$2:$G$241,"Commercial_2_Paint")</f>
        <v/>
      </c>
      <c r="F8" s="7">
        <f>E8-D8</f>
        <v/>
      </c>
      <c r="G8" s="6">
        <f>IF(B8="A","second","first")</f>
        <v/>
      </c>
      <c r="I8" t="inlineStr">
        <is>
          <t>Paint mean (%)</t>
        </is>
      </c>
      <c r="J8" s="12">
        <f>AVERAGE(E5:E33)</f>
        <v/>
      </c>
      <c r="K8" s="13" t="inlineStr">
        <is>
          <t>=AVERAGE(E5:E33)</t>
        </is>
      </c>
    </row>
    <row r="9">
      <c r="A9" s="6" t="inlineStr">
        <is>
          <t>R05</t>
        </is>
      </c>
      <c r="B9" s="6">
        <f>INDEX(Data!$E$2:$E$241,MATCH($A9,Data!$B$2:$B$241,0))</f>
        <v/>
      </c>
      <c r="C9" s="6">
        <f>INDEX(Data!$L$2:$L$241,MATCH($A9,Data!$B$2:$B$241,0))</f>
        <v/>
      </c>
      <c r="D9" s="7">
        <f>SUMIFS(Data!$AB$2:$AB$241,Data!$B$2:$B$241,$A9,Data!$H$2:$H$241,"Product_TV",Data!$G$2:$G$241,"Commercial_1_Balls")</f>
        <v/>
      </c>
      <c r="E9" s="7">
        <f>SUMIFS(Data!$AB$2:$AB$241,Data!$B$2:$B$241,$A9,Data!$H$2:$H$241,"Product_TV",Data!$G$2:$G$241,"Commercial_2_Paint")</f>
        <v/>
      </c>
      <c r="F9" s="7">
        <f>E9-D9</f>
        <v/>
      </c>
      <c r="G9" s="6">
        <f>IF(B9="A","second","first")</f>
        <v/>
      </c>
      <c r="I9" t="inlineStr">
        <is>
          <t>Paint SD (%)</t>
        </is>
      </c>
      <c r="J9" s="12">
        <f>_xlfn.STDEV.S(E5:E33)</f>
        <v/>
      </c>
      <c r="K9" s="13" t="inlineStr">
        <is>
          <t>=STDEV.S(E5:E33)</t>
        </is>
      </c>
    </row>
    <row r="10">
      <c r="A10" s="6" t="inlineStr">
        <is>
          <t>R06</t>
        </is>
      </c>
      <c r="B10" s="6">
        <f>INDEX(Data!$E$2:$E$241,MATCH($A10,Data!$B$2:$B$241,0))</f>
        <v/>
      </c>
      <c r="C10" s="6">
        <f>INDEX(Data!$L$2:$L$241,MATCH($A10,Data!$B$2:$B$241,0))</f>
        <v/>
      </c>
      <c r="D10" s="7">
        <f>SUMIFS(Data!$AB$2:$AB$241,Data!$B$2:$B$241,$A10,Data!$H$2:$H$241,"Product_TV",Data!$G$2:$G$241,"Commercial_1_Balls")</f>
        <v/>
      </c>
      <c r="E10" s="7">
        <f>SUMIFS(Data!$AB$2:$AB$241,Data!$B$2:$B$241,$A10,Data!$H$2:$H$241,"Product_TV",Data!$G$2:$G$241,"Commercial_2_Paint")</f>
        <v/>
      </c>
      <c r="F10" s="7">
        <f>E10-D10</f>
        <v/>
      </c>
      <c r="G10" s="6">
        <f>IF(B10="A","second","first")</f>
        <v/>
      </c>
      <c r="I10" t="inlineStr">
        <is>
          <t>n pairs</t>
        </is>
      </c>
      <c r="J10" s="14">
        <f>COUNT(F5:F33)</f>
        <v/>
      </c>
      <c r="K10" s="13" t="inlineStr">
        <is>
          <t>=COUNT(F5:F33)</t>
        </is>
      </c>
      <c r="L10" s="5" t="inlineStr">
        <is>
          <t>COUNT of the difference column; must equal the check row below</t>
        </is>
      </c>
    </row>
    <row r="11">
      <c r="A11" s="6" t="inlineStr">
        <is>
          <t>R07</t>
        </is>
      </c>
      <c r="B11" s="6">
        <f>INDEX(Data!$E$2:$E$241,MATCH($A11,Data!$B$2:$B$241,0))</f>
        <v/>
      </c>
      <c r="C11" s="6">
        <f>INDEX(Data!$L$2:$L$241,MATCH($A11,Data!$B$2:$B$241,0))</f>
        <v/>
      </c>
      <c r="D11" s="7">
        <f>SUMIFS(Data!$AB$2:$AB$241,Data!$B$2:$B$241,$A11,Data!$H$2:$H$241,"Product_TV",Data!$G$2:$G$241,"Commercial_1_Balls")</f>
        <v/>
      </c>
      <c r="E11" s="7">
        <f>SUMIFS(Data!$AB$2:$AB$241,Data!$B$2:$B$241,$A11,Data!$H$2:$H$241,"Product_TV",Data!$G$2:$G$241,"Commercial_2_Paint")</f>
        <v/>
      </c>
      <c r="F11" s="7">
        <f>E11-D11</f>
        <v/>
      </c>
      <c r="G11" s="6">
        <f>IF(B11="A","second","first")</f>
        <v/>
      </c>
      <c r="I11" t="inlineStr">
        <is>
          <t>Mean difference, Paint minus Balls (%)</t>
        </is>
      </c>
      <c r="J11" s="12">
        <f>AVERAGE(F5:F33)</f>
        <v/>
      </c>
      <c r="K11" s="13" t="inlineStr">
        <is>
          <t>=AVERAGE(F5:F33)</t>
        </is>
      </c>
    </row>
    <row r="12">
      <c r="A12" s="6" t="inlineStr">
        <is>
          <t>R08</t>
        </is>
      </c>
      <c r="B12" s="6">
        <f>INDEX(Data!$E$2:$E$241,MATCH($A12,Data!$B$2:$B$241,0))</f>
        <v/>
      </c>
      <c r="C12" s="6">
        <f>INDEX(Data!$L$2:$L$241,MATCH($A12,Data!$B$2:$B$241,0))</f>
        <v/>
      </c>
      <c r="D12" s="7">
        <f>SUMIFS(Data!$AB$2:$AB$241,Data!$B$2:$B$241,$A12,Data!$H$2:$H$241,"Product_TV",Data!$G$2:$G$241,"Commercial_1_Balls")</f>
        <v/>
      </c>
      <c r="E12" s="7">
        <f>SUMIFS(Data!$AB$2:$AB$241,Data!$B$2:$B$241,$A12,Data!$H$2:$H$241,"Product_TV",Data!$G$2:$G$241,"Commercial_2_Paint")</f>
        <v/>
      </c>
      <c r="F12" s="7">
        <f>E12-D12</f>
        <v/>
      </c>
      <c r="G12" s="6">
        <f>IF(B12="A","second","first")</f>
        <v/>
      </c>
      <c r="I12" t="inlineStr">
        <is>
          <t>SD of the differences (%)</t>
        </is>
      </c>
      <c r="J12" s="12">
        <f>_xlfn.STDEV.S(F5:F33)</f>
        <v/>
      </c>
      <c r="K12" s="13" t="inlineStr">
        <is>
          <t>=STDEV.S(F5:F33)</t>
        </is>
      </c>
      <c r="L12" s="5" t="inlineStr">
        <is>
          <t>the SD that matters in a paired test</t>
        </is>
      </c>
    </row>
    <row r="13">
      <c r="A13" s="6" t="inlineStr">
        <is>
          <t>R09</t>
        </is>
      </c>
      <c r="B13" s="6">
        <f>INDEX(Data!$E$2:$E$241,MATCH($A13,Data!$B$2:$B$241,0))</f>
        <v/>
      </c>
      <c r="C13" s="6">
        <f>INDEX(Data!$L$2:$L$241,MATCH($A13,Data!$B$2:$B$241,0))</f>
        <v/>
      </c>
      <c r="D13" s="7">
        <f>SUMIFS(Data!$AB$2:$AB$241,Data!$B$2:$B$241,$A13,Data!$H$2:$H$241,"Product_TV",Data!$G$2:$G$241,"Commercial_1_Balls")</f>
        <v/>
      </c>
      <c r="E13" s="7">
        <f>SUMIFS(Data!$AB$2:$AB$241,Data!$B$2:$B$241,$A13,Data!$H$2:$H$241,"Product_TV",Data!$G$2:$G$241,"Commercial_2_Paint")</f>
        <v/>
      </c>
      <c r="F13" s="7">
        <f>E13-D13</f>
        <v/>
      </c>
      <c r="G13" s="6">
        <f>IF(B13="A","second","first")</f>
        <v/>
      </c>
      <c r="I13" t="inlineStr">
        <is>
          <t>SE of the mean difference</t>
        </is>
      </c>
      <c r="J13" s="12">
        <f>J12/SQRT(J10)</f>
        <v/>
      </c>
      <c r="K13" s="13" t="inlineStr">
        <is>
          <t>=J12/SQRT(J10)</t>
        </is>
      </c>
      <c r="L13" s="5" t="inlineStr">
        <is>
          <t>SD of differences / sqrt(n)</t>
        </is>
      </c>
    </row>
    <row r="14">
      <c r="A14" s="6" t="inlineStr">
        <is>
          <t>R10</t>
        </is>
      </c>
      <c r="B14" s="6">
        <f>INDEX(Data!$E$2:$E$241,MATCH($A14,Data!$B$2:$B$241,0))</f>
        <v/>
      </c>
      <c r="C14" s="6">
        <f>INDEX(Data!$L$2:$L$241,MATCH($A14,Data!$B$2:$B$241,0))</f>
        <v/>
      </c>
      <c r="D14" s="7">
        <f>SUMIFS(Data!$AB$2:$AB$241,Data!$B$2:$B$241,$A14,Data!$H$2:$H$241,"Product_TV",Data!$G$2:$G$241,"Commercial_1_Balls")</f>
        <v/>
      </c>
      <c r="E14" s="7">
        <f>SUMIFS(Data!$AB$2:$AB$241,Data!$B$2:$B$241,$A14,Data!$H$2:$H$241,"Product_TV",Data!$G$2:$G$241,"Commercial_2_Paint")</f>
        <v/>
      </c>
      <c r="F14" s="7">
        <f>E14-D14</f>
        <v/>
      </c>
      <c r="G14" s="6">
        <f>IF(B14="A","second","first")</f>
        <v/>
      </c>
      <c r="I14" t="inlineStr">
        <is>
          <t>Paired t</t>
        </is>
      </c>
      <c r="J14" s="12">
        <f>J11/J13</f>
        <v/>
      </c>
      <c r="K14" s="13" t="inlineStr">
        <is>
          <t>=J11/J13</t>
        </is>
      </c>
      <c r="L14" s="5" t="inlineStr">
        <is>
          <t>t = mean difference / SE</t>
        </is>
      </c>
    </row>
    <row r="15">
      <c r="A15" s="6" t="inlineStr">
        <is>
          <t>R11</t>
        </is>
      </c>
      <c r="B15" s="6">
        <f>INDEX(Data!$E$2:$E$241,MATCH($A15,Data!$B$2:$B$241,0))</f>
        <v/>
      </c>
      <c r="C15" s="6">
        <f>INDEX(Data!$L$2:$L$241,MATCH($A15,Data!$B$2:$B$241,0))</f>
        <v/>
      </c>
      <c r="D15" s="7">
        <f>SUMIFS(Data!$AB$2:$AB$241,Data!$B$2:$B$241,$A15,Data!$H$2:$H$241,"Product_TV",Data!$G$2:$G$241,"Commercial_1_Balls")</f>
        <v/>
      </c>
      <c r="E15" s="7">
        <f>SUMIFS(Data!$AB$2:$AB$241,Data!$B$2:$B$241,$A15,Data!$H$2:$H$241,"Product_TV",Data!$G$2:$G$241,"Commercial_2_Paint")</f>
        <v/>
      </c>
      <c r="F15" s="7">
        <f>E15-D15</f>
        <v/>
      </c>
      <c r="G15" s="6">
        <f>IF(B15="A","second","first")</f>
        <v/>
      </c>
      <c r="I15" t="inlineStr">
        <is>
          <t>df</t>
        </is>
      </c>
      <c r="J15" s="14">
        <f>J10-1</f>
        <v/>
      </c>
      <c r="K15" s="13" t="inlineStr">
        <is>
          <t>=J10-1</t>
        </is>
      </c>
      <c r="L15" s="5" t="inlineStr">
        <is>
          <t>n pairs minus 1</t>
        </is>
      </c>
    </row>
    <row r="16">
      <c r="A16" s="6" t="inlineStr">
        <is>
          <t>R12</t>
        </is>
      </c>
      <c r="B16" s="6">
        <f>INDEX(Data!$E$2:$E$241,MATCH($A16,Data!$B$2:$B$241,0))</f>
        <v/>
      </c>
      <c r="C16" s="6">
        <f>INDEX(Data!$L$2:$L$241,MATCH($A16,Data!$B$2:$B$241,0))</f>
        <v/>
      </c>
      <c r="D16" s="7">
        <f>SUMIFS(Data!$AB$2:$AB$241,Data!$B$2:$B$241,$A16,Data!$H$2:$H$241,"Product_TV",Data!$G$2:$G$241,"Commercial_1_Balls")</f>
        <v/>
      </c>
      <c r="E16" s="7">
        <f>SUMIFS(Data!$AB$2:$AB$241,Data!$B$2:$B$241,$A16,Data!$H$2:$H$241,"Product_TV",Data!$G$2:$G$241,"Commercial_2_Paint")</f>
        <v/>
      </c>
      <c r="F16" s="7">
        <f>E16-D16</f>
        <v/>
      </c>
      <c r="G16" s="6">
        <f>IF(B16="A","second","first")</f>
        <v/>
      </c>
      <c r="I16" t="inlineStr">
        <is>
          <t>p, two tailed (T.TEST type 1)</t>
        </is>
      </c>
      <c r="J16" s="15">
        <f>_xlfn.T.TEST(D5:D33,E5:E33,2,1)</f>
        <v/>
      </c>
      <c r="K16" s="13" t="inlineStr">
        <is>
          <t>=T.TEST(D5:D33,E5:E33,2,1)</t>
        </is>
      </c>
      <c r="L16" s="5" t="inlineStr">
        <is>
          <t>tails = 2, type = 1 means paired</t>
        </is>
      </c>
    </row>
    <row r="17">
      <c r="A17" s="6" t="inlineStr">
        <is>
          <t>R13</t>
        </is>
      </c>
      <c r="B17" s="6">
        <f>INDEX(Data!$E$2:$E$241,MATCH($A17,Data!$B$2:$B$241,0))</f>
        <v/>
      </c>
      <c r="C17" s="6">
        <f>INDEX(Data!$L$2:$L$241,MATCH($A17,Data!$B$2:$B$241,0))</f>
        <v/>
      </c>
      <c r="D17" s="7">
        <f>SUMIFS(Data!$AB$2:$AB$241,Data!$B$2:$B$241,$A17,Data!$H$2:$H$241,"Product_TV",Data!$G$2:$G$241,"Commercial_1_Balls")</f>
        <v/>
      </c>
      <c r="E17" s="7">
        <f>SUMIFS(Data!$AB$2:$AB$241,Data!$B$2:$B$241,$A17,Data!$H$2:$H$241,"Product_TV",Data!$G$2:$G$241,"Commercial_2_Paint")</f>
        <v/>
      </c>
      <c r="F17" s="7">
        <f>E17-D17</f>
        <v/>
      </c>
      <c r="G17" s="6">
        <f>IF(B17="A","second","first")</f>
        <v/>
      </c>
      <c r="I17" t="inlineStr">
        <is>
          <t>p from the hand computed t</t>
        </is>
      </c>
      <c r="J17" s="15">
        <f>_xlfn.T.DIST.2T(ABS(J14),J15)</f>
        <v/>
      </c>
      <c r="K17" s="13" t="inlineStr">
        <is>
          <t>=T.DIST.2T(ABS(J14),J15)</t>
        </is>
      </c>
      <c r="L17" s="5" t="inlineStr">
        <is>
          <t>should match the T.TEST cell</t>
        </is>
      </c>
    </row>
    <row r="18">
      <c r="A18" s="6" t="inlineStr">
        <is>
          <t>R14</t>
        </is>
      </c>
      <c r="B18" s="6">
        <f>INDEX(Data!$E$2:$E$241,MATCH($A18,Data!$B$2:$B$241,0))</f>
        <v/>
      </c>
      <c r="C18" s="6">
        <f>INDEX(Data!$L$2:$L$241,MATCH($A18,Data!$B$2:$B$241,0))</f>
        <v/>
      </c>
      <c r="D18" s="7">
        <f>SUMIFS(Data!$AB$2:$AB$241,Data!$B$2:$B$241,$A18,Data!$H$2:$H$241,"Product_TV",Data!$G$2:$G$241,"Commercial_1_Balls")</f>
        <v/>
      </c>
      <c r="E18" s="7">
        <f>SUMIFS(Data!$AB$2:$AB$241,Data!$B$2:$B$241,$A18,Data!$H$2:$H$241,"Product_TV",Data!$G$2:$G$241,"Commercial_2_Paint")</f>
        <v/>
      </c>
      <c r="F18" s="7">
        <f>E18-D18</f>
        <v/>
      </c>
      <c r="G18" s="6">
        <f>IF(B18="A","second","first")</f>
        <v/>
      </c>
      <c r="I18" t="inlineStr">
        <is>
          <t>Critical t (95%)</t>
        </is>
      </c>
      <c r="J18" s="12">
        <f>_xlfn.T.INV.2T(0.05,J15)</f>
        <v/>
      </c>
      <c r="K18" s="13" t="inlineStr">
        <is>
          <t>=T.INV.2T(0.05,J15)</t>
        </is>
      </c>
      <c r="L18" s="5" t="inlineStr">
        <is>
          <t>two tailed, alpha = .05</t>
        </is>
      </c>
    </row>
    <row r="19">
      <c r="A19" s="6" t="inlineStr">
        <is>
          <t>R15</t>
        </is>
      </c>
      <c r="B19" s="6">
        <f>INDEX(Data!$E$2:$E$241,MATCH($A19,Data!$B$2:$B$241,0))</f>
        <v/>
      </c>
      <c r="C19" s="6">
        <f>INDEX(Data!$L$2:$L$241,MATCH($A19,Data!$B$2:$B$241,0))</f>
        <v/>
      </c>
      <c r="D19" s="7">
        <f>SUMIFS(Data!$AB$2:$AB$241,Data!$B$2:$B$241,$A19,Data!$H$2:$H$241,"Product_TV",Data!$G$2:$G$241,"Commercial_1_Balls")</f>
        <v/>
      </c>
      <c r="E19" s="7">
        <f>SUMIFS(Data!$AB$2:$AB$241,Data!$B$2:$B$241,$A19,Data!$H$2:$H$241,"Product_TV",Data!$G$2:$G$241,"Commercial_2_Paint")</f>
        <v/>
      </c>
      <c r="F19" s="7">
        <f>E19-D19</f>
        <v/>
      </c>
      <c r="G19" s="6">
        <f>IF(B19="A","second","first")</f>
        <v/>
      </c>
      <c r="I19" t="inlineStr">
        <is>
          <t>Mean difference 95% CI lower</t>
        </is>
      </c>
      <c r="J19" s="12">
        <f>J11-J18*J13</f>
        <v/>
      </c>
      <c r="K19" s="13" t="inlineStr">
        <is>
          <t>=J11-J18*J13</t>
        </is>
      </c>
    </row>
    <row r="20">
      <c r="A20" s="6" t="inlineStr">
        <is>
          <t>R16</t>
        </is>
      </c>
      <c r="B20" s="6">
        <f>INDEX(Data!$E$2:$E$241,MATCH($A20,Data!$B$2:$B$241,0))</f>
        <v/>
      </c>
      <c r="C20" s="6">
        <f>INDEX(Data!$L$2:$L$241,MATCH($A20,Data!$B$2:$B$241,0))</f>
        <v/>
      </c>
      <c r="D20" s="7">
        <f>SUMIFS(Data!$AB$2:$AB$241,Data!$B$2:$B$241,$A20,Data!$H$2:$H$241,"Product_TV",Data!$G$2:$G$241,"Commercial_1_Balls")</f>
        <v/>
      </c>
      <c r="E20" s="7">
        <f>SUMIFS(Data!$AB$2:$AB$241,Data!$B$2:$B$241,$A20,Data!$H$2:$H$241,"Product_TV",Data!$G$2:$G$241,"Commercial_2_Paint")</f>
        <v/>
      </c>
      <c r="F20" s="7">
        <f>E20-D20</f>
        <v/>
      </c>
      <c r="G20" s="6">
        <f>IF(B20="A","second","first")</f>
        <v/>
      </c>
      <c r="I20" t="inlineStr">
        <is>
          <t>Mean difference 95% CI upper</t>
        </is>
      </c>
      <c r="J20" s="12">
        <f>J11+J18*J13</f>
        <v/>
      </c>
      <c r="K20" s="13" t="inlineStr">
        <is>
          <t>=J11+J18*J13</t>
        </is>
      </c>
    </row>
    <row r="21">
      <c r="A21" s="6" t="inlineStr">
        <is>
          <t>R17</t>
        </is>
      </c>
      <c r="B21" s="6">
        <f>INDEX(Data!$E$2:$E$241,MATCH($A21,Data!$B$2:$B$241,0))</f>
        <v/>
      </c>
      <c r="C21" s="6">
        <f>INDEX(Data!$L$2:$L$241,MATCH($A21,Data!$B$2:$B$241,0))</f>
        <v/>
      </c>
      <c r="D21" s="7">
        <f>SUMIFS(Data!$AB$2:$AB$241,Data!$B$2:$B$241,$A21,Data!$H$2:$H$241,"Product_TV",Data!$G$2:$G$241,"Commercial_1_Balls")</f>
        <v/>
      </c>
      <c r="E21" s="7">
        <f>SUMIFS(Data!$AB$2:$AB$241,Data!$B$2:$B$241,$A21,Data!$H$2:$H$241,"Product_TV",Data!$G$2:$G$241,"Commercial_2_Paint")</f>
        <v/>
      </c>
      <c r="F21" s="7">
        <f>E21-D21</f>
        <v/>
      </c>
      <c r="G21" s="6">
        <f>IF(B21="A","second","first")</f>
        <v/>
      </c>
      <c r="I21" t="inlineStr">
        <is>
          <t>Cohen's d_z</t>
        </is>
      </c>
      <c r="J21" s="12">
        <f>J11/J12</f>
        <v/>
      </c>
      <c r="K21" s="13" t="inlineStr">
        <is>
          <t>=J11/J12</t>
        </is>
      </c>
      <c r="L21" s="5" t="inlineStr">
        <is>
          <t>d_z = mean difference / SD of differences</t>
        </is>
      </c>
    </row>
    <row r="22">
      <c r="A22" s="6" t="inlineStr">
        <is>
          <t>R18</t>
        </is>
      </c>
      <c r="B22" s="6">
        <f>INDEX(Data!$E$2:$E$241,MATCH($A22,Data!$B$2:$B$241,0))</f>
        <v/>
      </c>
      <c r="C22" s="6">
        <f>INDEX(Data!$L$2:$L$241,MATCH($A22,Data!$B$2:$B$241,0))</f>
        <v/>
      </c>
      <c r="D22" s="7">
        <f>SUMIFS(Data!$AB$2:$AB$241,Data!$B$2:$B$241,$A22,Data!$H$2:$H$241,"Product_TV",Data!$G$2:$G$241,"Commercial_1_Balls")</f>
        <v/>
      </c>
      <c r="E22" s="7">
        <f>SUMIFS(Data!$AB$2:$AB$241,Data!$B$2:$B$241,$A22,Data!$H$2:$H$241,"Product_TV",Data!$G$2:$G$241,"Commercial_2_Paint")</f>
        <v/>
      </c>
      <c r="F22" s="7">
        <f>E22-D22</f>
        <v/>
      </c>
      <c r="G22" s="6">
        <f>IF(B22="A","second","first")</f>
        <v/>
      </c>
      <c r="I22" t="inlineStr">
        <is>
          <t>SE of d_z (approximation)</t>
        </is>
      </c>
      <c r="J22" s="12">
        <f>SQRT(1/J10+J21^2/(2*J10))</f>
        <v/>
      </c>
      <c r="K22" s="13" t="inlineStr">
        <is>
          <t>=SQRT(1/J10+J21^2/(2*J10))</t>
        </is>
      </c>
      <c r="L22" s="5" t="inlineStr">
        <is>
          <t>sqrt(1/n + d_z^2 / (2 n))</t>
        </is>
      </c>
    </row>
    <row r="23">
      <c r="A23" s="6" t="inlineStr">
        <is>
          <t>R19</t>
        </is>
      </c>
      <c r="B23" s="6">
        <f>INDEX(Data!$E$2:$E$241,MATCH($A23,Data!$B$2:$B$241,0))</f>
        <v/>
      </c>
      <c r="C23" s="6">
        <f>INDEX(Data!$L$2:$L$241,MATCH($A23,Data!$B$2:$B$241,0))</f>
        <v/>
      </c>
      <c r="D23" s="7">
        <f>SUMIFS(Data!$AB$2:$AB$241,Data!$B$2:$B$241,$A23,Data!$H$2:$H$241,"Product_TV",Data!$G$2:$G$241,"Commercial_1_Balls")</f>
        <v/>
      </c>
      <c r="E23" s="7">
        <f>SUMIFS(Data!$AB$2:$AB$241,Data!$B$2:$B$241,$A23,Data!$H$2:$H$241,"Product_TV",Data!$G$2:$G$241,"Commercial_2_Paint")</f>
        <v/>
      </c>
      <c r="F23" s="7">
        <f>E23-D23</f>
        <v/>
      </c>
      <c r="G23" s="6">
        <f>IF(B23="A","second","first")</f>
        <v/>
      </c>
      <c r="I23" t="inlineStr">
        <is>
          <t>d_z 95% CI lower</t>
        </is>
      </c>
      <c r="J23" s="12">
        <f>J21-1.96*J22</f>
        <v/>
      </c>
      <c r="K23" s="13" t="inlineStr">
        <is>
          <t>=J21-1.96*J22</t>
        </is>
      </c>
      <c r="L23" s="5" t="inlineStr">
        <is>
          <t>large sample approximation; R uses the noncentral t interval</t>
        </is>
      </c>
    </row>
    <row r="24">
      <c r="A24" s="6" t="inlineStr">
        <is>
          <t>R20</t>
        </is>
      </c>
      <c r="B24" s="6">
        <f>INDEX(Data!$E$2:$E$241,MATCH($A24,Data!$B$2:$B$241,0))</f>
        <v/>
      </c>
      <c r="C24" s="6">
        <f>INDEX(Data!$L$2:$L$241,MATCH($A24,Data!$B$2:$B$241,0))</f>
        <v/>
      </c>
      <c r="D24" s="7">
        <f>SUMIFS(Data!$AB$2:$AB$241,Data!$B$2:$B$241,$A24,Data!$H$2:$H$241,"Product_TV",Data!$G$2:$G$241,"Commercial_1_Balls")</f>
        <v/>
      </c>
      <c r="E24" s="7">
        <f>SUMIFS(Data!$AB$2:$AB$241,Data!$B$2:$B$241,$A24,Data!$H$2:$H$241,"Product_TV",Data!$G$2:$G$241,"Commercial_2_Paint")</f>
        <v/>
      </c>
      <c r="F24" s="7">
        <f>E24-D24</f>
        <v/>
      </c>
      <c r="G24" s="6">
        <f>IF(B24="A","second","first")</f>
        <v/>
      </c>
      <c r="I24" t="inlineStr">
        <is>
          <t>d_z 95% CI upper</t>
        </is>
      </c>
      <c r="J24" s="12">
        <f>J21+1.96*J22</f>
        <v/>
      </c>
      <c r="K24" s="13" t="inlineStr">
        <is>
          <t>=J21+1.96*J22</t>
        </is>
      </c>
    </row>
    <row r="25">
      <c r="A25" s="6" t="inlineStr">
        <is>
          <t>R21</t>
        </is>
      </c>
      <c r="B25" s="6">
        <f>INDEX(Data!$E$2:$E$241,MATCH($A25,Data!$B$2:$B$241,0))</f>
        <v/>
      </c>
      <c r="C25" s="6">
        <f>INDEX(Data!$L$2:$L$241,MATCH($A25,Data!$B$2:$B$241,0))</f>
        <v/>
      </c>
      <c r="D25" s="7">
        <f>SUMIFS(Data!$AB$2:$AB$241,Data!$B$2:$B$241,$A25,Data!$H$2:$H$241,"Product_TV",Data!$G$2:$G$241,"Commercial_1_Balls")</f>
        <v/>
      </c>
      <c r="E25" s="7">
        <f>SUMIFS(Data!$AB$2:$AB$241,Data!$B$2:$B$241,$A25,Data!$H$2:$H$241,"Product_TV",Data!$G$2:$G$241,"Commercial_2_Paint")</f>
        <v/>
      </c>
      <c r="F25" s="7">
        <f>E25-D25</f>
        <v/>
      </c>
      <c r="G25" s="6">
        <f>IF(B25="A","second","first")</f>
        <v/>
      </c>
      <c r="I25" t="inlineStr">
        <is>
          <t>Correlation of the two columns</t>
        </is>
      </c>
      <c r="J25" s="12">
        <f>CORREL(D5:D33,E5:E33)</f>
        <v/>
      </c>
      <c r="K25" s="13" t="inlineStr">
        <is>
          <t>=CORREL(D5:D33,E5:E33)</t>
        </is>
      </c>
      <c r="L25" s="5" t="inlineStr">
        <is>
          <t>within respondent correlation</t>
        </is>
      </c>
    </row>
    <row r="26">
      <c r="A26" s="6" t="inlineStr">
        <is>
          <t>R22</t>
        </is>
      </c>
      <c r="B26" s="6">
        <f>INDEX(Data!$E$2:$E$241,MATCH($A26,Data!$B$2:$B$241,0))</f>
        <v/>
      </c>
      <c r="C26" s="6">
        <f>INDEX(Data!$L$2:$L$241,MATCH($A26,Data!$B$2:$B$241,0))</f>
        <v/>
      </c>
      <c r="D26" s="7">
        <f>SUMIFS(Data!$AB$2:$AB$241,Data!$B$2:$B$241,$A26,Data!$H$2:$H$241,"Product_TV",Data!$G$2:$G$241,"Commercial_1_Balls")</f>
        <v/>
      </c>
      <c r="E26" s="7">
        <f>SUMIFS(Data!$AB$2:$AB$241,Data!$B$2:$B$241,$A26,Data!$H$2:$H$241,"Product_TV",Data!$G$2:$G$241,"Commercial_2_Paint")</f>
        <v/>
      </c>
      <c r="F26" s="7">
        <f>E26-D26</f>
        <v/>
      </c>
      <c r="G26" s="6">
        <f>IF(B26="A","second","first")</f>
        <v/>
      </c>
    </row>
    <row r="27">
      <c r="A27" s="6" t="inlineStr">
        <is>
          <t>R24</t>
        </is>
      </c>
      <c r="B27" s="6">
        <f>INDEX(Data!$E$2:$E$241,MATCH($A27,Data!$B$2:$B$241,0))</f>
        <v/>
      </c>
      <c r="C27" s="6">
        <f>INDEX(Data!$L$2:$L$241,MATCH($A27,Data!$B$2:$B$241,0))</f>
        <v/>
      </c>
      <c r="D27" s="7">
        <f>SUMIFS(Data!$AB$2:$AB$241,Data!$B$2:$B$241,$A27,Data!$H$2:$H$241,"Product_TV",Data!$G$2:$G$241,"Commercial_1_Balls")</f>
        <v/>
      </c>
      <c r="E27" s="7">
        <f>SUMIFS(Data!$AB$2:$AB$241,Data!$B$2:$B$241,$A27,Data!$H$2:$H$241,"Product_TV",Data!$G$2:$G$241,"Commercial_2_Paint")</f>
        <v/>
      </c>
      <c r="F27" s="7">
        <f>E27-D27</f>
        <v/>
      </c>
      <c r="G27" s="6">
        <f>IF(B27="A","second","first")</f>
        <v/>
      </c>
      <c r="I27" s="11" t="inlineStr">
        <is>
          <t>Order effect (simple within respondent estimate)</t>
        </is>
      </c>
    </row>
    <row r="28">
      <c r="A28" s="6" t="inlineStr">
        <is>
          <t>R25</t>
        </is>
      </c>
      <c r="B28" s="6">
        <f>INDEX(Data!$E$2:$E$241,MATCH($A28,Data!$B$2:$B$241,0))</f>
        <v/>
      </c>
      <c r="C28" s="6">
        <f>INDEX(Data!$L$2:$L$241,MATCH($A28,Data!$B$2:$B$241,0))</f>
        <v/>
      </c>
      <c r="D28" s="7">
        <f>SUMIFS(Data!$AB$2:$AB$241,Data!$B$2:$B$241,$A28,Data!$H$2:$H$241,"Product_TV",Data!$G$2:$G$241,"Commercial_1_Balls")</f>
        <v/>
      </c>
      <c r="E28" s="7">
        <f>SUMIFS(Data!$AB$2:$AB$241,Data!$B$2:$B$241,$A28,Data!$H$2:$H$241,"Product_TV",Data!$G$2:$G$241,"Commercial_2_Paint")</f>
        <v/>
      </c>
      <c r="F28" s="7">
        <f>E28-D28</f>
        <v/>
      </c>
      <c r="G28" s="6">
        <f>IF(B28="A","second","first")</f>
        <v/>
      </c>
      <c r="I28" t="inlineStr">
        <is>
          <t>Mean difference, Group A (Paint seen second)</t>
        </is>
      </c>
      <c r="J28" s="12">
        <f>AVERAGEIFS(F5:F33,B5:B33,"A")</f>
        <v/>
      </c>
      <c r="K28" s="13" t="inlineStr">
        <is>
          <t>=AVERAGEIFS(F5:F33,B5:B33,"A")</t>
        </is>
      </c>
      <c r="L28" s="5" t="inlineStr">
        <is>
          <t>difference = commercial effect + order effect</t>
        </is>
      </c>
    </row>
    <row r="29">
      <c r="A29" s="6" t="inlineStr">
        <is>
          <t>R26</t>
        </is>
      </c>
      <c r="B29" s="6">
        <f>INDEX(Data!$E$2:$E$241,MATCH($A29,Data!$B$2:$B$241,0))</f>
        <v/>
      </c>
      <c r="C29" s="6">
        <f>INDEX(Data!$L$2:$L$241,MATCH($A29,Data!$B$2:$B$241,0))</f>
        <v/>
      </c>
      <c r="D29" s="7">
        <f>SUMIFS(Data!$AB$2:$AB$241,Data!$B$2:$B$241,$A29,Data!$H$2:$H$241,"Product_TV",Data!$G$2:$G$241,"Commercial_1_Balls")</f>
        <v/>
      </c>
      <c r="E29" s="7">
        <f>SUMIFS(Data!$AB$2:$AB$241,Data!$B$2:$B$241,$A29,Data!$H$2:$H$241,"Product_TV",Data!$G$2:$G$241,"Commercial_2_Paint")</f>
        <v/>
      </c>
      <c r="F29" s="7">
        <f>E29-D29</f>
        <v/>
      </c>
      <c r="G29" s="6">
        <f>IF(B29="A","second","first")</f>
        <v/>
      </c>
      <c r="I29" t="inlineStr">
        <is>
          <t>Mean difference, Group B (Paint seen first)</t>
        </is>
      </c>
      <c r="J29" s="12">
        <f>AVERAGEIFS(F5:F33,B5:B33,"B")</f>
        <v/>
      </c>
      <c r="K29" s="13" t="inlineStr">
        <is>
          <t>=AVERAGEIFS(F5:F33,B5:B33,"B")</t>
        </is>
      </c>
      <c r="L29" s="5" t="inlineStr">
        <is>
          <t>difference = commercial effect - order effect</t>
        </is>
      </c>
    </row>
    <row r="30">
      <c r="A30" s="6" t="inlineStr">
        <is>
          <t>R27</t>
        </is>
      </c>
      <c r="B30" s="6">
        <f>INDEX(Data!$E$2:$E$241,MATCH($A30,Data!$B$2:$B$241,0))</f>
        <v/>
      </c>
      <c r="C30" s="6">
        <f>INDEX(Data!$L$2:$L$241,MATCH($A30,Data!$B$2:$B$241,0))</f>
        <v/>
      </c>
      <c r="D30" s="7">
        <f>SUMIFS(Data!$AB$2:$AB$241,Data!$B$2:$B$241,$A30,Data!$H$2:$H$241,"Product_TV",Data!$G$2:$G$241,"Commercial_1_Balls")</f>
        <v/>
      </c>
      <c r="E30" s="7">
        <f>SUMIFS(Data!$AB$2:$AB$241,Data!$B$2:$B$241,$A30,Data!$H$2:$H$241,"Product_TV",Data!$G$2:$G$241,"Commercial_2_Paint")</f>
        <v/>
      </c>
      <c r="F30" s="7">
        <f>E30-D30</f>
        <v/>
      </c>
      <c r="G30" s="6">
        <f>IF(B30="A","second","first")</f>
        <v/>
      </c>
      <c r="I30" t="inlineStr">
        <is>
          <t>n, Group A</t>
        </is>
      </c>
      <c r="J30" s="14">
        <f>COUNTIF(B5:B33,"A")</f>
        <v/>
      </c>
      <c r="K30" s="13" t="inlineStr">
        <is>
          <t>=COUNTIF(B5:B33,"A")</t>
        </is>
      </c>
    </row>
    <row r="31">
      <c r="A31" s="6" t="inlineStr">
        <is>
          <t>R28</t>
        </is>
      </c>
      <c r="B31" s="6">
        <f>INDEX(Data!$E$2:$E$241,MATCH($A31,Data!$B$2:$B$241,0))</f>
        <v/>
      </c>
      <c r="C31" s="6">
        <f>INDEX(Data!$L$2:$L$241,MATCH($A31,Data!$B$2:$B$241,0))</f>
        <v/>
      </c>
      <c r="D31" s="7">
        <f>SUMIFS(Data!$AB$2:$AB$241,Data!$B$2:$B$241,$A31,Data!$H$2:$H$241,"Product_TV",Data!$G$2:$G$241,"Commercial_1_Balls")</f>
        <v/>
      </c>
      <c r="E31" s="7">
        <f>SUMIFS(Data!$AB$2:$AB$241,Data!$B$2:$B$241,$A31,Data!$H$2:$H$241,"Product_TV",Data!$G$2:$G$241,"Commercial_2_Paint")</f>
        <v/>
      </c>
      <c r="F31" s="7">
        <f>E31-D31</f>
        <v/>
      </c>
      <c r="G31" s="6">
        <f>IF(B31="A","second","first")</f>
        <v/>
      </c>
      <c r="I31" t="inlineStr">
        <is>
          <t>n, Group B</t>
        </is>
      </c>
      <c r="J31" s="14">
        <f>COUNTIF(B5:B33,"B")</f>
        <v/>
      </c>
      <c r="K31" s="13" t="inlineStr">
        <is>
          <t>=COUNTIF(B5:B33,"B")</t>
        </is>
      </c>
    </row>
    <row r="32">
      <c r="A32" s="6" t="inlineStr">
        <is>
          <t>R29</t>
        </is>
      </c>
      <c r="B32" s="6">
        <f>INDEX(Data!$E$2:$E$241,MATCH($A32,Data!$B$2:$B$241,0))</f>
        <v/>
      </c>
      <c r="C32" s="6">
        <f>INDEX(Data!$L$2:$L$241,MATCH($A32,Data!$B$2:$B$241,0))</f>
        <v/>
      </c>
      <c r="D32" s="7">
        <f>SUMIFS(Data!$AB$2:$AB$241,Data!$B$2:$B$241,$A32,Data!$H$2:$H$241,"Product_TV",Data!$G$2:$G$241,"Commercial_1_Balls")</f>
        <v/>
      </c>
      <c r="E32" s="7">
        <f>SUMIFS(Data!$AB$2:$AB$241,Data!$B$2:$B$241,$A32,Data!$H$2:$H$241,"Product_TV",Data!$G$2:$G$241,"Commercial_2_Paint")</f>
        <v/>
      </c>
      <c r="F32" s="7">
        <f>E32-D32</f>
        <v/>
      </c>
      <c r="G32" s="6">
        <f>IF(B32="A","second","first")</f>
        <v/>
      </c>
      <c r="I32" t="inlineStr">
        <is>
          <t>Order effect (second minus first)</t>
        </is>
      </c>
      <c r="J32" s="12">
        <f>(J28-J29)/2</f>
        <v/>
      </c>
      <c r="K32" s="13" t="inlineStr">
        <is>
          <t>=(J28-J29)/2</t>
        </is>
      </c>
      <c r="L32" s="5" t="inlineStr">
        <is>
          <t>same as the lmer coefficient for order_position here; Excel cannot fit the mixed model</t>
        </is>
      </c>
    </row>
    <row r="33">
      <c r="A33" s="6" t="inlineStr">
        <is>
          <t>R30</t>
        </is>
      </c>
      <c r="B33" s="6">
        <f>INDEX(Data!$E$2:$E$241,MATCH($A33,Data!$B$2:$B$241,0))</f>
        <v/>
      </c>
      <c r="C33" s="6">
        <f>INDEX(Data!$L$2:$L$241,MATCH($A33,Data!$B$2:$B$241,0))</f>
        <v/>
      </c>
      <c r="D33" s="7">
        <f>SUMIFS(Data!$AB$2:$AB$241,Data!$B$2:$B$241,$A33,Data!$H$2:$H$241,"Product_TV",Data!$G$2:$G$241,"Commercial_1_Balls")</f>
        <v/>
      </c>
      <c r="E33" s="7">
        <f>SUMIFS(Data!$AB$2:$AB$241,Data!$B$2:$B$241,$A33,Data!$H$2:$H$241,"Product_TV",Data!$G$2:$G$241,"Commercial_2_Paint")</f>
        <v/>
      </c>
      <c r="F33" s="7">
        <f>E33-D33</f>
        <v/>
      </c>
      <c r="G33" s="6">
        <f>IF(B33="A","second","first")</f>
        <v/>
      </c>
      <c r="I33" t="inlineStr">
        <is>
          <t>Commercial effect (Paint minus Balls), order adjusted</t>
        </is>
      </c>
      <c r="J33" s="12">
        <f>(J28+J29)/2</f>
        <v/>
      </c>
      <c r="K33" s="13" t="inlineStr">
        <is>
          <t>=(J28+J29)/2</t>
        </is>
      </c>
      <c r="L33" s="5" t="inlineStr">
        <is>
          <t>average of the two group differences</t>
        </is>
      </c>
    </row>
    <row r="35">
      <c r="I35" s="11" t="inlineStr">
        <is>
          <t>Checks</t>
        </is>
      </c>
    </row>
    <row r="36">
      <c r="I36" t="inlineStr">
        <is>
          <t>Kept respondents with a Product_TV row for Balls in Data</t>
        </is>
      </c>
      <c r="J36" s="14">
        <f>COUNTIFS(Data!$G$2:$G$241,"Commercial_1_Balls",Data!$H$2:$H$241,"Product_TV",Data!$Z$2:$Z$241,"Yes")</f>
        <v/>
      </c>
      <c r="K36" s="13" t="inlineStr">
        <is>
          <t>=COUNTIFS(Data!$G$2:$G$241,"Commercial_1_Balls",Data!$H$2:$H$241,"Product_TV",Data!$Z$2:$Z$241,"Yes")</t>
        </is>
      </c>
      <c r="L36" s="5" t="inlineStr">
        <is>
          <t>must equal n pairs; if not, the roster in column A is out of date</t>
        </is>
      </c>
    </row>
    <row r="37">
      <c r="I37" t="inlineStr">
        <is>
          <t>Smallest Valid data in column C</t>
        </is>
      </c>
      <c r="J37" s="9">
        <f>MIN(C5:C33)</f>
        <v/>
      </c>
      <c r="K37" s="13" t="inlineStr">
        <is>
          <t>=MIN(C5:C33)</t>
        </is>
      </c>
      <c r="L37" s="5" t="inlineStr">
        <is>
          <t>must be at least 70</t>
        </is>
      </c>
    </row>
    <row r="40">
      <c r="I40" s="8" t="inlineStr">
        <is>
          <t>Chart table: mean dwell share with 95% CI half width</t>
        </is>
      </c>
    </row>
    <row r="41">
      <c r="I41" t="inlineStr">
        <is>
          <t>Commercial</t>
        </is>
      </c>
      <c r="J41" t="inlineStr">
        <is>
          <t>Mean dwell (%)</t>
        </is>
      </c>
      <c r="K41" t="inlineStr">
        <is>
          <t>CI half width</t>
        </is>
      </c>
    </row>
    <row r="42">
      <c r="I42" t="inlineStr">
        <is>
          <t>Balls</t>
        </is>
      </c>
      <c r="J42" s="16">
        <f>J6</f>
        <v/>
      </c>
      <c r="K42" s="16">
        <f>_xlfn.CONFIDENCE.T(0.05,J7,J10)</f>
        <v/>
      </c>
    </row>
    <row r="43">
      <c r="I43" t="inlineStr">
        <is>
          <t>Paint</t>
        </is>
      </c>
      <c r="J43" s="16">
        <f>J8</f>
        <v/>
      </c>
      <c r="K43" s="16">
        <f>_xlfn.CONFIDENCE.T(0.05,J9,J10)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20" customWidth="1" min="4" max="4"/>
    <col width="26" customWidth="1" min="5" max="5"/>
    <col width="3" customWidth="1" min="6" max="6"/>
    <col width="54" customWidth="1" min="7" max="7"/>
    <col width="12" customWidth="1" min="8" max="8"/>
    <col width="72" customWidth="1" min="9" max="9"/>
    <col width="62" customWidth="1" min="10" max="10"/>
  </cols>
  <sheetData>
    <row r="1">
      <c r="A1" s="4" t="inlineStr">
        <is>
          <t>H2. Brand_Logo TTFF AOI (ms), Balls versus Paint, respondents with a TTFF in both commercials. SIMULATED data.</t>
        </is>
      </c>
    </row>
    <row r="2">
      <c r="A2" s="5" t="inlineStr">
        <is>
          <t>A respondent who never fixated the logo has NA, which cannot enter a paired test, so the roster below lists only kept respondents with a number in BOTH commercials. TTFF AOI counts from the start of the end card. Difference is Paint minus Balls.</t>
        </is>
      </c>
    </row>
    <row r="4">
      <c r="A4" s="2" t="inlineStr">
        <is>
          <t>Respondent Name</t>
        </is>
      </c>
      <c r="B4" s="2" t="inlineStr">
        <is>
          <t>Group (order)</t>
        </is>
      </c>
      <c r="C4" s="2" t="inlineStr">
        <is>
          <t>Balls TTFF AOI (ms)</t>
        </is>
      </c>
      <c r="D4" s="2" t="inlineStr">
        <is>
          <t>Paint TTFF AOI (ms)</t>
        </is>
      </c>
      <c r="E4" s="2" t="inlineStr">
        <is>
          <t>Difference (Paint minus Balls)</t>
        </is>
      </c>
      <c r="G4" s="10" t="inlineStr">
        <is>
          <t>Statistic</t>
        </is>
      </c>
      <c r="H4" s="10" t="inlineStr">
        <is>
          <t>Value</t>
        </is>
      </c>
      <c r="I4" s="10" t="inlineStr">
        <is>
          <t>Formula shown</t>
        </is>
      </c>
      <c r="J4" s="10" t="inlineStr">
        <is>
          <t>Note</t>
        </is>
      </c>
    </row>
    <row r="5">
      <c r="A5" s="6" t="inlineStr">
        <is>
          <t>R01</t>
        </is>
      </c>
      <c r="B5" s="6">
        <f>INDEX(Data!$E$2:$E$241,MATCH($A5,Data!$B$2:$B$241,0))</f>
        <v/>
      </c>
      <c r="C5" s="17">
        <f>SUMIFS(Data!$S$2:$S$241,Data!$B$2:$B$241,$A5,Data!$H$2:$H$241,"Brand_Logo",Data!$G$2:$G$241,"Commercial_1_Balls")</f>
        <v/>
      </c>
      <c r="D5" s="17">
        <f>SUMIFS(Data!$S$2:$S$241,Data!$B$2:$B$241,$A5,Data!$H$2:$H$241,"Brand_Logo",Data!$G$2:$G$241,"Commercial_2_Paint")</f>
        <v/>
      </c>
      <c r="E5" s="17">
        <f>D5-C5</f>
        <v/>
      </c>
      <c r="G5" s="11" t="inlineStr">
        <is>
          <t>Paired t test and d_z: Brand_Logo TTFF AOI (ms)</t>
        </is>
      </c>
    </row>
    <row r="6">
      <c r="A6" s="6" t="inlineStr">
        <is>
          <t>R02</t>
        </is>
      </c>
      <c r="B6" s="6">
        <f>INDEX(Data!$E$2:$E$241,MATCH($A6,Data!$B$2:$B$241,0))</f>
        <v/>
      </c>
      <c r="C6" s="17">
        <f>SUMIFS(Data!$S$2:$S$241,Data!$B$2:$B$241,$A6,Data!$H$2:$H$241,"Brand_Logo",Data!$G$2:$G$241,"Commercial_1_Balls")</f>
        <v/>
      </c>
      <c r="D6" s="17">
        <f>SUMIFS(Data!$S$2:$S$241,Data!$B$2:$B$241,$A6,Data!$H$2:$H$241,"Brand_Logo",Data!$G$2:$G$241,"Commercial_2_Paint")</f>
        <v/>
      </c>
      <c r="E6" s="17">
        <f>D6-C6</f>
        <v/>
      </c>
      <c r="G6" t="inlineStr">
        <is>
          <t>Balls mean (ms)</t>
        </is>
      </c>
      <c r="H6" s="12">
        <f>AVERAGE(C5:C29)</f>
        <v/>
      </c>
      <c r="I6" s="13" t="inlineStr">
        <is>
          <t>=AVERAGE(C5:C29)</t>
        </is>
      </c>
      <c r="J6" s="5" t="inlineStr">
        <is>
          <t>AVERAGE of the Balls column</t>
        </is>
      </c>
    </row>
    <row r="7">
      <c r="A7" s="6" t="inlineStr">
        <is>
          <t>R03</t>
        </is>
      </c>
      <c r="B7" s="6">
        <f>INDEX(Data!$E$2:$E$241,MATCH($A7,Data!$B$2:$B$241,0))</f>
        <v/>
      </c>
      <c r="C7" s="17">
        <f>SUMIFS(Data!$S$2:$S$241,Data!$B$2:$B$241,$A7,Data!$H$2:$H$241,"Brand_Logo",Data!$G$2:$G$241,"Commercial_1_Balls")</f>
        <v/>
      </c>
      <c r="D7" s="17">
        <f>SUMIFS(Data!$S$2:$S$241,Data!$B$2:$B$241,$A7,Data!$H$2:$H$241,"Brand_Logo",Data!$G$2:$G$241,"Commercial_2_Paint")</f>
        <v/>
      </c>
      <c r="E7" s="17">
        <f>D7-C7</f>
        <v/>
      </c>
      <c r="G7" t="inlineStr">
        <is>
          <t>Balls SD (ms)</t>
        </is>
      </c>
      <c r="H7" s="12">
        <f>_xlfn.STDEV.S(C5:C29)</f>
        <v/>
      </c>
      <c r="I7" s="13" t="inlineStr">
        <is>
          <t>=STDEV.S(C5:C29)</t>
        </is>
      </c>
      <c r="J7" s="5" t="inlineStr">
        <is>
          <t>STDEV.S = sample standard deviation</t>
        </is>
      </c>
    </row>
    <row r="8">
      <c r="A8" s="6" t="inlineStr">
        <is>
          <t>R04</t>
        </is>
      </c>
      <c r="B8" s="6">
        <f>INDEX(Data!$E$2:$E$241,MATCH($A8,Data!$B$2:$B$241,0))</f>
        <v/>
      </c>
      <c r="C8" s="17">
        <f>SUMIFS(Data!$S$2:$S$241,Data!$B$2:$B$241,$A8,Data!$H$2:$H$241,"Brand_Logo",Data!$G$2:$G$241,"Commercial_1_Balls")</f>
        <v/>
      </c>
      <c r="D8" s="17">
        <f>SUMIFS(Data!$S$2:$S$241,Data!$B$2:$B$241,$A8,Data!$H$2:$H$241,"Brand_Logo",Data!$G$2:$G$241,"Commercial_2_Paint")</f>
        <v/>
      </c>
      <c r="E8" s="17">
        <f>D8-C8</f>
        <v/>
      </c>
      <c r="G8" t="inlineStr">
        <is>
          <t>Paint mean (ms)</t>
        </is>
      </c>
      <c r="H8" s="12">
        <f>AVERAGE(D5:D29)</f>
        <v/>
      </c>
      <c r="I8" s="13" t="inlineStr">
        <is>
          <t>=AVERAGE(D5:D29)</t>
        </is>
      </c>
    </row>
    <row r="9">
      <c r="A9" s="6" t="inlineStr">
        <is>
          <t>R05</t>
        </is>
      </c>
      <c r="B9" s="6">
        <f>INDEX(Data!$E$2:$E$241,MATCH($A9,Data!$B$2:$B$241,0))</f>
        <v/>
      </c>
      <c r="C9" s="17">
        <f>SUMIFS(Data!$S$2:$S$241,Data!$B$2:$B$241,$A9,Data!$H$2:$H$241,"Brand_Logo",Data!$G$2:$G$241,"Commercial_1_Balls")</f>
        <v/>
      </c>
      <c r="D9" s="17">
        <f>SUMIFS(Data!$S$2:$S$241,Data!$B$2:$B$241,$A9,Data!$H$2:$H$241,"Brand_Logo",Data!$G$2:$G$241,"Commercial_2_Paint")</f>
        <v/>
      </c>
      <c r="E9" s="17">
        <f>D9-C9</f>
        <v/>
      </c>
      <c r="G9" t="inlineStr">
        <is>
          <t>Paint SD (ms)</t>
        </is>
      </c>
      <c r="H9" s="12">
        <f>_xlfn.STDEV.S(D5:D29)</f>
        <v/>
      </c>
      <c r="I9" s="13" t="inlineStr">
        <is>
          <t>=STDEV.S(D5:D29)</t>
        </is>
      </c>
    </row>
    <row r="10">
      <c r="A10" s="6" t="inlineStr">
        <is>
          <t>R06</t>
        </is>
      </c>
      <c r="B10" s="6">
        <f>INDEX(Data!$E$2:$E$241,MATCH($A10,Data!$B$2:$B$241,0))</f>
        <v/>
      </c>
      <c r="C10" s="17">
        <f>SUMIFS(Data!$S$2:$S$241,Data!$B$2:$B$241,$A10,Data!$H$2:$H$241,"Brand_Logo",Data!$G$2:$G$241,"Commercial_1_Balls")</f>
        <v/>
      </c>
      <c r="D10" s="17">
        <f>SUMIFS(Data!$S$2:$S$241,Data!$B$2:$B$241,$A10,Data!$H$2:$H$241,"Brand_Logo",Data!$G$2:$G$241,"Commercial_2_Paint")</f>
        <v/>
      </c>
      <c r="E10" s="17">
        <f>D10-C10</f>
        <v/>
      </c>
      <c r="G10" t="inlineStr">
        <is>
          <t>n pairs</t>
        </is>
      </c>
      <c r="H10" s="14">
        <f>COUNT(E5:E29)</f>
        <v/>
      </c>
      <c r="I10" s="13" t="inlineStr">
        <is>
          <t>=COUNT(E5:E29)</t>
        </is>
      </c>
      <c r="J10" s="5" t="inlineStr">
        <is>
          <t>pairs only: respondents with a TTFF in both commercials</t>
        </is>
      </c>
    </row>
    <row r="11">
      <c r="A11" s="6" t="inlineStr">
        <is>
          <t>R07</t>
        </is>
      </c>
      <c r="B11" s="6">
        <f>INDEX(Data!$E$2:$E$241,MATCH($A11,Data!$B$2:$B$241,0))</f>
        <v/>
      </c>
      <c r="C11" s="17">
        <f>SUMIFS(Data!$S$2:$S$241,Data!$B$2:$B$241,$A11,Data!$H$2:$H$241,"Brand_Logo",Data!$G$2:$G$241,"Commercial_1_Balls")</f>
        <v/>
      </c>
      <c r="D11" s="17">
        <f>SUMIFS(Data!$S$2:$S$241,Data!$B$2:$B$241,$A11,Data!$H$2:$H$241,"Brand_Logo",Data!$G$2:$G$241,"Commercial_2_Paint")</f>
        <v/>
      </c>
      <c r="E11" s="17">
        <f>D11-C11</f>
        <v/>
      </c>
      <c r="G11" t="inlineStr">
        <is>
          <t>Mean difference, Paint minus Balls (ms)</t>
        </is>
      </c>
      <c r="H11" s="12">
        <f>AVERAGE(E5:E29)</f>
        <v/>
      </c>
      <c r="I11" s="13" t="inlineStr">
        <is>
          <t>=AVERAGE(E5:E29)</t>
        </is>
      </c>
    </row>
    <row r="12">
      <c r="A12" s="6" t="inlineStr">
        <is>
          <t>R08</t>
        </is>
      </c>
      <c r="B12" s="6">
        <f>INDEX(Data!$E$2:$E$241,MATCH($A12,Data!$B$2:$B$241,0))</f>
        <v/>
      </c>
      <c r="C12" s="17">
        <f>SUMIFS(Data!$S$2:$S$241,Data!$B$2:$B$241,$A12,Data!$H$2:$H$241,"Brand_Logo",Data!$G$2:$G$241,"Commercial_1_Balls")</f>
        <v/>
      </c>
      <c r="D12" s="17">
        <f>SUMIFS(Data!$S$2:$S$241,Data!$B$2:$B$241,$A12,Data!$H$2:$H$241,"Brand_Logo",Data!$G$2:$G$241,"Commercial_2_Paint")</f>
        <v/>
      </c>
      <c r="E12" s="17">
        <f>D12-C12</f>
        <v/>
      </c>
      <c r="G12" t="inlineStr">
        <is>
          <t>SD of the differences (ms)</t>
        </is>
      </c>
      <c r="H12" s="12">
        <f>_xlfn.STDEV.S(E5:E29)</f>
        <v/>
      </c>
      <c r="I12" s="13" t="inlineStr">
        <is>
          <t>=STDEV.S(E5:E29)</t>
        </is>
      </c>
      <c r="J12" s="5" t="inlineStr">
        <is>
          <t>the SD that matters in a paired test</t>
        </is>
      </c>
    </row>
    <row r="13">
      <c r="A13" s="6" t="inlineStr">
        <is>
          <t>R11</t>
        </is>
      </c>
      <c r="B13" s="6">
        <f>INDEX(Data!$E$2:$E$241,MATCH($A13,Data!$B$2:$B$241,0))</f>
        <v/>
      </c>
      <c r="C13" s="17">
        <f>SUMIFS(Data!$S$2:$S$241,Data!$B$2:$B$241,$A13,Data!$H$2:$H$241,"Brand_Logo",Data!$G$2:$G$241,"Commercial_1_Balls")</f>
        <v/>
      </c>
      <c r="D13" s="17">
        <f>SUMIFS(Data!$S$2:$S$241,Data!$B$2:$B$241,$A13,Data!$H$2:$H$241,"Brand_Logo",Data!$G$2:$G$241,"Commercial_2_Paint")</f>
        <v/>
      </c>
      <c r="E13" s="17">
        <f>D13-C13</f>
        <v/>
      </c>
      <c r="G13" t="inlineStr">
        <is>
          <t>SE of the mean difference</t>
        </is>
      </c>
      <c r="H13" s="12">
        <f>H12/SQRT(H10)</f>
        <v/>
      </c>
      <c r="I13" s="13" t="inlineStr">
        <is>
          <t>=H12/SQRT(H10)</t>
        </is>
      </c>
      <c r="J13" s="5" t="inlineStr">
        <is>
          <t>SD of differences / sqrt(n)</t>
        </is>
      </c>
    </row>
    <row r="14">
      <c r="A14" s="6" t="inlineStr">
        <is>
          <t>R12</t>
        </is>
      </c>
      <c r="B14" s="6">
        <f>INDEX(Data!$E$2:$E$241,MATCH($A14,Data!$B$2:$B$241,0))</f>
        <v/>
      </c>
      <c r="C14" s="17">
        <f>SUMIFS(Data!$S$2:$S$241,Data!$B$2:$B$241,$A14,Data!$H$2:$H$241,"Brand_Logo",Data!$G$2:$G$241,"Commercial_1_Balls")</f>
        <v/>
      </c>
      <c r="D14" s="17">
        <f>SUMIFS(Data!$S$2:$S$241,Data!$B$2:$B$241,$A14,Data!$H$2:$H$241,"Brand_Logo",Data!$G$2:$G$241,"Commercial_2_Paint")</f>
        <v/>
      </c>
      <c r="E14" s="17">
        <f>D14-C14</f>
        <v/>
      </c>
      <c r="G14" t="inlineStr">
        <is>
          <t>Paired t</t>
        </is>
      </c>
      <c r="H14" s="12">
        <f>H11/H13</f>
        <v/>
      </c>
      <c r="I14" s="13" t="inlineStr">
        <is>
          <t>=H11/H13</t>
        </is>
      </c>
      <c r="J14" s="5" t="inlineStr">
        <is>
          <t>t = mean difference / SE</t>
        </is>
      </c>
    </row>
    <row r="15">
      <c r="A15" s="6" t="inlineStr">
        <is>
          <t>R13</t>
        </is>
      </c>
      <c r="B15" s="6">
        <f>INDEX(Data!$E$2:$E$241,MATCH($A15,Data!$B$2:$B$241,0))</f>
        <v/>
      </c>
      <c r="C15" s="17">
        <f>SUMIFS(Data!$S$2:$S$241,Data!$B$2:$B$241,$A15,Data!$H$2:$H$241,"Brand_Logo",Data!$G$2:$G$241,"Commercial_1_Balls")</f>
        <v/>
      </c>
      <c r="D15" s="17">
        <f>SUMIFS(Data!$S$2:$S$241,Data!$B$2:$B$241,$A15,Data!$H$2:$H$241,"Brand_Logo",Data!$G$2:$G$241,"Commercial_2_Paint")</f>
        <v/>
      </c>
      <c r="E15" s="17">
        <f>D15-C15</f>
        <v/>
      </c>
      <c r="G15" t="inlineStr">
        <is>
          <t>df</t>
        </is>
      </c>
      <c r="H15" s="14">
        <f>H10-1</f>
        <v/>
      </c>
      <c r="I15" s="13" t="inlineStr">
        <is>
          <t>=H10-1</t>
        </is>
      </c>
      <c r="J15" s="5" t="inlineStr">
        <is>
          <t>n pairs minus 1</t>
        </is>
      </c>
    </row>
    <row r="16">
      <c r="A16" s="6" t="inlineStr">
        <is>
          <t>R14</t>
        </is>
      </c>
      <c r="B16" s="6">
        <f>INDEX(Data!$E$2:$E$241,MATCH($A16,Data!$B$2:$B$241,0))</f>
        <v/>
      </c>
      <c r="C16" s="17">
        <f>SUMIFS(Data!$S$2:$S$241,Data!$B$2:$B$241,$A16,Data!$H$2:$H$241,"Brand_Logo",Data!$G$2:$G$241,"Commercial_1_Balls")</f>
        <v/>
      </c>
      <c r="D16" s="17">
        <f>SUMIFS(Data!$S$2:$S$241,Data!$B$2:$B$241,$A16,Data!$H$2:$H$241,"Brand_Logo",Data!$G$2:$G$241,"Commercial_2_Paint")</f>
        <v/>
      </c>
      <c r="E16" s="17">
        <f>D16-C16</f>
        <v/>
      </c>
      <c r="G16" t="inlineStr">
        <is>
          <t>p, two tailed (T.TEST type 1)</t>
        </is>
      </c>
      <c r="H16" s="15">
        <f>_xlfn.T.TEST(C5:C29,D5:D29,2,1)</f>
        <v/>
      </c>
      <c r="I16" s="13" t="inlineStr">
        <is>
          <t>=T.TEST(C5:C29,D5:D29,2,1)</t>
        </is>
      </c>
      <c r="J16" s="5" t="inlineStr">
        <is>
          <t>tails = 2, type = 1 means paired</t>
        </is>
      </c>
    </row>
    <row r="17">
      <c r="A17" s="6" t="inlineStr">
        <is>
          <t>R15</t>
        </is>
      </c>
      <c r="B17" s="6">
        <f>INDEX(Data!$E$2:$E$241,MATCH($A17,Data!$B$2:$B$241,0))</f>
        <v/>
      </c>
      <c r="C17" s="17">
        <f>SUMIFS(Data!$S$2:$S$241,Data!$B$2:$B$241,$A17,Data!$H$2:$H$241,"Brand_Logo",Data!$G$2:$G$241,"Commercial_1_Balls")</f>
        <v/>
      </c>
      <c r="D17" s="17">
        <f>SUMIFS(Data!$S$2:$S$241,Data!$B$2:$B$241,$A17,Data!$H$2:$H$241,"Brand_Logo",Data!$G$2:$G$241,"Commercial_2_Paint")</f>
        <v/>
      </c>
      <c r="E17" s="17">
        <f>D17-C17</f>
        <v/>
      </c>
      <c r="G17" t="inlineStr">
        <is>
          <t>p from the hand computed t</t>
        </is>
      </c>
      <c r="H17" s="15">
        <f>_xlfn.T.DIST.2T(ABS(H14),H15)</f>
        <v/>
      </c>
      <c r="I17" s="13" t="inlineStr">
        <is>
          <t>=T.DIST.2T(ABS(H14),H15)</t>
        </is>
      </c>
      <c r="J17" s="5" t="inlineStr">
        <is>
          <t>should match the T.TEST cell</t>
        </is>
      </c>
    </row>
    <row r="18">
      <c r="A18" s="6" t="inlineStr">
        <is>
          <t>R16</t>
        </is>
      </c>
      <c r="B18" s="6">
        <f>INDEX(Data!$E$2:$E$241,MATCH($A18,Data!$B$2:$B$241,0))</f>
        <v/>
      </c>
      <c r="C18" s="17">
        <f>SUMIFS(Data!$S$2:$S$241,Data!$B$2:$B$241,$A18,Data!$H$2:$H$241,"Brand_Logo",Data!$G$2:$G$241,"Commercial_1_Balls")</f>
        <v/>
      </c>
      <c r="D18" s="17">
        <f>SUMIFS(Data!$S$2:$S$241,Data!$B$2:$B$241,$A18,Data!$H$2:$H$241,"Brand_Logo",Data!$G$2:$G$241,"Commercial_2_Paint")</f>
        <v/>
      </c>
      <c r="E18" s="17">
        <f>D18-C18</f>
        <v/>
      </c>
      <c r="G18" t="inlineStr">
        <is>
          <t>Critical t (95%)</t>
        </is>
      </c>
      <c r="H18" s="12">
        <f>_xlfn.T.INV.2T(0.05,H15)</f>
        <v/>
      </c>
      <c r="I18" s="13" t="inlineStr">
        <is>
          <t>=T.INV.2T(0.05,H15)</t>
        </is>
      </c>
      <c r="J18" s="5" t="inlineStr">
        <is>
          <t>two tailed, alpha = .05</t>
        </is>
      </c>
    </row>
    <row r="19">
      <c r="A19" s="6" t="inlineStr">
        <is>
          <t>R17</t>
        </is>
      </c>
      <c r="B19" s="6">
        <f>INDEX(Data!$E$2:$E$241,MATCH($A19,Data!$B$2:$B$241,0))</f>
        <v/>
      </c>
      <c r="C19" s="17">
        <f>SUMIFS(Data!$S$2:$S$241,Data!$B$2:$B$241,$A19,Data!$H$2:$H$241,"Brand_Logo",Data!$G$2:$G$241,"Commercial_1_Balls")</f>
        <v/>
      </c>
      <c r="D19" s="17">
        <f>SUMIFS(Data!$S$2:$S$241,Data!$B$2:$B$241,$A19,Data!$H$2:$H$241,"Brand_Logo",Data!$G$2:$G$241,"Commercial_2_Paint")</f>
        <v/>
      </c>
      <c r="E19" s="17">
        <f>D19-C19</f>
        <v/>
      </c>
      <c r="G19" t="inlineStr">
        <is>
          <t>Mean difference 95% CI lower</t>
        </is>
      </c>
      <c r="H19" s="12">
        <f>H11-H18*H13</f>
        <v/>
      </c>
      <c r="I19" s="13" t="inlineStr">
        <is>
          <t>=H11-H18*H13</t>
        </is>
      </c>
    </row>
    <row r="20">
      <c r="A20" s="6" t="inlineStr">
        <is>
          <t>R18</t>
        </is>
      </c>
      <c r="B20" s="6">
        <f>INDEX(Data!$E$2:$E$241,MATCH($A20,Data!$B$2:$B$241,0))</f>
        <v/>
      </c>
      <c r="C20" s="17">
        <f>SUMIFS(Data!$S$2:$S$241,Data!$B$2:$B$241,$A20,Data!$H$2:$H$241,"Brand_Logo",Data!$G$2:$G$241,"Commercial_1_Balls")</f>
        <v/>
      </c>
      <c r="D20" s="17">
        <f>SUMIFS(Data!$S$2:$S$241,Data!$B$2:$B$241,$A20,Data!$H$2:$H$241,"Brand_Logo",Data!$G$2:$G$241,"Commercial_2_Paint")</f>
        <v/>
      </c>
      <c r="E20" s="17">
        <f>D20-C20</f>
        <v/>
      </c>
      <c r="G20" t="inlineStr">
        <is>
          <t>Mean difference 95% CI upper</t>
        </is>
      </c>
      <c r="H20" s="12">
        <f>H11+H18*H13</f>
        <v/>
      </c>
      <c r="I20" s="13" t="inlineStr">
        <is>
          <t>=H11+H18*H13</t>
        </is>
      </c>
    </row>
    <row r="21">
      <c r="A21" s="6" t="inlineStr">
        <is>
          <t>R19</t>
        </is>
      </c>
      <c r="B21" s="6">
        <f>INDEX(Data!$E$2:$E$241,MATCH($A21,Data!$B$2:$B$241,0))</f>
        <v/>
      </c>
      <c r="C21" s="17">
        <f>SUMIFS(Data!$S$2:$S$241,Data!$B$2:$B$241,$A21,Data!$H$2:$H$241,"Brand_Logo",Data!$G$2:$G$241,"Commercial_1_Balls")</f>
        <v/>
      </c>
      <c r="D21" s="17">
        <f>SUMIFS(Data!$S$2:$S$241,Data!$B$2:$B$241,$A21,Data!$H$2:$H$241,"Brand_Logo",Data!$G$2:$G$241,"Commercial_2_Paint")</f>
        <v/>
      </c>
      <c r="E21" s="17">
        <f>D21-C21</f>
        <v/>
      </c>
      <c r="G21" t="inlineStr">
        <is>
          <t>Cohen's d_z</t>
        </is>
      </c>
      <c r="H21" s="12">
        <f>H11/H12</f>
        <v/>
      </c>
      <c r="I21" s="13" t="inlineStr">
        <is>
          <t>=H11/H12</t>
        </is>
      </c>
      <c r="J21" s="5" t="inlineStr">
        <is>
          <t>d_z = mean difference / SD of differences</t>
        </is>
      </c>
    </row>
    <row r="22">
      <c r="A22" s="6" t="inlineStr">
        <is>
          <t>R20</t>
        </is>
      </c>
      <c r="B22" s="6">
        <f>INDEX(Data!$E$2:$E$241,MATCH($A22,Data!$B$2:$B$241,0))</f>
        <v/>
      </c>
      <c r="C22" s="17">
        <f>SUMIFS(Data!$S$2:$S$241,Data!$B$2:$B$241,$A22,Data!$H$2:$H$241,"Brand_Logo",Data!$G$2:$G$241,"Commercial_1_Balls")</f>
        <v/>
      </c>
      <c r="D22" s="17">
        <f>SUMIFS(Data!$S$2:$S$241,Data!$B$2:$B$241,$A22,Data!$H$2:$H$241,"Brand_Logo",Data!$G$2:$G$241,"Commercial_2_Paint")</f>
        <v/>
      </c>
      <c r="E22" s="17">
        <f>D22-C22</f>
        <v/>
      </c>
      <c r="G22" t="inlineStr">
        <is>
          <t>SE of d_z (approximation)</t>
        </is>
      </c>
      <c r="H22" s="12">
        <f>SQRT(1/H10+H21^2/(2*H10))</f>
        <v/>
      </c>
      <c r="I22" s="13" t="inlineStr">
        <is>
          <t>=SQRT(1/H10+H21^2/(2*H10))</t>
        </is>
      </c>
      <c r="J22" s="5" t="inlineStr">
        <is>
          <t>sqrt(1/n + d_z^2 / (2 n))</t>
        </is>
      </c>
    </row>
    <row r="23">
      <c r="A23" s="6" t="inlineStr">
        <is>
          <t>R21</t>
        </is>
      </c>
      <c r="B23" s="6">
        <f>INDEX(Data!$E$2:$E$241,MATCH($A23,Data!$B$2:$B$241,0))</f>
        <v/>
      </c>
      <c r="C23" s="17">
        <f>SUMIFS(Data!$S$2:$S$241,Data!$B$2:$B$241,$A23,Data!$H$2:$H$241,"Brand_Logo",Data!$G$2:$G$241,"Commercial_1_Balls")</f>
        <v/>
      </c>
      <c r="D23" s="17">
        <f>SUMIFS(Data!$S$2:$S$241,Data!$B$2:$B$241,$A23,Data!$H$2:$H$241,"Brand_Logo",Data!$G$2:$G$241,"Commercial_2_Paint")</f>
        <v/>
      </c>
      <c r="E23" s="17">
        <f>D23-C23</f>
        <v/>
      </c>
      <c r="G23" t="inlineStr">
        <is>
          <t>d_z 95% CI lower</t>
        </is>
      </c>
      <c r="H23" s="12">
        <f>H21-1.96*H22</f>
        <v/>
      </c>
      <c r="I23" s="13" t="inlineStr">
        <is>
          <t>=H21-1.96*H22</t>
        </is>
      </c>
      <c r="J23" s="5" t="inlineStr">
        <is>
          <t>large sample approximation; R uses the noncentral t interval</t>
        </is>
      </c>
    </row>
    <row r="24">
      <c r="A24" s="6" t="inlineStr">
        <is>
          <t>R22</t>
        </is>
      </c>
      <c r="B24" s="6">
        <f>INDEX(Data!$E$2:$E$241,MATCH($A24,Data!$B$2:$B$241,0))</f>
        <v/>
      </c>
      <c r="C24" s="17">
        <f>SUMIFS(Data!$S$2:$S$241,Data!$B$2:$B$241,$A24,Data!$H$2:$H$241,"Brand_Logo",Data!$G$2:$G$241,"Commercial_1_Balls")</f>
        <v/>
      </c>
      <c r="D24" s="17">
        <f>SUMIFS(Data!$S$2:$S$241,Data!$B$2:$B$241,$A24,Data!$H$2:$H$241,"Brand_Logo",Data!$G$2:$G$241,"Commercial_2_Paint")</f>
        <v/>
      </c>
      <c r="E24" s="17">
        <f>D24-C24</f>
        <v/>
      </c>
      <c r="G24" t="inlineStr">
        <is>
          <t>d_z 95% CI upper</t>
        </is>
      </c>
      <c r="H24" s="12">
        <f>H21+1.96*H22</f>
        <v/>
      </c>
      <c r="I24" s="13" t="inlineStr">
        <is>
          <t>=H21+1.96*H22</t>
        </is>
      </c>
    </row>
    <row r="25">
      <c r="A25" s="6" t="inlineStr">
        <is>
          <t>R24</t>
        </is>
      </c>
      <c r="B25" s="6">
        <f>INDEX(Data!$E$2:$E$241,MATCH($A25,Data!$B$2:$B$241,0))</f>
        <v/>
      </c>
      <c r="C25" s="17">
        <f>SUMIFS(Data!$S$2:$S$241,Data!$B$2:$B$241,$A25,Data!$H$2:$H$241,"Brand_Logo",Data!$G$2:$G$241,"Commercial_1_Balls")</f>
        <v/>
      </c>
      <c r="D25" s="17">
        <f>SUMIFS(Data!$S$2:$S$241,Data!$B$2:$B$241,$A25,Data!$H$2:$H$241,"Brand_Logo",Data!$G$2:$G$241,"Commercial_2_Paint")</f>
        <v/>
      </c>
      <c r="E25" s="17">
        <f>D25-C25</f>
        <v/>
      </c>
      <c r="G25" t="inlineStr">
        <is>
          <t>Correlation of the two columns</t>
        </is>
      </c>
      <c r="H25" s="12">
        <f>CORREL(C5:C29,D5:D29)</f>
        <v/>
      </c>
      <c r="I25" s="13" t="inlineStr">
        <is>
          <t>=CORREL(C5:C29,D5:D29)</t>
        </is>
      </c>
      <c r="J25" s="5" t="inlineStr">
        <is>
          <t>within respondent correlation</t>
        </is>
      </c>
    </row>
    <row r="26">
      <c r="A26" s="6" t="inlineStr">
        <is>
          <t>R25</t>
        </is>
      </c>
      <c r="B26" s="6">
        <f>INDEX(Data!$E$2:$E$241,MATCH($A26,Data!$B$2:$B$241,0))</f>
        <v/>
      </c>
      <c r="C26" s="17">
        <f>SUMIFS(Data!$S$2:$S$241,Data!$B$2:$B$241,$A26,Data!$H$2:$H$241,"Brand_Logo",Data!$G$2:$G$241,"Commercial_1_Balls")</f>
        <v/>
      </c>
      <c r="D26" s="17">
        <f>SUMIFS(Data!$S$2:$S$241,Data!$B$2:$B$241,$A26,Data!$H$2:$H$241,"Brand_Logo",Data!$G$2:$G$241,"Commercial_2_Paint")</f>
        <v/>
      </c>
      <c r="E26" s="17">
        <f>D26-C26</f>
        <v/>
      </c>
    </row>
    <row r="27">
      <c r="A27" s="6" t="inlineStr">
        <is>
          <t>R26</t>
        </is>
      </c>
      <c r="B27" s="6">
        <f>INDEX(Data!$E$2:$E$241,MATCH($A27,Data!$B$2:$B$241,0))</f>
        <v/>
      </c>
      <c r="C27" s="17">
        <f>SUMIFS(Data!$S$2:$S$241,Data!$B$2:$B$241,$A27,Data!$H$2:$H$241,"Brand_Logo",Data!$G$2:$G$241,"Commercial_1_Balls")</f>
        <v/>
      </c>
      <c r="D27" s="17">
        <f>SUMIFS(Data!$S$2:$S$241,Data!$B$2:$B$241,$A27,Data!$H$2:$H$241,"Brand_Logo",Data!$G$2:$G$241,"Commercial_2_Paint")</f>
        <v/>
      </c>
      <c r="E27" s="17">
        <f>D27-C27</f>
        <v/>
      </c>
      <c r="G27" s="11" t="inlineStr">
        <is>
          <t>Respondent ratio (kept respondents who fixated the logo)</t>
        </is>
      </c>
    </row>
    <row r="28">
      <c r="A28" s="6" t="inlineStr">
        <is>
          <t>R28</t>
        </is>
      </c>
      <c r="B28" s="6">
        <f>INDEX(Data!$E$2:$E$241,MATCH($A28,Data!$B$2:$B$241,0))</f>
        <v/>
      </c>
      <c r="C28" s="17">
        <f>SUMIFS(Data!$S$2:$S$241,Data!$B$2:$B$241,$A28,Data!$H$2:$H$241,"Brand_Logo",Data!$G$2:$G$241,"Commercial_1_Balls")</f>
        <v/>
      </c>
      <c r="D28" s="17">
        <f>SUMIFS(Data!$S$2:$S$241,Data!$B$2:$B$241,$A28,Data!$H$2:$H$241,"Brand_Logo",Data!$G$2:$G$241,"Commercial_2_Paint")</f>
        <v/>
      </c>
      <c r="E28" s="17">
        <f>D28-C28</f>
        <v/>
      </c>
      <c r="G28" t="inlineStr">
        <is>
          <t>Kept respondents with a Brand_Logo row, Balls</t>
        </is>
      </c>
      <c r="H28" s="14">
        <f>COUNTIFS(Data!$H$2:$H$241,"Brand_Logo",Data!$Z$2:$Z$241,"Yes",Data!$G$2:$G$241,"Commercial_1_Balls")</f>
        <v/>
      </c>
      <c r="I28" s="13" t="inlineStr">
        <is>
          <t>=COUNTIFS(Data!$H$2:$H$241,"Brand_Logo",Data!$Z$2:$Z$241,"Yes",Data!$G$2:$G$241,"Commercial_1_Balls")</t>
        </is>
      </c>
    </row>
    <row r="29">
      <c r="A29" s="6" t="inlineStr">
        <is>
          <t>R30</t>
        </is>
      </c>
      <c r="B29" s="6">
        <f>INDEX(Data!$E$2:$E$241,MATCH($A29,Data!$B$2:$B$241,0))</f>
        <v/>
      </c>
      <c r="C29" s="17">
        <f>SUMIFS(Data!$S$2:$S$241,Data!$B$2:$B$241,$A29,Data!$H$2:$H$241,"Brand_Logo",Data!$G$2:$G$241,"Commercial_1_Balls")</f>
        <v/>
      </c>
      <c r="D29" s="17">
        <f>SUMIFS(Data!$S$2:$S$241,Data!$B$2:$B$241,$A29,Data!$H$2:$H$241,"Brand_Logo",Data!$G$2:$G$241,"Commercial_2_Paint")</f>
        <v/>
      </c>
      <c r="E29" s="17">
        <f>D29-C29</f>
        <v/>
      </c>
      <c r="G29" t="inlineStr">
        <is>
          <t>Fixated the logo, Balls</t>
        </is>
      </c>
      <c r="H29" s="14">
        <f>COUNTIFS(Data!$H$2:$H$241,"Brand_Logo",Data!$Z$2:$Z$241,"Yes",Data!$G$2:$G$241,"Commercial_1_Balls",Data!$AC$2:$AC$241,1)</f>
        <v/>
      </c>
      <c r="I29" s="13" t="inlineStr">
        <is>
          <t>=COUNTIFS(Data!$H$2:$H$241,"Brand_Logo",Data!$Z$2:$Z$241,"Yes",Data!$G$2:$G$241,"Commercial_1_Balls",Data!$AC$2:$AC$241,1)</t>
        </is>
      </c>
    </row>
    <row r="30">
      <c r="G30" t="inlineStr">
        <is>
          <t>Respondent ratio, Balls (%)</t>
        </is>
      </c>
      <c r="H30" s="9">
        <f>100*H29/H28</f>
        <v/>
      </c>
      <c r="I30" s="13" t="inlineStr">
        <is>
          <t>=100*H29/H28</t>
        </is>
      </c>
      <c r="J30" s="5" t="inlineStr">
        <is>
          <t>fixation based Respondent ratio (%)</t>
        </is>
      </c>
    </row>
    <row r="31">
      <c r="G31" t="inlineStr">
        <is>
          <t>Kept respondents with a Brand_Logo row, Paint</t>
        </is>
      </c>
      <c r="H31" s="14">
        <f>COUNTIFS(Data!$H$2:$H$241,"Brand_Logo",Data!$Z$2:$Z$241,"Yes",Data!$G$2:$G$241,"Commercial_2_Paint")</f>
        <v/>
      </c>
      <c r="I31" s="13" t="inlineStr">
        <is>
          <t>=COUNTIFS(Data!$H$2:$H$241,"Brand_Logo",Data!$Z$2:$Z$241,"Yes",Data!$G$2:$G$241,"Commercial_2_Paint")</t>
        </is>
      </c>
    </row>
    <row r="32">
      <c r="G32" t="inlineStr">
        <is>
          <t>Fixated the logo, Paint</t>
        </is>
      </c>
      <c r="H32" s="14">
        <f>COUNTIFS(Data!$H$2:$H$241,"Brand_Logo",Data!$Z$2:$Z$241,"Yes",Data!$G$2:$G$241,"Commercial_2_Paint",Data!$AC$2:$AC$241,1)</f>
        <v/>
      </c>
      <c r="I32" s="13" t="inlineStr">
        <is>
          <t>=COUNTIFS(Data!$H$2:$H$241,"Brand_Logo",Data!$Z$2:$Z$241,"Yes",Data!$G$2:$G$241,"Commercial_2_Paint",Data!$AC$2:$AC$241,1)</t>
        </is>
      </c>
    </row>
    <row r="33">
      <c r="G33" t="inlineStr">
        <is>
          <t>Respondent ratio, Paint (%)</t>
        </is>
      </c>
      <c r="H33" s="9">
        <f>100*H32/H31</f>
        <v/>
      </c>
      <c r="I33" s="13" t="inlineStr">
        <is>
          <t>=100*H32/H31</t>
        </is>
      </c>
    </row>
    <row r="35">
      <c r="G35" s="11" t="inlineStr">
        <is>
          <t>Checks</t>
        </is>
      </c>
    </row>
    <row r="36">
      <c r="G36" t="inlineStr">
        <is>
          <t>Kept respondents with a TTFF in both commercials (counted from Data)</t>
        </is>
      </c>
      <c r="H36" s="14">
        <f>SUMPRODUCT(--(COUNTIFS(Data!$B$2:$B$241,ProductTV!$A$5:$A$33,Data!$H$2:$H$241,"Brand_Logo",Data!$G$2:$G$241,"Commercial_1_Balls",Data!$AC$2:$AC$241,1)=1),--(COUNTIFS(Data!$B$2:$B$241,ProductTV!$A$5:$A$33,Data!$H$2:$H$241,"Brand_Logo",Data!$G$2:$G$241,"Commercial_2_Paint",Data!$AC$2:$AC$241,1)=1))</f>
        <v/>
      </c>
      <c r="I36" s="13" t="inlineStr">
        <is>
          <t>=SUMPRODUCT(--(COUNTIFS(Data!$B$2:$B$241,ProductTV!$A$5:$A$33,Data!$H$2:$H$241,"Brand_Logo",Data!$G$2:$G$241,"Commercial_1_Balls",Data!$AC$2:$AC$241,1)=1),--(COUNTIFS(Data!$B$2:$B$241,ProductTV!$A$5:$A$33,Data!$H$2:$H$241,"Brand_Logo",Data!$G$2:$G$241,"Commercial_2_Paint",Data!$AC$2:$AC$241,1)=1))</t>
        </is>
      </c>
      <c r="J36" s="5" t="inlineStr">
        <is>
          <t>must equal n pairs; checks the roster against every kept respondent listed on the ProductTV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8" customWidth="1" min="3" max="3"/>
    <col width="18" customWidth="1" min="4" max="4"/>
    <col width="18" customWidth="1" min="5" max="5"/>
    <col width="13" customWidth="1" min="6" max="6"/>
    <col width="14" customWidth="1" min="7" max="7"/>
    <col width="8" customWidth="1" min="8" max="8"/>
    <col width="18" customWidth="1" min="9" max="9"/>
    <col width="22" customWidth="1" min="10" max="10"/>
    <col width="14" customWidth="1" min="11" max="11"/>
    <col width="3" customWidth="1" min="12" max="12"/>
    <col width="54" customWidth="1" min="13" max="13"/>
    <col width="12" customWidth="1" min="14" max="14"/>
    <col width="72" customWidth="1" min="15" max="15"/>
    <col width="52" customWidth="1" min="16" max="16"/>
  </cols>
  <sheetData>
    <row r="1">
      <c r="A1" s="4" t="inlineStr">
        <is>
          <t>H3. Liking after each commercial, joined to Brand_Logo dwell time. SIMULATED data.</t>
        </is>
      </c>
    </row>
    <row r="3" ht="48" customHeight="1">
      <c r="A3" s="2" t="inlineStr">
        <is>
          <t>Study Name</t>
        </is>
      </c>
      <c r="B3" s="2" t="inlineStr">
        <is>
          <t>Respondent Name</t>
        </is>
      </c>
      <c r="C3" s="2" t="inlineStr">
        <is>
          <t>Group</t>
        </is>
      </c>
      <c r="D3" s="2" t="inlineStr">
        <is>
          <t>Liking_Balls_1to7</t>
        </is>
      </c>
      <c r="E3" s="2" t="inlineStr">
        <is>
          <t>Liking_Paint_1to7</t>
        </is>
      </c>
      <c r="F3" s="2" t="inlineStr">
        <is>
          <t>Brand_recall</t>
        </is>
      </c>
      <c r="G3" s="2" t="inlineStr">
        <is>
          <t>Ad_preferred</t>
        </is>
      </c>
      <c r="H3" s="2" t="inlineStr">
        <is>
          <t>Keep</t>
        </is>
      </c>
      <c r="I3" s="2" t="inlineStr">
        <is>
          <t>Difference (Paint minus Balls)</t>
        </is>
      </c>
      <c r="J3" s="2" t="inlineStr">
        <is>
          <t>Brand_Logo Dwell time (ms), both commercials</t>
        </is>
      </c>
      <c r="K3" s="2" t="inlineStr">
        <is>
          <t>Recall (1 = Yes)</t>
        </is>
      </c>
      <c r="M3" s="10" t="inlineStr">
        <is>
          <t>Statistic</t>
        </is>
      </c>
      <c r="N3" s="10" t="inlineStr">
        <is>
          <t>Value</t>
        </is>
      </c>
      <c r="O3" s="10" t="inlineStr">
        <is>
          <t>Formula shown</t>
        </is>
      </c>
      <c r="P3" s="10" t="inlineStr">
        <is>
          <t>Note</t>
        </is>
      </c>
    </row>
    <row r="4">
      <c r="A4" t="inlineStr">
        <is>
          <t>SIMULATED_AdTest_Balls_vs_Paint</t>
        </is>
      </c>
      <c r="B4" t="inlineStr">
        <is>
          <t>R01</t>
        </is>
      </c>
      <c r="C4" t="inlineStr">
        <is>
          <t>A</t>
        </is>
      </c>
      <c r="D4" t="n">
        <v>6</v>
      </c>
      <c r="E4" t="n">
        <v>6</v>
      </c>
      <c r="F4" t="inlineStr">
        <is>
          <t>Yes</t>
        </is>
      </c>
      <c r="G4" t="inlineStr">
        <is>
          <t>Balls</t>
        </is>
      </c>
      <c r="H4">
        <f>IF(INDEX(Data!$L$2:$L$241,MATCH($B4,Data!$B$2:$B$241,0))&gt;=70,"Yes","No")</f>
        <v/>
      </c>
      <c r="I4">
        <f>E4-D4</f>
        <v/>
      </c>
      <c r="J4">
        <f>SUMIFS(Data!$V$2:$V$241,Data!$B$2:$B$241,$B4,Data!$H$2:$H$241,"Brand_Logo")</f>
        <v/>
      </c>
      <c r="K4">
        <f>IF(F4="Yes",1,0)</f>
        <v/>
      </c>
      <c r="M4" s="11" t="inlineStr">
        <is>
          <t>Paired t test and d_z: Liking (1 to 7)</t>
        </is>
      </c>
    </row>
    <row r="5">
      <c r="A5" t="inlineStr">
        <is>
          <t>SIMULATED_AdTest_Balls_vs_Paint</t>
        </is>
      </c>
      <c r="B5" t="inlineStr">
        <is>
          <t>R02</t>
        </is>
      </c>
      <c r="C5" t="inlineStr">
        <is>
          <t>B</t>
        </is>
      </c>
      <c r="D5" t="n">
        <v>6</v>
      </c>
      <c r="E5" t="n">
        <v>7</v>
      </c>
      <c r="F5" t="inlineStr">
        <is>
          <t>Yes</t>
        </is>
      </c>
      <c r="G5" t="inlineStr">
        <is>
          <t>Paint</t>
        </is>
      </c>
      <c r="H5">
        <f>IF(INDEX(Data!$L$2:$L$241,MATCH($B5,Data!$B$2:$B$241,0))&gt;=70,"Yes","No")</f>
        <v/>
      </c>
      <c r="I5">
        <f>E5-D5</f>
        <v/>
      </c>
      <c r="J5">
        <f>SUMIFS(Data!$V$2:$V$241,Data!$B$2:$B$241,$B5,Data!$H$2:$H$241,"Brand_Logo")</f>
        <v/>
      </c>
      <c r="K5">
        <f>IF(F5="Yes",1,0)</f>
        <v/>
      </c>
      <c r="M5" t="inlineStr">
        <is>
          <t>Balls mean (points)</t>
        </is>
      </c>
      <c r="N5" s="12">
        <f>AVERAGE(D4:D32)</f>
        <v/>
      </c>
      <c r="O5" s="13" t="inlineStr">
        <is>
          <t>=AVERAGE(D4:D32)</t>
        </is>
      </c>
      <c r="P5" s="5" t="inlineStr">
        <is>
          <t>AVERAGE of the Balls column</t>
        </is>
      </c>
    </row>
    <row r="6">
      <c r="A6" t="inlineStr">
        <is>
          <t>SIMULATED_AdTest_Balls_vs_Paint</t>
        </is>
      </c>
      <c r="B6" t="inlineStr">
        <is>
          <t>R03</t>
        </is>
      </c>
      <c r="C6" t="inlineStr">
        <is>
          <t>A</t>
        </is>
      </c>
      <c r="D6" t="n">
        <v>6</v>
      </c>
      <c r="E6" t="n">
        <v>5</v>
      </c>
      <c r="F6" t="inlineStr">
        <is>
          <t>Yes</t>
        </is>
      </c>
      <c r="G6" t="inlineStr">
        <is>
          <t>Balls</t>
        </is>
      </c>
      <c r="H6">
        <f>IF(INDEX(Data!$L$2:$L$241,MATCH($B6,Data!$B$2:$B$241,0))&gt;=70,"Yes","No")</f>
        <v/>
      </c>
      <c r="I6">
        <f>E6-D6</f>
        <v/>
      </c>
      <c r="J6">
        <f>SUMIFS(Data!$V$2:$V$241,Data!$B$2:$B$241,$B6,Data!$H$2:$H$241,"Brand_Logo")</f>
        <v/>
      </c>
      <c r="K6">
        <f>IF(F6="Yes",1,0)</f>
        <v/>
      </c>
      <c r="M6" t="inlineStr">
        <is>
          <t>Balls SD (points)</t>
        </is>
      </c>
      <c r="N6" s="12">
        <f>_xlfn.STDEV.S(D4:D32)</f>
        <v/>
      </c>
      <c r="O6" s="13" t="inlineStr">
        <is>
          <t>=STDEV.S(D4:D32)</t>
        </is>
      </c>
      <c r="P6" s="5" t="inlineStr">
        <is>
          <t>STDEV.S = sample standard deviation</t>
        </is>
      </c>
    </row>
    <row r="7">
      <c r="A7" t="inlineStr">
        <is>
          <t>SIMULATED_AdTest_Balls_vs_Paint</t>
        </is>
      </c>
      <c r="B7" t="inlineStr">
        <is>
          <t>R04</t>
        </is>
      </c>
      <c r="C7" t="inlineStr">
        <is>
          <t>B</t>
        </is>
      </c>
      <c r="D7" t="n">
        <v>6</v>
      </c>
      <c r="E7" t="n">
        <v>2</v>
      </c>
      <c r="F7" t="inlineStr">
        <is>
          <t>Yes</t>
        </is>
      </c>
      <c r="G7" t="inlineStr">
        <is>
          <t>Balls</t>
        </is>
      </c>
      <c r="H7">
        <f>IF(INDEX(Data!$L$2:$L$241,MATCH($B7,Data!$B$2:$B$241,0))&gt;=70,"Yes","No")</f>
        <v/>
      </c>
      <c r="I7">
        <f>E7-D7</f>
        <v/>
      </c>
      <c r="J7">
        <f>SUMIFS(Data!$V$2:$V$241,Data!$B$2:$B$241,$B7,Data!$H$2:$H$241,"Brand_Logo")</f>
        <v/>
      </c>
      <c r="K7">
        <f>IF(F7="Yes",1,0)</f>
        <v/>
      </c>
      <c r="M7" t="inlineStr">
        <is>
          <t>Paint mean (points)</t>
        </is>
      </c>
      <c r="N7" s="12">
        <f>AVERAGE(E4:E32)</f>
        <v/>
      </c>
      <c r="O7" s="13" t="inlineStr">
        <is>
          <t>=AVERAGE(E4:E32)</t>
        </is>
      </c>
    </row>
    <row r="8">
      <c r="A8" t="inlineStr">
        <is>
          <t>SIMULATED_AdTest_Balls_vs_Paint</t>
        </is>
      </c>
      <c r="B8" t="inlineStr">
        <is>
          <t>R05</t>
        </is>
      </c>
      <c r="C8" t="inlineStr">
        <is>
          <t>A</t>
        </is>
      </c>
      <c r="D8" t="n">
        <v>4</v>
      </c>
      <c r="E8" t="n">
        <v>4</v>
      </c>
      <c r="F8" t="inlineStr">
        <is>
          <t>Yes</t>
        </is>
      </c>
      <c r="G8" t="inlineStr">
        <is>
          <t>Balls</t>
        </is>
      </c>
      <c r="H8">
        <f>IF(INDEX(Data!$L$2:$L$241,MATCH($B8,Data!$B$2:$B$241,0))&gt;=70,"Yes","No")</f>
        <v/>
      </c>
      <c r="I8">
        <f>E8-D8</f>
        <v/>
      </c>
      <c r="J8">
        <f>SUMIFS(Data!$V$2:$V$241,Data!$B$2:$B$241,$B8,Data!$H$2:$H$241,"Brand_Logo")</f>
        <v/>
      </c>
      <c r="K8">
        <f>IF(F8="Yes",1,0)</f>
        <v/>
      </c>
      <c r="M8" t="inlineStr">
        <is>
          <t>Paint SD (points)</t>
        </is>
      </c>
      <c r="N8" s="12">
        <f>_xlfn.STDEV.S(E4:E32)</f>
        <v/>
      </c>
      <c r="O8" s="13" t="inlineStr">
        <is>
          <t>=STDEV.S(E4:E32)</t>
        </is>
      </c>
    </row>
    <row r="9">
      <c r="A9" t="inlineStr">
        <is>
          <t>SIMULATED_AdTest_Balls_vs_Paint</t>
        </is>
      </c>
      <c r="B9" t="inlineStr">
        <is>
          <t>R06</t>
        </is>
      </c>
      <c r="C9" t="inlineStr">
        <is>
          <t>B</t>
        </is>
      </c>
      <c r="D9" t="n">
        <v>4</v>
      </c>
      <c r="E9" t="n">
        <v>4</v>
      </c>
      <c r="F9" t="inlineStr">
        <is>
          <t>No</t>
        </is>
      </c>
      <c r="G9" t="inlineStr">
        <is>
          <t>Balls</t>
        </is>
      </c>
      <c r="H9">
        <f>IF(INDEX(Data!$L$2:$L$241,MATCH($B9,Data!$B$2:$B$241,0))&gt;=70,"Yes","No")</f>
        <v/>
      </c>
      <c r="I9">
        <f>E9-D9</f>
        <v/>
      </c>
      <c r="J9">
        <f>SUMIFS(Data!$V$2:$V$241,Data!$B$2:$B$241,$B9,Data!$H$2:$H$241,"Brand_Logo")</f>
        <v/>
      </c>
      <c r="K9">
        <f>IF(F9="Yes",1,0)</f>
        <v/>
      </c>
      <c r="M9" t="inlineStr">
        <is>
          <t>n pairs</t>
        </is>
      </c>
      <c r="N9" s="14">
        <f>COUNT(I4:I32)</f>
        <v/>
      </c>
      <c r="O9" s="13" t="inlineStr">
        <is>
          <t>=COUNT(I4:I32)</t>
        </is>
      </c>
      <c r="P9" s="5" t="inlineStr">
        <is>
          <t>kept respondents only</t>
        </is>
      </c>
    </row>
    <row r="10">
      <c r="A10" t="inlineStr">
        <is>
          <t>SIMULATED_AdTest_Balls_vs_Paint</t>
        </is>
      </c>
      <c r="B10" t="inlineStr">
        <is>
          <t>R07</t>
        </is>
      </c>
      <c r="C10" t="inlineStr">
        <is>
          <t>A</t>
        </is>
      </c>
      <c r="D10" t="n">
        <v>7</v>
      </c>
      <c r="E10" t="n">
        <v>6</v>
      </c>
      <c r="F10" t="inlineStr">
        <is>
          <t>Yes</t>
        </is>
      </c>
      <c r="G10" t="inlineStr">
        <is>
          <t>Balls</t>
        </is>
      </c>
      <c r="H10">
        <f>IF(INDEX(Data!$L$2:$L$241,MATCH($B10,Data!$B$2:$B$241,0))&gt;=70,"Yes","No")</f>
        <v/>
      </c>
      <c r="I10">
        <f>E10-D10</f>
        <v/>
      </c>
      <c r="J10">
        <f>SUMIFS(Data!$V$2:$V$241,Data!$B$2:$B$241,$B10,Data!$H$2:$H$241,"Brand_Logo")</f>
        <v/>
      </c>
      <c r="K10">
        <f>IF(F10="Yes",1,0)</f>
        <v/>
      </c>
      <c r="M10" t="inlineStr">
        <is>
          <t>Mean difference, Paint minus Balls (points)</t>
        </is>
      </c>
      <c r="N10" s="12">
        <f>AVERAGE(I4:I32)</f>
        <v/>
      </c>
      <c r="O10" s="13" t="inlineStr">
        <is>
          <t>=AVERAGE(I4:I32)</t>
        </is>
      </c>
    </row>
    <row r="11">
      <c r="A11" t="inlineStr">
        <is>
          <t>SIMULATED_AdTest_Balls_vs_Paint</t>
        </is>
      </c>
      <c r="B11" t="inlineStr">
        <is>
          <t>R08</t>
        </is>
      </c>
      <c r="C11" t="inlineStr">
        <is>
          <t>B</t>
        </is>
      </c>
      <c r="D11" t="n">
        <v>6</v>
      </c>
      <c r="E11" t="n">
        <v>4</v>
      </c>
      <c r="F11" t="inlineStr">
        <is>
          <t>Yes</t>
        </is>
      </c>
      <c r="G11" t="inlineStr">
        <is>
          <t>Balls</t>
        </is>
      </c>
      <c r="H11">
        <f>IF(INDEX(Data!$L$2:$L$241,MATCH($B11,Data!$B$2:$B$241,0))&gt;=70,"Yes","No")</f>
        <v/>
      </c>
      <c r="I11">
        <f>E11-D11</f>
        <v/>
      </c>
      <c r="J11">
        <f>SUMIFS(Data!$V$2:$V$241,Data!$B$2:$B$241,$B11,Data!$H$2:$H$241,"Brand_Logo")</f>
        <v/>
      </c>
      <c r="K11">
        <f>IF(F11="Yes",1,0)</f>
        <v/>
      </c>
      <c r="M11" t="inlineStr">
        <is>
          <t>SD of the differences (points)</t>
        </is>
      </c>
      <c r="N11" s="12">
        <f>_xlfn.STDEV.S(I4:I32)</f>
        <v/>
      </c>
      <c r="O11" s="13" t="inlineStr">
        <is>
          <t>=STDEV.S(I4:I32)</t>
        </is>
      </c>
      <c r="P11" s="5" t="inlineStr">
        <is>
          <t>the SD that matters in a paired test</t>
        </is>
      </c>
    </row>
    <row r="12">
      <c r="A12" t="inlineStr">
        <is>
          <t>SIMULATED_AdTest_Balls_vs_Paint</t>
        </is>
      </c>
      <c r="B12" t="inlineStr">
        <is>
          <t>R09</t>
        </is>
      </c>
      <c r="C12" t="inlineStr">
        <is>
          <t>A</t>
        </is>
      </c>
      <c r="D12" t="n">
        <v>4</v>
      </c>
      <c r="E12" t="n">
        <v>4</v>
      </c>
      <c r="F12" t="inlineStr">
        <is>
          <t>Yes</t>
        </is>
      </c>
      <c r="G12" t="inlineStr">
        <is>
          <t>Balls</t>
        </is>
      </c>
      <c r="H12">
        <f>IF(INDEX(Data!$L$2:$L$241,MATCH($B12,Data!$B$2:$B$241,0))&gt;=70,"Yes","No")</f>
        <v/>
      </c>
      <c r="I12">
        <f>E12-D12</f>
        <v/>
      </c>
      <c r="J12">
        <f>SUMIFS(Data!$V$2:$V$241,Data!$B$2:$B$241,$B12,Data!$H$2:$H$241,"Brand_Logo")</f>
        <v/>
      </c>
      <c r="K12">
        <f>IF(F12="Yes",1,0)</f>
        <v/>
      </c>
      <c r="M12" t="inlineStr">
        <is>
          <t>SE of the mean difference</t>
        </is>
      </c>
      <c r="N12" s="12">
        <f>N11/SQRT(N9)</f>
        <v/>
      </c>
      <c r="O12" s="13" t="inlineStr">
        <is>
          <t>=N11/SQRT(N9)</t>
        </is>
      </c>
      <c r="P12" s="5" t="inlineStr">
        <is>
          <t>SD of differences / sqrt(n)</t>
        </is>
      </c>
    </row>
    <row r="13">
      <c r="A13" t="inlineStr">
        <is>
          <t>SIMULATED_AdTest_Balls_vs_Paint</t>
        </is>
      </c>
      <c r="B13" t="inlineStr">
        <is>
          <t>R10</t>
        </is>
      </c>
      <c r="C13" t="inlineStr">
        <is>
          <t>B</t>
        </is>
      </c>
      <c r="D13" t="n">
        <v>5</v>
      </c>
      <c r="E13" t="n">
        <v>5</v>
      </c>
      <c r="F13" t="inlineStr">
        <is>
          <t>No</t>
        </is>
      </c>
      <c r="G13" t="inlineStr">
        <is>
          <t>Paint</t>
        </is>
      </c>
      <c r="H13">
        <f>IF(INDEX(Data!$L$2:$L$241,MATCH($B13,Data!$B$2:$B$241,0))&gt;=70,"Yes","No")</f>
        <v/>
      </c>
      <c r="I13">
        <f>E13-D13</f>
        <v/>
      </c>
      <c r="J13">
        <f>SUMIFS(Data!$V$2:$V$241,Data!$B$2:$B$241,$B13,Data!$H$2:$H$241,"Brand_Logo")</f>
        <v/>
      </c>
      <c r="K13">
        <f>IF(F13="Yes",1,0)</f>
        <v/>
      </c>
      <c r="M13" t="inlineStr">
        <is>
          <t>Paired t</t>
        </is>
      </c>
      <c r="N13" s="12">
        <f>N10/N12</f>
        <v/>
      </c>
      <c r="O13" s="13" t="inlineStr">
        <is>
          <t>=N10/N12</t>
        </is>
      </c>
      <c r="P13" s="5" t="inlineStr">
        <is>
          <t>t = mean difference / SE</t>
        </is>
      </c>
    </row>
    <row r="14">
      <c r="A14" t="inlineStr">
        <is>
          <t>SIMULATED_AdTest_Balls_vs_Paint</t>
        </is>
      </c>
      <c r="B14" t="inlineStr">
        <is>
          <t>R11</t>
        </is>
      </c>
      <c r="C14" t="inlineStr">
        <is>
          <t>A</t>
        </is>
      </c>
      <c r="D14" t="n">
        <v>4</v>
      </c>
      <c r="E14" t="n">
        <v>5</v>
      </c>
      <c r="F14" t="inlineStr">
        <is>
          <t>No</t>
        </is>
      </c>
      <c r="G14" t="inlineStr">
        <is>
          <t>Paint</t>
        </is>
      </c>
      <c r="H14">
        <f>IF(INDEX(Data!$L$2:$L$241,MATCH($B14,Data!$B$2:$B$241,0))&gt;=70,"Yes","No")</f>
        <v/>
      </c>
      <c r="I14">
        <f>E14-D14</f>
        <v/>
      </c>
      <c r="J14">
        <f>SUMIFS(Data!$V$2:$V$241,Data!$B$2:$B$241,$B14,Data!$H$2:$H$241,"Brand_Logo")</f>
        <v/>
      </c>
      <c r="K14">
        <f>IF(F14="Yes",1,0)</f>
        <v/>
      </c>
      <c r="M14" t="inlineStr">
        <is>
          <t>df</t>
        </is>
      </c>
      <c r="N14" s="14">
        <f>N9-1</f>
        <v/>
      </c>
      <c r="O14" s="13" t="inlineStr">
        <is>
          <t>=N9-1</t>
        </is>
      </c>
      <c r="P14" s="5" t="inlineStr">
        <is>
          <t>n pairs minus 1</t>
        </is>
      </c>
    </row>
    <row r="15">
      <c r="A15" t="inlineStr">
        <is>
          <t>SIMULATED_AdTest_Balls_vs_Paint</t>
        </is>
      </c>
      <c r="B15" t="inlineStr">
        <is>
          <t>R12</t>
        </is>
      </c>
      <c r="C15" t="inlineStr">
        <is>
          <t>B</t>
        </is>
      </c>
      <c r="D15" t="n">
        <v>6</v>
      </c>
      <c r="E15" t="n">
        <v>6</v>
      </c>
      <c r="F15" t="inlineStr">
        <is>
          <t>Yes</t>
        </is>
      </c>
      <c r="G15" t="inlineStr">
        <is>
          <t>Balls</t>
        </is>
      </c>
      <c r="H15">
        <f>IF(INDEX(Data!$L$2:$L$241,MATCH($B15,Data!$B$2:$B$241,0))&gt;=70,"Yes","No")</f>
        <v/>
      </c>
      <c r="I15">
        <f>E15-D15</f>
        <v/>
      </c>
      <c r="J15">
        <f>SUMIFS(Data!$V$2:$V$241,Data!$B$2:$B$241,$B15,Data!$H$2:$H$241,"Brand_Logo")</f>
        <v/>
      </c>
      <c r="K15">
        <f>IF(F15="Yes",1,0)</f>
        <v/>
      </c>
      <c r="M15" t="inlineStr">
        <is>
          <t>p, two tailed (T.TEST type 1)</t>
        </is>
      </c>
      <c r="N15" s="15">
        <f>_xlfn.T.TEST(D4:D32,E4:E32,2,1)</f>
        <v/>
      </c>
      <c r="O15" s="13" t="inlineStr">
        <is>
          <t>=T.TEST(D4:D32,E4:E32,2,1)</t>
        </is>
      </c>
      <c r="P15" s="5" t="inlineStr">
        <is>
          <t>tails = 2, type = 1 means paired</t>
        </is>
      </c>
    </row>
    <row r="16">
      <c r="A16" t="inlineStr">
        <is>
          <t>SIMULATED_AdTest_Balls_vs_Paint</t>
        </is>
      </c>
      <c r="B16" t="inlineStr">
        <is>
          <t>R13</t>
        </is>
      </c>
      <c r="C16" t="inlineStr">
        <is>
          <t>A</t>
        </is>
      </c>
      <c r="D16" t="n">
        <v>4</v>
      </c>
      <c r="E16" t="n">
        <v>4</v>
      </c>
      <c r="F16" t="inlineStr">
        <is>
          <t>Yes</t>
        </is>
      </c>
      <c r="G16" t="inlineStr">
        <is>
          <t>Paint</t>
        </is>
      </c>
      <c r="H16">
        <f>IF(INDEX(Data!$L$2:$L$241,MATCH($B16,Data!$B$2:$B$241,0))&gt;=70,"Yes","No")</f>
        <v/>
      </c>
      <c r="I16">
        <f>E16-D16</f>
        <v/>
      </c>
      <c r="J16">
        <f>SUMIFS(Data!$V$2:$V$241,Data!$B$2:$B$241,$B16,Data!$H$2:$H$241,"Brand_Logo")</f>
        <v/>
      </c>
      <c r="K16">
        <f>IF(F16="Yes",1,0)</f>
        <v/>
      </c>
      <c r="M16" t="inlineStr">
        <is>
          <t>p from the hand computed t</t>
        </is>
      </c>
      <c r="N16" s="15">
        <f>_xlfn.T.DIST.2T(ABS(N13),N14)</f>
        <v/>
      </c>
      <c r="O16" s="13" t="inlineStr">
        <is>
          <t>=T.DIST.2T(ABS(N13),N14)</t>
        </is>
      </c>
      <c r="P16" s="5" t="inlineStr">
        <is>
          <t>should match the T.TEST cell</t>
        </is>
      </c>
    </row>
    <row r="17">
      <c r="A17" t="inlineStr">
        <is>
          <t>SIMULATED_AdTest_Balls_vs_Paint</t>
        </is>
      </c>
      <c r="B17" t="inlineStr">
        <is>
          <t>R14</t>
        </is>
      </c>
      <c r="C17" t="inlineStr">
        <is>
          <t>B</t>
        </is>
      </c>
      <c r="D17" t="n">
        <v>7</v>
      </c>
      <c r="E17" t="n">
        <v>7</v>
      </c>
      <c r="F17" t="inlineStr">
        <is>
          <t>Yes</t>
        </is>
      </c>
      <c r="G17" t="inlineStr">
        <is>
          <t>Paint</t>
        </is>
      </c>
      <c r="H17">
        <f>IF(INDEX(Data!$L$2:$L$241,MATCH($B17,Data!$B$2:$B$241,0))&gt;=70,"Yes","No")</f>
        <v/>
      </c>
      <c r="I17">
        <f>E17-D17</f>
        <v/>
      </c>
      <c r="J17">
        <f>SUMIFS(Data!$V$2:$V$241,Data!$B$2:$B$241,$B17,Data!$H$2:$H$241,"Brand_Logo")</f>
        <v/>
      </c>
      <c r="K17">
        <f>IF(F17="Yes",1,0)</f>
        <v/>
      </c>
      <c r="M17" t="inlineStr">
        <is>
          <t>Critical t (95%)</t>
        </is>
      </c>
      <c r="N17" s="12">
        <f>_xlfn.T.INV.2T(0.05,N14)</f>
        <v/>
      </c>
      <c r="O17" s="13" t="inlineStr">
        <is>
          <t>=T.INV.2T(0.05,N14)</t>
        </is>
      </c>
      <c r="P17" s="5" t="inlineStr">
        <is>
          <t>two tailed, alpha = .05</t>
        </is>
      </c>
    </row>
    <row r="18">
      <c r="A18" t="inlineStr">
        <is>
          <t>SIMULATED_AdTest_Balls_vs_Paint</t>
        </is>
      </c>
      <c r="B18" t="inlineStr">
        <is>
          <t>R15</t>
        </is>
      </c>
      <c r="C18" t="inlineStr">
        <is>
          <t>A</t>
        </is>
      </c>
      <c r="D18" t="n">
        <v>5</v>
      </c>
      <c r="E18" t="n">
        <v>5</v>
      </c>
      <c r="F18" t="inlineStr">
        <is>
          <t>Yes</t>
        </is>
      </c>
      <c r="G18" t="inlineStr">
        <is>
          <t>Balls</t>
        </is>
      </c>
      <c r="H18">
        <f>IF(INDEX(Data!$L$2:$L$241,MATCH($B18,Data!$B$2:$B$241,0))&gt;=70,"Yes","No")</f>
        <v/>
      </c>
      <c r="I18">
        <f>E18-D18</f>
        <v/>
      </c>
      <c r="J18">
        <f>SUMIFS(Data!$V$2:$V$241,Data!$B$2:$B$241,$B18,Data!$H$2:$H$241,"Brand_Logo")</f>
        <v/>
      </c>
      <c r="K18">
        <f>IF(F18="Yes",1,0)</f>
        <v/>
      </c>
      <c r="M18" t="inlineStr">
        <is>
          <t>Mean difference 95% CI lower</t>
        </is>
      </c>
      <c r="N18" s="12">
        <f>N10-N17*N12</f>
        <v/>
      </c>
      <c r="O18" s="13" t="inlineStr">
        <is>
          <t>=N10-N17*N12</t>
        </is>
      </c>
    </row>
    <row r="19">
      <c r="A19" t="inlineStr">
        <is>
          <t>SIMULATED_AdTest_Balls_vs_Paint</t>
        </is>
      </c>
      <c r="B19" t="inlineStr">
        <is>
          <t>R16</t>
        </is>
      </c>
      <c r="C19" t="inlineStr">
        <is>
          <t>B</t>
        </is>
      </c>
      <c r="D19" t="n">
        <v>6</v>
      </c>
      <c r="E19" t="n">
        <v>5</v>
      </c>
      <c r="F19" t="inlineStr">
        <is>
          <t>Yes</t>
        </is>
      </c>
      <c r="G19" t="inlineStr">
        <is>
          <t>Balls</t>
        </is>
      </c>
      <c r="H19">
        <f>IF(INDEX(Data!$L$2:$L$241,MATCH($B19,Data!$B$2:$B$241,0))&gt;=70,"Yes","No")</f>
        <v/>
      </c>
      <c r="I19">
        <f>E19-D19</f>
        <v/>
      </c>
      <c r="J19">
        <f>SUMIFS(Data!$V$2:$V$241,Data!$B$2:$B$241,$B19,Data!$H$2:$H$241,"Brand_Logo")</f>
        <v/>
      </c>
      <c r="K19">
        <f>IF(F19="Yes",1,0)</f>
        <v/>
      </c>
      <c r="M19" t="inlineStr">
        <is>
          <t>Mean difference 95% CI upper</t>
        </is>
      </c>
      <c r="N19" s="12">
        <f>N10+N17*N12</f>
        <v/>
      </c>
      <c r="O19" s="13" t="inlineStr">
        <is>
          <t>=N10+N17*N12</t>
        </is>
      </c>
    </row>
    <row r="20">
      <c r="A20" t="inlineStr">
        <is>
          <t>SIMULATED_AdTest_Balls_vs_Paint</t>
        </is>
      </c>
      <c r="B20" t="inlineStr">
        <is>
          <t>R17</t>
        </is>
      </c>
      <c r="C20" t="inlineStr">
        <is>
          <t>A</t>
        </is>
      </c>
      <c r="D20" t="n">
        <v>6</v>
      </c>
      <c r="E20" t="n">
        <v>3</v>
      </c>
      <c r="F20" t="inlineStr">
        <is>
          <t>No</t>
        </is>
      </c>
      <c r="G20" t="inlineStr">
        <is>
          <t>Balls</t>
        </is>
      </c>
      <c r="H20">
        <f>IF(INDEX(Data!$L$2:$L$241,MATCH($B20,Data!$B$2:$B$241,0))&gt;=70,"Yes","No")</f>
        <v/>
      </c>
      <c r="I20">
        <f>E20-D20</f>
        <v/>
      </c>
      <c r="J20">
        <f>SUMIFS(Data!$V$2:$V$241,Data!$B$2:$B$241,$B20,Data!$H$2:$H$241,"Brand_Logo")</f>
        <v/>
      </c>
      <c r="K20">
        <f>IF(F20="Yes",1,0)</f>
        <v/>
      </c>
      <c r="M20" t="inlineStr">
        <is>
          <t>Cohen's d_z</t>
        </is>
      </c>
      <c r="N20" s="12">
        <f>N10/N11</f>
        <v/>
      </c>
      <c r="O20" s="13" t="inlineStr">
        <is>
          <t>=N10/N11</t>
        </is>
      </c>
      <c r="P20" s="5" t="inlineStr">
        <is>
          <t>d_z = mean difference / SD of differences</t>
        </is>
      </c>
    </row>
    <row r="21">
      <c r="A21" t="inlineStr">
        <is>
          <t>SIMULATED_AdTest_Balls_vs_Paint</t>
        </is>
      </c>
      <c r="B21" t="inlineStr">
        <is>
          <t>R18</t>
        </is>
      </c>
      <c r="C21" t="inlineStr">
        <is>
          <t>B</t>
        </is>
      </c>
      <c r="D21" t="n">
        <v>5</v>
      </c>
      <c r="E21" t="n">
        <v>5</v>
      </c>
      <c r="F21" t="inlineStr">
        <is>
          <t>Yes</t>
        </is>
      </c>
      <c r="G21" t="inlineStr">
        <is>
          <t>Paint</t>
        </is>
      </c>
      <c r="H21">
        <f>IF(INDEX(Data!$L$2:$L$241,MATCH($B21,Data!$B$2:$B$241,0))&gt;=70,"Yes","No")</f>
        <v/>
      </c>
      <c r="I21">
        <f>E21-D21</f>
        <v/>
      </c>
      <c r="J21">
        <f>SUMIFS(Data!$V$2:$V$241,Data!$B$2:$B$241,$B21,Data!$H$2:$H$241,"Brand_Logo")</f>
        <v/>
      </c>
      <c r="K21">
        <f>IF(F21="Yes",1,0)</f>
        <v/>
      </c>
      <c r="M21" t="inlineStr">
        <is>
          <t>SE of d_z (approximation)</t>
        </is>
      </c>
      <c r="N21" s="12">
        <f>SQRT(1/N9+N20^2/(2*N9))</f>
        <v/>
      </c>
      <c r="O21" s="13" t="inlineStr">
        <is>
          <t>=SQRT(1/N9+N20^2/(2*N9))</t>
        </is>
      </c>
      <c r="P21" s="5" t="inlineStr">
        <is>
          <t>sqrt(1/n + d_z^2 / (2 n))</t>
        </is>
      </c>
    </row>
    <row r="22">
      <c r="A22" t="inlineStr">
        <is>
          <t>SIMULATED_AdTest_Balls_vs_Paint</t>
        </is>
      </c>
      <c r="B22" t="inlineStr">
        <is>
          <t>R19</t>
        </is>
      </c>
      <c r="C22" t="inlineStr">
        <is>
          <t>A</t>
        </is>
      </c>
      <c r="D22" t="n">
        <v>6</v>
      </c>
      <c r="E22" t="n">
        <v>6</v>
      </c>
      <c r="F22" t="inlineStr">
        <is>
          <t>Yes</t>
        </is>
      </c>
      <c r="G22" t="inlineStr">
        <is>
          <t>Balls</t>
        </is>
      </c>
      <c r="H22">
        <f>IF(INDEX(Data!$L$2:$L$241,MATCH($B22,Data!$B$2:$B$241,0))&gt;=70,"Yes","No")</f>
        <v/>
      </c>
      <c r="I22">
        <f>E22-D22</f>
        <v/>
      </c>
      <c r="J22">
        <f>SUMIFS(Data!$V$2:$V$241,Data!$B$2:$B$241,$B22,Data!$H$2:$H$241,"Brand_Logo")</f>
        <v/>
      </c>
      <c r="K22">
        <f>IF(F22="Yes",1,0)</f>
        <v/>
      </c>
      <c r="M22" t="inlineStr">
        <is>
          <t>d_z 95% CI lower</t>
        </is>
      </c>
      <c r="N22" s="12">
        <f>N20-1.96*N21</f>
        <v/>
      </c>
      <c r="O22" s="13" t="inlineStr">
        <is>
          <t>=N20-1.96*N21</t>
        </is>
      </c>
      <c r="P22" s="5" t="inlineStr">
        <is>
          <t>large sample approximation; R uses the noncentral t interval</t>
        </is>
      </c>
    </row>
    <row r="23">
      <c r="A23" t="inlineStr">
        <is>
          <t>SIMULATED_AdTest_Balls_vs_Paint</t>
        </is>
      </c>
      <c r="B23" t="inlineStr">
        <is>
          <t>R20</t>
        </is>
      </c>
      <c r="C23" t="inlineStr">
        <is>
          <t>B</t>
        </is>
      </c>
      <c r="D23" t="n">
        <v>5</v>
      </c>
      <c r="E23" t="n">
        <v>4</v>
      </c>
      <c r="F23" t="inlineStr">
        <is>
          <t>Yes</t>
        </is>
      </c>
      <c r="G23" t="inlineStr">
        <is>
          <t>Balls</t>
        </is>
      </c>
      <c r="H23">
        <f>IF(INDEX(Data!$L$2:$L$241,MATCH($B23,Data!$B$2:$B$241,0))&gt;=70,"Yes","No")</f>
        <v/>
      </c>
      <c r="I23">
        <f>E23-D23</f>
        <v/>
      </c>
      <c r="J23">
        <f>SUMIFS(Data!$V$2:$V$241,Data!$B$2:$B$241,$B23,Data!$H$2:$H$241,"Brand_Logo")</f>
        <v/>
      </c>
      <c r="K23">
        <f>IF(F23="Yes",1,0)</f>
        <v/>
      </c>
      <c r="M23" t="inlineStr">
        <is>
          <t>d_z 95% CI upper</t>
        </is>
      </c>
      <c r="N23" s="12">
        <f>N20+1.96*N21</f>
        <v/>
      </c>
      <c r="O23" s="13" t="inlineStr">
        <is>
          <t>=N20+1.96*N21</t>
        </is>
      </c>
    </row>
    <row r="24">
      <c r="A24" t="inlineStr">
        <is>
          <t>SIMULATED_AdTest_Balls_vs_Paint</t>
        </is>
      </c>
      <c r="B24" t="inlineStr">
        <is>
          <t>R21</t>
        </is>
      </c>
      <c r="C24" t="inlineStr">
        <is>
          <t>A</t>
        </is>
      </c>
      <c r="D24" t="n">
        <v>6</v>
      </c>
      <c r="E24" t="n">
        <v>5</v>
      </c>
      <c r="F24" t="inlineStr">
        <is>
          <t>Yes</t>
        </is>
      </c>
      <c r="G24" t="inlineStr">
        <is>
          <t>Balls</t>
        </is>
      </c>
      <c r="H24">
        <f>IF(INDEX(Data!$L$2:$L$241,MATCH($B24,Data!$B$2:$B$241,0))&gt;=70,"Yes","No")</f>
        <v/>
      </c>
      <c r="I24">
        <f>E24-D24</f>
        <v/>
      </c>
      <c r="J24">
        <f>SUMIFS(Data!$V$2:$V$241,Data!$B$2:$B$241,$B24,Data!$H$2:$H$241,"Brand_Logo")</f>
        <v/>
      </c>
      <c r="K24">
        <f>IF(F24="Yes",1,0)</f>
        <v/>
      </c>
      <c r="M24" t="inlineStr">
        <is>
          <t>Correlation of the two columns</t>
        </is>
      </c>
      <c r="N24" s="12">
        <f>CORREL(D4:D32,E4:E32)</f>
        <v/>
      </c>
      <c r="O24" s="13" t="inlineStr">
        <is>
          <t>=CORREL(D4:D32,E4:E32)</t>
        </is>
      </c>
      <c r="P24" s="5" t="inlineStr">
        <is>
          <t>within respondent correlation</t>
        </is>
      </c>
    </row>
    <row r="25">
      <c r="A25" t="inlineStr">
        <is>
          <t>SIMULATED_AdTest_Balls_vs_Paint</t>
        </is>
      </c>
      <c r="B25" t="inlineStr">
        <is>
          <t>R22</t>
        </is>
      </c>
      <c r="C25" t="inlineStr">
        <is>
          <t>B</t>
        </is>
      </c>
      <c r="D25" t="n">
        <v>5</v>
      </c>
      <c r="E25" t="n">
        <v>5</v>
      </c>
      <c r="F25" t="inlineStr">
        <is>
          <t>Yes</t>
        </is>
      </c>
      <c r="G25" t="inlineStr">
        <is>
          <t>Balls</t>
        </is>
      </c>
      <c r="H25">
        <f>IF(INDEX(Data!$L$2:$L$241,MATCH($B25,Data!$B$2:$B$241,0))&gt;=70,"Yes","No")</f>
        <v/>
      </c>
      <c r="I25">
        <f>E25-D25</f>
        <v/>
      </c>
      <c r="J25">
        <f>SUMIFS(Data!$V$2:$V$241,Data!$B$2:$B$241,$B25,Data!$H$2:$H$241,"Brand_Logo")</f>
        <v/>
      </c>
      <c r="K25">
        <f>IF(F25="Yes",1,0)</f>
        <v/>
      </c>
    </row>
    <row r="26">
      <c r="A26" t="inlineStr">
        <is>
          <t>SIMULATED_AdTest_Balls_vs_Paint</t>
        </is>
      </c>
      <c r="B26" t="inlineStr">
        <is>
          <t>R24</t>
        </is>
      </c>
      <c r="C26" t="inlineStr">
        <is>
          <t>B</t>
        </is>
      </c>
      <c r="D26" t="n">
        <v>6</v>
      </c>
      <c r="E26" t="n">
        <v>6</v>
      </c>
      <c r="F26" t="inlineStr">
        <is>
          <t>Yes</t>
        </is>
      </c>
      <c r="G26" t="inlineStr">
        <is>
          <t>Balls</t>
        </is>
      </c>
      <c r="H26">
        <f>IF(INDEX(Data!$L$2:$L$241,MATCH($B26,Data!$B$2:$B$241,0))&gt;=70,"Yes","No")</f>
        <v/>
      </c>
      <c r="I26">
        <f>E26-D26</f>
        <v/>
      </c>
      <c r="J26">
        <f>SUMIFS(Data!$V$2:$V$241,Data!$B$2:$B$241,$B26,Data!$H$2:$H$241,"Brand_Logo")</f>
        <v/>
      </c>
      <c r="K26">
        <f>IF(F26="Yes",1,0)</f>
        <v/>
      </c>
      <c r="M26" s="11" t="inlineStr">
        <is>
          <t>Preference and ratings (kept respondents)</t>
        </is>
      </c>
    </row>
    <row r="27">
      <c r="A27" t="inlineStr">
        <is>
          <t>SIMULATED_AdTest_Balls_vs_Paint</t>
        </is>
      </c>
      <c r="B27" t="inlineStr">
        <is>
          <t>R25</t>
        </is>
      </c>
      <c r="C27" t="inlineStr">
        <is>
          <t>A</t>
        </is>
      </c>
      <c r="D27" t="n">
        <v>5</v>
      </c>
      <c r="E27" t="n">
        <v>5</v>
      </c>
      <c r="F27" t="inlineStr">
        <is>
          <t>Yes</t>
        </is>
      </c>
      <c r="G27" t="inlineStr">
        <is>
          <t>Balls</t>
        </is>
      </c>
      <c r="H27">
        <f>IF(INDEX(Data!$L$2:$L$241,MATCH($B27,Data!$B$2:$B$241,0))&gt;=70,"Yes","No")</f>
        <v/>
      </c>
      <c r="I27">
        <f>E27-D27</f>
        <v/>
      </c>
      <c r="J27">
        <f>SUMIFS(Data!$V$2:$V$241,Data!$B$2:$B$241,$B27,Data!$H$2:$H$241,"Brand_Logo")</f>
        <v/>
      </c>
      <c r="K27">
        <f>IF(F27="Yes",1,0)</f>
        <v/>
      </c>
      <c r="M27" t="inlineStr">
        <is>
          <t>Ad_preferred = Balls (count)</t>
        </is>
      </c>
      <c r="N27" s="14">
        <f>COUNTIF(G4:G32,"Balls")</f>
        <v/>
      </c>
      <c r="O27" s="13" t="inlineStr">
        <is>
          <t>=COUNTIF(G4:G32,"Balls")</t>
        </is>
      </c>
    </row>
    <row r="28">
      <c r="A28" t="inlineStr">
        <is>
          <t>SIMULATED_AdTest_Balls_vs_Paint</t>
        </is>
      </c>
      <c r="B28" t="inlineStr">
        <is>
          <t>R26</t>
        </is>
      </c>
      <c r="C28" t="inlineStr">
        <is>
          <t>B</t>
        </is>
      </c>
      <c r="D28" t="n">
        <v>6</v>
      </c>
      <c r="E28" t="n">
        <v>6</v>
      </c>
      <c r="F28" t="inlineStr">
        <is>
          <t>Yes</t>
        </is>
      </c>
      <c r="G28" t="inlineStr">
        <is>
          <t>Balls</t>
        </is>
      </c>
      <c r="H28">
        <f>IF(INDEX(Data!$L$2:$L$241,MATCH($B28,Data!$B$2:$B$241,0))&gt;=70,"Yes","No")</f>
        <v/>
      </c>
      <c r="I28">
        <f>E28-D28</f>
        <v/>
      </c>
      <c r="J28">
        <f>SUMIFS(Data!$V$2:$V$241,Data!$B$2:$B$241,$B28,Data!$H$2:$H$241,"Brand_Logo")</f>
        <v/>
      </c>
      <c r="K28">
        <f>IF(F28="Yes",1,0)</f>
        <v/>
      </c>
      <c r="M28" t="inlineStr">
        <is>
          <t>Ad_preferred = Paint (count)</t>
        </is>
      </c>
      <c r="N28" s="14">
        <f>COUNTIF(G4:G32,"Paint")</f>
        <v/>
      </c>
      <c r="O28" s="13" t="inlineStr">
        <is>
          <t>=COUNTIF(G4:G32,"Paint")</t>
        </is>
      </c>
    </row>
    <row r="29">
      <c r="A29" t="inlineStr">
        <is>
          <t>SIMULATED_AdTest_Balls_vs_Paint</t>
        </is>
      </c>
      <c r="B29" t="inlineStr">
        <is>
          <t>R27</t>
        </is>
      </c>
      <c r="C29" t="inlineStr">
        <is>
          <t>A</t>
        </is>
      </c>
      <c r="D29" t="n">
        <v>5</v>
      </c>
      <c r="E29" t="n">
        <v>5</v>
      </c>
      <c r="F29" t="inlineStr">
        <is>
          <t>Yes</t>
        </is>
      </c>
      <c r="G29" t="inlineStr">
        <is>
          <t>Balls</t>
        </is>
      </c>
      <c r="H29">
        <f>IF(INDEX(Data!$L$2:$L$241,MATCH($B29,Data!$B$2:$B$241,0))&gt;=70,"Yes","No")</f>
        <v/>
      </c>
      <c r="I29">
        <f>E29-D29</f>
        <v/>
      </c>
      <c r="J29">
        <f>SUMIFS(Data!$V$2:$V$241,Data!$B$2:$B$241,$B29,Data!$H$2:$H$241,"Brand_Logo")</f>
        <v/>
      </c>
      <c r="K29">
        <f>IF(F29="Yes",1,0)</f>
        <v/>
      </c>
      <c r="M29" t="inlineStr">
        <is>
          <t>Rated Balls higher (count)</t>
        </is>
      </c>
      <c r="N29" s="14">
        <f>SUMPRODUCT(--(D4:D32&gt;E4:E32))</f>
        <v/>
      </c>
      <c r="O29" s="13" t="inlineStr">
        <is>
          <t>=SUMPRODUCT(--(D4:D32&gt;E4:E32))</t>
        </is>
      </c>
    </row>
    <row r="30">
      <c r="A30" t="inlineStr">
        <is>
          <t>SIMULATED_AdTest_Balls_vs_Paint</t>
        </is>
      </c>
      <c r="B30" t="inlineStr">
        <is>
          <t>R28</t>
        </is>
      </c>
      <c r="C30" t="inlineStr">
        <is>
          <t>B</t>
        </is>
      </c>
      <c r="D30" t="n">
        <v>7</v>
      </c>
      <c r="E30" t="n">
        <v>6</v>
      </c>
      <c r="F30" t="inlineStr">
        <is>
          <t>Yes</t>
        </is>
      </c>
      <c r="G30" t="inlineStr">
        <is>
          <t>Balls</t>
        </is>
      </c>
      <c r="H30">
        <f>IF(INDEX(Data!$L$2:$L$241,MATCH($B30,Data!$B$2:$B$241,0))&gt;=70,"Yes","No")</f>
        <v/>
      </c>
      <c r="I30">
        <f>E30-D30</f>
        <v/>
      </c>
      <c r="J30">
        <f>SUMIFS(Data!$V$2:$V$241,Data!$B$2:$B$241,$B30,Data!$H$2:$H$241,"Brand_Logo")</f>
        <v/>
      </c>
      <c r="K30">
        <f>IF(F30="Yes",1,0)</f>
        <v/>
      </c>
      <c r="M30" t="inlineStr">
        <is>
          <t>Rated Paint higher (count)</t>
        </is>
      </c>
      <c r="N30" s="14">
        <f>SUMPRODUCT(--(E4:E32&gt;D4:D32))</f>
        <v/>
      </c>
      <c r="O30" s="13" t="inlineStr">
        <is>
          <t>=SUMPRODUCT(--(E4:E32&gt;D4:D32))</t>
        </is>
      </c>
    </row>
    <row r="31">
      <c r="A31" t="inlineStr">
        <is>
          <t>SIMULATED_AdTest_Balls_vs_Paint</t>
        </is>
      </c>
      <c r="B31" t="inlineStr">
        <is>
          <t>R29</t>
        </is>
      </c>
      <c r="C31" t="inlineStr">
        <is>
          <t>A</t>
        </is>
      </c>
      <c r="D31" t="n">
        <v>6</v>
      </c>
      <c r="E31" t="n">
        <v>4</v>
      </c>
      <c r="F31" t="inlineStr">
        <is>
          <t>No</t>
        </is>
      </c>
      <c r="G31" t="inlineStr">
        <is>
          <t>Balls</t>
        </is>
      </c>
      <c r="H31">
        <f>IF(INDEX(Data!$L$2:$L$241,MATCH($B31,Data!$B$2:$B$241,0))&gt;=70,"Yes","No")</f>
        <v/>
      </c>
      <c r="I31">
        <f>E31-D31</f>
        <v/>
      </c>
      <c r="J31">
        <f>SUMIFS(Data!$V$2:$V$241,Data!$B$2:$B$241,$B31,Data!$H$2:$H$241,"Brand_Logo")</f>
        <v/>
      </c>
      <c r="K31">
        <f>IF(F31="Yes",1,0)</f>
        <v/>
      </c>
      <c r="M31" t="inlineStr">
        <is>
          <t>Equal ratings (count)</t>
        </is>
      </c>
      <c r="N31" s="14">
        <f>SUMPRODUCT(--(D4:D32=E4:E32))</f>
        <v/>
      </c>
      <c r="O31" s="13" t="inlineStr">
        <is>
          <t>=SUMPRODUCT(--(D4:D32=E4:E32))</t>
        </is>
      </c>
    </row>
    <row r="32">
      <c r="A32" t="inlineStr">
        <is>
          <t>SIMULATED_AdTest_Balls_vs_Paint</t>
        </is>
      </c>
      <c r="B32" t="inlineStr">
        <is>
          <t>R30</t>
        </is>
      </c>
      <c r="C32" t="inlineStr">
        <is>
          <t>B</t>
        </is>
      </c>
      <c r="D32" t="n">
        <v>6</v>
      </c>
      <c r="E32" t="n">
        <v>6</v>
      </c>
      <c r="F32" t="inlineStr">
        <is>
          <t>Yes</t>
        </is>
      </c>
      <c r="G32" t="inlineStr">
        <is>
          <t>Paint</t>
        </is>
      </c>
      <c r="H32">
        <f>IF(INDEX(Data!$L$2:$L$241,MATCH($B32,Data!$B$2:$B$241,0))&gt;=70,"Yes","No")</f>
        <v/>
      </c>
      <c r="I32">
        <f>E32-D32</f>
        <v/>
      </c>
      <c r="J32">
        <f>SUMIFS(Data!$V$2:$V$241,Data!$B$2:$B$241,$B32,Data!$H$2:$H$241,"Brand_Logo")</f>
        <v/>
      </c>
      <c r="K32">
        <f>IF(F32="Yes",1,0)</f>
        <v/>
      </c>
    </row>
    <row r="33">
      <c r="A33" t="inlineStr">
        <is>
          <t>SIMULATED_AdTest_Balls_vs_Paint</t>
        </is>
      </c>
      <c r="B33" t="inlineStr">
        <is>
          <t>R23</t>
        </is>
      </c>
      <c r="C33" t="inlineStr">
        <is>
          <t>A</t>
        </is>
      </c>
      <c r="D33" t="n">
        <v>4</v>
      </c>
      <c r="E33" t="n">
        <v>5</v>
      </c>
      <c r="F33" t="inlineStr">
        <is>
          <t>No</t>
        </is>
      </c>
      <c r="G33" t="inlineStr">
        <is>
          <t>Paint</t>
        </is>
      </c>
      <c r="H33">
        <f>IF(INDEX(Data!$L$2:$L$241,MATCH($B33,Data!$B$2:$B$241,0))&gt;=70,"Yes","No")</f>
        <v/>
      </c>
      <c r="I33">
        <f>E33-D33</f>
        <v/>
      </c>
      <c r="J33">
        <f>SUMIFS(Data!$V$2:$V$241,Data!$B$2:$B$241,$B33,Data!$H$2:$H$241,"Brand_Logo")</f>
        <v/>
      </c>
      <c r="K33">
        <f>IF(F33="Yes",1,0)</f>
        <v/>
      </c>
      <c r="M33" s="11" t="inlineStr">
        <is>
          <t>Brand recall and Brand_Logo dwell time (point biserial)</t>
        </is>
      </c>
    </row>
    <row r="34">
      <c r="M34" t="inlineStr">
        <is>
          <t>Brand_recall = Yes (count)</t>
        </is>
      </c>
      <c r="N34" s="14">
        <f>COUNTIF(F4:F32,"Yes")</f>
        <v/>
      </c>
      <c r="O34" s="13" t="inlineStr">
        <is>
          <t>=COUNTIF(F4:F32,"Yes")</t>
        </is>
      </c>
    </row>
    <row r="35">
      <c r="A35" s="5" t="inlineStr">
        <is>
          <t>Rows 4 to 32 are the 29 kept respondents; the excluded respondent (R23) is listed last (row 33) and left out of every test range.</t>
        </is>
      </c>
      <c r="M35" t="inlineStr">
        <is>
          <t>Kept respondents</t>
        </is>
      </c>
      <c r="N35" s="14">
        <f>COUNTA(B4:B32)</f>
        <v/>
      </c>
      <c r="O35" s="13" t="inlineStr">
        <is>
          <t>=COUNTA(B4:B32)</t>
        </is>
      </c>
    </row>
    <row r="36">
      <c r="M36" t="inlineStr">
        <is>
          <t>Percent Yes</t>
        </is>
      </c>
      <c r="N36" s="9">
        <f>100*N34/N35</f>
        <v/>
      </c>
      <c r="O36" s="13" t="inlineStr">
        <is>
          <t>=100*N34/N35</t>
        </is>
      </c>
    </row>
    <row r="37">
      <c r="M37" t="inlineStr">
        <is>
          <t>Mean total logo dwell (ms), recall Yes</t>
        </is>
      </c>
      <c r="N37" s="14">
        <f>AVERAGEIFS(J4:J32,F4:F32,"Yes")</f>
        <v/>
      </c>
      <c r="O37" s="13" t="inlineStr">
        <is>
          <t>=AVERAGEIFS(J4:J32,F4:F32,"Yes")</t>
        </is>
      </c>
    </row>
    <row r="38">
      <c r="M38" t="inlineStr">
        <is>
          <t>Mean total logo dwell (ms), recall No</t>
        </is>
      </c>
      <c r="N38" s="14">
        <f>AVERAGEIFS(J4:J32,F4:F32,"No")</f>
        <v/>
      </c>
      <c r="O38" s="13" t="inlineStr">
        <is>
          <t>=AVERAGEIFS(J4:J32,F4:F32,"No")</t>
        </is>
      </c>
    </row>
    <row r="39">
      <c r="M39" t="inlineStr">
        <is>
          <t>Point biserial r (CORREL)</t>
        </is>
      </c>
      <c r="N39" s="12">
        <f>CORREL(J4:J32,K4:K32)</f>
        <v/>
      </c>
      <c r="O39" s="13" t="inlineStr">
        <is>
          <t>=CORREL(J4:J32,K4:K32)</t>
        </is>
      </c>
      <c r="P39" s="5" t="inlineStr">
        <is>
          <t>Pearson r of a continuous variable with a 0/1 variable</t>
        </is>
      </c>
    </row>
    <row r="40">
      <c r="M40" t="inlineStr">
        <is>
          <t>t for r</t>
        </is>
      </c>
      <c r="N40" s="12">
        <f>N39*SQRT((N35-2)/(1-N39^2))</f>
        <v/>
      </c>
      <c r="O40" s="13" t="inlineStr">
        <is>
          <t>=N39*SQRT((N35-2)/(1-N39^2))</t>
        </is>
      </c>
      <c r="P40" s="5" t="inlineStr">
        <is>
          <t>t = r sqrt((n - 2) / (1 - r^2))</t>
        </is>
      </c>
    </row>
    <row r="41">
      <c r="M41" t="inlineStr">
        <is>
          <t>p, two tailed</t>
        </is>
      </c>
      <c r="N41" s="15">
        <f>_xlfn.T.DIST.2T(ABS(N40),N35-2)</f>
        <v/>
      </c>
      <c r="O41" s="13" t="inlineStr">
        <is>
          <t>=T.DIST.2T(ABS(N40),N35-2)</t>
        </is>
      </c>
      <c r="P41" s="5" t="inlineStr">
        <is>
          <t>df = n - 2</t>
        </is>
      </c>
    </row>
    <row r="42">
      <c r="M42" t="inlineStr">
        <is>
          <t>r 95% CI lower (Fisher z)</t>
        </is>
      </c>
      <c r="N42" s="12">
        <f>TANH(ATANH(N39)-_xlfn.NORM.S.INV(0.975)/SQRT(N35-3))</f>
        <v/>
      </c>
      <c r="O42" s="13" t="inlineStr">
        <is>
          <t>=TANH(ATANH(N39)-NORM.S.INV(0.975)/SQRT(N35-3))</t>
        </is>
      </c>
    </row>
    <row r="43">
      <c r="M43" t="inlineStr">
        <is>
          <t>r 95% CI upper (Fisher z)</t>
        </is>
      </c>
      <c r="N43" s="12">
        <f>TANH(ATANH(N39)+_xlfn.NORM.S.INV(0.975)/SQRT(N35-3))</f>
        <v/>
      </c>
      <c r="O43" s="13" t="inlineStr">
        <is>
          <t>=TANH(ATANH(N39)+NORM.S.INV(0.975)/SQRT(N35-3))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4" customWidth="1" min="7" max="7"/>
    <col width="16" customWidth="1" min="8" max="8"/>
    <col width="16" customWidth="1" min="9" max="9"/>
    <col width="14" customWidth="1" min="10" max="10"/>
    <col width="15" customWidth="1" min="11" max="11"/>
    <col width="11" customWidth="1" min="12" max="12"/>
    <col width="11" customWidth="1" min="13" max="13"/>
    <col width="16" customWidth="1" min="14" max="14"/>
    <col width="12" customWidth="1" min="15" max="15"/>
    <col width="12" customWidth="1" min="16" max="16"/>
  </cols>
  <sheetData>
    <row r="1">
      <c r="A1" s="4" t="inlineStr">
        <is>
          <t>Live Excel results next to the values analysis.R produced (SIMULATED data). Status is OK when they agree within the tolerance.</t>
        </is>
      </c>
    </row>
    <row r="2"/>
    <row r="3">
      <c r="A3" s="2" t="inlineStr">
        <is>
          <t>Quantity</t>
        </is>
      </c>
      <c r="B3" s="2" t="inlineStr">
        <is>
          <t>Excel (live formula)</t>
        </is>
      </c>
      <c r="C3" s="2" t="inlineStr">
        <is>
          <t>analysis.R</t>
        </is>
      </c>
      <c r="D3" s="2" t="inlineStr">
        <is>
          <t>Difference</t>
        </is>
      </c>
      <c r="E3" s="2" t="inlineStr">
        <is>
          <t>Tolerance</t>
        </is>
      </c>
      <c r="F3" s="2" t="inlineStr">
        <is>
          <t>Status</t>
        </is>
      </c>
    </row>
    <row r="4">
      <c r="A4" t="inlineStr">
        <is>
          <t>H1 Product_TV dwell (%): mean Balls</t>
        </is>
      </c>
      <c r="B4" s="15">
        <f>ProductTV!J6</f>
        <v/>
      </c>
      <c r="C4" s="15" t="n">
        <v>21.243793</v>
      </c>
      <c r="D4" s="15">
        <f>B4-C4</f>
        <v/>
      </c>
      <c r="E4" s="12" t="n">
        <v>0.0001</v>
      </c>
      <c r="F4">
        <f>IF(ABS(D4)&lt;=E4,"OK","CHECK")</f>
        <v/>
      </c>
    </row>
    <row r="5">
      <c r="A5" t="inlineStr">
        <is>
          <t>H1 Product_TV dwell (%): mean Paint</t>
        </is>
      </c>
      <c r="B5" s="15">
        <f>ProductTV!J8</f>
        <v/>
      </c>
      <c r="C5" s="15" t="n">
        <v>28.488966</v>
      </c>
      <c r="D5" s="15">
        <f>B5-C5</f>
        <v/>
      </c>
      <c r="E5" s="12" t="n">
        <v>0.0001</v>
      </c>
      <c r="F5">
        <f>IF(ABS(D5)&lt;=E5,"OK","CHECK")</f>
        <v/>
      </c>
    </row>
    <row r="6">
      <c r="A6" t="inlineStr">
        <is>
          <t>H1 Product_TV dwell (%): mean difference</t>
        </is>
      </c>
      <c r="B6" s="15">
        <f>ProductTV!J11</f>
        <v/>
      </c>
      <c r="C6" s="15" t="n">
        <v>7.245172</v>
      </c>
      <c r="D6" s="15">
        <f>B6-C6</f>
        <v/>
      </c>
      <c r="E6" s="12" t="n">
        <v>0.0001</v>
      </c>
      <c r="F6">
        <f>IF(ABS(D6)&lt;=E6,"OK","CHECK")</f>
        <v/>
      </c>
    </row>
    <row r="7">
      <c r="A7" t="inlineStr">
        <is>
          <t>H1 Product_TV dwell (%): SD of differences</t>
        </is>
      </c>
      <c r="B7" s="15">
        <f>ProductTV!J12</f>
        <v/>
      </c>
      <c r="C7" s="15" t="n">
        <v>7.396973</v>
      </c>
      <c r="D7" s="15">
        <f>B7-C7</f>
        <v/>
      </c>
      <c r="E7" s="12" t="n">
        <v>0.0001</v>
      </c>
      <c r="F7">
        <f>IF(ABS(D7)&lt;=E7,"OK","CHECK")</f>
        <v/>
      </c>
    </row>
    <row r="8">
      <c r="A8" t="inlineStr">
        <is>
          <t>H1 Product_TV dwell (%): paired t</t>
        </is>
      </c>
      <c r="B8" s="15">
        <f>ProductTV!J14</f>
        <v/>
      </c>
      <c r="C8" s="15" t="n">
        <v>5.274651</v>
      </c>
      <c r="D8" s="15">
        <f>B8-C8</f>
        <v/>
      </c>
      <c r="E8" s="12" t="n">
        <v>0.0001</v>
      </c>
      <c r="F8">
        <f>IF(ABS(D8)&lt;=E8,"OK","CHECK")</f>
        <v/>
      </c>
    </row>
    <row r="9">
      <c r="A9" t="inlineStr">
        <is>
          <t>H1 Product_TV dwell (%): df</t>
        </is>
      </c>
      <c r="B9" s="15">
        <f>ProductTV!J15</f>
        <v/>
      </c>
      <c r="C9" s="15" t="n">
        <v>28</v>
      </c>
      <c r="D9" s="15">
        <f>B9-C9</f>
        <v/>
      </c>
      <c r="E9" s="12" t="n">
        <v>1e-09</v>
      </c>
      <c r="F9">
        <f>IF(ABS(D9)&lt;=E9,"OK","CHECK")</f>
        <v/>
      </c>
    </row>
    <row r="10">
      <c r="A10" t="inlineStr">
        <is>
          <t>H1 Product_TV dwell (%): p (T.TEST type 1)</t>
        </is>
      </c>
      <c r="B10" s="15">
        <f>ProductTV!J16</f>
        <v/>
      </c>
      <c r="C10" s="15" t="n">
        <v>1.309e-05</v>
      </c>
      <c r="D10" s="15">
        <f>B10-C10</f>
        <v/>
      </c>
      <c r="E10" s="12" t="n">
        <v>7.545000000000001e-09</v>
      </c>
      <c r="F10">
        <f>IF(ABS(D10)&lt;=E10,"OK","CHECK")</f>
        <v/>
      </c>
    </row>
    <row r="11">
      <c r="A11" t="inlineStr">
        <is>
          <t>H1 Product_TV dwell (%): mean difference CI lower</t>
        </is>
      </c>
      <c r="B11" s="15">
        <f>ProductTV!J19</f>
        <v/>
      </c>
      <c r="C11" s="15" t="n">
        <v>4.431514</v>
      </c>
      <c r="D11" s="15">
        <f>B11-C11</f>
        <v/>
      </c>
      <c r="E11" s="12" t="n">
        <v>0.0001</v>
      </c>
      <c r="F11">
        <f>IF(ABS(D11)&lt;=E11,"OK","CHECK")</f>
        <v/>
      </c>
    </row>
    <row r="12">
      <c r="A12" t="inlineStr">
        <is>
          <t>H1 Product_TV dwell (%): mean difference CI upper</t>
        </is>
      </c>
      <c r="B12" s="15">
        <f>ProductTV!J20</f>
        <v/>
      </c>
      <c r="C12" s="15" t="n">
        <v>10.05883</v>
      </c>
      <c r="D12" s="15">
        <f>B12-C12</f>
        <v/>
      </c>
      <c r="E12" s="12" t="n">
        <v>0.0001</v>
      </c>
      <c r="F12">
        <f>IF(ABS(D12)&lt;=E12,"OK","CHECK")</f>
        <v/>
      </c>
    </row>
    <row r="13">
      <c r="A13" t="inlineStr">
        <is>
          <t>H1 Product_TV dwell (%): Cohen's d_z</t>
        </is>
      </c>
      <c r="B13" s="15">
        <f>ProductTV!J21</f>
        <v/>
      </c>
      <c r="C13" s="15" t="n">
        <v>0.979478</v>
      </c>
      <c r="D13" s="15">
        <f>B13-C13</f>
        <v/>
      </c>
      <c r="E13" s="12" t="n">
        <v>0.0001</v>
      </c>
      <c r="F13">
        <f>IF(ABS(D13)&lt;=E13,"OK","CHECK")</f>
        <v/>
      </c>
    </row>
    <row r="14">
      <c r="A14" t="inlineStr">
        <is>
          <t>H1 Product_TV dwell (%): d_z CI lower (method differs)</t>
        </is>
      </c>
      <c r="B14" s="15">
        <f>ProductTV!J23</f>
        <v/>
      </c>
      <c r="C14" s="15" t="n">
        <v>0.528971</v>
      </c>
      <c r="D14" s="15">
        <f>B14-C14</f>
        <v/>
      </c>
      <c r="E14" s="12" t="n">
        <v>0.1</v>
      </c>
      <c r="F14">
        <f>IF(ABS(D14)&lt;=E14,"OK","CHECK")</f>
        <v/>
      </c>
      <c r="G14" s="5" t="inlineStr">
        <is>
          <t>Excel: large sample approximation; R: noncentral t</t>
        </is>
      </c>
    </row>
    <row r="15">
      <c r="A15" t="inlineStr">
        <is>
          <t>H1 Product_TV dwell (%): d_z CI upper (method differs)</t>
        </is>
      </c>
      <c r="B15" s="15">
        <f>ProductTV!J24</f>
        <v/>
      </c>
      <c r="C15" s="15" t="n">
        <v>1.418147</v>
      </c>
      <c r="D15" s="15">
        <f>B15-C15</f>
        <v/>
      </c>
      <c r="E15" s="12" t="n">
        <v>0.1</v>
      </c>
      <c r="F15">
        <f>IF(ABS(D15)&lt;=E15,"OK","CHECK")</f>
        <v/>
      </c>
      <c r="G15" s="5" t="inlineStr">
        <is>
          <t>Excel: large sample approximation; R: noncentral t</t>
        </is>
      </c>
    </row>
    <row r="16">
      <c r="A16" t="inlineStr">
        <is>
          <t>H2 Brand_Logo TTFF (ms): mean Balls</t>
        </is>
      </c>
      <c r="B16" s="15">
        <f>BrandLogo!H6</f>
        <v/>
      </c>
      <c r="C16" s="15" t="n">
        <v>906.76</v>
      </c>
      <c r="D16" s="15">
        <f>B16-C16</f>
        <v/>
      </c>
      <c r="E16" s="12" t="n">
        <v>0.0001</v>
      </c>
      <c r="F16">
        <f>IF(ABS(D16)&lt;=E16,"OK","CHECK")</f>
        <v/>
      </c>
    </row>
    <row r="17">
      <c r="A17" t="inlineStr">
        <is>
          <t>H2 Brand_Logo TTFF (ms): mean Paint</t>
        </is>
      </c>
      <c r="B17" s="15">
        <f>BrandLogo!H8</f>
        <v/>
      </c>
      <c r="C17" s="15" t="n">
        <v>786.96</v>
      </c>
      <c r="D17" s="15">
        <f>B17-C17</f>
        <v/>
      </c>
      <c r="E17" s="12" t="n">
        <v>0.0001</v>
      </c>
      <c r="F17">
        <f>IF(ABS(D17)&lt;=E17,"OK","CHECK")</f>
        <v/>
      </c>
    </row>
    <row r="18">
      <c r="A18" t="inlineStr">
        <is>
          <t>H2 Brand_Logo TTFF (ms): mean difference</t>
        </is>
      </c>
      <c r="B18" s="15">
        <f>BrandLogo!H11</f>
        <v/>
      </c>
      <c r="C18" s="15" t="n">
        <v>-119.8</v>
      </c>
      <c r="D18" s="15">
        <f>B18-C18</f>
        <v/>
      </c>
      <c r="E18" s="12" t="n">
        <v>0.0001</v>
      </c>
      <c r="F18">
        <f>IF(ABS(D18)&lt;=E18,"OK","CHECK")</f>
        <v/>
      </c>
    </row>
    <row r="19">
      <c r="A19" t="inlineStr">
        <is>
          <t>H2 Brand_Logo TTFF (ms): SD of differences</t>
        </is>
      </c>
      <c r="B19" s="15">
        <f>BrandLogo!H12</f>
        <v/>
      </c>
      <c r="C19" s="15" t="n">
        <v>330.691699</v>
      </c>
      <c r="D19" s="15">
        <f>B19-C19</f>
        <v/>
      </c>
      <c r="E19" s="12" t="n">
        <v>0.0001</v>
      </c>
      <c r="F19">
        <f>IF(ABS(D19)&lt;=E19,"OK","CHECK")</f>
        <v/>
      </c>
    </row>
    <row r="20">
      <c r="A20" t="inlineStr">
        <is>
          <t>H2 Brand_Logo TTFF (ms): paired t</t>
        </is>
      </c>
      <c r="B20" s="15">
        <f>BrandLogo!H14</f>
        <v/>
      </c>
      <c r="C20" s="15" t="n">
        <v>-1.811355</v>
      </c>
      <c r="D20" s="15">
        <f>B20-C20</f>
        <v/>
      </c>
      <c r="E20" s="12" t="n">
        <v>0.0001</v>
      </c>
      <c r="F20">
        <f>IF(ABS(D20)&lt;=E20,"OK","CHECK")</f>
        <v/>
      </c>
    </row>
    <row r="21">
      <c r="A21" t="inlineStr">
        <is>
          <t>H2 Brand_Logo TTFF (ms): df</t>
        </is>
      </c>
      <c r="B21" s="15">
        <f>BrandLogo!H15</f>
        <v/>
      </c>
      <c r="C21" s="15" t="n">
        <v>24</v>
      </c>
      <c r="D21" s="15">
        <f>B21-C21</f>
        <v/>
      </c>
      <c r="E21" s="12" t="n">
        <v>1e-09</v>
      </c>
      <c r="F21">
        <f>IF(ABS(D21)&lt;=E21,"OK","CHECK")</f>
        <v/>
      </c>
    </row>
    <row r="22">
      <c r="A22" t="inlineStr">
        <is>
          <t>H2 Brand_Logo TTFF (ms): p (T.TEST type 1)</t>
        </is>
      </c>
      <c r="B22" s="15">
        <f>BrandLogo!H16</f>
        <v/>
      </c>
      <c r="C22" s="15" t="n">
        <v>0.08262</v>
      </c>
      <c r="D22" s="15">
        <f>B22-C22</f>
        <v/>
      </c>
      <c r="E22" s="12" t="n">
        <v>4.1311e-05</v>
      </c>
      <c r="F22">
        <f>IF(ABS(D22)&lt;=E22,"OK","CHECK")</f>
        <v/>
      </c>
    </row>
    <row r="23">
      <c r="A23" t="inlineStr">
        <is>
          <t>H2 Brand_Logo TTFF (ms): mean difference CI lower</t>
        </is>
      </c>
      <c r="B23" s="15">
        <f>BrandLogo!H19</f>
        <v/>
      </c>
      <c r="C23" s="15" t="n">
        <v>-256.302825</v>
      </c>
      <c r="D23" s="15">
        <f>B23-C23</f>
        <v/>
      </c>
      <c r="E23" s="12" t="n">
        <v>0.0001</v>
      </c>
      <c r="F23">
        <f>IF(ABS(D23)&lt;=E23,"OK","CHECK")</f>
        <v/>
      </c>
    </row>
    <row r="24">
      <c r="A24" t="inlineStr">
        <is>
          <t>H2 Brand_Logo TTFF (ms): mean difference CI upper</t>
        </is>
      </c>
      <c r="B24" s="15">
        <f>BrandLogo!H20</f>
        <v/>
      </c>
      <c r="C24" s="15" t="n">
        <v>16.702825</v>
      </c>
      <c r="D24" s="15">
        <f>B24-C24</f>
        <v/>
      </c>
      <c r="E24" s="12" t="n">
        <v>0.0001</v>
      </c>
      <c r="F24">
        <f>IF(ABS(D24)&lt;=E24,"OK","CHECK")</f>
        <v/>
      </c>
    </row>
    <row r="25">
      <c r="A25" t="inlineStr">
        <is>
          <t>H2 Brand_Logo TTFF (ms): Cohen's d_z</t>
        </is>
      </c>
      <c r="B25" s="15">
        <f>BrandLogo!H21</f>
        <v/>
      </c>
      <c r="C25" s="15" t="n">
        <v>-0.362271</v>
      </c>
      <c r="D25" s="15">
        <f>B25-C25</f>
        <v/>
      </c>
      <c r="E25" s="12" t="n">
        <v>0.0001</v>
      </c>
      <c r="F25">
        <f>IF(ABS(D25)&lt;=E25,"OK","CHECK")</f>
        <v/>
      </c>
    </row>
    <row r="26">
      <c r="A26" t="inlineStr">
        <is>
          <t>H2 Brand_Logo TTFF (ms): d_z CI lower (method differs)</t>
        </is>
      </c>
      <c r="B26" s="15">
        <f>BrandLogo!H23</f>
        <v/>
      </c>
      <c r="C26" s="15" t="n">
        <v>-0.76378</v>
      </c>
      <c r="D26" s="15">
        <f>B26-C26</f>
        <v/>
      </c>
      <c r="E26" s="12" t="n">
        <v>0.1</v>
      </c>
      <c r="F26">
        <f>IF(ABS(D26)&lt;=E26,"OK","CHECK")</f>
        <v/>
      </c>
      <c r="G26" s="5" t="inlineStr">
        <is>
          <t>Excel: large sample approximation; R: noncentral t</t>
        </is>
      </c>
    </row>
    <row r="27">
      <c r="A27" t="inlineStr">
        <is>
          <t>H2 Brand_Logo TTFF (ms): d_z CI upper (method differs)</t>
        </is>
      </c>
      <c r="B27" s="15">
        <f>BrandLogo!H24</f>
        <v/>
      </c>
      <c r="C27" s="15" t="n">
        <v>0.046282</v>
      </c>
      <c r="D27" s="15">
        <f>B27-C27</f>
        <v/>
      </c>
      <c r="E27" s="12" t="n">
        <v>0.1</v>
      </c>
      <c r="F27">
        <f>IF(ABS(D27)&lt;=E27,"OK","CHECK")</f>
        <v/>
      </c>
      <c r="G27" s="5" t="inlineStr">
        <is>
          <t>Excel: large sample approximation; R: noncentral t</t>
        </is>
      </c>
    </row>
    <row r="28">
      <c r="A28" t="inlineStr">
        <is>
          <t>H3 Liking: mean Balls</t>
        </is>
      </c>
      <c r="B28" s="15">
        <f>Survey!N5</f>
        <v/>
      </c>
      <c r="C28" s="15" t="n">
        <v>5.517241</v>
      </c>
      <c r="D28" s="15">
        <f>B28-C28</f>
        <v/>
      </c>
      <c r="E28" s="12" t="n">
        <v>0.0001</v>
      </c>
      <c r="F28">
        <f>IF(ABS(D28)&lt;=E28,"OK","CHECK")</f>
        <v/>
      </c>
    </row>
    <row r="29">
      <c r="A29" t="inlineStr">
        <is>
          <t>H3 Liking: mean Paint</t>
        </is>
      </c>
      <c r="B29" s="15">
        <f>Survey!N7</f>
        <v/>
      </c>
      <c r="C29" s="15" t="n">
        <v>5</v>
      </c>
      <c r="D29" s="15">
        <f>B29-C29</f>
        <v/>
      </c>
      <c r="E29" s="12" t="n">
        <v>0.0001</v>
      </c>
      <c r="F29">
        <f>IF(ABS(D29)&lt;=E29,"OK","CHECK")</f>
        <v/>
      </c>
    </row>
    <row r="30">
      <c r="A30" t="inlineStr">
        <is>
          <t>H3 Liking: mean difference</t>
        </is>
      </c>
      <c r="B30" s="15">
        <f>Survey!N10</f>
        <v/>
      </c>
      <c r="C30" s="15" t="n">
        <v>-0.517241</v>
      </c>
      <c r="D30" s="15">
        <f>B30-C30</f>
        <v/>
      </c>
      <c r="E30" s="12" t="n">
        <v>0.0001</v>
      </c>
      <c r="F30">
        <f>IF(ABS(D30)&lt;=E30,"OK","CHECK")</f>
        <v/>
      </c>
    </row>
    <row r="31">
      <c r="A31" t="inlineStr">
        <is>
          <t>H3 Liking: SD of differences</t>
        </is>
      </c>
      <c r="B31" s="15">
        <f>Survey!N11</f>
        <v/>
      </c>
      <c r="C31" s="15" t="n">
        <v>1.089583</v>
      </c>
      <c r="D31" s="15">
        <f>B31-C31</f>
        <v/>
      </c>
      <c r="E31" s="12" t="n">
        <v>0.0001</v>
      </c>
      <c r="F31">
        <f>IF(ABS(D31)&lt;=E31,"OK","CHECK")</f>
        <v/>
      </c>
    </row>
    <row r="32">
      <c r="A32" t="inlineStr">
        <is>
          <t>H3 Liking: paired t</t>
        </is>
      </c>
      <c r="B32" s="15">
        <f>Survey!N13</f>
        <v/>
      </c>
      <c r="C32" s="15" t="n">
        <v>-2.556417</v>
      </c>
      <c r="D32" s="15">
        <f>B32-C32</f>
        <v/>
      </c>
      <c r="E32" s="12" t="n">
        <v>0.0001</v>
      </c>
      <c r="F32">
        <f>IF(ABS(D32)&lt;=E32,"OK","CHECK")</f>
        <v/>
      </c>
    </row>
    <row r="33">
      <c r="A33" t="inlineStr">
        <is>
          <t>H3 Liking: df</t>
        </is>
      </c>
      <c r="B33" s="15">
        <f>Survey!N14</f>
        <v/>
      </c>
      <c r="C33" s="15" t="n">
        <v>28</v>
      </c>
      <c r="D33" s="15">
        <f>B33-C33</f>
        <v/>
      </c>
      <c r="E33" s="12" t="n">
        <v>1e-09</v>
      </c>
      <c r="F33">
        <f>IF(ABS(D33)&lt;=E33,"OK","CHECK")</f>
        <v/>
      </c>
    </row>
    <row r="34">
      <c r="A34" t="inlineStr">
        <is>
          <t>H3 Liking: p (T.TEST type 1)</t>
        </is>
      </c>
      <c r="B34" s="15">
        <f>Survey!N15</f>
        <v/>
      </c>
      <c r="C34" s="15" t="n">
        <v>0.01629</v>
      </c>
      <c r="D34" s="15">
        <f>B34-C34</f>
        <v/>
      </c>
      <c r="E34" s="12" t="n">
        <v>8.146e-06</v>
      </c>
      <c r="F34">
        <f>IF(ABS(D34)&lt;=E34,"OK","CHECK")</f>
        <v/>
      </c>
    </row>
    <row r="35">
      <c r="A35" t="inlineStr">
        <is>
          <t>H3 Liking: mean difference CI lower</t>
        </is>
      </c>
      <c r="B35" s="15">
        <f>Survey!N18</f>
        <v/>
      </c>
      <c r="C35" s="15" t="n">
        <v>-0.931697</v>
      </c>
      <c r="D35" s="15">
        <f>B35-C35</f>
        <v/>
      </c>
      <c r="E35" s="12" t="n">
        <v>0.0001</v>
      </c>
      <c r="F35">
        <f>IF(ABS(D35)&lt;=E35,"OK","CHECK")</f>
        <v/>
      </c>
    </row>
    <row r="36">
      <c r="A36" t="inlineStr">
        <is>
          <t>H3 Liking: mean difference CI upper</t>
        </is>
      </c>
      <c r="B36" s="15">
        <f>Survey!N19</f>
        <v/>
      </c>
      <c r="C36" s="15" t="n">
        <v>-0.102786</v>
      </c>
      <c r="D36" s="15">
        <f>B36-C36</f>
        <v/>
      </c>
      <c r="E36" s="12" t="n">
        <v>0.0001</v>
      </c>
      <c r="F36">
        <f>IF(ABS(D36)&lt;=E36,"OK","CHECK")</f>
        <v/>
      </c>
    </row>
    <row r="37">
      <c r="A37" t="inlineStr">
        <is>
          <t>H3 Liking: Cohen's d_z</t>
        </is>
      </c>
      <c r="B37" s="15">
        <f>Survey!N20</f>
        <v/>
      </c>
      <c r="C37" s="15" t="n">
        <v>-0.474715</v>
      </c>
      <c r="D37" s="15">
        <f>B37-C37</f>
        <v/>
      </c>
      <c r="E37" s="12" t="n">
        <v>0.0001</v>
      </c>
      <c r="F37">
        <f>IF(ABS(D37)&lt;=E37,"OK","CHECK")</f>
        <v/>
      </c>
    </row>
    <row r="38">
      <c r="A38" t="inlineStr">
        <is>
          <t>H3 Liking: d_z CI lower (method differs)</t>
        </is>
      </c>
      <c r="B38" s="15">
        <f>Survey!N22</f>
        <v/>
      </c>
      <c r="C38" s="15" t="n">
        <v>-0.855344</v>
      </c>
      <c r="D38" s="15">
        <f>B38-C38</f>
        <v/>
      </c>
      <c r="E38" s="12" t="n">
        <v>0.1</v>
      </c>
      <c r="F38">
        <f>IF(ABS(D38)&lt;=E38,"OK","CHECK")</f>
        <v/>
      </c>
      <c r="G38" s="5" t="inlineStr">
        <is>
          <t>Excel: large sample approximation; R: noncentral t</t>
        </is>
      </c>
    </row>
    <row r="39">
      <c r="A39" t="inlineStr">
        <is>
          <t>H3 Liking: d_z CI upper (method differs)</t>
        </is>
      </c>
      <c r="B39" s="15">
        <f>Survey!N23</f>
        <v/>
      </c>
      <c r="C39" s="15" t="n">
        <v>-0.086495</v>
      </c>
      <c r="D39" s="15">
        <f>B39-C39</f>
        <v/>
      </c>
      <c r="E39" s="12" t="n">
        <v>0.1</v>
      </c>
      <c r="F39">
        <f>IF(ABS(D39)&lt;=E39,"OK","CHECK")</f>
        <v/>
      </c>
      <c r="G39" s="5" t="inlineStr">
        <is>
          <t>Excel: large sample approximation; R: noncentral t</t>
        </is>
      </c>
    </row>
    <row r="40">
      <c r="A40" t="inlineStr">
        <is>
          <t>Order effect: simple estimate versus lmer order_position</t>
        </is>
      </c>
      <c r="B40" s="15">
        <f>ProductTV!J32</f>
        <v/>
      </c>
      <c r="C40" s="15" t="n">
        <v>3.612405</v>
      </c>
      <c r="D40" s="15">
        <f>B40-C40</f>
        <v/>
      </c>
      <c r="E40" s="12" t="n">
        <v>0.001</v>
      </c>
      <c r="F40">
        <f>IF(ABS(D40)&lt;=E40,"OK","CHECK")</f>
        <v/>
      </c>
      <c r="G40" s="5" t="inlineStr">
        <is>
          <t>equal here; in general lmer weights groups differently</t>
        </is>
      </c>
    </row>
    <row r="41">
      <c r="A41" t="inlineStr">
        <is>
          <t>Point biserial r (recall with total logo dwell)</t>
        </is>
      </c>
      <c r="B41" s="15">
        <f>Survey!N39</f>
        <v/>
      </c>
      <c r="C41" s="15" t="n">
        <v>0.416767</v>
      </c>
      <c r="D41" s="15">
        <f>B41-C41</f>
        <v/>
      </c>
      <c r="E41" s="12" t="n">
        <v>0.0001</v>
      </c>
      <c r="F41">
        <f>IF(ABS(D41)&lt;=E41,"OK","CHECK")</f>
        <v/>
      </c>
    </row>
    <row r="42">
      <c r="A42" t="inlineStr">
        <is>
          <t>Point biserial: t</t>
        </is>
      </c>
      <c r="B42" s="15">
        <f>Survey!N40</f>
        <v/>
      </c>
      <c r="C42" s="15" t="n">
        <v>2.382346</v>
      </c>
      <c r="D42" s="15">
        <f>B42-C42</f>
        <v/>
      </c>
      <c r="E42" s="12" t="n">
        <v>0.001</v>
      </c>
      <c r="F42">
        <f>IF(ABS(D42)&lt;=E42,"OK","CHECK")</f>
        <v/>
      </c>
    </row>
    <row r="43">
      <c r="A43" t="inlineStr">
        <is>
          <t>Point biserial: p</t>
        </is>
      </c>
      <c r="B43" s="15">
        <f>Survey!N41</f>
        <v/>
      </c>
      <c r="C43" s="15" t="n">
        <v>0.02451</v>
      </c>
      <c r="D43" s="15">
        <f>B43-C43</f>
        <v/>
      </c>
      <c r="E43" s="12" t="n">
        <v>1.2256e-05</v>
      </c>
      <c r="F43">
        <f>IF(ABS(D43)&lt;=E43,"OK","CHECK")</f>
        <v/>
      </c>
    </row>
    <row r="44">
      <c r="A44" t="inlineStr">
        <is>
          <t>Point biserial: CI lower</t>
        </is>
      </c>
      <c r="B44" s="15">
        <f>Survey!N42</f>
        <v/>
      </c>
      <c r="C44" s="15" t="n">
        <v>0.059323</v>
      </c>
      <c r="D44" s="15">
        <f>B44-C44</f>
        <v/>
      </c>
      <c r="E44" s="12" t="n">
        <v>0.0001</v>
      </c>
      <c r="F44">
        <f>IF(ABS(D44)&lt;=E44,"OK","CHECK")</f>
        <v/>
      </c>
    </row>
    <row r="45">
      <c r="A45" t="inlineStr">
        <is>
          <t>Point biserial: CI upper</t>
        </is>
      </c>
      <c r="B45" s="15">
        <f>Survey!N43</f>
        <v/>
      </c>
      <c r="C45" s="15" t="n">
        <v>0.6794829999999999</v>
      </c>
      <c r="D45" s="15">
        <f>B45-C45</f>
        <v/>
      </c>
      <c r="E45" s="12" t="n">
        <v>0.0001</v>
      </c>
      <c r="F45">
        <f>IF(ABS(D45)&lt;=E45,"OK","CHECK")</f>
        <v/>
      </c>
    </row>
    <row r="46"/>
    <row r="47">
      <c r="A47" s="8" t="inlineStr">
        <is>
          <t>Rows with status CHECK</t>
        </is>
      </c>
      <c r="B47">
        <f>COUNTIF(F4:F45,"CHECK")</f>
        <v/>
      </c>
    </row>
    <row r="48">
      <c r="A48" s="5" t="inlineStr">
        <is>
          <t>Not reproducible in Excel: the Wilcoxon signed rank tests, the sensitivity analysis with never fixators set to 5000 ms, the exact binomial and McNemar tests, the mixed model with its ICC, and the noncentral t interval for d_z. See analysis_output.txt.</t>
        </is>
      </c>
    </row>
    <row r="49"/>
    <row r="50">
      <c r="A50" s="8" t="inlineStr">
        <is>
          <t>analysis.R: paired tests (SIMULATED_test_results.csv)</t>
        </is>
      </c>
    </row>
    <row r="51">
      <c r="A51" s="2" t="inlineStr">
        <is>
          <t>comparison</t>
        </is>
      </c>
      <c r="B51" s="2" t="inlineStr">
        <is>
          <t>n</t>
        </is>
      </c>
      <c r="C51" s="2" t="inlineStr">
        <is>
          <t>m_balls</t>
        </is>
      </c>
      <c r="D51" s="2" t="inlineStr">
        <is>
          <t>m_paint</t>
        </is>
      </c>
      <c r="E51" s="2" t="inlineStr">
        <is>
          <t>mean_diff</t>
        </is>
      </c>
      <c r="F51" s="2" t="inlineStr">
        <is>
          <t>sd_diff</t>
        </is>
      </c>
      <c r="G51" s="2" t="inlineStr">
        <is>
          <t>diff_ci_low</t>
        </is>
      </c>
      <c r="H51" s="2" t="inlineStr">
        <is>
          <t>diff_ci_high</t>
        </is>
      </c>
      <c r="I51" s="2" t="inlineStr">
        <is>
          <t>t</t>
        </is>
      </c>
      <c r="J51" s="2" t="inlineStr">
        <is>
          <t>df</t>
        </is>
      </c>
      <c r="K51" s="2" t="inlineStr">
        <is>
          <t>p</t>
        </is>
      </c>
      <c r="L51" s="2" t="inlineStr">
        <is>
          <t>dz</t>
        </is>
      </c>
      <c r="M51" s="2" t="inlineStr">
        <is>
          <t>dz_ci_low</t>
        </is>
      </c>
      <c r="N51" s="2" t="inlineStr">
        <is>
          <t>dz_ci_high</t>
        </is>
      </c>
      <c r="O51" s="2" t="inlineStr">
        <is>
          <t>wilcoxon_V</t>
        </is>
      </c>
      <c r="P51" s="2" t="inlineStr">
        <is>
          <t>wilcoxon_p</t>
        </is>
      </c>
    </row>
    <row r="52">
      <c r="A52" t="inlineStr">
        <is>
          <t>H1 Product_TV Dwell time (%)</t>
        </is>
      </c>
      <c r="B52" t="n">
        <v>29</v>
      </c>
      <c r="C52" t="n">
        <v>21.243793</v>
      </c>
      <c r="D52" t="n">
        <v>28.488966</v>
      </c>
      <c r="E52" t="n">
        <v>7.245172</v>
      </c>
      <c r="F52" t="n">
        <v>7.396973</v>
      </c>
      <c r="G52" t="n">
        <v>4.431514</v>
      </c>
      <c r="H52" t="n">
        <v>10.05883</v>
      </c>
      <c r="I52" t="n">
        <v>5.274651</v>
      </c>
      <c r="J52" t="n">
        <v>28</v>
      </c>
      <c r="K52" t="n">
        <v>1.309e-05</v>
      </c>
      <c r="L52" t="n">
        <v>0.979478</v>
      </c>
      <c r="M52" t="n">
        <v>0.528971</v>
      </c>
      <c r="N52" t="n">
        <v>1.418147</v>
      </c>
      <c r="O52" t="n">
        <v>402</v>
      </c>
      <c r="P52" t="n">
        <v>6.93e-05</v>
      </c>
    </row>
    <row r="53">
      <c r="A53" t="inlineStr">
        <is>
          <t>H2 Brand_Logo TTFF AOI (ms), both observed</t>
        </is>
      </c>
      <c r="B53" t="n">
        <v>25</v>
      </c>
      <c r="C53" t="n">
        <v>906.76</v>
      </c>
      <c r="D53" t="n">
        <v>786.96</v>
      </c>
      <c r="E53" t="n">
        <v>-119.8</v>
      </c>
      <c r="F53" t="n">
        <v>330.691699</v>
      </c>
      <c r="G53" t="n">
        <v>-256.302825</v>
      </c>
      <c r="H53" t="n">
        <v>16.702825</v>
      </c>
      <c r="I53" t="n">
        <v>-1.811355</v>
      </c>
      <c r="J53" t="n">
        <v>24</v>
      </c>
      <c r="K53" t="n">
        <v>0.08262</v>
      </c>
      <c r="L53" t="n">
        <v>-0.362271</v>
      </c>
      <c r="M53" t="n">
        <v>-0.76378</v>
      </c>
      <c r="N53" t="n">
        <v>0.046282</v>
      </c>
      <c r="O53" t="n">
        <v>88</v>
      </c>
      <c r="P53" t="n">
        <v>0.04647</v>
      </c>
    </row>
    <row r="54">
      <c r="A54" t="inlineStr">
        <is>
          <t>H2b Brand_Logo TTFF AOI (ms), never fixated = 5000</t>
        </is>
      </c>
      <c r="B54" t="n">
        <v>29</v>
      </c>
      <c r="C54" t="n">
        <v>1189.206897</v>
      </c>
      <c r="D54" t="n">
        <v>1064.965517</v>
      </c>
      <c r="E54" t="n">
        <v>-124.241379</v>
      </c>
      <c r="F54" t="n">
        <v>1635.965631</v>
      </c>
      <c r="G54" t="n">
        <v>-746.5294249999999</v>
      </c>
      <c r="H54" t="n">
        <v>498.046666</v>
      </c>
      <c r="I54" t="n">
        <v>-0.40897</v>
      </c>
      <c r="J54" t="n">
        <v>28</v>
      </c>
      <c r="K54" t="n">
        <v>0.6857</v>
      </c>
      <c r="L54" t="n">
        <v>-0.075944</v>
      </c>
      <c r="M54" t="n">
        <v>-0.439765</v>
      </c>
      <c r="N54" t="n">
        <v>0.289224</v>
      </c>
      <c r="O54" t="n">
        <v>142</v>
      </c>
      <c r="P54" t="n">
        <v>0.1049</v>
      </c>
    </row>
    <row r="55">
      <c r="A55" t="inlineStr">
        <is>
          <t>H3 Liking (1 to 7)</t>
        </is>
      </c>
      <c r="B55" t="n">
        <v>29</v>
      </c>
      <c r="C55" t="n">
        <v>5.517241</v>
      </c>
      <c r="D55" t="n">
        <v>5</v>
      </c>
      <c r="E55" t="n">
        <v>-0.517241</v>
      </c>
      <c r="F55" t="n">
        <v>1.089583</v>
      </c>
      <c r="G55" t="n">
        <v>-0.931697</v>
      </c>
      <c r="H55" t="n">
        <v>-0.102786</v>
      </c>
      <c r="I55" t="n">
        <v>-2.556417</v>
      </c>
      <c r="J55" t="n">
        <v>28</v>
      </c>
      <c r="K55" t="n">
        <v>0.01629</v>
      </c>
      <c r="L55" t="n">
        <v>-0.474715</v>
      </c>
      <c r="M55" t="n">
        <v>-0.855344</v>
      </c>
      <c r="N55" t="n">
        <v>-0.086495</v>
      </c>
      <c r="O55" t="n">
        <v>9</v>
      </c>
      <c r="P55" t="n">
        <v>0.01668</v>
      </c>
    </row>
    <row r="56"/>
    <row r="57">
      <c r="A57" s="8" t="inlineStr">
        <is>
          <t>analysis.R: mixed model, point biserial, exploratory (SIMULATED_model_results.csv)</t>
        </is>
      </c>
    </row>
    <row r="58">
      <c r="A58" s="2" t="inlineStr">
        <is>
          <t>analysis</t>
        </is>
      </c>
      <c r="B58" s="2" t="inlineStr">
        <is>
          <t>term</t>
        </is>
      </c>
      <c r="C58" s="2" t="inlineStr">
        <is>
          <t>estimate</t>
        </is>
      </c>
      <c r="D58" s="2" t="inlineStr">
        <is>
          <t>se</t>
        </is>
      </c>
      <c r="E58" s="2" t="inlineStr">
        <is>
          <t>df</t>
        </is>
      </c>
      <c r="F58" s="2" t="inlineStr">
        <is>
          <t>statistic</t>
        </is>
      </c>
      <c r="G58" s="2" t="inlineStr">
        <is>
          <t>p</t>
        </is>
      </c>
      <c r="H58" s="2" t="inlineStr">
        <is>
          <t>ci_low</t>
        </is>
      </c>
      <c r="I58" s="2" t="inlineStr">
        <is>
          <t>ci_high</t>
        </is>
      </c>
    </row>
    <row r="59">
      <c r="A59" t="inlineStr">
        <is>
          <t>Mixed model Product_TV dwell_pct</t>
        </is>
      </c>
      <c r="B59" t="inlineStr">
        <is>
          <t>Intercept (grand mean)</t>
        </is>
      </c>
      <c r="C59" t="n">
        <v>24.882536</v>
      </c>
      <c r="D59" t="n">
        <v>1.167179</v>
      </c>
      <c r="E59" t="n">
        <v>27</v>
      </c>
      <c r="F59" t="n">
        <v>21.318533</v>
      </c>
      <c r="G59" t="n">
        <v>2.007e-18</v>
      </c>
      <c r="H59" t="n">
        <v>22.487683</v>
      </c>
      <c r="I59" t="n">
        <v>27.277388</v>
      </c>
    </row>
    <row r="60">
      <c r="A60" t="inlineStr">
        <is>
          <t>Mixed model Product_TV dwell_pct</t>
        </is>
      </c>
      <c r="B60" t="inlineStr">
        <is>
          <t>Commercial (Paint minus Balls)</t>
        </is>
      </c>
      <c r="C60" t="n">
        <v>7.369738</v>
      </c>
      <c r="D60" t="n">
        <v>1.214753</v>
      </c>
      <c r="E60" t="n">
        <v>27</v>
      </c>
      <c r="F60" t="n">
        <v>6.066859</v>
      </c>
      <c r="G60" t="n">
        <v>1.774e-06</v>
      </c>
      <c r="H60" t="n">
        <v>4.87727</v>
      </c>
      <c r="I60" t="n">
        <v>9.862206</v>
      </c>
    </row>
    <row r="61">
      <c r="A61" t="inlineStr">
        <is>
          <t>Mixed model Product_TV dwell_pct</t>
        </is>
      </c>
      <c r="B61" t="inlineStr">
        <is>
          <t>Order position (second minus first)</t>
        </is>
      </c>
      <c r="C61" t="n">
        <v>3.612405</v>
      </c>
      <c r="D61" t="n">
        <v>1.214753</v>
      </c>
      <c r="E61" t="n">
        <v>27</v>
      </c>
      <c r="F61" t="n">
        <v>2.973776</v>
      </c>
      <c r="G61" t="n">
        <v>0.006127</v>
      </c>
      <c r="H61" t="n">
        <v>1.119937</v>
      </c>
      <c r="I61" t="n">
        <v>6.104873</v>
      </c>
    </row>
    <row r="62">
      <c r="A62" t="inlineStr">
        <is>
          <t>Mixed model Product_TV dwell_pct</t>
        </is>
      </c>
      <c r="B62" t="inlineStr">
        <is>
          <t>Commercial x order position</t>
        </is>
      </c>
      <c r="C62" t="n">
        <v>1.874143</v>
      </c>
      <c r="D62" t="n">
        <v>4.668714</v>
      </c>
      <c r="E62" t="n">
        <v>27</v>
      </c>
      <c r="F62" t="n">
        <v>0.401426</v>
      </c>
      <c r="G62" t="n">
        <v>0.6913</v>
      </c>
      <c r="H62" t="n">
        <v>-7.705268</v>
      </c>
      <c r="I62" t="n">
        <v>11.453554</v>
      </c>
    </row>
    <row r="63">
      <c r="A63" t="inlineStr">
        <is>
          <t>Mixed model Product_TV dwell_pct</t>
        </is>
      </c>
      <c r="B63" t="inlineStr">
        <is>
          <t>ICC adjusted (fitted model)</t>
        </is>
      </c>
      <c r="C63" t="n">
        <v>0.573817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Mixed model Product_TV dwell_pct</t>
        </is>
      </c>
      <c r="B64" t="inlineStr">
        <is>
          <t>ICC unconditional (intercept only)</t>
        </is>
      </c>
      <c r="C64" t="n">
        <v>0.184922</v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Mixed model Product_TV dwell_pct</t>
        </is>
      </c>
      <c r="B65" t="inlineStr">
        <is>
          <t>Simple order effect estimate ((Group A - Group B) / 2)</t>
        </is>
      </c>
      <c r="C65" t="n">
        <v>3.612405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Point biserial: total Brand_Logo dwell (ms) with recall</t>
        </is>
      </c>
      <c r="B66" t="inlineStr">
        <is>
          <t>r_pb</t>
        </is>
      </c>
      <c r="C66" t="n">
        <v>0.416767</v>
      </c>
      <c r="D66" t="inlineStr">
        <is>
          <t>NA</t>
        </is>
      </c>
      <c r="E66" t="n">
        <v>27</v>
      </c>
      <c r="F66" t="n">
        <v>2.382346</v>
      </c>
      <c r="G66" t="n">
        <v>0.02451</v>
      </c>
      <c r="H66" t="n">
        <v>0.059323</v>
      </c>
      <c r="I66" t="n">
        <v>0.6794829999999999</v>
      </c>
    </row>
    <row r="67">
      <c r="A67" t="inlineStr">
        <is>
          <t>Exploratory: dwell difference with liking difference</t>
        </is>
      </c>
      <c r="B67" t="inlineStr">
        <is>
          <t>r</t>
        </is>
      </c>
      <c r="C67" t="n">
        <v>0.038142</v>
      </c>
      <c r="D67" t="inlineStr">
        <is>
          <t>NA</t>
        </is>
      </c>
      <c r="E67" t="n">
        <v>27</v>
      </c>
      <c r="F67" t="n">
        <v>0.198338</v>
      </c>
      <c r="G67" t="n">
        <v>0.8443000000000001</v>
      </c>
      <c r="H67" t="n">
        <v>-0.333019</v>
      </c>
      <c r="I67" t="n">
        <v>0.399069</v>
      </c>
    </row>
    <row r="68"/>
    <row r="69">
      <c r="A69" s="8" t="inlineStr">
        <is>
          <t>analysis.R: descriptives (SIMULATED_descriptives_by_commercial_AOI.csv)</t>
        </is>
      </c>
    </row>
    <row r="70">
      <c r="A70" s="2" t="inlineStr">
        <is>
          <t>aoi</t>
        </is>
      </c>
      <c r="B70" s="2" t="inlineStr">
        <is>
          <t>commercial</t>
        </is>
      </c>
      <c r="C70" s="2" t="inlineStr">
        <is>
          <t>aoi_active_ms</t>
        </is>
      </c>
      <c r="D70" s="2" t="inlineStr">
        <is>
          <t>n</t>
        </is>
      </c>
      <c r="E70" s="2" t="inlineStr">
        <is>
          <t>resp_ratio_pct</t>
        </is>
      </c>
      <c r="F70" s="2" t="inlineStr">
        <is>
          <t>n_ttff</t>
        </is>
      </c>
      <c r="G70" s="2" t="inlineStr">
        <is>
          <t>ttff_aoi_mean_ms</t>
        </is>
      </c>
      <c r="H70" s="2" t="inlineStr">
        <is>
          <t>ttff_aoi_sd_ms</t>
        </is>
      </c>
      <c r="I70" s="2" t="inlineStr">
        <is>
          <t>dwell_mean_pct</t>
        </is>
      </c>
      <c r="J70" s="2" t="inlineStr">
        <is>
          <t>dwell_sd_pct</t>
        </is>
      </c>
      <c r="K70" s="2" t="inlineStr">
        <is>
          <t>dwell_mean_ms</t>
        </is>
      </c>
      <c r="L70" s="2" t="inlineStr">
        <is>
          <t>fix_mean</t>
        </is>
      </c>
      <c r="M70" s="2" t="inlineStr">
        <is>
          <t>fix_sd</t>
        </is>
      </c>
      <c r="N70" s="2" t="inlineStr">
        <is>
          <t>fixdur_mean_ms</t>
        </is>
      </c>
    </row>
    <row r="71">
      <c r="A71" t="inlineStr">
        <is>
          <t>Product_TV</t>
        </is>
      </c>
      <c r="B71" t="inlineStr">
        <is>
          <t>Balls</t>
        </is>
      </c>
      <c r="C71" t="n">
        <v>14000</v>
      </c>
      <c r="D71" t="n">
        <v>29</v>
      </c>
      <c r="E71" t="n">
        <v>100</v>
      </c>
      <c r="F71" t="n">
        <v>29</v>
      </c>
      <c r="G71" t="n">
        <v>1057.07</v>
      </c>
      <c r="H71" t="n">
        <v>475.44</v>
      </c>
      <c r="I71" t="n">
        <v>21.24</v>
      </c>
      <c r="J71" t="n">
        <v>6.62</v>
      </c>
      <c r="K71" t="n">
        <v>2974.14</v>
      </c>
      <c r="L71" t="n">
        <v>11.28</v>
      </c>
      <c r="M71" t="n">
        <v>5.27</v>
      </c>
      <c r="N71" t="n">
        <v>283.34</v>
      </c>
    </row>
    <row r="72">
      <c r="A72" t="inlineStr">
        <is>
          <t>Product_TV</t>
        </is>
      </c>
      <c r="B72" t="inlineStr">
        <is>
          <t>Paint</t>
        </is>
      </c>
      <c r="C72" t="n">
        <v>20000</v>
      </c>
      <c r="D72" t="n">
        <v>29</v>
      </c>
      <c r="E72" t="n">
        <v>100</v>
      </c>
      <c r="F72" t="n">
        <v>29</v>
      </c>
      <c r="G72" t="n">
        <v>952.9299999999999</v>
      </c>
      <c r="H72" t="n">
        <v>464.57</v>
      </c>
      <c r="I72" t="n">
        <v>28.49</v>
      </c>
      <c r="J72" t="n">
        <v>7.75</v>
      </c>
      <c r="K72" t="n">
        <v>5697.72</v>
      </c>
      <c r="L72" t="n">
        <v>19.28</v>
      </c>
      <c r="M72" t="n">
        <v>6.18</v>
      </c>
      <c r="N72" t="n">
        <v>303.41</v>
      </c>
    </row>
    <row r="73">
      <c r="A73" t="inlineStr">
        <is>
          <t>Brand_Logo</t>
        </is>
      </c>
      <c r="B73" t="inlineStr">
        <is>
          <t>Balls</t>
        </is>
      </c>
      <c r="C73" t="n">
        <v>5000</v>
      </c>
      <c r="D73" t="n">
        <v>29</v>
      </c>
      <c r="E73" t="n">
        <v>93.09999999999999</v>
      </c>
      <c r="F73" t="n">
        <v>27</v>
      </c>
      <c r="G73" t="n">
        <v>906.9299999999999</v>
      </c>
      <c r="H73" t="n">
        <v>249.81</v>
      </c>
      <c r="I73" t="n">
        <v>38.28</v>
      </c>
      <c r="J73" t="n">
        <v>17.31</v>
      </c>
      <c r="K73" t="n">
        <v>1913.79</v>
      </c>
      <c r="L73" t="n">
        <v>6.86</v>
      </c>
      <c r="M73" t="n">
        <v>3.48</v>
      </c>
      <c r="N73" t="n">
        <v>293.81</v>
      </c>
    </row>
    <row r="74">
      <c r="A74" t="inlineStr">
        <is>
          <t>Brand_Logo</t>
        </is>
      </c>
      <c r="B74" t="inlineStr">
        <is>
          <t>Paint</t>
        </is>
      </c>
      <c r="C74" t="n">
        <v>5000</v>
      </c>
      <c r="D74" t="n">
        <v>29</v>
      </c>
      <c r="E74" t="n">
        <v>93.09999999999999</v>
      </c>
      <c r="F74" t="n">
        <v>27</v>
      </c>
      <c r="G74" t="n">
        <v>773.48</v>
      </c>
      <c r="H74" t="n">
        <v>199.21</v>
      </c>
      <c r="I74" t="n">
        <v>38.72</v>
      </c>
      <c r="J74" t="n">
        <v>17.1</v>
      </c>
      <c r="K74" t="n">
        <v>1936.1</v>
      </c>
      <c r="L74" t="n">
        <v>6.45</v>
      </c>
      <c r="M74" t="n">
        <v>3.18</v>
      </c>
      <c r="N74" t="n">
        <v>316.26</v>
      </c>
    </row>
    <row r="75">
      <c r="A75" t="inlineStr">
        <is>
          <t>Tagline_Text</t>
        </is>
      </c>
      <c r="B75" t="inlineStr">
        <is>
          <t>Balls</t>
        </is>
      </c>
      <c r="C75" t="n">
        <v>4000</v>
      </c>
      <c r="D75" t="n">
        <v>29</v>
      </c>
      <c r="E75" t="n">
        <v>100</v>
      </c>
      <c r="F75" t="n">
        <v>29</v>
      </c>
      <c r="G75" t="n">
        <v>1321.66</v>
      </c>
      <c r="H75" t="n">
        <v>346.85</v>
      </c>
      <c r="I75" t="n">
        <v>29</v>
      </c>
      <c r="J75" t="n">
        <v>11.85</v>
      </c>
      <c r="K75" t="n">
        <v>1160.03</v>
      </c>
      <c r="L75" t="n">
        <v>4.69</v>
      </c>
      <c r="M75" t="n">
        <v>2.38</v>
      </c>
      <c r="N75" t="n">
        <v>260.1</v>
      </c>
    </row>
    <row r="76">
      <c r="A76" t="inlineStr">
        <is>
          <t>Tagline_Text</t>
        </is>
      </c>
      <c r="B76" t="inlineStr">
        <is>
          <t>Paint</t>
        </is>
      </c>
      <c r="C76" t="n">
        <v>4000</v>
      </c>
      <c r="D76" t="n">
        <v>29</v>
      </c>
      <c r="E76" t="n">
        <v>96.59999999999999</v>
      </c>
      <c r="F76" t="n">
        <v>28</v>
      </c>
      <c r="G76" t="n">
        <v>1325.32</v>
      </c>
      <c r="H76" t="n">
        <v>387.71</v>
      </c>
      <c r="I76" t="n">
        <v>30.63</v>
      </c>
      <c r="J76" t="n">
        <v>12.21</v>
      </c>
      <c r="K76" t="n">
        <v>1225.17</v>
      </c>
      <c r="L76" t="n">
        <v>4.48</v>
      </c>
      <c r="M76" t="n">
        <v>1.99</v>
      </c>
      <c r="N76" t="n">
        <v>282.75</v>
      </c>
    </row>
    <row r="77">
      <c r="A77" t="inlineStr">
        <is>
          <t>Hero_Element</t>
        </is>
      </c>
      <c r="B77" t="inlineStr">
        <is>
          <t>Balls</t>
        </is>
      </c>
      <c r="C77" t="n">
        <v>40000</v>
      </c>
      <c r="D77" t="n">
        <v>29</v>
      </c>
      <c r="E77" t="n">
        <v>100</v>
      </c>
      <c r="F77" t="n">
        <v>29</v>
      </c>
      <c r="G77" t="n">
        <v>708.28</v>
      </c>
      <c r="H77" t="n">
        <v>298.8</v>
      </c>
      <c r="I77" t="n">
        <v>53.73</v>
      </c>
      <c r="J77" t="n">
        <v>9.93</v>
      </c>
      <c r="K77" t="n">
        <v>21491.1</v>
      </c>
      <c r="L77" t="n">
        <v>74</v>
      </c>
      <c r="M77" t="n">
        <v>21.83</v>
      </c>
      <c r="N77" t="n">
        <v>304.03</v>
      </c>
    </row>
    <row r="78">
      <c r="A78" t="inlineStr">
        <is>
          <t>Hero_Element</t>
        </is>
      </c>
      <c r="B78" t="inlineStr">
        <is>
          <t>Paint</t>
        </is>
      </c>
      <c r="C78" t="n">
        <v>32000</v>
      </c>
      <c r="D78" t="n">
        <v>29</v>
      </c>
      <c r="E78" t="n">
        <v>100</v>
      </c>
      <c r="F78" t="n">
        <v>29</v>
      </c>
      <c r="G78" t="n">
        <v>711.14</v>
      </c>
      <c r="H78" t="n">
        <v>332.15</v>
      </c>
      <c r="I78" t="n">
        <v>44.9</v>
      </c>
      <c r="J78" t="n">
        <v>6.86</v>
      </c>
      <c r="K78" t="n">
        <v>14369.41</v>
      </c>
      <c r="L78" t="n">
        <v>50.76</v>
      </c>
      <c r="M78" t="n">
        <v>9.85</v>
      </c>
      <c r="N78" t="n">
        <v>288.93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2026-10-08T03:40:49Z</dcterms:created>
  <dcterms:modified xmlns:dcterms="http://purl.org/dc/terms/" xmlns:xsi="http://www.w3.org/2001/XMLSchema-instance" xsi:type="dcterms:W3CDTF">2026-10-08T03:40:49Z</dcterms:modified>
</cp:coreProperties>
</file>