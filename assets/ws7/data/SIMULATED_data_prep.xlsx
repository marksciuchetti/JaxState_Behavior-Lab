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ssionLog" sheetId="2" state="visible" r:id="rId2"/>
    <sheet xmlns:r="http://schemas.openxmlformats.org/officeDocument/2006/relationships" name="GSR_Import" sheetId="3" state="visible" r:id="rId3"/>
    <sheet xmlns:r="http://schemas.openxmlformats.org/officeDocument/2006/relationships" name="Survey" sheetId="4" state="visible" r:id="rId4"/>
    <sheet xmlns:r="http://schemas.openxmlformats.org/officeDocument/2006/relationships" name="DataQuality" sheetId="5" state="visible" r:id="rId5"/>
    <sheet xmlns:r="http://schemas.openxmlformats.org/officeDocument/2006/relationships" name="Keys" sheetId="6" state="visible" r:id="rId6"/>
    <sheet xmlns:r="http://schemas.openxmlformats.org/officeDocument/2006/relationships" name="Merged" sheetId="7" state="visible" r:id="rId7"/>
    <sheet xmlns:r="http://schemas.openxmlformats.org/officeDocument/2006/relationships" name="Pivot" sheetId="8" state="visible" r:id="rId8"/>
    <sheet xmlns:r="http://schemas.openxmlformats.org/officeDocument/2006/relationships" name="H3" sheetId="9" state="visible" r:id="rId9"/>
    <sheet xmlns:r="http://schemas.openxmlformats.org/officeDocument/2006/relationships" name="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72B2"/>
      </patternFill>
    </fill>
    <fill>
      <patternFill patternType="solid">
        <fgColor rgb="00E69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SIMULATED DATA PREPARATION WORKBOOK (Workshop 7)</t>
        </is>
      </c>
    </row>
    <row r="2">
      <c r="A2" t="inlineStr">
        <is>
          <t>SIMULATED DATA for teaching (seed 20271231). No real person was recorded. Built by make_simulated_data.py, prepare_data.R, analysis.R, and make_excel_workbook.py.</t>
        </is>
      </c>
    </row>
    <row r="3">
      <c r="A3" t="inlineStr">
        <is>
          <t>Study: SIMULATED Multimodal Ad Study. 24 participants (P01 to P24), Baseline (60 s), Ad_A and Ad_B (30 s, counterbalanced), survey.</t>
        </is>
      </c>
    </row>
    <row r="4">
      <c r="A4" t="inlineStr">
        <is>
          <t>This workbook is the Excel route through the core steps of prepare_data.R and the H3 test of analysis.R.</t>
        </is>
      </c>
    </row>
    <row r="5">
      <c r="A5" t="inlineStr"/>
    </row>
    <row r="6">
      <c r="A6" s="1" t="inlineStr">
        <is>
          <t>Sheets</t>
        </is>
      </c>
    </row>
    <row r="7">
      <c r="A7" t="inlineStr">
        <is>
          <t>GSR_Import    GSRPeakMetrics.csv as the Text Import leaves it (header in row 1), plus helper columns P to U (orange)</t>
        </is>
      </c>
    </row>
    <row r="8">
      <c r="A8" t="inlineStr">
        <is>
          <t>SessionLog    the lab session log (the key table: recording name -&gt; participant, Use recording), plus the key in column M</t>
        </is>
      </c>
    </row>
    <row r="9">
      <c r="A9" t="inlineStr">
        <is>
          <t>Survey        MERGED_SURVEY_RESPONSE_MATRIX.txt (tab separated), plus helper columns V to AC and Cronbach's alpha</t>
        </is>
      </c>
    </row>
    <row r="10">
      <c r="A10" t="inlineStr">
        <is>
          <t>DataQuality   the _DataQuality.txt file (tab separated), plus helper columns I to M</t>
        </is>
      </c>
    </row>
    <row r="11">
      <c r="A11" t="inlineStr">
        <is>
          <t>Keys          the problem keys made visible with LEN, CODE, EXACT, TRIM, UPPER</t>
        </is>
      </c>
    </row>
    <row r="12">
      <c r="A12" t="inlineStr">
        <is>
          <t>Merged        one row per participant and stimulus (72 rows): INDEX and MATCH joins, rules R2 and R3</t>
        </is>
      </c>
    </row>
    <row r="13">
      <c r="A13" t="inlineStr">
        <is>
          <t>Pivot         the summary a PivotTable gives (built with AVERAGEIFS and COUNTIFS so that it can be checked)</t>
        </is>
      </c>
    </row>
    <row r="14">
      <c r="A14" t="inlineStr">
        <is>
          <t>H3            GSR Peaks Per Minute, each ad versus Baseline: paired T.TEST, d_z, and its approximate 95% CI</t>
        </is>
      </c>
    </row>
    <row r="15">
      <c r="A15" t="inlineStr">
        <is>
          <t>Check         every Excel result next to the value R produced, with OK or CHECK</t>
        </is>
      </c>
    </row>
    <row r="16">
      <c r="A16" t="inlineStr"/>
    </row>
    <row r="17">
      <c r="A17" t="inlineStr">
        <is>
          <t>Colors: blue headers = data as exported; orange headers = columns you add. Yellow cells on Merged hold the participant and stimulus grid.</t>
        </is>
      </c>
    </row>
    <row r="18">
      <c r="A18" t="inlineStr">
        <is>
          <t>Rules written before collection: R1 use only recordings with Use recording = Yes; R2 exclude a participant when Eye tracking_Quality &lt; 90 or Affectiva AFFDEX_Quality &lt; 80 on Ad_A or Ad_B; R3 GSR of a stimulus is missing when Signal Duration &lt; 80 percent of Duration.</t>
        </is>
      </c>
    </row>
    <row r="19">
      <c r="A19" t="inlineStr">
        <is>
          <t>The walkthrough excel_walkthrough.md explains every formula with its cell address.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1" customWidth="1" min="4" max="4"/>
    <col width="8" customWidth="1" min="5" max="5"/>
    <col width="6" customWidth="1" min="6" max="6"/>
    <col width="20" customWidth="1" min="7" max="7"/>
    <col width="11" customWidth="1" min="8" max="8"/>
    <col width="10" customWidth="1" min="9" max="9"/>
    <col width="14" customWidth="1" min="10" max="10"/>
    <col width="20" customWidth="1" min="11" max="11"/>
    <col width="9" customWidth="1" min="12" max="12"/>
    <col width="90" customWidth="1" min="13" max="13"/>
    <col width="16" customWidth="1" min="14" max="14"/>
  </cols>
  <sheetData>
    <row r="1">
      <c r="A1" s="2" t="inlineStr">
        <is>
          <t>Participant ID</t>
        </is>
      </c>
      <c r="B1" s="2" t="inlineStr">
        <is>
          <t>iMotions respondent name</t>
        </is>
      </c>
      <c r="C1" s="2" t="inlineStr">
        <is>
          <t>Recording</t>
        </is>
      </c>
      <c r="D1" s="2" t="inlineStr">
        <is>
          <t>Session date</t>
        </is>
      </c>
      <c r="E1" s="2" t="inlineStr">
        <is>
          <t>Start time</t>
        </is>
      </c>
      <c r="F1" s="2" t="inlineStr">
        <is>
          <t>Seat</t>
        </is>
      </c>
      <c r="G1" s="2" t="inlineStr">
        <is>
          <t>Computer</t>
        </is>
      </c>
      <c r="H1" s="2" t="inlineStr">
        <is>
          <t>Operator</t>
        </is>
      </c>
      <c r="I1" s="2" t="inlineStr">
        <is>
          <t>Order (typed in Group)</t>
        </is>
      </c>
      <c r="J1" s="2" t="inlineStr">
        <is>
          <t>Shimmer unit</t>
        </is>
      </c>
      <c r="K1" s="2" t="inlineStr">
        <is>
          <t>Aurora calibration</t>
        </is>
      </c>
      <c r="L1" s="2" t="inlineStr">
        <is>
          <t>Use recording</t>
        </is>
      </c>
      <c r="M1" s="2" t="inlineStr">
        <is>
          <t>Notes</t>
        </is>
      </c>
      <c r="N1" s="3" t="inlineStr">
        <is>
          <t>Key = UPPER(TRIM(name))</t>
        </is>
      </c>
    </row>
    <row r="2">
      <c r="A2" t="inlineStr">
        <is>
          <t>P01</t>
        </is>
      </c>
      <c r="B2" t="inlineStr">
        <is>
          <t>P01</t>
        </is>
      </c>
      <c r="C2" t="n">
        <v>1</v>
      </c>
      <c r="D2" t="inlineStr">
        <is>
          <t>2026-11-16</t>
        </is>
      </c>
      <c r="E2" t="inlineStr">
        <is>
          <t>09:11</t>
        </is>
      </c>
      <c r="F2" t="n">
        <v>1</v>
      </c>
      <c r="G2" t="inlineStr">
        <is>
          <t>Lab desktop (Key 0002)</t>
        </is>
      </c>
      <c r="H2" t="inlineStr">
        <is>
          <t>Operator_1</t>
        </is>
      </c>
      <c r="I2" t="inlineStr">
        <is>
          <t>AB</t>
        </is>
      </c>
      <c r="J2" t="inlineStr">
        <is>
          <t>Shimmer3-8956</t>
        </is>
      </c>
      <c r="K2" t="inlineStr">
        <is>
          <t>Good</t>
        </is>
      </c>
      <c r="L2" t="inlineStr">
        <is>
          <t>Yes</t>
        </is>
      </c>
      <c r="N2">
        <f>UPPER(TRIM(B2))</f>
        <v/>
      </c>
    </row>
    <row r="3">
      <c r="A3" t="inlineStr">
        <is>
          <t>P02</t>
        </is>
      </c>
      <c r="B3" t="inlineStr">
        <is>
          <t>P02</t>
        </is>
      </c>
      <c r="C3" t="n">
        <v>1</v>
      </c>
      <c r="D3" t="inlineStr">
        <is>
          <t>2026-11-16</t>
        </is>
      </c>
      <c r="E3" t="inlineStr">
        <is>
          <t>10:36</t>
        </is>
      </c>
      <c r="F3" t="n">
        <v>1</v>
      </c>
      <c r="G3" t="inlineStr">
        <is>
          <t>Lab desktop (Key 0002)</t>
        </is>
      </c>
      <c r="H3" t="inlineStr">
        <is>
          <t>Operator_1</t>
        </is>
      </c>
      <c r="I3" t="inlineStr">
        <is>
          <t>BA</t>
        </is>
      </c>
      <c r="J3" t="inlineStr">
        <is>
          <t>Shimmer3-B</t>
        </is>
      </c>
      <c r="K3" t="inlineStr">
        <is>
          <t>Good</t>
        </is>
      </c>
      <c r="L3" t="inlineStr">
        <is>
          <t>Yes</t>
        </is>
      </c>
      <c r="N3">
        <f>UPPER(TRIM(B3))</f>
        <v/>
      </c>
    </row>
    <row r="4">
      <c r="A4" t="inlineStr">
        <is>
          <t>P03</t>
        </is>
      </c>
      <c r="B4" t="inlineStr">
        <is>
          <t>P03</t>
        </is>
      </c>
      <c r="C4" t="n">
        <v>1</v>
      </c>
      <c r="D4" t="inlineStr">
        <is>
          <t>2026-11-16</t>
        </is>
      </c>
      <c r="E4" t="inlineStr">
        <is>
          <t>12:10</t>
        </is>
      </c>
      <c r="F4" t="n">
        <v>1</v>
      </c>
      <c r="G4" t="inlineStr">
        <is>
          <t>Lab desktop (Key 0002)</t>
        </is>
      </c>
      <c r="H4" t="inlineStr">
        <is>
          <t>Operator_1</t>
        </is>
      </c>
      <c r="I4" t="inlineStr">
        <is>
          <t>AB</t>
        </is>
      </c>
      <c r="J4" t="inlineStr">
        <is>
          <t>Shimmer3-B</t>
        </is>
      </c>
      <c r="K4" t="inlineStr">
        <is>
          <t>Good</t>
        </is>
      </c>
      <c r="L4" t="inlineStr">
        <is>
          <t>Yes</t>
        </is>
      </c>
      <c r="N4">
        <f>UPPER(TRIM(B4))</f>
        <v/>
      </c>
    </row>
    <row r="5">
      <c r="A5" t="inlineStr">
        <is>
          <t>P04</t>
        </is>
      </c>
      <c r="B5" t="inlineStr">
        <is>
          <t>P04</t>
        </is>
      </c>
      <c r="C5" t="n">
        <v>1</v>
      </c>
      <c r="D5" t="inlineStr">
        <is>
          <t>2026-11-16</t>
        </is>
      </c>
      <c r="E5" t="inlineStr">
        <is>
          <t>13:33</t>
        </is>
      </c>
      <c r="F5" t="n">
        <v>1</v>
      </c>
      <c r="G5" t="inlineStr">
        <is>
          <t>Lab desktop (Key 0002)</t>
        </is>
      </c>
      <c r="H5" t="inlineStr">
        <is>
          <t>Operator_1</t>
        </is>
      </c>
      <c r="I5" t="inlineStr">
        <is>
          <t>BA</t>
        </is>
      </c>
      <c r="J5" t="inlineStr">
        <is>
          <t>Shimmer3-8956</t>
        </is>
      </c>
      <c r="K5" t="inlineStr">
        <is>
          <t>Failed</t>
        </is>
      </c>
      <c r="L5" t="inlineStr">
        <is>
          <t>No</t>
        </is>
      </c>
      <c r="M5" t="inlineStr">
        <is>
          <t>Aurora calibration failed (gaze not tracked in the live view). Recording stopped 23 s into Baseline. Recalibrated and recorded again as P04_rerun. Do not use this recording.</t>
        </is>
      </c>
      <c r="N5">
        <f>UPPER(TRIM(B5))</f>
        <v/>
      </c>
    </row>
    <row r="6">
      <c r="A6" t="inlineStr">
        <is>
          <t>P04</t>
        </is>
      </c>
      <c r="B6" t="inlineStr">
        <is>
          <t>P04_rerun</t>
        </is>
      </c>
      <c r="C6" t="n">
        <v>2</v>
      </c>
      <c r="D6" t="inlineStr">
        <is>
          <t>2026-11-16</t>
        </is>
      </c>
      <c r="E6" t="inlineStr">
        <is>
          <t>13:46</t>
        </is>
      </c>
      <c r="F6" t="n">
        <v>1</v>
      </c>
      <c r="G6" t="inlineStr">
        <is>
          <t>Lab desktop (Key 0002)</t>
        </is>
      </c>
      <c r="H6" t="inlineStr">
        <is>
          <t>Operator_1</t>
        </is>
      </c>
      <c r="I6" t="inlineStr">
        <is>
          <t>BA</t>
        </is>
      </c>
      <c r="J6" t="inlineStr">
        <is>
          <t>Shimmer3-8956</t>
        </is>
      </c>
      <c r="K6" t="inlineStr">
        <is>
          <t>Good after recalibration</t>
        </is>
      </c>
      <c r="L6" t="inlineStr">
        <is>
          <t>Yes</t>
        </is>
      </c>
      <c r="M6" t="inlineStr">
        <is>
          <t>Rerun of P04 after recalibration (Baseline had not finished, so no ad was seen twice). Use this recording as P04.</t>
        </is>
      </c>
      <c r="N6">
        <f>UPPER(TRIM(B6))</f>
        <v/>
      </c>
    </row>
    <row r="7">
      <c r="A7" t="inlineStr">
        <is>
          <t>P05</t>
        </is>
      </c>
      <c r="B7" t="inlineStr">
        <is>
          <t>P05</t>
        </is>
      </c>
      <c r="C7" t="n">
        <v>1</v>
      </c>
      <c r="D7" t="inlineStr">
        <is>
          <t>2026-11-16</t>
        </is>
      </c>
      <c r="E7" t="inlineStr">
        <is>
          <t>15:07</t>
        </is>
      </c>
      <c r="F7" t="n">
        <v>1</v>
      </c>
      <c r="G7" t="inlineStr">
        <is>
          <t>Lab desktop (Key 0002)</t>
        </is>
      </c>
      <c r="H7" t="inlineStr">
        <is>
          <t>Operator_1</t>
        </is>
      </c>
      <c r="I7" t="inlineStr">
        <is>
          <t>AB</t>
        </is>
      </c>
      <c r="J7" t="inlineStr">
        <is>
          <t>Shimmer3-B</t>
        </is>
      </c>
      <c r="K7" t="inlineStr">
        <is>
          <t>Good</t>
        </is>
      </c>
      <c r="L7" t="inlineStr">
        <is>
          <t>Yes</t>
        </is>
      </c>
      <c r="M7" t="inlineStr">
        <is>
          <t>Shimmer3-B low battery warning during Ad_B; GSR signal lost about 8 s into Ad_B and did not return. Keep; GSR from Ad_B on is missing.</t>
        </is>
      </c>
      <c r="N7">
        <f>UPPER(TRIM(B7))</f>
        <v/>
      </c>
    </row>
    <row r="8">
      <c r="A8" t="inlineStr">
        <is>
          <t>P06</t>
        </is>
      </c>
      <c r="B8" t="inlineStr">
        <is>
          <t>P06</t>
        </is>
      </c>
      <c r="C8" t="n">
        <v>1</v>
      </c>
      <c r="D8" t="inlineStr">
        <is>
          <t>2026-11-17</t>
        </is>
      </c>
      <c r="E8" t="inlineStr">
        <is>
          <t>09:00</t>
        </is>
      </c>
      <c r="F8" t="n">
        <v>1</v>
      </c>
      <c r="G8" t="inlineStr">
        <is>
          <t>Lab desktop (Key 0002)</t>
        </is>
      </c>
      <c r="H8" t="inlineStr">
        <is>
          <t>Operator_1</t>
        </is>
      </c>
      <c r="I8" t="inlineStr">
        <is>
          <t>BA</t>
        </is>
      </c>
      <c r="J8" t="inlineStr">
        <is>
          <t>Shimmer3-B</t>
        </is>
      </c>
      <c r="K8" t="inlineStr">
        <is>
          <t>Good</t>
        </is>
      </c>
      <c r="L8" t="inlineStr">
        <is>
          <t>Yes</t>
        </is>
      </c>
      <c r="N8">
        <f>UPPER(TRIM(B8))</f>
        <v/>
      </c>
    </row>
    <row r="9">
      <c r="A9" t="inlineStr">
        <is>
          <t>P07</t>
        </is>
      </c>
      <c r="B9" t="inlineStr">
        <is>
          <t>P07</t>
        </is>
      </c>
      <c r="C9" t="n">
        <v>1</v>
      </c>
      <c r="D9" t="inlineStr">
        <is>
          <t>2026-11-17</t>
        </is>
      </c>
      <c r="E9" t="inlineStr">
        <is>
          <t>10:39</t>
        </is>
      </c>
      <c r="F9" t="n">
        <v>1</v>
      </c>
      <c r="G9" t="inlineStr">
        <is>
          <t>Lab desktop (Key 0002)</t>
        </is>
      </c>
      <c r="H9" t="inlineStr">
        <is>
          <t>Operator_1</t>
        </is>
      </c>
      <c r="I9" t="inlineStr">
        <is>
          <t>AB</t>
        </is>
      </c>
      <c r="J9" t="inlineStr">
        <is>
          <t>Shimmer3-B</t>
        </is>
      </c>
      <c r="K9" t="inlineStr">
        <is>
          <t>Good</t>
        </is>
      </c>
      <c r="L9" t="inlineStr">
        <is>
          <t>Yes</t>
        </is>
      </c>
      <c r="N9">
        <f>UPPER(TRIM(B9))</f>
        <v/>
      </c>
    </row>
    <row r="10">
      <c r="A10" t="inlineStr">
        <is>
          <t>P08</t>
        </is>
      </c>
      <c r="B10" t="inlineStr">
        <is>
          <t>P08</t>
        </is>
      </c>
      <c r="C10" t="n">
        <v>1</v>
      </c>
      <c r="D10" t="inlineStr">
        <is>
          <t>2026-11-17</t>
        </is>
      </c>
      <c r="E10" t="inlineStr">
        <is>
          <t>12:09</t>
        </is>
      </c>
      <c r="F10" t="n">
        <v>1</v>
      </c>
      <c r="G10" t="inlineStr">
        <is>
          <t>Lab desktop (Key 0002)</t>
        </is>
      </c>
      <c r="H10" t="inlineStr">
        <is>
          <t>Operator_1</t>
        </is>
      </c>
      <c r="I10" t="inlineStr">
        <is>
          <t>BA</t>
        </is>
      </c>
      <c r="J10" t="inlineStr">
        <is>
          <t>Shimmer3-8956</t>
        </is>
      </c>
      <c r="K10" t="inlineStr">
        <is>
          <t>Good</t>
        </is>
      </c>
      <c r="L10" t="inlineStr">
        <is>
          <t>Yes</t>
        </is>
      </c>
      <c r="N10">
        <f>UPPER(TRIM(B10))</f>
        <v/>
      </c>
    </row>
    <row r="11">
      <c r="A11" t="inlineStr">
        <is>
          <t>P09</t>
        </is>
      </c>
      <c r="B11" t="inlineStr">
        <is>
          <t>P09</t>
        </is>
      </c>
      <c r="C11" t="n">
        <v>1</v>
      </c>
      <c r="D11" t="inlineStr">
        <is>
          <t>2026-11-17</t>
        </is>
      </c>
      <c r="E11" t="inlineStr">
        <is>
          <t>13:36</t>
        </is>
      </c>
      <c r="F11" t="n">
        <v>1</v>
      </c>
      <c r="G11" t="inlineStr">
        <is>
          <t>Lab desktop (Key 0002)</t>
        </is>
      </c>
      <c r="H11" t="inlineStr">
        <is>
          <t>Operator_1</t>
        </is>
      </c>
      <c r="I11" t="inlineStr">
        <is>
          <t>AB</t>
        </is>
      </c>
      <c r="J11" t="inlineStr">
        <is>
          <t>Shimmer3-8956</t>
        </is>
      </c>
      <c r="K11" t="inlineStr">
        <is>
          <t>Good</t>
        </is>
      </c>
      <c r="L11" t="inlineStr">
        <is>
          <t>Yes</t>
        </is>
      </c>
      <c r="M11" t="inlineStr">
        <is>
          <t>Arrived 10 minutes late.</t>
        </is>
      </c>
      <c r="N11">
        <f>UPPER(TRIM(B11))</f>
        <v/>
      </c>
    </row>
    <row r="12">
      <c r="A12" t="inlineStr">
        <is>
          <t>P10</t>
        </is>
      </c>
      <c r="B12" t="inlineStr">
        <is>
          <t>P10</t>
        </is>
      </c>
      <c r="C12" t="n">
        <v>1</v>
      </c>
      <c r="D12" t="inlineStr">
        <is>
          <t>2026-11-17</t>
        </is>
      </c>
      <c r="E12" t="inlineStr">
        <is>
          <t>15:09</t>
        </is>
      </c>
      <c r="F12" t="n">
        <v>1</v>
      </c>
      <c r="G12" t="inlineStr">
        <is>
          <t>Lab desktop (Key 0002)</t>
        </is>
      </c>
      <c r="H12" t="inlineStr">
        <is>
          <t>Operator_1</t>
        </is>
      </c>
      <c r="I12" t="inlineStr">
        <is>
          <t>BA</t>
        </is>
      </c>
      <c r="J12" t="inlineStr">
        <is>
          <t>Shimmer3-B</t>
        </is>
      </c>
      <c r="K12" t="inlineStr">
        <is>
          <t>Good</t>
        </is>
      </c>
      <c r="L12" t="inlineStr">
        <is>
          <t>Yes</t>
        </is>
      </c>
      <c r="N12">
        <f>UPPER(TRIM(B12))</f>
        <v/>
      </c>
    </row>
    <row r="13">
      <c r="A13" t="inlineStr">
        <is>
          <t>P11</t>
        </is>
      </c>
      <c r="B13" t="inlineStr">
        <is>
          <t>P11</t>
        </is>
      </c>
      <c r="C13" t="n">
        <v>1</v>
      </c>
      <c r="D13" t="inlineStr">
        <is>
          <t>2026-11-18</t>
        </is>
      </c>
      <c r="E13" t="inlineStr">
        <is>
          <t>09:10</t>
        </is>
      </c>
      <c r="F13" t="n">
        <v>1</v>
      </c>
      <c r="G13" t="inlineStr">
        <is>
          <t>Lab desktop (Key 0002)</t>
        </is>
      </c>
      <c r="H13" t="inlineStr">
        <is>
          <t>Operator_1</t>
        </is>
      </c>
      <c r="I13" t="inlineStr">
        <is>
          <t>AB</t>
        </is>
      </c>
      <c r="J13" t="inlineStr">
        <is>
          <t>Shimmer3-B</t>
        </is>
      </c>
      <c r="K13" t="inlineStr">
        <is>
          <t>Good</t>
        </is>
      </c>
      <c r="L13" t="inlineStr">
        <is>
          <t>Yes</t>
        </is>
      </c>
      <c r="N13">
        <f>UPPER(TRIM(B13))</f>
        <v/>
      </c>
    </row>
    <row r="14">
      <c r="A14" t="inlineStr">
        <is>
          <t>P12</t>
        </is>
      </c>
      <c r="B14" t="inlineStr">
        <is>
          <t>P12</t>
        </is>
      </c>
      <c r="C14" t="n">
        <v>1</v>
      </c>
      <c r="D14" t="inlineStr">
        <is>
          <t>2026-11-18</t>
        </is>
      </c>
      <c r="E14" t="inlineStr">
        <is>
          <t>10:37</t>
        </is>
      </c>
      <c r="F14" t="n">
        <v>1</v>
      </c>
      <c r="G14" t="inlineStr">
        <is>
          <t>Lab desktop (Key 0002)</t>
        </is>
      </c>
      <c r="H14" t="inlineStr">
        <is>
          <t>Operator_1</t>
        </is>
      </c>
      <c r="I14" t="inlineStr">
        <is>
          <t>BA</t>
        </is>
      </c>
      <c r="J14" t="inlineStr">
        <is>
          <t>Shimmer3-8956</t>
        </is>
      </c>
      <c r="K14" t="inlineStr">
        <is>
          <t>Good</t>
        </is>
      </c>
      <c r="L14" t="inlineStr">
        <is>
          <t>Yes</t>
        </is>
      </c>
      <c r="M14" t="inlineStr">
        <is>
          <t>Short Bluetooth dropout of the Shimmer during Baseline (a few seconds); signal returned.</t>
        </is>
      </c>
      <c r="N14">
        <f>UPPER(TRIM(B14))</f>
        <v/>
      </c>
    </row>
    <row r="15">
      <c r="A15" t="inlineStr">
        <is>
          <t>P13</t>
        </is>
      </c>
      <c r="B15" t="inlineStr">
        <is>
          <t>P13</t>
        </is>
      </c>
      <c r="C15" t="n">
        <v>1</v>
      </c>
      <c r="D15" t="inlineStr">
        <is>
          <t>2026-11-18</t>
        </is>
      </c>
      <c r="E15" t="inlineStr">
        <is>
          <t>12:11</t>
        </is>
      </c>
      <c r="F15" t="n">
        <v>1</v>
      </c>
      <c r="G15" t="inlineStr">
        <is>
          <t>Lab desktop (Key 0002)</t>
        </is>
      </c>
      <c r="H15" t="inlineStr">
        <is>
          <t>Operator_2</t>
        </is>
      </c>
      <c r="I15" t="inlineStr">
        <is>
          <t>AB</t>
        </is>
      </c>
      <c r="J15" t="inlineStr">
        <is>
          <t>Shimmer3-8956</t>
        </is>
      </c>
      <c r="K15" t="inlineStr">
        <is>
          <t>Good</t>
        </is>
      </c>
      <c r="L15" t="inlineStr">
        <is>
          <t>Yes</t>
        </is>
      </c>
      <c r="N15">
        <f>UPPER(TRIM(B15))</f>
        <v/>
      </c>
    </row>
    <row r="16">
      <c r="A16" t="inlineStr">
        <is>
          <t>P14</t>
        </is>
      </c>
      <c r="B16" t="inlineStr">
        <is>
          <t>P14</t>
        </is>
      </c>
      <c r="C16" t="n">
        <v>1</v>
      </c>
      <c r="D16" t="inlineStr">
        <is>
          <t>2026-11-18</t>
        </is>
      </c>
      <c r="E16" t="inlineStr">
        <is>
          <t>13:32</t>
        </is>
      </c>
      <c r="F16" t="n">
        <v>1</v>
      </c>
      <c r="G16" t="inlineStr">
        <is>
          <t>Lab desktop (Key 0002)</t>
        </is>
      </c>
      <c r="H16" t="inlineStr">
        <is>
          <t>Operator_2</t>
        </is>
      </c>
      <c r="I16" t="inlineStr">
        <is>
          <t>BA</t>
        </is>
      </c>
      <c r="J16" t="inlineStr">
        <is>
          <t>Shimmer3-B</t>
        </is>
      </c>
      <c r="K16" t="inlineStr">
        <is>
          <t>Good</t>
        </is>
      </c>
      <c r="L16" t="inlineStr">
        <is>
          <t>Yes</t>
        </is>
      </c>
      <c r="M16" t="inlineStr">
        <is>
          <t>Left handed; Shimmer on the right hand.</t>
        </is>
      </c>
      <c r="N16">
        <f>UPPER(TRIM(B16))</f>
        <v/>
      </c>
    </row>
    <row r="17">
      <c r="A17" t="inlineStr">
        <is>
          <t>P15</t>
        </is>
      </c>
      <c r="B17" t="inlineStr">
        <is>
          <t>P15</t>
        </is>
      </c>
      <c r="C17" t="n">
        <v>1</v>
      </c>
      <c r="D17" t="inlineStr">
        <is>
          <t>2026-11-18</t>
        </is>
      </c>
      <c r="E17" t="inlineStr">
        <is>
          <t>15:04</t>
        </is>
      </c>
      <c r="F17" t="n">
        <v>1</v>
      </c>
      <c r="G17" t="inlineStr">
        <is>
          <t>Lab desktop (Key 0002)</t>
        </is>
      </c>
      <c r="H17" t="inlineStr">
        <is>
          <t>Operator_2</t>
        </is>
      </c>
      <c r="I17" t="inlineStr">
        <is>
          <t>AB</t>
        </is>
      </c>
      <c r="J17" t="inlineStr">
        <is>
          <t>Shimmer3-B</t>
        </is>
      </c>
      <c r="K17" t="inlineStr">
        <is>
          <t>Good</t>
        </is>
      </c>
      <c r="L17" t="inlineStr">
        <is>
          <t>Yes</t>
        </is>
      </c>
      <c r="N17">
        <f>UPPER(TRIM(B17))</f>
        <v/>
      </c>
    </row>
    <row r="18">
      <c r="A18" t="inlineStr">
        <is>
          <t>P16</t>
        </is>
      </c>
      <c r="B18" t="inlineStr">
        <is>
          <t>P16</t>
        </is>
      </c>
      <c r="C18" t="n">
        <v>1</v>
      </c>
      <c r="D18" t="inlineStr">
        <is>
          <t>2026-11-19</t>
        </is>
      </c>
      <c r="E18" t="inlineStr">
        <is>
          <t>09:06</t>
        </is>
      </c>
      <c r="F18" t="n">
        <v>1</v>
      </c>
      <c r="G18" t="inlineStr">
        <is>
          <t>Lab desktop (Key 0002)</t>
        </is>
      </c>
      <c r="H18" t="inlineStr">
        <is>
          <t>Operator_2</t>
        </is>
      </c>
      <c r="I18" t="inlineStr">
        <is>
          <t>BA</t>
        </is>
      </c>
      <c r="J18" t="inlineStr">
        <is>
          <t>Shimmer3-8956</t>
        </is>
      </c>
      <c r="K18" t="inlineStr">
        <is>
          <t>Good</t>
        </is>
      </c>
      <c r="L18" t="inlineStr">
        <is>
          <t>Yes</t>
        </is>
      </c>
      <c r="N18">
        <f>UPPER(TRIM(B18))</f>
        <v/>
      </c>
    </row>
    <row r="19">
      <c r="A19" t="inlineStr">
        <is>
          <t>P17</t>
        </is>
      </c>
      <c r="B19" t="inlineStr">
        <is>
          <t>P17</t>
        </is>
      </c>
      <c r="C19" t="n">
        <v>1</v>
      </c>
      <c r="D19" t="inlineStr">
        <is>
          <t>2026-11-19</t>
        </is>
      </c>
      <c r="E19" t="inlineStr">
        <is>
          <t>10:33</t>
        </is>
      </c>
      <c r="F19" t="n">
        <v>1</v>
      </c>
      <c r="G19" t="inlineStr">
        <is>
          <t>Lab desktop (Key 0002)</t>
        </is>
      </c>
      <c r="H19" t="inlineStr">
        <is>
          <t>Operator_2</t>
        </is>
      </c>
      <c r="I19" t="inlineStr">
        <is>
          <t>AB</t>
        </is>
      </c>
      <c r="J19" t="inlineStr">
        <is>
          <t>Shimmer3-8956</t>
        </is>
      </c>
      <c r="K19" t="inlineStr">
        <is>
          <t>Good</t>
        </is>
      </c>
      <c r="L19" t="inlineStr">
        <is>
          <t>Yes</t>
        </is>
      </c>
      <c r="N19">
        <f>UPPER(TRIM(B19))</f>
        <v/>
      </c>
    </row>
    <row r="20">
      <c r="A20" t="inlineStr">
        <is>
          <t>P18</t>
        </is>
      </c>
      <c r="B20" t="inlineStr">
        <is>
          <t>P18</t>
        </is>
      </c>
      <c r="C20" t="n">
        <v>1</v>
      </c>
      <c r="D20" t="inlineStr">
        <is>
          <t>2026-11-19</t>
        </is>
      </c>
      <c r="E20" t="inlineStr">
        <is>
          <t>12:06</t>
        </is>
      </c>
      <c r="F20" t="n">
        <v>1</v>
      </c>
      <c r="G20" t="inlineStr">
        <is>
          <t>Lab desktop (Key 0002)</t>
        </is>
      </c>
      <c r="H20" t="inlineStr">
        <is>
          <t>Operator_2</t>
        </is>
      </c>
      <c r="I20" t="inlineStr">
        <is>
          <t>BA</t>
        </is>
      </c>
      <c r="J20" t="inlineStr">
        <is>
          <t>Shimmer3-B</t>
        </is>
      </c>
      <c r="K20" t="inlineStr">
        <is>
          <t>Fair (2 attempts)</t>
        </is>
      </c>
      <c r="L20" t="inlineStr">
        <is>
          <t>Yes</t>
        </is>
      </c>
      <c r="M20" t="inlineStr">
        <is>
          <t>Wears glasses; reflections on the left lens; gaze lost often in the second ad.</t>
        </is>
      </c>
      <c r="N20">
        <f>UPPER(TRIM(B20))</f>
        <v/>
      </c>
    </row>
    <row r="21">
      <c r="A21" t="inlineStr">
        <is>
          <t>P19</t>
        </is>
      </c>
      <c r="B21" t="inlineStr">
        <is>
          <t>P19</t>
        </is>
      </c>
      <c r="C21" t="n">
        <v>1</v>
      </c>
      <c r="D21" t="inlineStr">
        <is>
          <t>2026-11-19</t>
        </is>
      </c>
      <c r="E21" t="inlineStr">
        <is>
          <t>13:40</t>
        </is>
      </c>
      <c r="F21" t="n">
        <v>1</v>
      </c>
      <c r="G21" t="inlineStr">
        <is>
          <t>Lab desktop (Key 0002)</t>
        </is>
      </c>
      <c r="H21" t="inlineStr">
        <is>
          <t>Operator_2</t>
        </is>
      </c>
      <c r="I21" t="inlineStr">
        <is>
          <t>AB</t>
        </is>
      </c>
      <c r="J21" t="inlineStr">
        <is>
          <t>Shimmer3-B</t>
        </is>
      </c>
      <c r="K21" t="inlineStr">
        <is>
          <t>Good</t>
        </is>
      </c>
      <c r="L21" t="inlineStr">
        <is>
          <t>Yes</t>
        </is>
      </c>
      <c r="N21">
        <f>UPPER(TRIM(B21))</f>
        <v/>
      </c>
    </row>
    <row r="22">
      <c r="A22" t="inlineStr">
        <is>
          <t>P20</t>
        </is>
      </c>
      <c r="B22" t="inlineStr">
        <is>
          <t>P20</t>
        </is>
      </c>
      <c r="C22" t="n">
        <v>1</v>
      </c>
      <c r="D22" t="inlineStr">
        <is>
          <t>2026-11-19</t>
        </is>
      </c>
      <c r="E22" t="inlineStr">
        <is>
          <t>15:00</t>
        </is>
      </c>
      <c r="F22" t="n">
        <v>1</v>
      </c>
      <c r="G22" t="inlineStr">
        <is>
          <t>Lab desktop (Key 0002)</t>
        </is>
      </c>
      <c r="H22" t="inlineStr">
        <is>
          <t>Operator_2</t>
        </is>
      </c>
      <c r="I22" t="inlineStr">
        <is>
          <t>BA</t>
        </is>
      </c>
      <c r="J22" t="inlineStr">
        <is>
          <t>Shimmer3-8956</t>
        </is>
      </c>
      <c r="K22" t="inlineStr">
        <is>
          <t>Good</t>
        </is>
      </c>
      <c r="L22" t="inlineStr">
        <is>
          <t>Yes</t>
        </is>
      </c>
      <c r="N22">
        <f>UPPER(TRIM(B22))</f>
        <v/>
      </c>
    </row>
    <row r="23">
      <c r="A23" t="inlineStr">
        <is>
          <t>P21</t>
        </is>
      </c>
      <c r="B23" t="inlineStr">
        <is>
          <t>P21</t>
        </is>
      </c>
      <c r="C23" t="n">
        <v>1</v>
      </c>
      <c r="D23" t="inlineStr">
        <is>
          <t>2026-11-20</t>
        </is>
      </c>
      <c r="E23" t="inlineStr">
        <is>
          <t>09:08</t>
        </is>
      </c>
      <c r="F23" t="n">
        <v>1</v>
      </c>
      <c r="G23" t="inlineStr">
        <is>
          <t>Lab desktop (Key 0002)</t>
        </is>
      </c>
      <c r="H23" t="inlineStr">
        <is>
          <t>Operator_2</t>
        </is>
      </c>
      <c r="I23" t="inlineStr">
        <is>
          <t>AB</t>
        </is>
      </c>
      <c r="J23" t="inlineStr">
        <is>
          <t>Shimmer3-8956</t>
        </is>
      </c>
      <c r="K23" t="inlineStr">
        <is>
          <t>Good</t>
        </is>
      </c>
      <c r="L23" t="inlineStr">
        <is>
          <t>Yes</t>
        </is>
      </c>
      <c r="M23" t="inlineStr">
        <is>
          <t>Rested chin on hand during both ads; reminded once to sit back.</t>
        </is>
      </c>
      <c r="N23">
        <f>UPPER(TRIM(B23))</f>
        <v/>
      </c>
    </row>
    <row r="24">
      <c r="A24" t="inlineStr">
        <is>
          <t>P22</t>
        </is>
      </c>
      <c r="B24" t="inlineStr">
        <is>
          <t>P22</t>
        </is>
      </c>
      <c r="C24" t="n">
        <v>1</v>
      </c>
      <c r="D24" t="inlineStr">
        <is>
          <t>2026-11-20</t>
        </is>
      </c>
      <c r="E24" t="inlineStr">
        <is>
          <t>10:39</t>
        </is>
      </c>
      <c r="F24" t="n">
        <v>1</v>
      </c>
      <c r="G24" t="inlineStr">
        <is>
          <t>Lab desktop (Key 0002)</t>
        </is>
      </c>
      <c r="H24" t="inlineStr">
        <is>
          <t>Operator_2</t>
        </is>
      </c>
      <c r="I24" t="inlineStr">
        <is>
          <t>BA</t>
        </is>
      </c>
      <c r="J24" t="inlineStr">
        <is>
          <t>Shimmer3-B</t>
        </is>
      </c>
      <c r="K24" t="inlineStr">
        <is>
          <t>Good</t>
        </is>
      </c>
      <c r="L24" t="inlineStr">
        <is>
          <t>Yes</t>
        </is>
      </c>
      <c r="M24" t="inlineStr">
        <is>
          <t>Started in a hurry (next participant waiting).</t>
        </is>
      </c>
      <c r="N24">
        <f>UPPER(TRIM(B24))</f>
        <v/>
      </c>
    </row>
    <row r="25">
      <c r="A25" t="inlineStr">
        <is>
          <t>P23</t>
        </is>
      </c>
      <c r="B25" t="inlineStr">
        <is>
          <t>P23</t>
        </is>
      </c>
      <c r="C25" t="n">
        <v>1</v>
      </c>
      <c r="D25" t="inlineStr">
        <is>
          <t>2026-11-20</t>
        </is>
      </c>
      <c r="E25" t="inlineStr">
        <is>
          <t>12:02</t>
        </is>
      </c>
      <c r="F25" t="n">
        <v>1</v>
      </c>
      <c r="G25" t="inlineStr">
        <is>
          <t>Lab desktop (Key 0002)</t>
        </is>
      </c>
      <c r="H25" t="inlineStr">
        <is>
          <t>Operator_2</t>
        </is>
      </c>
      <c r="I25" t="inlineStr">
        <is>
          <t>AB</t>
        </is>
      </c>
      <c r="J25" t="inlineStr">
        <is>
          <t>Shimmer3-B</t>
        </is>
      </c>
      <c r="K25" t="inlineStr">
        <is>
          <t>Good</t>
        </is>
      </c>
      <c r="L25" t="inlineStr">
        <is>
          <t>Yes</t>
        </is>
      </c>
      <c r="N25">
        <f>UPPER(TRIM(B25))</f>
        <v/>
      </c>
    </row>
    <row r="26">
      <c r="A26" t="inlineStr">
        <is>
          <t>P24</t>
        </is>
      </c>
      <c r="B26" t="inlineStr">
        <is>
          <t>P24</t>
        </is>
      </c>
      <c r="C26" t="n">
        <v>1</v>
      </c>
      <c r="D26" t="inlineStr">
        <is>
          <t>2026-11-20</t>
        </is>
      </c>
      <c r="E26" t="inlineStr">
        <is>
          <t>13:36</t>
        </is>
      </c>
      <c r="F26" t="n">
        <v>1</v>
      </c>
      <c r="G26" t="inlineStr">
        <is>
          <t>Lab desktop (Key 0002)</t>
        </is>
      </c>
      <c r="H26" t="inlineStr">
        <is>
          <t>Operator_2</t>
        </is>
      </c>
      <c r="I26" t="inlineStr">
        <is>
          <t>BA</t>
        </is>
      </c>
      <c r="J26" t="inlineStr">
        <is>
          <t>Shimmer3-8956</t>
        </is>
      </c>
      <c r="K26" t="inlineStr">
        <is>
          <t>Good</t>
        </is>
      </c>
      <c r="L26" t="inlineStr">
        <is>
          <t>Yes</t>
        </is>
      </c>
      <c r="N26">
        <f>UPPER(TRIM(B26))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30" customWidth="1" min="19" max="19"/>
    <col width="13" customWidth="1" min="20" max="20"/>
    <col width="13" customWidth="1" min="21" max="21"/>
  </cols>
  <sheetData>
    <row r="1">
      <c r="A1" s="2" t="inlineStr">
        <is>
          <t>Study Name</t>
        </is>
      </c>
      <c r="B1" s="2" t="inlineStr">
        <is>
          <t>Respondent Name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Group</t>
        </is>
      </c>
      <c r="F1" s="2" t="inlineStr">
        <is>
          <t>Type</t>
        </is>
      </c>
      <c r="G1" s="2" t="inlineStr">
        <is>
          <t>Label</t>
        </is>
      </c>
      <c r="H1" s="2" t="inlineStr">
        <is>
          <t>Start (ms)</t>
        </is>
      </c>
      <c r="I1" s="2" t="inlineStr">
        <is>
          <t>Duration (ms)</t>
        </is>
      </c>
      <c r="J1" s="2" t="inlineStr">
        <is>
          <t>Signal Duration (ms)</t>
        </is>
      </c>
      <c r="K1" s="2" t="inlineStr">
        <is>
          <t>Parent Stimulus</t>
        </is>
      </c>
      <c r="L1" s="2" t="inlineStr">
        <is>
          <t>Has Peaks</t>
        </is>
      </c>
      <c r="M1" s="2" t="inlineStr">
        <is>
          <t>Peak Count</t>
        </is>
      </c>
      <c r="N1" s="2" t="inlineStr">
        <is>
          <t>Peaks Per Minute</t>
        </is>
      </c>
      <c r="O1" s="2" t="inlineStr">
        <is>
          <t>Average Peak Amplitude (microSiemens)</t>
        </is>
      </c>
      <c r="P1" s="3" t="inlineStr">
        <is>
          <t>Key = UPPER(TRIM())</t>
        </is>
      </c>
      <c r="Q1" s="3" t="inlineStr">
        <is>
          <t>Participant</t>
        </is>
      </c>
      <c r="R1" s="3" t="inlineStr">
        <is>
          <t>Use recording</t>
        </is>
      </c>
      <c r="S1" s="3" t="inlineStr">
        <is>
          <t>Lookup key</t>
        </is>
      </c>
      <c r="T1" s="3" t="inlineStr">
        <is>
          <t>Signal share</t>
        </is>
      </c>
      <c r="U1" s="3" t="inlineStr">
        <is>
          <t>GSR valid (R3)</t>
        </is>
      </c>
    </row>
    <row r="2">
      <c r="A2" t="inlineStr">
        <is>
          <t>SIMULATED Multimodal Ad Study</t>
        </is>
      </c>
      <c r="B2" t="inlineStr">
        <is>
          <t>P01</t>
        </is>
      </c>
      <c r="C2" t="inlineStr">
        <is>
          <t>MALE</t>
        </is>
      </c>
      <c r="D2" t="n">
        <v>20</v>
      </c>
      <c r="E2" t="inlineStr">
        <is>
          <t>AB</t>
        </is>
      </c>
      <c r="F2" t="inlineStr">
        <is>
          <t>Stimulus</t>
        </is>
      </c>
      <c r="G2" t="inlineStr">
        <is>
          <t>Ad_A</t>
        </is>
      </c>
      <c r="H2" t="n">
        <v>80197</v>
      </c>
      <c r="I2" t="n">
        <v>30000</v>
      </c>
      <c r="J2" t="n">
        <v>30000</v>
      </c>
      <c r="K2" t="inlineStr">
        <is>
          <t>Ad_A</t>
        </is>
      </c>
      <c r="L2" t="n">
        <v>1</v>
      </c>
      <c r="M2" t="n">
        <v>3</v>
      </c>
      <c r="N2" t="n">
        <v>6</v>
      </c>
      <c r="O2" t="n">
        <v>0.2082</v>
      </c>
      <c r="P2">
        <f>UPPER(TRIM(B2))</f>
        <v/>
      </c>
      <c r="Q2">
        <f>IFERROR(INDEX(SessionLog!$A$2:$A$26,MATCH(P2,SessionLog!$N$2:$N$26,0)),"NOT FOUND")</f>
        <v/>
      </c>
      <c r="R2">
        <f>IFERROR(INDEX(SessionLog!$L$2:$L$26,MATCH(P2,SessionLog!$N$2:$N$26,0)),"NOT FOUND")</f>
        <v/>
      </c>
      <c r="S2">
        <f>IF(R2="Yes",Q2&amp;"|"&amp;F2&amp;"|"&amp;G2&amp;"|"&amp;K2,"DROP")</f>
        <v/>
      </c>
      <c r="T2" s="4">
        <f>IF(I2&gt;0,J2/I2,0)</f>
        <v/>
      </c>
      <c r="U2">
        <f>IF(T2&gt;=0.8,1,0)</f>
        <v/>
      </c>
    </row>
    <row r="3">
      <c r="A3" t="inlineStr">
        <is>
          <t>SIMULATED Multimodal Ad Study</t>
        </is>
      </c>
      <c r="B3" t="inlineStr">
        <is>
          <t>P01</t>
        </is>
      </c>
      <c r="C3" t="inlineStr">
        <is>
          <t>MALE</t>
        </is>
      </c>
      <c r="D3" t="n">
        <v>20</v>
      </c>
      <c r="E3" t="inlineStr">
        <is>
          <t>AB</t>
        </is>
      </c>
      <c r="F3" t="inlineStr">
        <is>
          <t>Stimulus</t>
        </is>
      </c>
      <c r="G3" t="inlineStr">
        <is>
          <t>Ad_B</t>
        </is>
      </c>
      <c r="H3" t="n">
        <v>110268</v>
      </c>
      <c r="I3" t="n">
        <v>30000</v>
      </c>
      <c r="J3" t="n">
        <v>30000</v>
      </c>
      <c r="K3" t="inlineStr">
        <is>
          <t>Ad_B</t>
        </is>
      </c>
      <c r="L3" t="n">
        <v>1</v>
      </c>
      <c r="M3" t="n">
        <v>3</v>
      </c>
      <c r="N3" t="n">
        <v>6</v>
      </c>
      <c r="O3" t="n">
        <v>0.1469</v>
      </c>
      <c r="P3">
        <f>UPPER(TRIM(B3))</f>
        <v/>
      </c>
      <c r="Q3">
        <f>IFERROR(INDEX(SessionLog!$A$2:$A$26,MATCH(P3,SessionLog!$N$2:$N$26,0)),"NOT FOUND")</f>
        <v/>
      </c>
      <c r="R3">
        <f>IFERROR(INDEX(SessionLog!$L$2:$L$26,MATCH(P3,SessionLog!$N$2:$N$26,0)),"NOT FOUND")</f>
        <v/>
      </c>
      <c r="S3">
        <f>IF(R3="Yes",Q3&amp;"|"&amp;F3&amp;"|"&amp;G3&amp;"|"&amp;K3,"DROP")</f>
        <v/>
      </c>
      <c r="T3" s="4">
        <f>IF(I3&gt;0,J3/I3,0)</f>
        <v/>
      </c>
      <c r="U3">
        <f>IF(T3&gt;=0.8,1,0)</f>
        <v/>
      </c>
    </row>
    <row r="4">
      <c r="A4" t="inlineStr">
        <is>
          <t>SIMULATED Multimodal Ad Study</t>
        </is>
      </c>
      <c r="B4" t="inlineStr">
        <is>
          <t>P01</t>
        </is>
      </c>
      <c r="C4" t="inlineStr">
        <is>
          <t>MALE</t>
        </is>
      </c>
      <c r="D4" t="n">
        <v>20</v>
      </c>
      <c r="E4" t="inlineStr">
        <is>
          <t>AB</t>
        </is>
      </c>
      <c r="F4" t="inlineStr">
        <is>
          <t>Stimulus</t>
        </is>
      </c>
      <c r="G4" t="inlineStr">
        <is>
          <t>Baseline</t>
        </is>
      </c>
      <c r="H4" t="n">
        <v>20126</v>
      </c>
      <c r="I4" t="n">
        <v>60000</v>
      </c>
      <c r="J4" t="n">
        <v>60000</v>
      </c>
      <c r="K4" t="inlineStr">
        <is>
          <t>Baseline</t>
        </is>
      </c>
      <c r="L4" t="n">
        <v>1</v>
      </c>
      <c r="M4" t="n">
        <v>1</v>
      </c>
      <c r="N4" t="n">
        <v>1</v>
      </c>
      <c r="O4" t="n">
        <v>0.0698</v>
      </c>
      <c r="P4">
        <f>UPPER(TRIM(B4))</f>
        <v/>
      </c>
      <c r="Q4">
        <f>IFERROR(INDEX(SessionLog!$A$2:$A$26,MATCH(P4,SessionLog!$N$2:$N$26,0)),"NOT FOUND")</f>
        <v/>
      </c>
      <c r="R4">
        <f>IFERROR(INDEX(SessionLog!$L$2:$L$26,MATCH(P4,SessionLog!$N$2:$N$26,0)),"NOT FOUND")</f>
        <v/>
      </c>
      <c r="S4">
        <f>IF(R4="Yes",Q4&amp;"|"&amp;F4&amp;"|"&amp;G4&amp;"|"&amp;K4,"DROP")</f>
        <v/>
      </c>
      <c r="T4" s="4">
        <f>IF(I4&gt;0,J4/I4,0)</f>
        <v/>
      </c>
      <c r="U4">
        <f>IF(T4&gt;=0.8,1,0)</f>
        <v/>
      </c>
    </row>
    <row r="5">
      <c r="A5" t="inlineStr">
        <is>
          <t>SIMULATED Multimodal Ad Study</t>
        </is>
      </c>
      <c r="B5" t="inlineStr">
        <is>
          <t>P01</t>
        </is>
      </c>
      <c r="C5" t="inlineStr">
        <is>
          <t>MALE</t>
        </is>
      </c>
      <c r="D5" t="n">
        <v>20</v>
      </c>
      <c r="E5" t="inlineStr">
        <is>
          <t>AB</t>
        </is>
      </c>
      <c r="F5" t="inlineStr">
        <is>
          <t>Stimulus</t>
        </is>
      </c>
      <c r="G5" t="inlineStr">
        <is>
          <t>Instructions</t>
        </is>
      </c>
      <c r="H5" t="n">
        <v>18</v>
      </c>
      <c r="I5" t="n">
        <v>20078</v>
      </c>
      <c r="J5" t="n">
        <v>20078</v>
      </c>
      <c r="K5" t="inlineStr">
        <is>
          <t>Instructions</t>
        </is>
      </c>
      <c r="L5" t="n">
        <v>1</v>
      </c>
      <c r="M5" t="n">
        <v>1</v>
      </c>
      <c r="N5" t="n">
        <v>2.988</v>
      </c>
      <c r="O5" t="n">
        <v>0.149</v>
      </c>
      <c r="P5">
        <f>UPPER(TRIM(B5))</f>
        <v/>
      </c>
      <c r="Q5">
        <f>IFERROR(INDEX(SessionLog!$A$2:$A$26,MATCH(P5,SessionLog!$N$2:$N$26,0)),"NOT FOUND")</f>
        <v/>
      </c>
      <c r="R5">
        <f>IFERROR(INDEX(SessionLog!$L$2:$L$26,MATCH(P5,SessionLog!$N$2:$N$26,0)),"NOT FOUND")</f>
        <v/>
      </c>
      <c r="S5">
        <f>IF(R5="Yes",Q5&amp;"|"&amp;F5&amp;"|"&amp;G5&amp;"|"&amp;K5,"DROP")</f>
        <v/>
      </c>
      <c r="T5" s="4">
        <f>IF(I5&gt;0,J5/I5,0)</f>
        <v/>
      </c>
      <c r="U5">
        <f>IF(T5&gt;=0.8,1,0)</f>
        <v/>
      </c>
    </row>
    <row r="6">
      <c r="A6" t="inlineStr">
        <is>
          <t>SIMULATED Multimodal Ad Study</t>
        </is>
      </c>
      <c r="B6" t="inlineStr">
        <is>
          <t>P01</t>
        </is>
      </c>
      <c r="C6" t="inlineStr">
        <is>
          <t>MALE</t>
        </is>
      </c>
      <c r="D6" t="n">
        <v>20</v>
      </c>
      <c r="E6" t="inlineStr">
        <is>
          <t>AB</t>
        </is>
      </c>
      <c r="F6" t="inlineStr">
        <is>
          <t>Stimulus</t>
        </is>
      </c>
      <c r="G6" t="inlineStr">
        <is>
          <t>Questionnaire</t>
        </is>
      </c>
      <c r="H6" t="n">
        <v>140318</v>
      </c>
      <c r="I6" t="n">
        <v>136885</v>
      </c>
      <c r="J6" t="n">
        <v>136885</v>
      </c>
      <c r="K6" t="inlineStr">
        <is>
          <t>Questionnaire</t>
        </is>
      </c>
      <c r="L6" t="n">
        <v>1</v>
      </c>
      <c r="M6" t="n">
        <v>4</v>
      </c>
      <c r="N6" t="n">
        <v>1.753</v>
      </c>
      <c r="O6" t="n">
        <v>0.1184</v>
      </c>
      <c r="P6">
        <f>UPPER(TRIM(B6))</f>
        <v/>
      </c>
      <c r="Q6">
        <f>IFERROR(INDEX(SessionLog!$A$2:$A$26,MATCH(P6,SessionLog!$N$2:$N$26,0)),"NOT FOUND")</f>
        <v/>
      </c>
      <c r="R6">
        <f>IFERROR(INDEX(SessionLog!$L$2:$L$26,MATCH(P6,SessionLog!$N$2:$N$26,0)),"NOT FOUND")</f>
        <v/>
      </c>
      <c r="S6">
        <f>IF(R6="Yes",Q6&amp;"|"&amp;F6&amp;"|"&amp;G6&amp;"|"&amp;K6,"DROP")</f>
        <v/>
      </c>
      <c r="T6" s="4">
        <f>IF(I6&gt;0,J6/I6,0)</f>
        <v/>
      </c>
      <c r="U6">
        <f>IF(T6&gt;=0.8,1,0)</f>
        <v/>
      </c>
    </row>
    <row r="7">
      <c r="A7" t="inlineStr">
        <is>
          <t>SIMULATED Multimodal Ad Study</t>
        </is>
      </c>
      <c r="B7" t="inlineStr">
        <is>
          <t>P01</t>
        </is>
      </c>
      <c r="C7" t="inlineStr">
        <is>
          <t>MALE</t>
        </is>
      </c>
      <c r="D7" t="n">
        <v>20</v>
      </c>
      <c r="E7" t="inlineStr">
        <is>
          <t>AB</t>
        </is>
      </c>
      <c r="F7" t="inlineStr">
        <is>
          <t>Annotation</t>
        </is>
      </c>
      <c r="G7" t="inlineStr">
        <is>
          <t>EndCard</t>
        </is>
      </c>
      <c r="H7" t="n">
        <v>105197</v>
      </c>
      <c r="I7" t="n">
        <v>5000</v>
      </c>
      <c r="J7" t="n">
        <v>5000</v>
      </c>
      <c r="K7" t="inlineStr">
        <is>
          <t>Ad_A</t>
        </is>
      </c>
      <c r="L7" t="n">
        <v>0</v>
      </c>
      <c r="M7" t="n">
        <v>0</v>
      </c>
      <c r="N7" t="n">
        <v>0</v>
      </c>
      <c r="O7" t="inlineStr">
        <is>
          <t>NA</t>
        </is>
      </c>
      <c r="P7">
        <f>UPPER(TRIM(B7))</f>
        <v/>
      </c>
      <c r="Q7">
        <f>IFERROR(INDEX(SessionLog!$A$2:$A$26,MATCH(P7,SessionLog!$N$2:$N$26,0)),"NOT FOUND")</f>
        <v/>
      </c>
      <c r="R7">
        <f>IFERROR(INDEX(SessionLog!$L$2:$L$26,MATCH(P7,SessionLog!$N$2:$N$26,0)),"NOT FOUND")</f>
        <v/>
      </c>
      <c r="S7">
        <f>IF(R7="Yes",Q7&amp;"|"&amp;F7&amp;"|"&amp;G7&amp;"|"&amp;K7,"DROP")</f>
        <v/>
      </c>
      <c r="T7" s="4">
        <f>IF(I7&gt;0,J7/I7,0)</f>
        <v/>
      </c>
      <c r="U7">
        <f>IF(T7&gt;=0.8,1,0)</f>
        <v/>
      </c>
    </row>
    <row r="8">
      <c r="A8" t="inlineStr">
        <is>
          <t>SIMULATED Multimodal Ad Study</t>
        </is>
      </c>
      <c r="B8" t="inlineStr">
        <is>
          <t>P01</t>
        </is>
      </c>
      <c r="C8" t="inlineStr">
        <is>
          <t>MALE</t>
        </is>
      </c>
      <c r="D8" t="n">
        <v>20</v>
      </c>
      <c r="E8" t="inlineStr">
        <is>
          <t>AB</t>
        </is>
      </c>
      <c r="F8" t="inlineStr">
        <is>
          <t>Annotation</t>
        </is>
      </c>
      <c r="G8" t="inlineStr">
        <is>
          <t>EndCard</t>
        </is>
      </c>
      <c r="H8" t="n">
        <v>135268</v>
      </c>
      <c r="I8" t="n">
        <v>5000</v>
      </c>
      <c r="J8" t="n">
        <v>5000</v>
      </c>
      <c r="K8" t="inlineStr">
        <is>
          <t>Ad_B</t>
        </is>
      </c>
      <c r="L8" t="n">
        <v>1</v>
      </c>
      <c r="M8" t="n">
        <v>1</v>
      </c>
      <c r="N8" t="n">
        <v>12</v>
      </c>
      <c r="O8" t="n">
        <v>0.0863</v>
      </c>
      <c r="P8">
        <f>UPPER(TRIM(B8))</f>
        <v/>
      </c>
      <c r="Q8">
        <f>IFERROR(INDEX(SessionLog!$A$2:$A$26,MATCH(P8,SessionLog!$N$2:$N$26,0)),"NOT FOUND")</f>
        <v/>
      </c>
      <c r="R8">
        <f>IFERROR(INDEX(SessionLog!$L$2:$L$26,MATCH(P8,SessionLog!$N$2:$N$26,0)),"NOT FOUND")</f>
        <v/>
      </c>
      <c r="S8">
        <f>IF(R8="Yes",Q8&amp;"|"&amp;F8&amp;"|"&amp;G8&amp;"|"&amp;K8,"DROP")</f>
        <v/>
      </c>
      <c r="T8" s="4">
        <f>IF(I8&gt;0,J8/I8,0)</f>
        <v/>
      </c>
      <c r="U8">
        <f>IF(T8&gt;=0.8,1,0)</f>
        <v/>
      </c>
    </row>
    <row r="9">
      <c r="A9" t="inlineStr">
        <is>
          <t>SIMULATED Multimodal Ad Study</t>
        </is>
      </c>
      <c r="B9" t="inlineStr">
        <is>
          <t>P02</t>
        </is>
      </c>
      <c r="C9" t="inlineStr">
        <is>
          <t>FEMALE</t>
        </is>
      </c>
      <c r="D9" t="n">
        <v>21</v>
      </c>
      <c r="E9" t="inlineStr">
        <is>
          <t>BA</t>
        </is>
      </c>
      <c r="F9" t="inlineStr">
        <is>
          <t>Stimulus</t>
        </is>
      </c>
      <c r="G9" t="inlineStr">
        <is>
          <t>Ad_A</t>
        </is>
      </c>
      <c r="H9" t="n">
        <v>106389</v>
      </c>
      <c r="I9" t="n">
        <v>30000</v>
      </c>
      <c r="J9" t="n">
        <v>30000</v>
      </c>
      <c r="K9" t="inlineStr">
        <is>
          <t>Ad_A</t>
        </is>
      </c>
      <c r="L9" t="n">
        <v>1</v>
      </c>
      <c r="M9" t="n">
        <v>2</v>
      </c>
      <c r="N9" t="n">
        <v>4</v>
      </c>
      <c r="O9" t="n">
        <v>0.1116</v>
      </c>
      <c r="P9">
        <f>UPPER(TRIM(B9))</f>
        <v/>
      </c>
      <c r="Q9">
        <f>IFERROR(INDEX(SessionLog!$A$2:$A$26,MATCH(P9,SessionLog!$N$2:$N$26,0)),"NOT FOUND")</f>
        <v/>
      </c>
      <c r="R9">
        <f>IFERROR(INDEX(SessionLog!$L$2:$L$26,MATCH(P9,SessionLog!$N$2:$N$26,0)),"NOT FOUND")</f>
        <v/>
      </c>
      <c r="S9">
        <f>IF(R9="Yes",Q9&amp;"|"&amp;F9&amp;"|"&amp;G9&amp;"|"&amp;K9,"DROP")</f>
        <v/>
      </c>
      <c r="T9" s="4">
        <f>IF(I9&gt;0,J9/I9,0)</f>
        <v/>
      </c>
      <c r="U9">
        <f>IF(T9&gt;=0.8,1,0)</f>
        <v/>
      </c>
    </row>
    <row r="10">
      <c r="A10" t="inlineStr">
        <is>
          <t>SIMULATED Multimodal Ad Study</t>
        </is>
      </c>
      <c r="B10" t="inlineStr">
        <is>
          <t>P02</t>
        </is>
      </c>
      <c r="C10" t="inlineStr">
        <is>
          <t>FEMALE</t>
        </is>
      </c>
      <c r="D10" t="n">
        <v>21</v>
      </c>
      <c r="E10" t="inlineStr">
        <is>
          <t>BA</t>
        </is>
      </c>
      <c r="F10" t="inlineStr">
        <is>
          <t>Stimulus</t>
        </is>
      </c>
      <c r="G10" t="inlineStr">
        <is>
          <t>Ad_B</t>
        </is>
      </c>
      <c r="H10" t="n">
        <v>76315</v>
      </c>
      <c r="I10" t="n">
        <v>30000</v>
      </c>
      <c r="J10" t="n">
        <v>30000</v>
      </c>
      <c r="K10" t="inlineStr">
        <is>
          <t>Ad_B</t>
        </is>
      </c>
      <c r="L10" t="n">
        <v>0</v>
      </c>
      <c r="M10" t="n">
        <v>0</v>
      </c>
      <c r="N10" t="n">
        <v>0</v>
      </c>
      <c r="O10" t="inlineStr">
        <is>
          <t>NA</t>
        </is>
      </c>
      <c r="P10">
        <f>UPPER(TRIM(B10))</f>
        <v/>
      </c>
      <c r="Q10">
        <f>IFERROR(INDEX(SessionLog!$A$2:$A$26,MATCH(P10,SessionLog!$N$2:$N$26,0)),"NOT FOUND")</f>
        <v/>
      </c>
      <c r="R10">
        <f>IFERROR(INDEX(SessionLog!$L$2:$L$26,MATCH(P10,SessionLog!$N$2:$N$26,0)),"NOT FOUND")</f>
        <v/>
      </c>
      <c r="S10">
        <f>IF(R10="Yes",Q10&amp;"|"&amp;F10&amp;"|"&amp;G10&amp;"|"&amp;K10,"DROP")</f>
        <v/>
      </c>
      <c r="T10" s="4">
        <f>IF(I10&gt;0,J10/I10,0)</f>
        <v/>
      </c>
      <c r="U10">
        <f>IF(T10&gt;=0.8,1,0)</f>
        <v/>
      </c>
    </row>
    <row r="11">
      <c r="A11" t="inlineStr">
        <is>
          <t>SIMULATED Multimodal Ad Study</t>
        </is>
      </c>
      <c r="B11" t="inlineStr">
        <is>
          <t>P02</t>
        </is>
      </c>
      <c r="C11" t="inlineStr">
        <is>
          <t>FEMALE</t>
        </is>
      </c>
      <c r="D11" t="n">
        <v>21</v>
      </c>
      <c r="E11" t="inlineStr">
        <is>
          <t>BA</t>
        </is>
      </c>
      <c r="F11" t="inlineStr">
        <is>
          <t>Stimulus</t>
        </is>
      </c>
      <c r="G11" t="inlineStr">
        <is>
          <t>Baseline</t>
        </is>
      </c>
      <c r="H11" t="n">
        <v>16250</v>
      </c>
      <c r="I11" t="n">
        <v>60000</v>
      </c>
      <c r="J11" t="n">
        <v>60000</v>
      </c>
      <c r="K11" t="inlineStr">
        <is>
          <t>Baseline</t>
        </is>
      </c>
      <c r="L11" t="n">
        <v>0</v>
      </c>
      <c r="M11" t="n">
        <v>0</v>
      </c>
      <c r="N11" t="n">
        <v>0</v>
      </c>
      <c r="O11" t="inlineStr">
        <is>
          <t>NA</t>
        </is>
      </c>
      <c r="P11">
        <f>UPPER(TRIM(B11))</f>
        <v/>
      </c>
      <c r="Q11">
        <f>IFERROR(INDEX(SessionLog!$A$2:$A$26,MATCH(P11,SessionLog!$N$2:$N$26,0)),"NOT FOUND")</f>
        <v/>
      </c>
      <c r="R11">
        <f>IFERROR(INDEX(SessionLog!$L$2:$L$26,MATCH(P11,SessionLog!$N$2:$N$26,0)),"NOT FOUND")</f>
        <v/>
      </c>
      <c r="S11">
        <f>IF(R11="Yes",Q11&amp;"|"&amp;F11&amp;"|"&amp;G11&amp;"|"&amp;K11,"DROP")</f>
        <v/>
      </c>
      <c r="T11" s="4">
        <f>IF(I11&gt;0,J11/I11,0)</f>
        <v/>
      </c>
      <c r="U11">
        <f>IF(T11&gt;=0.8,1,0)</f>
        <v/>
      </c>
    </row>
    <row r="12">
      <c r="A12" t="inlineStr">
        <is>
          <t>SIMULATED Multimodal Ad Study</t>
        </is>
      </c>
      <c r="B12" t="inlineStr">
        <is>
          <t>P02</t>
        </is>
      </c>
      <c r="C12" t="inlineStr">
        <is>
          <t>FEMALE</t>
        </is>
      </c>
      <c r="D12" t="n">
        <v>21</v>
      </c>
      <c r="E12" t="inlineStr">
        <is>
          <t>BA</t>
        </is>
      </c>
      <c r="F12" t="inlineStr">
        <is>
          <t>Stimulus</t>
        </is>
      </c>
      <c r="G12" t="inlineStr">
        <is>
          <t>Instructions</t>
        </is>
      </c>
      <c r="H12" t="n">
        <v>22</v>
      </c>
      <c r="I12" t="n">
        <v>16186</v>
      </c>
      <c r="J12" t="n">
        <v>16186</v>
      </c>
      <c r="K12" t="inlineStr">
        <is>
          <t>Instructions</t>
        </is>
      </c>
      <c r="L12" t="n">
        <v>0</v>
      </c>
      <c r="M12" t="n">
        <v>0</v>
      </c>
      <c r="N12" t="n">
        <v>0</v>
      </c>
      <c r="O12" t="inlineStr">
        <is>
          <t>NA</t>
        </is>
      </c>
      <c r="P12">
        <f>UPPER(TRIM(B12))</f>
        <v/>
      </c>
      <c r="Q12">
        <f>IFERROR(INDEX(SessionLog!$A$2:$A$26,MATCH(P12,SessionLog!$N$2:$N$26,0)),"NOT FOUND")</f>
        <v/>
      </c>
      <c r="R12">
        <f>IFERROR(INDEX(SessionLog!$L$2:$L$26,MATCH(P12,SessionLog!$N$2:$N$26,0)),"NOT FOUND")</f>
        <v/>
      </c>
      <c r="S12">
        <f>IF(R12="Yes",Q12&amp;"|"&amp;F12&amp;"|"&amp;G12&amp;"|"&amp;K12,"DROP")</f>
        <v/>
      </c>
      <c r="T12" s="4">
        <f>IF(I12&gt;0,J12/I12,0)</f>
        <v/>
      </c>
      <c r="U12">
        <f>IF(T12&gt;=0.8,1,0)</f>
        <v/>
      </c>
    </row>
    <row r="13">
      <c r="A13" t="inlineStr">
        <is>
          <t>SIMULATED Multimodal Ad Study</t>
        </is>
      </c>
      <c r="B13" t="inlineStr">
        <is>
          <t>P02</t>
        </is>
      </c>
      <c r="C13" t="inlineStr">
        <is>
          <t>FEMALE</t>
        </is>
      </c>
      <c r="D13" t="n">
        <v>21</v>
      </c>
      <c r="E13" t="inlineStr">
        <is>
          <t>BA</t>
        </is>
      </c>
      <c r="F13" t="inlineStr">
        <is>
          <t>Stimulus</t>
        </is>
      </c>
      <c r="G13" t="inlineStr">
        <is>
          <t>Questionnaire</t>
        </is>
      </c>
      <c r="H13" t="n">
        <v>136421</v>
      </c>
      <c r="I13" t="n">
        <v>95173</v>
      </c>
      <c r="J13" t="n">
        <v>95173</v>
      </c>
      <c r="K13" t="inlineStr">
        <is>
          <t>Questionnaire</t>
        </is>
      </c>
      <c r="L13" t="n">
        <v>1</v>
      </c>
      <c r="M13" t="n">
        <v>4</v>
      </c>
      <c r="N13" t="n">
        <v>2.522</v>
      </c>
      <c r="O13" t="n">
        <v>0.2783</v>
      </c>
      <c r="P13">
        <f>UPPER(TRIM(B13))</f>
        <v/>
      </c>
      <c r="Q13">
        <f>IFERROR(INDEX(SessionLog!$A$2:$A$26,MATCH(P13,SessionLog!$N$2:$N$26,0)),"NOT FOUND")</f>
        <v/>
      </c>
      <c r="R13">
        <f>IFERROR(INDEX(SessionLog!$L$2:$L$26,MATCH(P13,SessionLog!$N$2:$N$26,0)),"NOT FOUND")</f>
        <v/>
      </c>
      <c r="S13">
        <f>IF(R13="Yes",Q13&amp;"|"&amp;F13&amp;"|"&amp;G13&amp;"|"&amp;K13,"DROP")</f>
        <v/>
      </c>
      <c r="T13" s="4">
        <f>IF(I13&gt;0,J13/I13,0)</f>
        <v/>
      </c>
      <c r="U13">
        <f>IF(T13&gt;=0.8,1,0)</f>
        <v/>
      </c>
    </row>
    <row r="14">
      <c r="A14" t="inlineStr">
        <is>
          <t>SIMULATED Multimodal Ad Study</t>
        </is>
      </c>
      <c r="B14" t="inlineStr">
        <is>
          <t>P02</t>
        </is>
      </c>
      <c r="C14" t="inlineStr">
        <is>
          <t>FEMALE</t>
        </is>
      </c>
      <c r="D14" t="n">
        <v>21</v>
      </c>
      <c r="E14" t="inlineStr">
        <is>
          <t>BA</t>
        </is>
      </c>
      <c r="F14" t="inlineStr">
        <is>
          <t>Annotation</t>
        </is>
      </c>
      <c r="G14" t="inlineStr">
        <is>
          <t>EndCard</t>
        </is>
      </c>
      <c r="H14" t="n">
        <v>131389</v>
      </c>
      <c r="I14" t="n">
        <v>5000</v>
      </c>
      <c r="J14" t="n">
        <v>5000</v>
      </c>
      <c r="K14" t="inlineStr">
        <is>
          <t>Ad_A</t>
        </is>
      </c>
      <c r="L14" t="n">
        <v>1</v>
      </c>
      <c r="M14" t="n">
        <v>1</v>
      </c>
      <c r="N14" t="n">
        <v>12</v>
      </c>
      <c r="O14" t="n">
        <v>0.08</v>
      </c>
      <c r="P14">
        <f>UPPER(TRIM(B14))</f>
        <v/>
      </c>
      <c r="Q14">
        <f>IFERROR(INDEX(SessionLog!$A$2:$A$26,MATCH(P14,SessionLog!$N$2:$N$26,0)),"NOT FOUND")</f>
        <v/>
      </c>
      <c r="R14">
        <f>IFERROR(INDEX(SessionLog!$L$2:$L$26,MATCH(P14,SessionLog!$N$2:$N$26,0)),"NOT FOUND")</f>
        <v/>
      </c>
      <c r="S14">
        <f>IF(R14="Yes",Q14&amp;"|"&amp;F14&amp;"|"&amp;G14&amp;"|"&amp;K14,"DROP")</f>
        <v/>
      </c>
      <c r="T14" s="4">
        <f>IF(I14&gt;0,J14/I14,0)</f>
        <v/>
      </c>
      <c r="U14">
        <f>IF(T14&gt;=0.8,1,0)</f>
        <v/>
      </c>
    </row>
    <row r="15">
      <c r="A15" t="inlineStr">
        <is>
          <t>SIMULATED Multimodal Ad Study</t>
        </is>
      </c>
      <c r="B15" t="inlineStr">
        <is>
          <t>P02</t>
        </is>
      </c>
      <c r="C15" t="inlineStr">
        <is>
          <t>FEMALE</t>
        </is>
      </c>
      <c r="D15" t="n">
        <v>21</v>
      </c>
      <c r="E15" t="inlineStr">
        <is>
          <t>BA</t>
        </is>
      </c>
      <c r="F15" t="inlineStr">
        <is>
          <t>Annotation</t>
        </is>
      </c>
      <c r="G15" t="inlineStr">
        <is>
          <t>EndCard</t>
        </is>
      </c>
      <c r="H15" t="n">
        <v>101315</v>
      </c>
      <c r="I15" t="n">
        <v>5000</v>
      </c>
      <c r="J15" t="n">
        <v>5000</v>
      </c>
      <c r="K15" t="inlineStr">
        <is>
          <t>Ad_B</t>
        </is>
      </c>
      <c r="L15" t="n">
        <v>0</v>
      </c>
      <c r="M15" t="n">
        <v>0</v>
      </c>
      <c r="N15" t="n">
        <v>0</v>
      </c>
      <c r="O15" t="inlineStr">
        <is>
          <t>NA</t>
        </is>
      </c>
      <c r="P15">
        <f>UPPER(TRIM(B15))</f>
        <v/>
      </c>
      <c r="Q15">
        <f>IFERROR(INDEX(SessionLog!$A$2:$A$26,MATCH(P15,SessionLog!$N$2:$N$26,0)),"NOT FOUND")</f>
        <v/>
      </c>
      <c r="R15">
        <f>IFERROR(INDEX(SessionLog!$L$2:$L$26,MATCH(P15,SessionLog!$N$2:$N$26,0)),"NOT FOUND")</f>
        <v/>
      </c>
      <c r="S15">
        <f>IF(R15="Yes",Q15&amp;"|"&amp;F15&amp;"|"&amp;G15&amp;"|"&amp;K15,"DROP")</f>
        <v/>
      </c>
      <c r="T15" s="4">
        <f>IF(I15&gt;0,J15/I15,0)</f>
        <v/>
      </c>
      <c r="U15">
        <f>IF(T15&gt;=0.8,1,0)</f>
        <v/>
      </c>
    </row>
    <row r="16">
      <c r="A16" t="inlineStr">
        <is>
          <t>SIMULATED Multimodal Ad Study</t>
        </is>
      </c>
      <c r="B16" t="inlineStr">
        <is>
          <t>P03</t>
        </is>
      </c>
      <c r="C16" t="inlineStr">
        <is>
          <t>MALE</t>
        </is>
      </c>
      <c r="D16" t="n">
        <v>21</v>
      </c>
      <c r="E16" t="inlineStr">
        <is>
          <t>AB</t>
        </is>
      </c>
      <c r="F16" t="inlineStr">
        <is>
          <t>Stimulus</t>
        </is>
      </c>
      <c r="G16" t="inlineStr">
        <is>
          <t>Ad_A</t>
        </is>
      </c>
      <c r="H16" t="n">
        <v>87922</v>
      </c>
      <c r="I16" t="n">
        <v>30000</v>
      </c>
      <c r="J16" t="n">
        <v>30000</v>
      </c>
      <c r="K16" t="inlineStr">
        <is>
          <t>Ad_A</t>
        </is>
      </c>
      <c r="L16" t="n">
        <v>1</v>
      </c>
      <c r="M16" t="n">
        <v>11</v>
      </c>
      <c r="N16" t="n">
        <v>22</v>
      </c>
      <c r="O16" t="n">
        <v>0.158</v>
      </c>
      <c r="P16">
        <f>UPPER(TRIM(B16))</f>
        <v/>
      </c>
      <c r="Q16">
        <f>IFERROR(INDEX(SessionLog!$A$2:$A$26,MATCH(P16,SessionLog!$N$2:$N$26,0)),"NOT FOUND")</f>
        <v/>
      </c>
      <c r="R16">
        <f>IFERROR(INDEX(SessionLog!$L$2:$L$26,MATCH(P16,SessionLog!$N$2:$N$26,0)),"NOT FOUND")</f>
        <v/>
      </c>
      <c r="S16">
        <f>IF(R16="Yes",Q16&amp;"|"&amp;F16&amp;"|"&amp;G16&amp;"|"&amp;K16,"DROP")</f>
        <v/>
      </c>
      <c r="T16" s="4">
        <f>IF(I16&gt;0,J16/I16,0)</f>
        <v/>
      </c>
      <c r="U16">
        <f>IF(T16&gt;=0.8,1,0)</f>
        <v/>
      </c>
    </row>
    <row r="17">
      <c r="A17" t="inlineStr">
        <is>
          <t>SIMULATED Multimodal Ad Study</t>
        </is>
      </c>
      <c r="B17" t="inlineStr">
        <is>
          <t>P03</t>
        </is>
      </c>
      <c r="C17" t="inlineStr">
        <is>
          <t>MALE</t>
        </is>
      </c>
      <c r="D17" t="n">
        <v>21</v>
      </c>
      <c r="E17" t="inlineStr">
        <is>
          <t>AB</t>
        </is>
      </c>
      <c r="F17" t="inlineStr">
        <is>
          <t>Stimulus</t>
        </is>
      </c>
      <c r="G17" t="inlineStr">
        <is>
          <t>Ad_B</t>
        </is>
      </c>
      <c r="H17" t="n">
        <v>118011</v>
      </c>
      <c r="I17" t="n">
        <v>30000</v>
      </c>
      <c r="J17" t="n">
        <v>30000</v>
      </c>
      <c r="K17" t="inlineStr">
        <is>
          <t>Ad_B</t>
        </is>
      </c>
      <c r="L17" t="n">
        <v>1</v>
      </c>
      <c r="M17" t="n">
        <v>8</v>
      </c>
      <c r="N17" t="n">
        <v>16</v>
      </c>
      <c r="O17" t="n">
        <v>0.1617</v>
      </c>
      <c r="P17">
        <f>UPPER(TRIM(B17))</f>
        <v/>
      </c>
      <c r="Q17">
        <f>IFERROR(INDEX(SessionLog!$A$2:$A$26,MATCH(P17,SessionLog!$N$2:$N$26,0)),"NOT FOUND")</f>
        <v/>
      </c>
      <c r="R17">
        <f>IFERROR(INDEX(SessionLog!$L$2:$L$26,MATCH(P17,SessionLog!$N$2:$N$26,0)),"NOT FOUND")</f>
        <v/>
      </c>
      <c r="S17">
        <f>IF(R17="Yes",Q17&amp;"|"&amp;F17&amp;"|"&amp;G17&amp;"|"&amp;K17,"DROP")</f>
        <v/>
      </c>
      <c r="T17" s="4">
        <f>IF(I17&gt;0,J17/I17,0)</f>
        <v/>
      </c>
      <c r="U17">
        <f>IF(T17&gt;=0.8,1,0)</f>
        <v/>
      </c>
    </row>
    <row r="18">
      <c r="A18" t="inlineStr">
        <is>
          <t>SIMULATED Multimodal Ad Study</t>
        </is>
      </c>
      <c r="B18" t="inlineStr">
        <is>
          <t>P03</t>
        </is>
      </c>
      <c r="C18" t="inlineStr">
        <is>
          <t>MALE</t>
        </is>
      </c>
      <c r="D18" t="n">
        <v>21</v>
      </c>
      <c r="E18" t="inlineStr">
        <is>
          <t>AB</t>
        </is>
      </c>
      <c r="F18" t="inlineStr">
        <is>
          <t>Stimulus</t>
        </is>
      </c>
      <c r="G18" t="inlineStr">
        <is>
          <t>Baseline</t>
        </is>
      </c>
      <c r="H18" t="n">
        <v>27838</v>
      </c>
      <c r="I18" t="n">
        <v>60000</v>
      </c>
      <c r="J18" t="n">
        <v>60000</v>
      </c>
      <c r="K18" t="inlineStr">
        <is>
          <t>Baseline</t>
        </is>
      </c>
      <c r="L18" t="n">
        <v>1</v>
      </c>
      <c r="M18" t="n">
        <v>2</v>
      </c>
      <c r="N18" t="n">
        <v>2</v>
      </c>
      <c r="O18" t="n">
        <v>0.0599</v>
      </c>
      <c r="P18">
        <f>UPPER(TRIM(B18))</f>
        <v/>
      </c>
      <c r="Q18">
        <f>IFERROR(INDEX(SessionLog!$A$2:$A$26,MATCH(P18,SessionLog!$N$2:$N$26,0)),"NOT FOUND")</f>
        <v/>
      </c>
      <c r="R18">
        <f>IFERROR(INDEX(SessionLog!$L$2:$L$26,MATCH(P18,SessionLog!$N$2:$N$26,0)),"NOT FOUND")</f>
        <v/>
      </c>
      <c r="S18">
        <f>IF(R18="Yes",Q18&amp;"|"&amp;F18&amp;"|"&amp;G18&amp;"|"&amp;K18,"DROP")</f>
        <v/>
      </c>
      <c r="T18" s="4">
        <f>IF(I18&gt;0,J18/I18,0)</f>
        <v/>
      </c>
      <c r="U18">
        <f>IF(T18&gt;=0.8,1,0)</f>
        <v/>
      </c>
    </row>
    <row r="19">
      <c r="A19" t="inlineStr">
        <is>
          <t>SIMULATED Multimodal Ad Study</t>
        </is>
      </c>
      <c r="B19" t="inlineStr">
        <is>
          <t>P03</t>
        </is>
      </c>
      <c r="C19" t="inlineStr">
        <is>
          <t>MALE</t>
        </is>
      </c>
      <c r="D19" t="n">
        <v>21</v>
      </c>
      <c r="E19" t="inlineStr">
        <is>
          <t>AB</t>
        </is>
      </c>
      <c r="F19" t="inlineStr">
        <is>
          <t>Stimulus</t>
        </is>
      </c>
      <c r="G19" t="inlineStr">
        <is>
          <t>Instructions</t>
        </is>
      </c>
      <c r="H19" t="n">
        <v>29</v>
      </c>
      <c r="I19" t="n">
        <v>27765</v>
      </c>
      <c r="J19" t="n">
        <v>27765</v>
      </c>
      <c r="K19" t="inlineStr">
        <is>
          <t>Instructions</t>
        </is>
      </c>
      <c r="L19" t="n">
        <v>1</v>
      </c>
      <c r="M19" t="n">
        <v>2</v>
      </c>
      <c r="N19" t="n">
        <v>4.322</v>
      </c>
      <c r="O19" t="n">
        <v>0.182</v>
      </c>
      <c r="P19">
        <f>UPPER(TRIM(B19))</f>
        <v/>
      </c>
      <c r="Q19">
        <f>IFERROR(INDEX(SessionLog!$A$2:$A$26,MATCH(P19,SessionLog!$N$2:$N$26,0)),"NOT FOUND")</f>
        <v/>
      </c>
      <c r="R19">
        <f>IFERROR(INDEX(SessionLog!$L$2:$L$26,MATCH(P19,SessionLog!$N$2:$N$26,0)),"NOT FOUND")</f>
        <v/>
      </c>
      <c r="S19">
        <f>IF(R19="Yes",Q19&amp;"|"&amp;F19&amp;"|"&amp;G19&amp;"|"&amp;K19,"DROP")</f>
        <v/>
      </c>
      <c r="T19" s="4">
        <f>IF(I19&gt;0,J19/I19,0)</f>
        <v/>
      </c>
      <c r="U19">
        <f>IF(T19&gt;=0.8,1,0)</f>
        <v/>
      </c>
    </row>
    <row r="20">
      <c r="A20" t="inlineStr">
        <is>
          <t>SIMULATED Multimodal Ad Study</t>
        </is>
      </c>
      <c r="B20" t="inlineStr">
        <is>
          <t>P03</t>
        </is>
      </c>
      <c r="C20" t="inlineStr">
        <is>
          <t>MALE</t>
        </is>
      </c>
      <c r="D20" t="n">
        <v>21</v>
      </c>
      <c r="E20" t="inlineStr">
        <is>
          <t>AB</t>
        </is>
      </c>
      <c r="F20" t="inlineStr">
        <is>
          <t>Stimulus</t>
        </is>
      </c>
      <c r="G20" t="inlineStr">
        <is>
          <t>Questionnaire</t>
        </is>
      </c>
      <c r="H20" t="n">
        <v>148055</v>
      </c>
      <c r="I20" t="n">
        <v>111565</v>
      </c>
      <c r="J20" t="n">
        <v>111565</v>
      </c>
      <c r="K20" t="inlineStr">
        <is>
          <t>Questionnaire</t>
        </is>
      </c>
      <c r="L20" t="n">
        <v>1</v>
      </c>
      <c r="M20" t="n">
        <v>6</v>
      </c>
      <c r="N20" t="n">
        <v>3.227</v>
      </c>
      <c r="O20" t="n">
        <v>0.2739</v>
      </c>
      <c r="P20">
        <f>UPPER(TRIM(B20))</f>
        <v/>
      </c>
      <c r="Q20">
        <f>IFERROR(INDEX(SessionLog!$A$2:$A$26,MATCH(P20,SessionLog!$N$2:$N$26,0)),"NOT FOUND")</f>
        <v/>
      </c>
      <c r="R20">
        <f>IFERROR(INDEX(SessionLog!$L$2:$L$26,MATCH(P20,SessionLog!$N$2:$N$26,0)),"NOT FOUND")</f>
        <v/>
      </c>
      <c r="S20">
        <f>IF(R20="Yes",Q20&amp;"|"&amp;F20&amp;"|"&amp;G20&amp;"|"&amp;K20,"DROP")</f>
        <v/>
      </c>
      <c r="T20" s="4">
        <f>IF(I20&gt;0,J20/I20,0)</f>
        <v/>
      </c>
      <c r="U20">
        <f>IF(T20&gt;=0.8,1,0)</f>
        <v/>
      </c>
    </row>
    <row r="21">
      <c r="A21" t="inlineStr">
        <is>
          <t>SIMULATED Multimodal Ad Study</t>
        </is>
      </c>
      <c r="B21" t="inlineStr">
        <is>
          <t>P03</t>
        </is>
      </c>
      <c r="C21" t="inlineStr">
        <is>
          <t>MALE</t>
        </is>
      </c>
      <c r="D21" t="n">
        <v>21</v>
      </c>
      <c r="E21" t="inlineStr">
        <is>
          <t>AB</t>
        </is>
      </c>
      <c r="F21" t="inlineStr">
        <is>
          <t>Annotation</t>
        </is>
      </c>
      <c r="G21" t="inlineStr">
        <is>
          <t>EndCard</t>
        </is>
      </c>
      <c r="H21" t="n">
        <v>112922</v>
      </c>
      <c r="I21" t="n">
        <v>5000</v>
      </c>
      <c r="J21" t="n">
        <v>5000</v>
      </c>
      <c r="K21" t="inlineStr">
        <is>
          <t>Ad_A</t>
        </is>
      </c>
      <c r="L21" t="n">
        <v>1</v>
      </c>
      <c r="M21" t="n">
        <v>3</v>
      </c>
      <c r="N21" t="n">
        <v>36</v>
      </c>
      <c r="O21" t="n">
        <v>0.2457</v>
      </c>
      <c r="P21">
        <f>UPPER(TRIM(B21))</f>
        <v/>
      </c>
      <c r="Q21">
        <f>IFERROR(INDEX(SessionLog!$A$2:$A$26,MATCH(P21,SessionLog!$N$2:$N$26,0)),"NOT FOUND")</f>
        <v/>
      </c>
      <c r="R21">
        <f>IFERROR(INDEX(SessionLog!$L$2:$L$26,MATCH(P21,SessionLog!$N$2:$N$26,0)),"NOT FOUND")</f>
        <v/>
      </c>
      <c r="S21">
        <f>IF(R21="Yes",Q21&amp;"|"&amp;F21&amp;"|"&amp;G21&amp;"|"&amp;K21,"DROP")</f>
        <v/>
      </c>
      <c r="T21" s="4">
        <f>IF(I21&gt;0,J21/I21,0)</f>
        <v/>
      </c>
      <c r="U21">
        <f>IF(T21&gt;=0.8,1,0)</f>
        <v/>
      </c>
    </row>
    <row r="22">
      <c r="A22" t="inlineStr">
        <is>
          <t>SIMULATED Multimodal Ad Study</t>
        </is>
      </c>
      <c r="B22" t="inlineStr">
        <is>
          <t>P03</t>
        </is>
      </c>
      <c r="C22" t="inlineStr">
        <is>
          <t>MALE</t>
        </is>
      </c>
      <c r="D22" t="n">
        <v>21</v>
      </c>
      <c r="E22" t="inlineStr">
        <is>
          <t>AB</t>
        </is>
      </c>
      <c r="F22" t="inlineStr">
        <is>
          <t>Annotation</t>
        </is>
      </c>
      <c r="G22" t="inlineStr">
        <is>
          <t>EndCard</t>
        </is>
      </c>
      <c r="H22" t="n">
        <v>143011</v>
      </c>
      <c r="I22" t="n">
        <v>5000</v>
      </c>
      <c r="J22" t="n">
        <v>5000</v>
      </c>
      <c r="K22" t="inlineStr">
        <is>
          <t>Ad_B</t>
        </is>
      </c>
      <c r="L22" t="n">
        <v>1</v>
      </c>
      <c r="M22" t="n">
        <v>1</v>
      </c>
      <c r="N22" t="n">
        <v>12</v>
      </c>
      <c r="O22" t="n">
        <v>0.0726</v>
      </c>
      <c r="P22">
        <f>UPPER(TRIM(B22))</f>
        <v/>
      </c>
      <c r="Q22">
        <f>IFERROR(INDEX(SessionLog!$A$2:$A$26,MATCH(P22,SessionLog!$N$2:$N$26,0)),"NOT FOUND")</f>
        <v/>
      </c>
      <c r="R22">
        <f>IFERROR(INDEX(SessionLog!$L$2:$L$26,MATCH(P22,SessionLog!$N$2:$N$26,0)),"NOT FOUND")</f>
        <v/>
      </c>
      <c r="S22">
        <f>IF(R22="Yes",Q22&amp;"|"&amp;F22&amp;"|"&amp;G22&amp;"|"&amp;K22,"DROP")</f>
        <v/>
      </c>
      <c r="T22" s="4">
        <f>IF(I22&gt;0,J22/I22,0)</f>
        <v/>
      </c>
      <c r="U22">
        <f>IF(T22&gt;=0.8,1,0)</f>
        <v/>
      </c>
    </row>
    <row r="23">
      <c r="A23" t="inlineStr">
        <is>
          <t>SIMULATED Multimodal Ad Study</t>
        </is>
      </c>
      <c r="B23" t="inlineStr">
        <is>
          <t>P04</t>
        </is>
      </c>
      <c r="C23" t="inlineStr">
        <is>
          <t>FEMALE</t>
        </is>
      </c>
      <c r="D23" t="n">
        <v>22</v>
      </c>
      <c r="E23" t="inlineStr">
        <is>
          <t>BA</t>
        </is>
      </c>
      <c r="F23" t="inlineStr">
        <is>
          <t>Stimulus</t>
        </is>
      </c>
      <c r="G23" t="inlineStr">
        <is>
          <t>Baseline</t>
        </is>
      </c>
      <c r="H23" t="n">
        <v>13727</v>
      </c>
      <c r="I23" t="n">
        <v>23585</v>
      </c>
      <c r="J23" t="n">
        <v>23585</v>
      </c>
      <c r="K23" t="inlineStr">
        <is>
          <t>Baseline</t>
        </is>
      </c>
      <c r="L23" t="n">
        <v>1</v>
      </c>
      <c r="M23" t="n">
        <v>3</v>
      </c>
      <c r="N23" t="n">
        <v>7.632</v>
      </c>
      <c r="O23" t="n">
        <v>0.1326</v>
      </c>
      <c r="P23">
        <f>UPPER(TRIM(B23))</f>
        <v/>
      </c>
      <c r="Q23">
        <f>IFERROR(INDEX(SessionLog!$A$2:$A$26,MATCH(P23,SessionLog!$N$2:$N$26,0)),"NOT FOUND")</f>
        <v/>
      </c>
      <c r="R23">
        <f>IFERROR(INDEX(SessionLog!$L$2:$L$26,MATCH(P23,SessionLog!$N$2:$N$26,0)),"NOT FOUND")</f>
        <v/>
      </c>
      <c r="S23">
        <f>IF(R23="Yes",Q23&amp;"|"&amp;F23&amp;"|"&amp;G23&amp;"|"&amp;K23,"DROP")</f>
        <v/>
      </c>
      <c r="T23" s="4">
        <f>IF(I23&gt;0,J23/I23,0)</f>
        <v/>
      </c>
      <c r="U23">
        <f>IF(T23&gt;=0.8,1,0)</f>
        <v/>
      </c>
    </row>
    <row r="24">
      <c r="A24" t="inlineStr">
        <is>
          <t>SIMULATED Multimodal Ad Study</t>
        </is>
      </c>
      <c r="B24" t="inlineStr">
        <is>
          <t>P04</t>
        </is>
      </c>
      <c r="C24" t="inlineStr">
        <is>
          <t>FEMALE</t>
        </is>
      </c>
      <c r="D24" t="n">
        <v>22</v>
      </c>
      <c r="E24" t="inlineStr">
        <is>
          <t>BA</t>
        </is>
      </c>
      <c r="F24" t="inlineStr">
        <is>
          <t>Stimulus</t>
        </is>
      </c>
      <c r="G24" t="inlineStr">
        <is>
          <t>Instructions</t>
        </is>
      </c>
      <c r="H24" t="n">
        <v>39</v>
      </c>
      <c r="I24" t="n">
        <v>13648</v>
      </c>
      <c r="J24" t="n">
        <v>13648</v>
      </c>
      <c r="K24" t="inlineStr">
        <is>
          <t>Instructions</t>
        </is>
      </c>
      <c r="L24" t="n">
        <v>1</v>
      </c>
      <c r="M24" t="n">
        <v>1</v>
      </c>
      <c r="N24" t="n">
        <v>4.396</v>
      </c>
      <c r="O24" t="n">
        <v>0.2811</v>
      </c>
      <c r="P24">
        <f>UPPER(TRIM(B24))</f>
        <v/>
      </c>
      <c r="Q24">
        <f>IFERROR(INDEX(SessionLog!$A$2:$A$26,MATCH(P24,SessionLog!$N$2:$N$26,0)),"NOT FOUND")</f>
        <v/>
      </c>
      <c r="R24">
        <f>IFERROR(INDEX(SessionLog!$L$2:$L$26,MATCH(P24,SessionLog!$N$2:$N$26,0)),"NOT FOUND")</f>
        <v/>
      </c>
      <c r="S24">
        <f>IF(R24="Yes",Q24&amp;"|"&amp;F24&amp;"|"&amp;G24&amp;"|"&amp;K24,"DROP")</f>
        <v/>
      </c>
      <c r="T24" s="4">
        <f>IF(I24&gt;0,J24/I24,0)</f>
        <v/>
      </c>
      <c r="U24">
        <f>IF(T24&gt;=0.8,1,0)</f>
        <v/>
      </c>
    </row>
    <row r="25">
      <c r="A25" t="inlineStr">
        <is>
          <t>SIMULATED Multimodal Ad Study</t>
        </is>
      </c>
      <c r="B25" t="inlineStr">
        <is>
          <t>P04_rerun</t>
        </is>
      </c>
      <c r="C25" t="inlineStr">
        <is>
          <t>FEMALE</t>
        </is>
      </c>
      <c r="D25" t="n">
        <v>22</v>
      </c>
      <c r="E25" t="inlineStr">
        <is>
          <t>BA</t>
        </is>
      </c>
      <c r="F25" t="inlineStr">
        <is>
          <t>Stimulus</t>
        </is>
      </c>
      <c r="G25" t="inlineStr">
        <is>
          <t>Ad_A</t>
        </is>
      </c>
      <c r="H25" t="n">
        <v>107234</v>
      </c>
      <c r="I25" t="n">
        <v>30000</v>
      </c>
      <c r="J25" t="n">
        <v>30000</v>
      </c>
      <c r="K25" t="inlineStr">
        <is>
          <t>Ad_A</t>
        </is>
      </c>
      <c r="L25" t="n">
        <v>0</v>
      </c>
      <c r="M25" t="n">
        <v>0</v>
      </c>
      <c r="N25" t="n">
        <v>0</v>
      </c>
      <c r="O25" t="inlineStr">
        <is>
          <t>NA</t>
        </is>
      </c>
      <c r="P25">
        <f>UPPER(TRIM(B25))</f>
        <v/>
      </c>
      <c r="Q25">
        <f>IFERROR(INDEX(SessionLog!$A$2:$A$26,MATCH(P25,SessionLog!$N$2:$N$26,0)),"NOT FOUND")</f>
        <v/>
      </c>
      <c r="R25">
        <f>IFERROR(INDEX(SessionLog!$L$2:$L$26,MATCH(P25,SessionLog!$N$2:$N$26,0)),"NOT FOUND")</f>
        <v/>
      </c>
      <c r="S25">
        <f>IF(R25="Yes",Q25&amp;"|"&amp;F25&amp;"|"&amp;G25&amp;"|"&amp;K25,"DROP")</f>
        <v/>
      </c>
      <c r="T25" s="4">
        <f>IF(I25&gt;0,J25/I25,0)</f>
        <v/>
      </c>
      <c r="U25">
        <f>IF(T25&gt;=0.8,1,0)</f>
        <v/>
      </c>
    </row>
    <row r="26">
      <c r="A26" t="inlineStr">
        <is>
          <t>SIMULATED Multimodal Ad Study</t>
        </is>
      </c>
      <c r="B26" t="inlineStr">
        <is>
          <t>P04_rerun</t>
        </is>
      </c>
      <c r="C26" t="inlineStr">
        <is>
          <t>FEMALE</t>
        </is>
      </c>
      <c r="D26" t="n">
        <v>22</v>
      </c>
      <c r="E26" t="inlineStr">
        <is>
          <t>BA</t>
        </is>
      </c>
      <c r="F26" t="inlineStr">
        <is>
          <t>Stimulus</t>
        </is>
      </c>
      <c r="G26" t="inlineStr">
        <is>
          <t>Ad_B</t>
        </is>
      </c>
      <c r="H26" t="n">
        <v>77182</v>
      </c>
      <c r="I26" t="n">
        <v>30000</v>
      </c>
      <c r="J26" t="n">
        <v>30000</v>
      </c>
      <c r="K26" t="inlineStr">
        <is>
          <t>Ad_B</t>
        </is>
      </c>
      <c r="L26" t="n">
        <v>1</v>
      </c>
      <c r="M26" t="n">
        <v>4</v>
      </c>
      <c r="N26" t="n">
        <v>8</v>
      </c>
      <c r="O26" t="n">
        <v>0.2299</v>
      </c>
      <c r="P26">
        <f>UPPER(TRIM(B26))</f>
        <v/>
      </c>
      <c r="Q26">
        <f>IFERROR(INDEX(SessionLog!$A$2:$A$26,MATCH(P26,SessionLog!$N$2:$N$26,0)),"NOT FOUND")</f>
        <v/>
      </c>
      <c r="R26">
        <f>IFERROR(INDEX(SessionLog!$L$2:$L$26,MATCH(P26,SessionLog!$N$2:$N$26,0)),"NOT FOUND")</f>
        <v/>
      </c>
      <c r="S26">
        <f>IF(R26="Yes",Q26&amp;"|"&amp;F26&amp;"|"&amp;G26&amp;"|"&amp;K26,"DROP")</f>
        <v/>
      </c>
      <c r="T26" s="4">
        <f>IF(I26&gt;0,J26/I26,0)</f>
        <v/>
      </c>
      <c r="U26">
        <f>IF(T26&gt;=0.8,1,0)</f>
        <v/>
      </c>
    </row>
    <row r="27">
      <c r="A27" t="inlineStr">
        <is>
          <t>SIMULATED Multimodal Ad Study</t>
        </is>
      </c>
      <c r="B27" t="inlineStr">
        <is>
          <t>P04_rerun</t>
        </is>
      </c>
      <c r="C27" t="inlineStr">
        <is>
          <t>FEMALE</t>
        </is>
      </c>
      <c r="D27" t="n">
        <v>22</v>
      </c>
      <c r="E27" t="inlineStr">
        <is>
          <t>BA</t>
        </is>
      </c>
      <c r="F27" t="inlineStr">
        <is>
          <t>Stimulus</t>
        </is>
      </c>
      <c r="G27" t="inlineStr">
        <is>
          <t>Baseline</t>
        </is>
      </c>
      <c r="H27" t="n">
        <v>17098</v>
      </c>
      <c r="I27" t="n">
        <v>60000</v>
      </c>
      <c r="J27" t="n">
        <v>60000</v>
      </c>
      <c r="K27" t="inlineStr">
        <is>
          <t>Baseline</t>
        </is>
      </c>
      <c r="L27" t="n">
        <v>1</v>
      </c>
      <c r="M27" t="n">
        <v>5</v>
      </c>
      <c r="N27" t="n">
        <v>5</v>
      </c>
      <c r="O27" t="n">
        <v>0.17</v>
      </c>
      <c r="P27">
        <f>UPPER(TRIM(B27))</f>
        <v/>
      </c>
      <c r="Q27">
        <f>IFERROR(INDEX(SessionLog!$A$2:$A$26,MATCH(P27,SessionLog!$N$2:$N$26,0)),"NOT FOUND")</f>
        <v/>
      </c>
      <c r="R27">
        <f>IFERROR(INDEX(SessionLog!$L$2:$L$26,MATCH(P27,SessionLog!$N$2:$N$26,0)),"NOT FOUND")</f>
        <v/>
      </c>
      <c r="S27">
        <f>IF(R27="Yes",Q27&amp;"|"&amp;F27&amp;"|"&amp;G27&amp;"|"&amp;K27,"DROP")</f>
        <v/>
      </c>
      <c r="T27" s="4">
        <f>IF(I27&gt;0,J27/I27,0)</f>
        <v/>
      </c>
      <c r="U27">
        <f>IF(T27&gt;=0.8,1,0)</f>
        <v/>
      </c>
    </row>
    <row r="28">
      <c r="A28" t="inlineStr">
        <is>
          <t>SIMULATED Multimodal Ad Study</t>
        </is>
      </c>
      <c r="B28" t="inlineStr">
        <is>
          <t>P04_rerun</t>
        </is>
      </c>
      <c r="C28" t="inlineStr">
        <is>
          <t>FEMALE</t>
        </is>
      </c>
      <c r="D28" t="n">
        <v>22</v>
      </c>
      <c r="E28" t="inlineStr">
        <is>
          <t>BA</t>
        </is>
      </c>
      <c r="F28" t="inlineStr">
        <is>
          <t>Stimulus</t>
        </is>
      </c>
      <c r="G28" t="inlineStr">
        <is>
          <t>Instructions</t>
        </is>
      </c>
      <c r="H28" t="n">
        <v>28</v>
      </c>
      <c r="I28" t="n">
        <v>17024</v>
      </c>
      <c r="J28" t="n">
        <v>17024</v>
      </c>
      <c r="K28" t="inlineStr">
        <is>
          <t>Instructions</t>
        </is>
      </c>
      <c r="L28" t="n">
        <v>1</v>
      </c>
      <c r="M28" t="n">
        <v>1</v>
      </c>
      <c r="N28" t="n">
        <v>3.524</v>
      </c>
      <c r="O28" t="n">
        <v>0.0839</v>
      </c>
      <c r="P28">
        <f>UPPER(TRIM(B28))</f>
        <v/>
      </c>
      <c r="Q28">
        <f>IFERROR(INDEX(SessionLog!$A$2:$A$26,MATCH(P28,SessionLog!$N$2:$N$26,0)),"NOT FOUND")</f>
        <v/>
      </c>
      <c r="R28">
        <f>IFERROR(INDEX(SessionLog!$L$2:$L$26,MATCH(P28,SessionLog!$N$2:$N$26,0)),"NOT FOUND")</f>
        <v/>
      </c>
      <c r="S28">
        <f>IF(R28="Yes",Q28&amp;"|"&amp;F28&amp;"|"&amp;G28&amp;"|"&amp;K28,"DROP")</f>
        <v/>
      </c>
      <c r="T28" s="4">
        <f>IF(I28&gt;0,J28/I28,0)</f>
        <v/>
      </c>
      <c r="U28">
        <f>IF(T28&gt;=0.8,1,0)</f>
        <v/>
      </c>
    </row>
    <row r="29">
      <c r="A29" t="inlineStr">
        <is>
          <t>SIMULATED Multimodal Ad Study</t>
        </is>
      </c>
      <c r="B29" t="inlineStr">
        <is>
          <t>P04_rerun</t>
        </is>
      </c>
      <c r="C29" t="inlineStr">
        <is>
          <t>FEMALE</t>
        </is>
      </c>
      <c r="D29" t="n">
        <v>22</v>
      </c>
      <c r="E29" t="inlineStr">
        <is>
          <t>BA</t>
        </is>
      </c>
      <c r="F29" t="inlineStr">
        <is>
          <t>Stimulus</t>
        </is>
      </c>
      <c r="G29" t="inlineStr">
        <is>
          <t>Questionnaire</t>
        </is>
      </c>
      <c r="H29" t="n">
        <v>137272</v>
      </c>
      <c r="I29" t="n">
        <v>149547</v>
      </c>
      <c r="J29" t="n">
        <v>149547</v>
      </c>
      <c r="K29" t="inlineStr">
        <is>
          <t>Questionnaire</t>
        </is>
      </c>
      <c r="L29" t="n">
        <v>1</v>
      </c>
      <c r="M29" t="n">
        <v>12</v>
      </c>
      <c r="N29" t="n">
        <v>4.815</v>
      </c>
      <c r="O29" t="n">
        <v>0.1544</v>
      </c>
      <c r="P29">
        <f>UPPER(TRIM(B29))</f>
        <v/>
      </c>
      <c r="Q29">
        <f>IFERROR(INDEX(SessionLog!$A$2:$A$26,MATCH(P29,SessionLog!$N$2:$N$26,0)),"NOT FOUND")</f>
        <v/>
      </c>
      <c r="R29">
        <f>IFERROR(INDEX(SessionLog!$L$2:$L$26,MATCH(P29,SessionLog!$N$2:$N$26,0)),"NOT FOUND")</f>
        <v/>
      </c>
      <c r="S29">
        <f>IF(R29="Yes",Q29&amp;"|"&amp;F29&amp;"|"&amp;G29&amp;"|"&amp;K29,"DROP")</f>
        <v/>
      </c>
      <c r="T29" s="4">
        <f>IF(I29&gt;0,J29/I29,0)</f>
        <v/>
      </c>
      <c r="U29">
        <f>IF(T29&gt;=0.8,1,0)</f>
        <v/>
      </c>
    </row>
    <row r="30">
      <c r="A30" t="inlineStr">
        <is>
          <t>SIMULATED Multimodal Ad Study</t>
        </is>
      </c>
      <c r="B30" t="inlineStr">
        <is>
          <t>P04_rerun</t>
        </is>
      </c>
      <c r="C30" t="inlineStr">
        <is>
          <t>FEMALE</t>
        </is>
      </c>
      <c r="D30" t="n">
        <v>22</v>
      </c>
      <c r="E30" t="inlineStr">
        <is>
          <t>BA</t>
        </is>
      </c>
      <c r="F30" t="inlineStr">
        <is>
          <t>Annotation</t>
        </is>
      </c>
      <c r="G30" t="inlineStr">
        <is>
          <t>EndCard</t>
        </is>
      </c>
      <c r="H30" t="n">
        <v>132234</v>
      </c>
      <c r="I30" t="n">
        <v>5000</v>
      </c>
      <c r="J30" t="n">
        <v>5000</v>
      </c>
      <c r="K30" t="inlineStr">
        <is>
          <t>Ad_A</t>
        </is>
      </c>
      <c r="L30" t="n">
        <v>0</v>
      </c>
      <c r="M30" t="n">
        <v>0</v>
      </c>
      <c r="N30" t="n">
        <v>0</v>
      </c>
      <c r="O30" t="inlineStr">
        <is>
          <t>NA</t>
        </is>
      </c>
      <c r="P30">
        <f>UPPER(TRIM(B30))</f>
        <v/>
      </c>
      <c r="Q30">
        <f>IFERROR(INDEX(SessionLog!$A$2:$A$26,MATCH(P30,SessionLog!$N$2:$N$26,0)),"NOT FOUND")</f>
        <v/>
      </c>
      <c r="R30">
        <f>IFERROR(INDEX(SessionLog!$L$2:$L$26,MATCH(P30,SessionLog!$N$2:$N$26,0)),"NOT FOUND")</f>
        <v/>
      </c>
      <c r="S30">
        <f>IF(R30="Yes",Q30&amp;"|"&amp;F30&amp;"|"&amp;G30&amp;"|"&amp;K30,"DROP")</f>
        <v/>
      </c>
      <c r="T30" s="4">
        <f>IF(I30&gt;0,J30/I30,0)</f>
        <v/>
      </c>
      <c r="U30">
        <f>IF(T30&gt;=0.8,1,0)</f>
        <v/>
      </c>
    </row>
    <row r="31">
      <c r="A31" t="inlineStr">
        <is>
          <t>SIMULATED Multimodal Ad Study</t>
        </is>
      </c>
      <c r="B31" t="inlineStr">
        <is>
          <t>P04_rerun</t>
        </is>
      </c>
      <c r="C31" t="inlineStr">
        <is>
          <t>FEMALE</t>
        </is>
      </c>
      <c r="D31" t="n">
        <v>22</v>
      </c>
      <c r="E31" t="inlineStr">
        <is>
          <t>BA</t>
        </is>
      </c>
      <c r="F31" t="inlineStr">
        <is>
          <t>Annotation</t>
        </is>
      </c>
      <c r="G31" t="inlineStr">
        <is>
          <t>EndCard</t>
        </is>
      </c>
      <c r="H31" t="n">
        <v>102182</v>
      </c>
      <c r="I31" t="n">
        <v>5000</v>
      </c>
      <c r="J31" t="n">
        <v>5000</v>
      </c>
      <c r="K31" t="inlineStr">
        <is>
          <t>Ad_B</t>
        </is>
      </c>
      <c r="L31" t="n">
        <v>0</v>
      </c>
      <c r="M31" t="n">
        <v>0</v>
      </c>
      <c r="N31" t="n">
        <v>0</v>
      </c>
      <c r="O31" t="inlineStr">
        <is>
          <t>NA</t>
        </is>
      </c>
      <c r="P31">
        <f>UPPER(TRIM(B31))</f>
        <v/>
      </c>
      <c r="Q31">
        <f>IFERROR(INDEX(SessionLog!$A$2:$A$26,MATCH(P31,SessionLog!$N$2:$N$26,0)),"NOT FOUND")</f>
        <v/>
      </c>
      <c r="R31">
        <f>IFERROR(INDEX(SessionLog!$L$2:$L$26,MATCH(P31,SessionLog!$N$2:$N$26,0)),"NOT FOUND")</f>
        <v/>
      </c>
      <c r="S31">
        <f>IF(R31="Yes",Q31&amp;"|"&amp;F31&amp;"|"&amp;G31&amp;"|"&amp;K31,"DROP")</f>
        <v/>
      </c>
      <c r="T31" s="4">
        <f>IF(I31&gt;0,J31/I31,0)</f>
        <v/>
      </c>
      <c r="U31">
        <f>IF(T31&gt;=0.8,1,0)</f>
        <v/>
      </c>
    </row>
    <row r="32">
      <c r="A32" t="inlineStr">
        <is>
          <t>SIMULATED Multimodal Ad Study</t>
        </is>
      </c>
      <c r="B32" t="inlineStr">
        <is>
          <t>P05</t>
        </is>
      </c>
      <c r="C32" t="inlineStr">
        <is>
          <t>FEMALE</t>
        </is>
      </c>
      <c r="D32" t="n">
        <v>20</v>
      </c>
      <c r="E32" t="inlineStr">
        <is>
          <t>AB</t>
        </is>
      </c>
      <c r="F32" t="inlineStr">
        <is>
          <t>Stimulus</t>
        </is>
      </c>
      <c r="G32" t="inlineStr">
        <is>
          <t>Ad_A</t>
        </is>
      </c>
      <c r="H32" t="n">
        <v>78150</v>
      </c>
      <c r="I32" t="n">
        <v>30000</v>
      </c>
      <c r="J32" t="n">
        <v>30000</v>
      </c>
      <c r="K32" t="inlineStr">
        <is>
          <t>Ad_A</t>
        </is>
      </c>
      <c r="L32" t="n">
        <v>1</v>
      </c>
      <c r="M32" t="n">
        <v>6</v>
      </c>
      <c r="N32" t="n">
        <v>12</v>
      </c>
      <c r="O32" t="n">
        <v>0.082</v>
      </c>
      <c r="P32">
        <f>UPPER(TRIM(B32))</f>
        <v/>
      </c>
      <c r="Q32">
        <f>IFERROR(INDEX(SessionLog!$A$2:$A$26,MATCH(P32,SessionLog!$N$2:$N$26,0)),"NOT FOUND")</f>
        <v/>
      </c>
      <c r="R32">
        <f>IFERROR(INDEX(SessionLog!$L$2:$L$26,MATCH(P32,SessionLog!$N$2:$N$26,0)),"NOT FOUND")</f>
        <v/>
      </c>
      <c r="S32">
        <f>IF(R32="Yes",Q32&amp;"|"&amp;F32&amp;"|"&amp;G32&amp;"|"&amp;K32,"DROP")</f>
        <v/>
      </c>
      <c r="T32" s="4">
        <f>IF(I32&gt;0,J32/I32,0)</f>
        <v/>
      </c>
      <c r="U32">
        <f>IF(T32&gt;=0.8,1,0)</f>
        <v/>
      </c>
    </row>
    <row r="33">
      <c r="A33" t="inlineStr">
        <is>
          <t>SIMULATED Multimodal Ad Study</t>
        </is>
      </c>
      <c r="B33" t="inlineStr">
        <is>
          <t>P05</t>
        </is>
      </c>
      <c r="C33" t="inlineStr">
        <is>
          <t>FEMALE</t>
        </is>
      </c>
      <c r="D33" t="n">
        <v>20</v>
      </c>
      <c r="E33" t="inlineStr">
        <is>
          <t>AB</t>
        </is>
      </c>
      <c r="F33" t="inlineStr">
        <is>
          <t>Stimulus</t>
        </is>
      </c>
      <c r="G33" t="inlineStr">
        <is>
          <t>Ad_B</t>
        </is>
      </c>
      <c r="H33" t="n">
        <v>108252</v>
      </c>
      <c r="I33" t="n">
        <v>30000</v>
      </c>
      <c r="J33" t="n">
        <v>7812</v>
      </c>
      <c r="K33" t="inlineStr">
        <is>
          <t>Ad_B</t>
        </is>
      </c>
      <c r="L33" t="n">
        <v>1</v>
      </c>
      <c r="M33" t="n">
        <v>1</v>
      </c>
      <c r="N33" t="n">
        <v>7.68</v>
      </c>
      <c r="O33" t="n">
        <v>0.2694</v>
      </c>
      <c r="P33">
        <f>UPPER(TRIM(B33))</f>
        <v/>
      </c>
      <c r="Q33">
        <f>IFERROR(INDEX(SessionLog!$A$2:$A$26,MATCH(P33,SessionLog!$N$2:$N$26,0)),"NOT FOUND")</f>
        <v/>
      </c>
      <c r="R33">
        <f>IFERROR(INDEX(SessionLog!$L$2:$L$26,MATCH(P33,SessionLog!$N$2:$N$26,0)),"NOT FOUND")</f>
        <v/>
      </c>
      <c r="S33">
        <f>IF(R33="Yes",Q33&amp;"|"&amp;F33&amp;"|"&amp;G33&amp;"|"&amp;K33,"DROP")</f>
        <v/>
      </c>
      <c r="T33" s="4">
        <f>IF(I33&gt;0,J33/I33,0)</f>
        <v/>
      </c>
      <c r="U33">
        <f>IF(T33&gt;=0.8,1,0)</f>
        <v/>
      </c>
    </row>
    <row r="34">
      <c r="A34" t="inlineStr">
        <is>
          <t>SIMULATED Multimodal Ad Study</t>
        </is>
      </c>
      <c r="B34" t="inlineStr">
        <is>
          <t>P05</t>
        </is>
      </c>
      <c r="C34" t="inlineStr">
        <is>
          <t>FEMALE</t>
        </is>
      </c>
      <c r="D34" t="n">
        <v>20</v>
      </c>
      <c r="E34" t="inlineStr">
        <is>
          <t>AB</t>
        </is>
      </c>
      <c r="F34" t="inlineStr">
        <is>
          <t>Stimulus</t>
        </is>
      </c>
      <c r="G34" t="inlineStr">
        <is>
          <t>Baseline</t>
        </is>
      </c>
      <c r="H34" t="n">
        <v>18034</v>
      </c>
      <c r="I34" t="n">
        <v>60000</v>
      </c>
      <c r="J34" t="n">
        <v>60000</v>
      </c>
      <c r="K34" t="inlineStr">
        <is>
          <t>Baseline</t>
        </is>
      </c>
      <c r="L34" t="n">
        <v>1</v>
      </c>
      <c r="M34" t="n">
        <v>6</v>
      </c>
      <c r="N34" t="n">
        <v>6</v>
      </c>
      <c r="O34" t="n">
        <v>0.3076</v>
      </c>
      <c r="P34">
        <f>UPPER(TRIM(B34))</f>
        <v/>
      </c>
      <c r="Q34">
        <f>IFERROR(INDEX(SessionLog!$A$2:$A$26,MATCH(P34,SessionLog!$N$2:$N$26,0)),"NOT FOUND")</f>
        <v/>
      </c>
      <c r="R34">
        <f>IFERROR(INDEX(SessionLog!$L$2:$L$26,MATCH(P34,SessionLog!$N$2:$N$26,0)),"NOT FOUND")</f>
        <v/>
      </c>
      <c r="S34">
        <f>IF(R34="Yes",Q34&amp;"|"&amp;F34&amp;"|"&amp;G34&amp;"|"&amp;K34,"DROP")</f>
        <v/>
      </c>
      <c r="T34" s="4">
        <f>IF(I34&gt;0,J34/I34,0)</f>
        <v/>
      </c>
      <c r="U34">
        <f>IF(T34&gt;=0.8,1,0)</f>
        <v/>
      </c>
    </row>
    <row r="35">
      <c r="A35" t="inlineStr">
        <is>
          <t>SIMULATED Multimodal Ad Study</t>
        </is>
      </c>
      <c r="B35" t="inlineStr">
        <is>
          <t>P05</t>
        </is>
      </c>
      <c r="C35" t="inlineStr">
        <is>
          <t>FEMALE</t>
        </is>
      </c>
      <c r="D35" t="n">
        <v>20</v>
      </c>
      <c r="E35" t="inlineStr">
        <is>
          <t>AB</t>
        </is>
      </c>
      <c r="F35" t="inlineStr">
        <is>
          <t>Stimulus</t>
        </is>
      </c>
      <c r="G35" t="inlineStr">
        <is>
          <t>Instructions</t>
        </is>
      </c>
      <c r="H35" t="n">
        <v>17</v>
      </c>
      <c r="I35" t="n">
        <v>17988</v>
      </c>
      <c r="J35" t="n">
        <v>17988</v>
      </c>
      <c r="K35" t="inlineStr">
        <is>
          <t>Instructions</t>
        </is>
      </c>
      <c r="L35" t="n">
        <v>1</v>
      </c>
      <c r="M35" t="n">
        <v>1</v>
      </c>
      <c r="N35" t="n">
        <v>3.336</v>
      </c>
      <c r="O35" t="n">
        <v>0.1312</v>
      </c>
      <c r="P35">
        <f>UPPER(TRIM(B35))</f>
        <v/>
      </c>
      <c r="Q35">
        <f>IFERROR(INDEX(SessionLog!$A$2:$A$26,MATCH(P35,SessionLog!$N$2:$N$26,0)),"NOT FOUND")</f>
        <v/>
      </c>
      <c r="R35">
        <f>IFERROR(INDEX(SessionLog!$L$2:$L$26,MATCH(P35,SessionLog!$N$2:$N$26,0)),"NOT FOUND")</f>
        <v/>
      </c>
      <c r="S35">
        <f>IF(R35="Yes",Q35&amp;"|"&amp;F35&amp;"|"&amp;G35&amp;"|"&amp;K35,"DROP")</f>
        <v/>
      </c>
      <c r="T35" s="4">
        <f>IF(I35&gt;0,J35/I35,0)</f>
        <v/>
      </c>
      <c r="U35">
        <f>IF(T35&gt;=0.8,1,0)</f>
        <v/>
      </c>
    </row>
    <row r="36">
      <c r="A36" t="inlineStr">
        <is>
          <t>SIMULATED Multimodal Ad Study</t>
        </is>
      </c>
      <c r="B36" t="inlineStr">
        <is>
          <t>P05</t>
        </is>
      </c>
      <c r="C36" t="inlineStr">
        <is>
          <t>FEMALE</t>
        </is>
      </c>
      <c r="D36" t="n">
        <v>20</v>
      </c>
      <c r="E36" t="inlineStr">
        <is>
          <t>AB</t>
        </is>
      </c>
      <c r="F36" t="inlineStr">
        <is>
          <t>Stimulus</t>
        </is>
      </c>
      <c r="G36" t="inlineStr">
        <is>
          <t>Questionnaire</t>
        </is>
      </c>
      <c r="H36" t="n">
        <v>138299</v>
      </c>
      <c r="I36" t="n">
        <v>153662</v>
      </c>
      <c r="J36" t="n">
        <v>0</v>
      </c>
      <c r="K36" t="inlineStr">
        <is>
          <t>Questionnaire</t>
        </is>
      </c>
      <c r="L36" t="n">
        <v>0</v>
      </c>
      <c r="M36" t="n">
        <v>0</v>
      </c>
      <c r="N36" t="inlineStr">
        <is>
          <t>NA</t>
        </is>
      </c>
      <c r="O36" t="inlineStr">
        <is>
          <t>NA</t>
        </is>
      </c>
      <c r="P36">
        <f>UPPER(TRIM(B36))</f>
        <v/>
      </c>
      <c r="Q36">
        <f>IFERROR(INDEX(SessionLog!$A$2:$A$26,MATCH(P36,SessionLog!$N$2:$N$26,0)),"NOT FOUND")</f>
        <v/>
      </c>
      <c r="R36">
        <f>IFERROR(INDEX(SessionLog!$L$2:$L$26,MATCH(P36,SessionLog!$N$2:$N$26,0)),"NOT FOUND")</f>
        <v/>
      </c>
      <c r="S36">
        <f>IF(R36="Yes",Q36&amp;"|"&amp;F36&amp;"|"&amp;G36&amp;"|"&amp;K36,"DROP")</f>
        <v/>
      </c>
      <c r="T36" s="4">
        <f>IF(I36&gt;0,J36/I36,0)</f>
        <v/>
      </c>
      <c r="U36">
        <f>IF(T36&gt;=0.8,1,0)</f>
        <v/>
      </c>
    </row>
    <row r="37">
      <c r="A37" t="inlineStr">
        <is>
          <t>SIMULATED Multimodal Ad Study</t>
        </is>
      </c>
      <c r="B37" t="inlineStr">
        <is>
          <t>P05</t>
        </is>
      </c>
      <c r="C37" t="inlineStr">
        <is>
          <t>FEMALE</t>
        </is>
      </c>
      <c r="D37" t="n">
        <v>20</v>
      </c>
      <c r="E37" t="inlineStr">
        <is>
          <t>AB</t>
        </is>
      </c>
      <c r="F37" t="inlineStr">
        <is>
          <t>Annotation</t>
        </is>
      </c>
      <c r="G37" t="inlineStr">
        <is>
          <t>EndCard</t>
        </is>
      </c>
      <c r="H37" t="n">
        <v>103150</v>
      </c>
      <c r="I37" t="n">
        <v>5000</v>
      </c>
      <c r="J37" t="n">
        <v>5000</v>
      </c>
      <c r="K37" t="inlineStr">
        <is>
          <t>Ad_A</t>
        </is>
      </c>
      <c r="L37" t="n">
        <v>0</v>
      </c>
      <c r="M37" t="n">
        <v>0</v>
      </c>
      <c r="N37" t="n">
        <v>0</v>
      </c>
      <c r="O37" t="inlineStr">
        <is>
          <t>NA</t>
        </is>
      </c>
      <c r="P37">
        <f>UPPER(TRIM(B37))</f>
        <v/>
      </c>
      <c r="Q37">
        <f>IFERROR(INDEX(SessionLog!$A$2:$A$26,MATCH(P37,SessionLog!$N$2:$N$26,0)),"NOT FOUND")</f>
        <v/>
      </c>
      <c r="R37">
        <f>IFERROR(INDEX(SessionLog!$L$2:$L$26,MATCH(P37,SessionLog!$N$2:$N$26,0)),"NOT FOUND")</f>
        <v/>
      </c>
      <c r="S37">
        <f>IF(R37="Yes",Q37&amp;"|"&amp;F37&amp;"|"&amp;G37&amp;"|"&amp;K37,"DROP")</f>
        <v/>
      </c>
      <c r="T37" s="4">
        <f>IF(I37&gt;0,J37/I37,0)</f>
        <v/>
      </c>
      <c r="U37">
        <f>IF(T37&gt;=0.8,1,0)</f>
        <v/>
      </c>
    </row>
    <row r="38">
      <c r="A38" t="inlineStr">
        <is>
          <t>SIMULATED Multimodal Ad Study</t>
        </is>
      </c>
      <c r="B38" t="inlineStr">
        <is>
          <t>P05</t>
        </is>
      </c>
      <c r="C38" t="inlineStr">
        <is>
          <t>FEMALE</t>
        </is>
      </c>
      <c r="D38" t="n">
        <v>20</v>
      </c>
      <c r="E38" t="inlineStr">
        <is>
          <t>AB</t>
        </is>
      </c>
      <c r="F38" t="inlineStr">
        <is>
          <t>Annotation</t>
        </is>
      </c>
      <c r="G38" t="inlineStr">
        <is>
          <t>EndCard</t>
        </is>
      </c>
      <c r="H38" t="n">
        <v>133252</v>
      </c>
      <c r="I38" t="n">
        <v>5000</v>
      </c>
      <c r="J38" t="n">
        <v>0</v>
      </c>
      <c r="K38" t="inlineStr">
        <is>
          <t>Ad_B</t>
        </is>
      </c>
      <c r="L38" t="n">
        <v>0</v>
      </c>
      <c r="M38" t="n">
        <v>0</v>
      </c>
      <c r="N38" t="inlineStr">
        <is>
          <t>NA</t>
        </is>
      </c>
      <c r="O38" t="inlineStr">
        <is>
          <t>NA</t>
        </is>
      </c>
      <c r="P38">
        <f>UPPER(TRIM(B38))</f>
        <v/>
      </c>
      <c r="Q38">
        <f>IFERROR(INDEX(SessionLog!$A$2:$A$26,MATCH(P38,SessionLog!$N$2:$N$26,0)),"NOT FOUND")</f>
        <v/>
      </c>
      <c r="R38">
        <f>IFERROR(INDEX(SessionLog!$L$2:$L$26,MATCH(P38,SessionLog!$N$2:$N$26,0)),"NOT FOUND")</f>
        <v/>
      </c>
      <c r="S38">
        <f>IF(R38="Yes",Q38&amp;"|"&amp;F38&amp;"|"&amp;G38&amp;"|"&amp;K38,"DROP")</f>
        <v/>
      </c>
      <c r="T38" s="4">
        <f>IF(I38&gt;0,J38/I38,0)</f>
        <v/>
      </c>
      <c r="U38">
        <f>IF(T38&gt;=0.8,1,0)</f>
        <v/>
      </c>
    </row>
    <row r="39">
      <c r="A39" t="inlineStr">
        <is>
          <t>SIMULATED Multimodal Ad Study</t>
        </is>
      </c>
      <c r="B39" t="inlineStr">
        <is>
          <t>P06</t>
        </is>
      </c>
      <c r="C39" t="inlineStr">
        <is>
          <t>FEMALE</t>
        </is>
      </c>
      <c r="D39" t="n">
        <v>26</v>
      </c>
      <c r="E39" t="inlineStr">
        <is>
          <t>BA</t>
        </is>
      </c>
      <c r="F39" t="inlineStr">
        <is>
          <t>Stimulus</t>
        </is>
      </c>
      <c r="G39" t="inlineStr">
        <is>
          <t>Ad_A</t>
        </is>
      </c>
      <c r="H39" t="n">
        <v>116781</v>
      </c>
      <c r="I39" t="n">
        <v>30000</v>
      </c>
      <c r="J39" t="n">
        <v>30000</v>
      </c>
      <c r="K39" t="inlineStr">
        <is>
          <t>Ad_A</t>
        </is>
      </c>
      <c r="L39" t="n">
        <v>1</v>
      </c>
      <c r="M39" t="n">
        <v>2</v>
      </c>
      <c r="N39" t="n">
        <v>4</v>
      </c>
      <c r="O39" t="n">
        <v>0.091</v>
      </c>
      <c r="P39">
        <f>UPPER(TRIM(B39))</f>
        <v/>
      </c>
      <c r="Q39">
        <f>IFERROR(INDEX(SessionLog!$A$2:$A$26,MATCH(P39,SessionLog!$N$2:$N$26,0)),"NOT FOUND")</f>
        <v/>
      </c>
      <c r="R39">
        <f>IFERROR(INDEX(SessionLog!$L$2:$L$26,MATCH(P39,SessionLog!$N$2:$N$26,0)),"NOT FOUND")</f>
        <v/>
      </c>
      <c r="S39">
        <f>IF(R39="Yes",Q39&amp;"|"&amp;F39&amp;"|"&amp;G39&amp;"|"&amp;K39,"DROP")</f>
        <v/>
      </c>
      <c r="T39" s="4">
        <f>IF(I39&gt;0,J39/I39,0)</f>
        <v/>
      </c>
      <c r="U39">
        <f>IF(T39&gt;=0.8,1,0)</f>
        <v/>
      </c>
    </row>
    <row r="40">
      <c r="A40" t="inlineStr">
        <is>
          <t>SIMULATED Multimodal Ad Study</t>
        </is>
      </c>
      <c r="B40" t="inlineStr">
        <is>
          <t>P06</t>
        </is>
      </c>
      <c r="C40" t="inlineStr">
        <is>
          <t>FEMALE</t>
        </is>
      </c>
      <c r="D40" t="n">
        <v>26</v>
      </c>
      <c r="E40" t="inlineStr">
        <is>
          <t>BA</t>
        </is>
      </c>
      <c r="F40" t="inlineStr">
        <is>
          <t>Stimulus</t>
        </is>
      </c>
      <c r="G40" t="inlineStr">
        <is>
          <t>Ad_B</t>
        </is>
      </c>
      <c r="H40" t="n">
        <v>86693</v>
      </c>
      <c r="I40" t="n">
        <v>30000</v>
      </c>
      <c r="J40" t="n">
        <v>30000</v>
      </c>
      <c r="K40" t="inlineStr">
        <is>
          <t>Ad_B</t>
        </is>
      </c>
      <c r="L40" t="n">
        <v>1</v>
      </c>
      <c r="M40" t="n">
        <v>1</v>
      </c>
      <c r="N40" t="n">
        <v>2</v>
      </c>
      <c r="O40" t="n">
        <v>0.1239</v>
      </c>
      <c r="P40">
        <f>UPPER(TRIM(B40))</f>
        <v/>
      </c>
      <c r="Q40">
        <f>IFERROR(INDEX(SessionLog!$A$2:$A$26,MATCH(P40,SessionLog!$N$2:$N$26,0)),"NOT FOUND")</f>
        <v/>
      </c>
      <c r="R40">
        <f>IFERROR(INDEX(SessionLog!$L$2:$L$26,MATCH(P40,SessionLog!$N$2:$N$26,0)),"NOT FOUND")</f>
        <v/>
      </c>
      <c r="S40">
        <f>IF(R40="Yes",Q40&amp;"|"&amp;F40&amp;"|"&amp;G40&amp;"|"&amp;K40,"DROP")</f>
        <v/>
      </c>
      <c r="T40" s="4">
        <f>IF(I40&gt;0,J40/I40,0)</f>
        <v/>
      </c>
      <c r="U40">
        <f>IF(T40&gt;=0.8,1,0)</f>
        <v/>
      </c>
    </row>
    <row r="41">
      <c r="A41" t="inlineStr">
        <is>
          <t>SIMULATED Multimodal Ad Study</t>
        </is>
      </c>
      <c r="B41" t="inlineStr">
        <is>
          <t>P06</t>
        </is>
      </c>
      <c r="C41" t="inlineStr">
        <is>
          <t>FEMALE</t>
        </is>
      </c>
      <c r="D41" t="n">
        <v>26</v>
      </c>
      <c r="E41" t="inlineStr">
        <is>
          <t>BA</t>
        </is>
      </c>
      <c r="F41" t="inlineStr">
        <is>
          <t>Stimulus</t>
        </is>
      </c>
      <c r="G41" t="inlineStr">
        <is>
          <t>Baseline</t>
        </is>
      </c>
      <c r="H41" t="n">
        <v>26597</v>
      </c>
      <c r="I41" t="n">
        <v>60000</v>
      </c>
      <c r="J41" t="n">
        <v>60000</v>
      </c>
      <c r="K41" t="inlineStr">
        <is>
          <t>Baseline</t>
        </is>
      </c>
      <c r="L41" t="n">
        <v>1</v>
      </c>
      <c r="M41" t="n">
        <v>1</v>
      </c>
      <c r="N41" t="n">
        <v>1</v>
      </c>
      <c r="O41" t="n">
        <v>0.0616</v>
      </c>
      <c r="P41">
        <f>UPPER(TRIM(B41))</f>
        <v/>
      </c>
      <c r="Q41">
        <f>IFERROR(INDEX(SessionLog!$A$2:$A$26,MATCH(P41,SessionLog!$N$2:$N$26,0)),"NOT FOUND")</f>
        <v/>
      </c>
      <c r="R41">
        <f>IFERROR(INDEX(SessionLog!$L$2:$L$26,MATCH(P41,SessionLog!$N$2:$N$26,0)),"NOT FOUND")</f>
        <v/>
      </c>
      <c r="S41">
        <f>IF(R41="Yes",Q41&amp;"|"&amp;F41&amp;"|"&amp;G41&amp;"|"&amp;K41,"DROP")</f>
        <v/>
      </c>
      <c r="T41" s="4">
        <f>IF(I41&gt;0,J41/I41,0)</f>
        <v/>
      </c>
      <c r="U41">
        <f>IF(T41&gt;=0.8,1,0)</f>
        <v/>
      </c>
    </row>
    <row r="42">
      <c r="A42" t="inlineStr">
        <is>
          <t>SIMULATED Multimodal Ad Study</t>
        </is>
      </c>
      <c r="B42" t="inlineStr">
        <is>
          <t>P06</t>
        </is>
      </c>
      <c r="C42" t="inlineStr">
        <is>
          <t>FEMALE</t>
        </is>
      </c>
      <c r="D42" t="n">
        <v>26</v>
      </c>
      <c r="E42" t="inlineStr">
        <is>
          <t>BA</t>
        </is>
      </c>
      <c r="F42" t="inlineStr">
        <is>
          <t>Stimulus</t>
        </is>
      </c>
      <c r="G42" t="inlineStr">
        <is>
          <t>Instructions</t>
        </is>
      </c>
      <c r="H42" t="n">
        <v>28</v>
      </c>
      <c r="I42" t="n">
        <v>26522</v>
      </c>
      <c r="J42" t="n">
        <v>26522</v>
      </c>
      <c r="K42" t="inlineStr">
        <is>
          <t>Instructions</t>
        </is>
      </c>
      <c r="L42" t="n">
        <v>1</v>
      </c>
      <c r="M42" t="n">
        <v>1</v>
      </c>
      <c r="N42" t="n">
        <v>2.262</v>
      </c>
      <c r="O42" t="n">
        <v>0.1688</v>
      </c>
      <c r="P42">
        <f>UPPER(TRIM(B42))</f>
        <v/>
      </c>
      <c r="Q42">
        <f>IFERROR(INDEX(SessionLog!$A$2:$A$26,MATCH(P42,SessionLog!$N$2:$N$26,0)),"NOT FOUND")</f>
        <v/>
      </c>
      <c r="R42">
        <f>IFERROR(INDEX(SessionLog!$L$2:$L$26,MATCH(P42,SessionLog!$N$2:$N$26,0)),"NOT FOUND")</f>
        <v/>
      </c>
      <c r="S42">
        <f>IF(R42="Yes",Q42&amp;"|"&amp;F42&amp;"|"&amp;G42&amp;"|"&amp;K42,"DROP")</f>
        <v/>
      </c>
      <c r="T42" s="4">
        <f>IF(I42&gt;0,J42/I42,0)</f>
        <v/>
      </c>
      <c r="U42">
        <f>IF(T42&gt;=0.8,1,0)</f>
        <v/>
      </c>
    </row>
    <row r="43">
      <c r="A43" t="inlineStr">
        <is>
          <t>SIMULATED Multimodal Ad Study</t>
        </is>
      </c>
      <c r="B43" t="inlineStr">
        <is>
          <t>P06</t>
        </is>
      </c>
      <c r="C43" t="inlineStr">
        <is>
          <t>FEMALE</t>
        </is>
      </c>
      <c r="D43" t="n">
        <v>26</v>
      </c>
      <c r="E43" t="inlineStr">
        <is>
          <t>BA</t>
        </is>
      </c>
      <c r="F43" t="inlineStr">
        <is>
          <t>Stimulus</t>
        </is>
      </c>
      <c r="G43" t="inlineStr">
        <is>
          <t>Questionnaire</t>
        </is>
      </c>
      <c r="H43" t="n">
        <v>146821</v>
      </c>
      <c r="I43" t="n">
        <v>92876</v>
      </c>
      <c r="J43" t="n">
        <v>92876</v>
      </c>
      <c r="K43" t="inlineStr">
        <is>
          <t>Questionnaire</t>
        </is>
      </c>
      <c r="L43" t="n">
        <v>1</v>
      </c>
      <c r="M43" t="n">
        <v>5</v>
      </c>
      <c r="N43" t="n">
        <v>3.23</v>
      </c>
      <c r="O43" t="n">
        <v>0.1295</v>
      </c>
      <c r="P43">
        <f>UPPER(TRIM(B43))</f>
        <v/>
      </c>
      <c r="Q43">
        <f>IFERROR(INDEX(SessionLog!$A$2:$A$26,MATCH(P43,SessionLog!$N$2:$N$26,0)),"NOT FOUND")</f>
        <v/>
      </c>
      <c r="R43">
        <f>IFERROR(INDEX(SessionLog!$L$2:$L$26,MATCH(P43,SessionLog!$N$2:$N$26,0)),"NOT FOUND")</f>
        <v/>
      </c>
      <c r="S43">
        <f>IF(R43="Yes",Q43&amp;"|"&amp;F43&amp;"|"&amp;G43&amp;"|"&amp;K43,"DROP")</f>
        <v/>
      </c>
      <c r="T43" s="4">
        <f>IF(I43&gt;0,J43/I43,0)</f>
        <v/>
      </c>
      <c r="U43">
        <f>IF(T43&gt;=0.8,1,0)</f>
        <v/>
      </c>
    </row>
    <row r="44">
      <c r="A44" t="inlineStr">
        <is>
          <t>SIMULATED Multimodal Ad Study</t>
        </is>
      </c>
      <c r="B44" t="inlineStr">
        <is>
          <t>P06</t>
        </is>
      </c>
      <c r="C44" t="inlineStr">
        <is>
          <t>FEMALE</t>
        </is>
      </c>
      <c r="D44" t="n">
        <v>26</v>
      </c>
      <c r="E44" t="inlineStr">
        <is>
          <t>BA</t>
        </is>
      </c>
      <c r="F44" t="inlineStr">
        <is>
          <t>Annotation</t>
        </is>
      </c>
      <c r="G44" t="inlineStr">
        <is>
          <t>EndCard</t>
        </is>
      </c>
      <c r="H44" t="n">
        <v>141781</v>
      </c>
      <c r="I44" t="n">
        <v>5000</v>
      </c>
      <c r="J44" t="n">
        <v>5000</v>
      </c>
      <c r="K44" t="inlineStr">
        <is>
          <t>Ad_A</t>
        </is>
      </c>
      <c r="L44" t="n">
        <v>0</v>
      </c>
      <c r="M44" t="n">
        <v>0</v>
      </c>
      <c r="N44" t="n">
        <v>0</v>
      </c>
      <c r="O44" t="inlineStr">
        <is>
          <t>NA</t>
        </is>
      </c>
      <c r="P44">
        <f>UPPER(TRIM(B44))</f>
        <v/>
      </c>
      <c r="Q44">
        <f>IFERROR(INDEX(SessionLog!$A$2:$A$26,MATCH(P44,SessionLog!$N$2:$N$26,0)),"NOT FOUND")</f>
        <v/>
      </c>
      <c r="R44">
        <f>IFERROR(INDEX(SessionLog!$L$2:$L$26,MATCH(P44,SessionLog!$N$2:$N$26,0)),"NOT FOUND")</f>
        <v/>
      </c>
      <c r="S44">
        <f>IF(R44="Yes",Q44&amp;"|"&amp;F44&amp;"|"&amp;G44&amp;"|"&amp;K44,"DROP")</f>
        <v/>
      </c>
      <c r="T44" s="4">
        <f>IF(I44&gt;0,J44/I44,0)</f>
        <v/>
      </c>
      <c r="U44">
        <f>IF(T44&gt;=0.8,1,0)</f>
        <v/>
      </c>
    </row>
    <row r="45">
      <c r="A45" t="inlineStr">
        <is>
          <t>SIMULATED Multimodal Ad Study</t>
        </is>
      </c>
      <c r="B45" t="inlineStr">
        <is>
          <t>P06</t>
        </is>
      </c>
      <c r="C45" t="inlineStr">
        <is>
          <t>FEMALE</t>
        </is>
      </c>
      <c r="D45" t="n">
        <v>26</v>
      </c>
      <c r="E45" t="inlineStr">
        <is>
          <t>BA</t>
        </is>
      </c>
      <c r="F45" t="inlineStr">
        <is>
          <t>Annotation</t>
        </is>
      </c>
      <c r="G45" t="inlineStr">
        <is>
          <t>EndCard</t>
        </is>
      </c>
      <c r="H45" t="n">
        <v>111693</v>
      </c>
      <c r="I45" t="n">
        <v>5000</v>
      </c>
      <c r="J45" t="n">
        <v>5000</v>
      </c>
      <c r="K45" t="inlineStr">
        <is>
          <t>Ad_B</t>
        </is>
      </c>
      <c r="L45" t="n">
        <v>1</v>
      </c>
      <c r="M45" t="n">
        <v>1</v>
      </c>
      <c r="N45" t="n">
        <v>12</v>
      </c>
      <c r="O45" t="n">
        <v>0.1239</v>
      </c>
      <c r="P45">
        <f>UPPER(TRIM(B45))</f>
        <v/>
      </c>
      <c r="Q45">
        <f>IFERROR(INDEX(SessionLog!$A$2:$A$26,MATCH(P45,SessionLog!$N$2:$N$26,0)),"NOT FOUND")</f>
        <v/>
      </c>
      <c r="R45">
        <f>IFERROR(INDEX(SessionLog!$L$2:$L$26,MATCH(P45,SessionLog!$N$2:$N$26,0)),"NOT FOUND")</f>
        <v/>
      </c>
      <c r="S45">
        <f>IF(R45="Yes",Q45&amp;"|"&amp;F45&amp;"|"&amp;G45&amp;"|"&amp;K45,"DROP")</f>
        <v/>
      </c>
      <c r="T45" s="4">
        <f>IF(I45&gt;0,J45/I45,0)</f>
        <v/>
      </c>
      <c r="U45">
        <f>IF(T45&gt;=0.8,1,0)</f>
        <v/>
      </c>
    </row>
    <row r="46">
      <c r="A46" t="inlineStr">
        <is>
          <t>SIMULATED Multimodal Ad Study</t>
        </is>
      </c>
      <c r="B46" t="inlineStr">
        <is>
          <t>P07</t>
        </is>
      </c>
      <c r="C46" t="inlineStr">
        <is>
          <t>FEMALE</t>
        </is>
      </c>
      <c r="D46" t="n">
        <v>23</v>
      </c>
      <c r="E46" t="inlineStr">
        <is>
          <t>AB</t>
        </is>
      </c>
      <c r="F46" t="inlineStr">
        <is>
          <t>Stimulus</t>
        </is>
      </c>
      <c r="G46" t="inlineStr">
        <is>
          <t>Ad_A</t>
        </is>
      </c>
      <c r="H46" t="n">
        <v>79162</v>
      </c>
      <c r="I46" t="n">
        <v>30000</v>
      </c>
      <c r="J46" t="n">
        <v>30000</v>
      </c>
      <c r="K46" t="inlineStr">
        <is>
          <t>Ad_A</t>
        </is>
      </c>
      <c r="L46" t="n">
        <v>1</v>
      </c>
      <c r="M46" t="n">
        <v>3</v>
      </c>
      <c r="N46" t="n">
        <v>6</v>
      </c>
      <c r="O46" t="n">
        <v>0.2421</v>
      </c>
      <c r="P46">
        <f>UPPER(TRIM(B46))</f>
        <v/>
      </c>
      <c r="Q46">
        <f>IFERROR(INDEX(SessionLog!$A$2:$A$26,MATCH(P46,SessionLog!$N$2:$N$26,0)),"NOT FOUND")</f>
        <v/>
      </c>
      <c r="R46">
        <f>IFERROR(INDEX(SessionLog!$L$2:$L$26,MATCH(P46,SessionLog!$N$2:$N$26,0)),"NOT FOUND")</f>
        <v/>
      </c>
      <c r="S46">
        <f>IF(R46="Yes",Q46&amp;"|"&amp;F46&amp;"|"&amp;G46&amp;"|"&amp;K46,"DROP")</f>
        <v/>
      </c>
      <c r="T46" s="4">
        <f>IF(I46&gt;0,J46/I46,0)</f>
        <v/>
      </c>
      <c r="U46">
        <f>IF(T46&gt;=0.8,1,0)</f>
        <v/>
      </c>
    </row>
    <row r="47">
      <c r="A47" t="inlineStr">
        <is>
          <t>SIMULATED Multimodal Ad Study</t>
        </is>
      </c>
      <c r="B47" t="inlineStr">
        <is>
          <t>P07</t>
        </is>
      </c>
      <c r="C47" t="inlineStr">
        <is>
          <t>FEMALE</t>
        </is>
      </c>
      <c r="D47" t="n">
        <v>23</v>
      </c>
      <c r="E47" t="inlineStr">
        <is>
          <t>AB</t>
        </is>
      </c>
      <c r="F47" t="inlineStr">
        <is>
          <t>Stimulus</t>
        </is>
      </c>
      <c r="G47" t="inlineStr">
        <is>
          <t>Ad_B</t>
        </is>
      </c>
      <c r="H47" t="n">
        <v>109269</v>
      </c>
      <c r="I47" t="n">
        <v>30000</v>
      </c>
      <c r="J47" t="n">
        <v>30000</v>
      </c>
      <c r="K47" t="inlineStr">
        <is>
          <t>Ad_B</t>
        </is>
      </c>
      <c r="L47" t="n">
        <v>1</v>
      </c>
      <c r="M47" t="n">
        <v>1</v>
      </c>
      <c r="N47" t="n">
        <v>2</v>
      </c>
      <c r="O47" t="n">
        <v>0.1754</v>
      </c>
      <c r="P47">
        <f>UPPER(TRIM(B47))</f>
        <v/>
      </c>
      <c r="Q47">
        <f>IFERROR(INDEX(SessionLog!$A$2:$A$26,MATCH(P47,SessionLog!$N$2:$N$26,0)),"NOT FOUND")</f>
        <v/>
      </c>
      <c r="R47">
        <f>IFERROR(INDEX(SessionLog!$L$2:$L$26,MATCH(P47,SessionLog!$N$2:$N$26,0)),"NOT FOUND")</f>
        <v/>
      </c>
      <c r="S47">
        <f>IF(R47="Yes",Q47&amp;"|"&amp;F47&amp;"|"&amp;G47&amp;"|"&amp;K47,"DROP")</f>
        <v/>
      </c>
      <c r="T47" s="4">
        <f>IF(I47&gt;0,J47/I47,0)</f>
        <v/>
      </c>
      <c r="U47">
        <f>IF(T47&gt;=0.8,1,0)</f>
        <v/>
      </c>
    </row>
    <row r="48">
      <c r="A48" t="inlineStr">
        <is>
          <t>SIMULATED Multimodal Ad Study</t>
        </is>
      </c>
      <c r="B48" t="inlineStr">
        <is>
          <t>P07</t>
        </is>
      </c>
      <c r="C48" t="inlineStr">
        <is>
          <t>FEMALE</t>
        </is>
      </c>
      <c r="D48" t="n">
        <v>23</v>
      </c>
      <c r="E48" t="inlineStr">
        <is>
          <t>AB</t>
        </is>
      </c>
      <c r="F48" t="inlineStr">
        <is>
          <t>Stimulus</t>
        </is>
      </c>
      <c r="G48" t="inlineStr">
        <is>
          <t>Baseline</t>
        </is>
      </c>
      <c r="H48" t="n">
        <v>19041</v>
      </c>
      <c r="I48" t="n">
        <v>60000</v>
      </c>
      <c r="J48" t="n">
        <v>60000</v>
      </c>
      <c r="K48" t="inlineStr">
        <is>
          <t>Baseline</t>
        </is>
      </c>
      <c r="L48" t="n">
        <v>1</v>
      </c>
      <c r="M48" t="n">
        <v>2</v>
      </c>
      <c r="N48" t="n">
        <v>2</v>
      </c>
      <c r="O48" t="n">
        <v>0.2542</v>
      </c>
      <c r="P48">
        <f>UPPER(TRIM(B48))</f>
        <v/>
      </c>
      <c r="Q48">
        <f>IFERROR(INDEX(SessionLog!$A$2:$A$26,MATCH(P48,SessionLog!$N$2:$N$26,0)),"NOT FOUND")</f>
        <v/>
      </c>
      <c r="R48">
        <f>IFERROR(INDEX(SessionLog!$L$2:$L$26,MATCH(P48,SessionLog!$N$2:$N$26,0)),"NOT FOUND")</f>
        <v/>
      </c>
      <c r="S48">
        <f>IF(R48="Yes",Q48&amp;"|"&amp;F48&amp;"|"&amp;G48&amp;"|"&amp;K48,"DROP")</f>
        <v/>
      </c>
      <c r="T48" s="4">
        <f>IF(I48&gt;0,J48/I48,0)</f>
        <v/>
      </c>
      <c r="U48">
        <f>IF(T48&gt;=0.8,1,0)</f>
        <v/>
      </c>
    </row>
    <row r="49">
      <c r="A49" t="inlineStr">
        <is>
          <t>SIMULATED Multimodal Ad Study</t>
        </is>
      </c>
      <c r="B49" t="inlineStr">
        <is>
          <t>P07</t>
        </is>
      </c>
      <c r="C49" t="inlineStr">
        <is>
          <t>FEMALE</t>
        </is>
      </c>
      <c r="D49" t="n">
        <v>23</v>
      </c>
      <c r="E49" t="inlineStr">
        <is>
          <t>AB</t>
        </is>
      </c>
      <c r="F49" t="inlineStr">
        <is>
          <t>Stimulus</t>
        </is>
      </c>
      <c r="G49" t="inlineStr">
        <is>
          <t>Instructions</t>
        </is>
      </c>
      <c r="H49" t="n">
        <v>40</v>
      </c>
      <c r="I49" t="n">
        <v>18969</v>
      </c>
      <c r="J49" t="n">
        <v>18969</v>
      </c>
      <c r="K49" t="inlineStr">
        <is>
          <t>Instructions</t>
        </is>
      </c>
      <c r="L49" t="n">
        <v>0</v>
      </c>
      <c r="M49" t="n">
        <v>0</v>
      </c>
      <c r="N49" t="n">
        <v>0</v>
      </c>
      <c r="O49" t="inlineStr">
        <is>
          <t>NA</t>
        </is>
      </c>
      <c r="P49">
        <f>UPPER(TRIM(B49))</f>
        <v/>
      </c>
      <c r="Q49">
        <f>IFERROR(INDEX(SessionLog!$A$2:$A$26,MATCH(P49,SessionLog!$N$2:$N$26,0)),"NOT FOUND")</f>
        <v/>
      </c>
      <c r="R49">
        <f>IFERROR(INDEX(SessionLog!$L$2:$L$26,MATCH(P49,SessionLog!$N$2:$N$26,0)),"NOT FOUND")</f>
        <v/>
      </c>
      <c r="S49">
        <f>IF(R49="Yes",Q49&amp;"|"&amp;F49&amp;"|"&amp;G49&amp;"|"&amp;K49,"DROP")</f>
        <v/>
      </c>
      <c r="T49" s="4">
        <f>IF(I49&gt;0,J49/I49,0)</f>
        <v/>
      </c>
      <c r="U49">
        <f>IF(T49&gt;=0.8,1,0)</f>
        <v/>
      </c>
    </row>
    <row r="50">
      <c r="A50" t="inlineStr">
        <is>
          <t>SIMULATED Multimodal Ad Study</t>
        </is>
      </c>
      <c r="B50" t="inlineStr">
        <is>
          <t>P07</t>
        </is>
      </c>
      <c r="C50" t="inlineStr">
        <is>
          <t>FEMALE</t>
        </is>
      </c>
      <c r="D50" t="n">
        <v>23</v>
      </c>
      <c r="E50" t="inlineStr">
        <is>
          <t>AB</t>
        </is>
      </c>
      <c r="F50" t="inlineStr">
        <is>
          <t>Stimulus</t>
        </is>
      </c>
      <c r="G50" t="inlineStr">
        <is>
          <t>Questionnaire</t>
        </is>
      </c>
      <c r="H50" t="n">
        <v>139308</v>
      </c>
      <c r="I50" t="n">
        <v>127104</v>
      </c>
      <c r="J50" t="n">
        <v>127104</v>
      </c>
      <c r="K50" t="inlineStr">
        <is>
          <t>Questionnaire</t>
        </is>
      </c>
      <c r="L50" t="n">
        <v>1</v>
      </c>
      <c r="M50" t="n">
        <v>2</v>
      </c>
      <c r="N50" t="n">
        <v>0.944</v>
      </c>
      <c r="O50" t="n">
        <v>0.1871</v>
      </c>
      <c r="P50">
        <f>UPPER(TRIM(B50))</f>
        <v/>
      </c>
      <c r="Q50">
        <f>IFERROR(INDEX(SessionLog!$A$2:$A$26,MATCH(P50,SessionLog!$N$2:$N$26,0)),"NOT FOUND")</f>
        <v/>
      </c>
      <c r="R50">
        <f>IFERROR(INDEX(SessionLog!$L$2:$L$26,MATCH(P50,SessionLog!$N$2:$N$26,0)),"NOT FOUND")</f>
        <v/>
      </c>
      <c r="S50">
        <f>IF(R50="Yes",Q50&amp;"|"&amp;F50&amp;"|"&amp;G50&amp;"|"&amp;K50,"DROP")</f>
        <v/>
      </c>
      <c r="T50" s="4">
        <f>IF(I50&gt;0,J50/I50,0)</f>
        <v/>
      </c>
      <c r="U50">
        <f>IF(T50&gt;=0.8,1,0)</f>
        <v/>
      </c>
    </row>
    <row r="51">
      <c r="A51" t="inlineStr">
        <is>
          <t>SIMULATED Multimodal Ad Study</t>
        </is>
      </c>
      <c r="B51" t="inlineStr">
        <is>
          <t>P07</t>
        </is>
      </c>
      <c r="C51" t="inlineStr">
        <is>
          <t>FEMALE</t>
        </is>
      </c>
      <c r="D51" t="n">
        <v>23</v>
      </c>
      <c r="E51" t="inlineStr">
        <is>
          <t>AB</t>
        </is>
      </c>
      <c r="F51" t="inlineStr">
        <is>
          <t>Annotation</t>
        </is>
      </c>
      <c r="G51" t="inlineStr">
        <is>
          <t>EndCard</t>
        </is>
      </c>
      <c r="H51" t="n">
        <v>104162</v>
      </c>
      <c r="I51" t="n">
        <v>5000</v>
      </c>
      <c r="J51" t="n">
        <v>5000</v>
      </c>
      <c r="K51" t="inlineStr">
        <is>
          <t>Ad_A</t>
        </is>
      </c>
      <c r="L51" t="n">
        <v>1</v>
      </c>
      <c r="M51" t="n">
        <v>1</v>
      </c>
      <c r="N51" t="n">
        <v>12</v>
      </c>
      <c r="O51" t="n">
        <v>0.5089</v>
      </c>
      <c r="P51">
        <f>UPPER(TRIM(B51))</f>
        <v/>
      </c>
      <c r="Q51">
        <f>IFERROR(INDEX(SessionLog!$A$2:$A$26,MATCH(P51,SessionLog!$N$2:$N$26,0)),"NOT FOUND")</f>
        <v/>
      </c>
      <c r="R51">
        <f>IFERROR(INDEX(SessionLog!$L$2:$L$26,MATCH(P51,SessionLog!$N$2:$N$26,0)),"NOT FOUND")</f>
        <v/>
      </c>
      <c r="S51">
        <f>IF(R51="Yes",Q51&amp;"|"&amp;F51&amp;"|"&amp;G51&amp;"|"&amp;K51,"DROP")</f>
        <v/>
      </c>
      <c r="T51" s="4">
        <f>IF(I51&gt;0,J51/I51,0)</f>
        <v/>
      </c>
      <c r="U51">
        <f>IF(T51&gt;=0.8,1,0)</f>
        <v/>
      </c>
    </row>
    <row r="52">
      <c r="A52" t="inlineStr">
        <is>
          <t>SIMULATED Multimodal Ad Study</t>
        </is>
      </c>
      <c r="B52" t="inlineStr">
        <is>
          <t>P07</t>
        </is>
      </c>
      <c r="C52" t="inlineStr">
        <is>
          <t>FEMALE</t>
        </is>
      </c>
      <c r="D52" t="n">
        <v>23</v>
      </c>
      <c r="E52" t="inlineStr">
        <is>
          <t>AB</t>
        </is>
      </c>
      <c r="F52" t="inlineStr">
        <is>
          <t>Annotation</t>
        </is>
      </c>
      <c r="G52" t="inlineStr">
        <is>
          <t>EndCard</t>
        </is>
      </c>
      <c r="H52" t="n">
        <v>134269</v>
      </c>
      <c r="I52" t="n">
        <v>5000</v>
      </c>
      <c r="J52" t="n">
        <v>5000</v>
      </c>
      <c r="K52" t="inlineStr">
        <is>
          <t>Ad_B</t>
        </is>
      </c>
      <c r="L52" t="n">
        <v>1</v>
      </c>
      <c r="M52" t="n">
        <v>1</v>
      </c>
      <c r="N52" t="n">
        <v>12</v>
      </c>
      <c r="O52" t="n">
        <v>0.1754</v>
      </c>
      <c r="P52">
        <f>UPPER(TRIM(B52))</f>
        <v/>
      </c>
      <c r="Q52">
        <f>IFERROR(INDEX(SessionLog!$A$2:$A$26,MATCH(P52,SessionLog!$N$2:$N$26,0)),"NOT FOUND")</f>
        <v/>
      </c>
      <c r="R52">
        <f>IFERROR(INDEX(SessionLog!$L$2:$L$26,MATCH(P52,SessionLog!$N$2:$N$26,0)),"NOT FOUND")</f>
        <v/>
      </c>
      <c r="S52">
        <f>IF(R52="Yes",Q52&amp;"|"&amp;F52&amp;"|"&amp;G52&amp;"|"&amp;K52,"DROP")</f>
        <v/>
      </c>
      <c r="T52" s="4">
        <f>IF(I52&gt;0,J52/I52,0)</f>
        <v/>
      </c>
      <c r="U52">
        <f>IF(T52&gt;=0.8,1,0)</f>
        <v/>
      </c>
    </row>
    <row r="53">
      <c r="A53" t="inlineStr">
        <is>
          <t>SIMULATED Multimodal Ad Study</t>
        </is>
      </c>
      <c r="B53" t="inlineStr">
        <is>
          <t>P08</t>
        </is>
      </c>
      <c r="C53" t="inlineStr">
        <is>
          <t>FEMALE</t>
        </is>
      </c>
      <c r="D53" t="n">
        <v>21</v>
      </c>
      <c r="E53" t="inlineStr">
        <is>
          <t>BA</t>
        </is>
      </c>
      <c r="F53" t="inlineStr">
        <is>
          <t>Stimulus</t>
        </is>
      </c>
      <c r="G53" t="inlineStr">
        <is>
          <t>Ad_A</t>
        </is>
      </c>
      <c r="H53" t="n">
        <v>116225</v>
      </c>
      <c r="I53" t="n">
        <v>30000</v>
      </c>
      <c r="J53" t="n">
        <v>30000</v>
      </c>
      <c r="K53" t="inlineStr">
        <is>
          <t>Ad_A</t>
        </is>
      </c>
      <c r="L53" t="n">
        <v>1</v>
      </c>
      <c r="M53" t="n">
        <v>3</v>
      </c>
      <c r="N53" t="n">
        <v>6</v>
      </c>
      <c r="O53" t="n">
        <v>0.1088</v>
      </c>
      <c r="P53">
        <f>UPPER(TRIM(B53))</f>
        <v/>
      </c>
      <c r="Q53">
        <f>IFERROR(INDEX(SessionLog!$A$2:$A$26,MATCH(P53,SessionLog!$N$2:$N$26,0)),"NOT FOUND")</f>
        <v/>
      </c>
      <c r="R53">
        <f>IFERROR(INDEX(SessionLog!$L$2:$L$26,MATCH(P53,SessionLog!$N$2:$N$26,0)),"NOT FOUND")</f>
        <v/>
      </c>
      <c r="S53">
        <f>IF(R53="Yes",Q53&amp;"|"&amp;F53&amp;"|"&amp;G53&amp;"|"&amp;K53,"DROP")</f>
        <v/>
      </c>
      <c r="T53" s="4">
        <f>IF(I53&gt;0,J53/I53,0)</f>
        <v/>
      </c>
      <c r="U53">
        <f>IF(T53&gt;=0.8,1,0)</f>
        <v/>
      </c>
    </row>
    <row r="54">
      <c r="A54" t="inlineStr">
        <is>
          <t>SIMULATED Multimodal Ad Study</t>
        </is>
      </c>
      <c r="B54" t="inlineStr">
        <is>
          <t>P08</t>
        </is>
      </c>
      <c r="C54" t="inlineStr">
        <is>
          <t>FEMALE</t>
        </is>
      </c>
      <c r="D54" t="n">
        <v>21</v>
      </c>
      <c r="E54" t="inlineStr">
        <is>
          <t>BA</t>
        </is>
      </c>
      <c r="F54" t="inlineStr">
        <is>
          <t>Stimulus</t>
        </is>
      </c>
      <c r="G54" t="inlineStr">
        <is>
          <t>Ad_B</t>
        </is>
      </c>
      <c r="H54" t="n">
        <v>86145</v>
      </c>
      <c r="I54" t="n">
        <v>30000</v>
      </c>
      <c r="J54" t="n">
        <v>30000</v>
      </c>
      <c r="K54" t="inlineStr">
        <is>
          <t>Ad_B</t>
        </is>
      </c>
      <c r="L54" t="n">
        <v>1</v>
      </c>
      <c r="M54" t="n">
        <v>5</v>
      </c>
      <c r="N54" t="n">
        <v>10</v>
      </c>
      <c r="O54" t="n">
        <v>0.1343</v>
      </c>
      <c r="P54">
        <f>UPPER(TRIM(B54))</f>
        <v/>
      </c>
      <c r="Q54">
        <f>IFERROR(INDEX(SessionLog!$A$2:$A$26,MATCH(P54,SessionLog!$N$2:$N$26,0)),"NOT FOUND")</f>
        <v/>
      </c>
      <c r="R54">
        <f>IFERROR(INDEX(SessionLog!$L$2:$L$26,MATCH(P54,SessionLog!$N$2:$N$26,0)),"NOT FOUND")</f>
        <v/>
      </c>
      <c r="S54">
        <f>IF(R54="Yes",Q54&amp;"|"&amp;F54&amp;"|"&amp;G54&amp;"|"&amp;K54,"DROP")</f>
        <v/>
      </c>
      <c r="T54" s="4">
        <f>IF(I54&gt;0,J54/I54,0)</f>
        <v/>
      </c>
      <c r="U54">
        <f>IF(T54&gt;=0.8,1,0)</f>
        <v/>
      </c>
    </row>
    <row r="55">
      <c r="A55" t="inlineStr">
        <is>
          <t>SIMULATED Multimodal Ad Study</t>
        </is>
      </c>
      <c r="B55" t="inlineStr">
        <is>
          <t>P08</t>
        </is>
      </c>
      <c r="C55" t="inlineStr">
        <is>
          <t>FEMALE</t>
        </is>
      </c>
      <c r="D55" t="n">
        <v>21</v>
      </c>
      <c r="E55" t="inlineStr">
        <is>
          <t>BA</t>
        </is>
      </c>
      <c r="F55" t="inlineStr">
        <is>
          <t>Stimulus</t>
        </is>
      </c>
      <c r="G55" t="inlineStr">
        <is>
          <t>Baseline</t>
        </is>
      </c>
      <c r="H55" t="n">
        <v>26053</v>
      </c>
      <c r="I55" t="n">
        <v>60000</v>
      </c>
      <c r="J55" t="n">
        <v>60000</v>
      </c>
      <c r="K55" t="inlineStr">
        <is>
          <t>Baseline</t>
        </is>
      </c>
      <c r="L55" t="n">
        <v>0</v>
      </c>
      <c r="M55" t="n">
        <v>0</v>
      </c>
      <c r="N55" t="n">
        <v>0</v>
      </c>
      <c r="O55" t="inlineStr">
        <is>
          <t>NA</t>
        </is>
      </c>
      <c r="P55">
        <f>UPPER(TRIM(B55))</f>
        <v/>
      </c>
      <c r="Q55">
        <f>IFERROR(INDEX(SessionLog!$A$2:$A$26,MATCH(P55,SessionLog!$N$2:$N$26,0)),"NOT FOUND")</f>
        <v/>
      </c>
      <c r="R55">
        <f>IFERROR(INDEX(SessionLog!$L$2:$L$26,MATCH(P55,SessionLog!$N$2:$N$26,0)),"NOT FOUND")</f>
        <v/>
      </c>
      <c r="S55">
        <f>IF(R55="Yes",Q55&amp;"|"&amp;F55&amp;"|"&amp;G55&amp;"|"&amp;K55,"DROP")</f>
        <v/>
      </c>
      <c r="T55" s="4">
        <f>IF(I55&gt;0,J55/I55,0)</f>
        <v/>
      </c>
      <c r="U55">
        <f>IF(T55&gt;=0.8,1,0)</f>
        <v/>
      </c>
    </row>
    <row r="56">
      <c r="A56" t="inlineStr">
        <is>
          <t>SIMULATED Multimodal Ad Study</t>
        </is>
      </c>
      <c r="B56" t="inlineStr">
        <is>
          <t>P08</t>
        </is>
      </c>
      <c r="C56" t="inlineStr">
        <is>
          <t>FEMALE</t>
        </is>
      </c>
      <c r="D56" t="n">
        <v>21</v>
      </c>
      <c r="E56" t="inlineStr">
        <is>
          <t>BA</t>
        </is>
      </c>
      <c r="F56" t="inlineStr">
        <is>
          <t>Stimulus</t>
        </is>
      </c>
      <c r="G56" t="inlineStr">
        <is>
          <t>Instructions</t>
        </is>
      </c>
      <c r="H56" t="n">
        <v>29</v>
      </c>
      <c r="I56" t="n">
        <v>25982</v>
      </c>
      <c r="J56" t="n">
        <v>25982</v>
      </c>
      <c r="K56" t="inlineStr">
        <is>
          <t>Instructions</t>
        </is>
      </c>
      <c r="L56" t="n">
        <v>1</v>
      </c>
      <c r="M56" t="n">
        <v>1</v>
      </c>
      <c r="N56" t="n">
        <v>2.309</v>
      </c>
      <c r="O56" t="n">
        <v>0.0766</v>
      </c>
      <c r="P56">
        <f>UPPER(TRIM(B56))</f>
        <v/>
      </c>
      <c r="Q56">
        <f>IFERROR(INDEX(SessionLog!$A$2:$A$26,MATCH(P56,SessionLog!$N$2:$N$26,0)),"NOT FOUND")</f>
        <v/>
      </c>
      <c r="R56">
        <f>IFERROR(INDEX(SessionLog!$L$2:$L$26,MATCH(P56,SessionLog!$N$2:$N$26,0)),"NOT FOUND")</f>
        <v/>
      </c>
      <c r="S56">
        <f>IF(R56="Yes",Q56&amp;"|"&amp;F56&amp;"|"&amp;G56&amp;"|"&amp;K56,"DROP")</f>
        <v/>
      </c>
      <c r="T56" s="4">
        <f>IF(I56&gt;0,J56/I56,0)</f>
        <v/>
      </c>
      <c r="U56">
        <f>IF(T56&gt;=0.8,1,0)</f>
        <v/>
      </c>
    </row>
    <row r="57">
      <c r="A57" t="inlineStr">
        <is>
          <t>SIMULATED Multimodal Ad Study</t>
        </is>
      </c>
      <c r="B57" t="inlineStr">
        <is>
          <t>P08</t>
        </is>
      </c>
      <c r="C57" t="inlineStr">
        <is>
          <t>FEMALE</t>
        </is>
      </c>
      <c r="D57" t="n">
        <v>21</v>
      </c>
      <c r="E57" t="inlineStr">
        <is>
          <t>BA</t>
        </is>
      </c>
      <c r="F57" t="inlineStr">
        <is>
          <t>Stimulus</t>
        </is>
      </c>
      <c r="G57" t="inlineStr">
        <is>
          <t>Questionnaire</t>
        </is>
      </c>
      <c r="H57" t="n">
        <v>146251</v>
      </c>
      <c r="I57" t="n">
        <v>94377</v>
      </c>
      <c r="J57" t="n">
        <v>94377</v>
      </c>
      <c r="K57" t="inlineStr">
        <is>
          <t>Questionnaire</t>
        </is>
      </c>
      <c r="L57" t="n">
        <v>1</v>
      </c>
      <c r="M57" t="n">
        <v>8</v>
      </c>
      <c r="N57" t="n">
        <v>5.086</v>
      </c>
      <c r="O57" t="n">
        <v>0.1814</v>
      </c>
      <c r="P57">
        <f>UPPER(TRIM(B57))</f>
        <v/>
      </c>
      <c r="Q57">
        <f>IFERROR(INDEX(SessionLog!$A$2:$A$26,MATCH(P57,SessionLog!$N$2:$N$26,0)),"NOT FOUND")</f>
        <v/>
      </c>
      <c r="R57">
        <f>IFERROR(INDEX(SessionLog!$L$2:$L$26,MATCH(P57,SessionLog!$N$2:$N$26,0)),"NOT FOUND")</f>
        <v/>
      </c>
      <c r="S57">
        <f>IF(R57="Yes",Q57&amp;"|"&amp;F57&amp;"|"&amp;G57&amp;"|"&amp;K57,"DROP")</f>
        <v/>
      </c>
      <c r="T57" s="4">
        <f>IF(I57&gt;0,J57/I57,0)</f>
        <v/>
      </c>
      <c r="U57">
        <f>IF(T57&gt;=0.8,1,0)</f>
        <v/>
      </c>
    </row>
    <row r="58">
      <c r="A58" t="inlineStr">
        <is>
          <t>SIMULATED Multimodal Ad Study</t>
        </is>
      </c>
      <c r="B58" t="inlineStr">
        <is>
          <t>P08</t>
        </is>
      </c>
      <c r="C58" t="inlineStr">
        <is>
          <t>FEMALE</t>
        </is>
      </c>
      <c r="D58" t="n">
        <v>21</v>
      </c>
      <c r="E58" t="inlineStr">
        <is>
          <t>BA</t>
        </is>
      </c>
      <c r="F58" t="inlineStr">
        <is>
          <t>Annotation</t>
        </is>
      </c>
      <c r="G58" t="inlineStr">
        <is>
          <t>EndCard</t>
        </is>
      </c>
      <c r="H58" t="n">
        <v>141225</v>
      </c>
      <c r="I58" t="n">
        <v>5000</v>
      </c>
      <c r="J58" t="n">
        <v>5000</v>
      </c>
      <c r="K58" t="inlineStr">
        <is>
          <t>Ad_A</t>
        </is>
      </c>
      <c r="L58" t="n">
        <v>1</v>
      </c>
      <c r="M58" t="n">
        <v>1</v>
      </c>
      <c r="N58" t="n">
        <v>12</v>
      </c>
      <c r="O58" t="n">
        <v>0.06660000000000001</v>
      </c>
      <c r="P58">
        <f>UPPER(TRIM(B58))</f>
        <v/>
      </c>
      <c r="Q58">
        <f>IFERROR(INDEX(SessionLog!$A$2:$A$26,MATCH(P58,SessionLog!$N$2:$N$26,0)),"NOT FOUND")</f>
        <v/>
      </c>
      <c r="R58">
        <f>IFERROR(INDEX(SessionLog!$L$2:$L$26,MATCH(P58,SessionLog!$N$2:$N$26,0)),"NOT FOUND")</f>
        <v/>
      </c>
      <c r="S58">
        <f>IF(R58="Yes",Q58&amp;"|"&amp;F58&amp;"|"&amp;G58&amp;"|"&amp;K58,"DROP")</f>
        <v/>
      </c>
      <c r="T58" s="4">
        <f>IF(I58&gt;0,J58/I58,0)</f>
        <v/>
      </c>
      <c r="U58">
        <f>IF(T58&gt;=0.8,1,0)</f>
        <v/>
      </c>
    </row>
    <row r="59">
      <c r="A59" t="inlineStr">
        <is>
          <t>SIMULATED Multimodal Ad Study</t>
        </is>
      </c>
      <c r="B59" t="inlineStr">
        <is>
          <t>P08</t>
        </is>
      </c>
      <c r="C59" t="inlineStr">
        <is>
          <t>FEMALE</t>
        </is>
      </c>
      <c r="D59" t="n">
        <v>21</v>
      </c>
      <c r="E59" t="inlineStr">
        <is>
          <t>BA</t>
        </is>
      </c>
      <c r="F59" t="inlineStr">
        <is>
          <t>Annotation</t>
        </is>
      </c>
      <c r="G59" t="inlineStr">
        <is>
          <t>EndCard</t>
        </is>
      </c>
      <c r="H59" t="n">
        <v>111145</v>
      </c>
      <c r="I59" t="n">
        <v>5000</v>
      </c>
      <c r="J59" t="n">
        <v>5000</v>
      </c>
      <c r="K59" t="inlineStr">
        <is>
          <t>Ad_B</t>
        </is>
      </c>
      <c r="L59" t="n">
        <v>0</v>
      </c>
      <c r="M59" t="n">
        <v>0</v>
      </c>
      <c r="N59" t="n">
        <v>0</v>
      </c>
      <c r="O59" t="inlineStr">
        <is>
          <t>NA</t>
        </is>
      </c>
      <c r="P59">
        <f>UPPER(TRIM(B59))</f>
        <v/>
      </c>
      <c r="Q59">
        <f>IFERROR(INDEX(SessionLog!$A$2:$A$26,MATCH(P59,SessionLog!$N$2:$N$26,0)),"NOT FOUND")</f>
        <v/>
      </c>
      <c r="R59">
        <f>IFERROR(INDEX(SessionLog!$L$2:$L$26,MATCH(P59,SessionLog!$N$2:$N$26,0)),"NOT FOUND")</f>
        <v/>
      </c>
      <c r="S59">
        <f>IF(R59="Yes",Q59&amp;"|"&amp;F59&amp;"|"&amp;G59&amp;"|"&amp;K59,"DROP")</f>
        <v/>
      </c>
      <c r="T59" s="4">
        <f>IF(I59&gt;0,J59/I59,0)</f>
        <v/>
      </c>
      <c r="U59">
        <f>IF(T59&gt;=0.8,1,0)</f>
        <v/>
      </c>
    </row>
    <row r="60">
      <c r="A60" t="inlineStr">
        <is>
          <t>SIMULATED Multimodal Ad Study</t>
        </is>
      </c>
      <c r="B60" t="inlineStr">
        <is>
          <t>P09</t>
        </is>
      </c>
      <c r="C60" t="inlineStr">
        <is>
          <t>FEMALE</t>
        </is>
      </c>
      <c r="D60" t="n">
        <v>20</v>
      </c>
      <c r="E60" t="inlineStr">
        <is>
          <t>AB</t>
        </is>
      </c>
      <c r="F60" t="inlineStr">
        <is>
          <t>Stimulus</t>
        </is>
      </c>
      <c r="G60" t="inlineStr">
        <is>
          <t>Ad_A</t>
        </is>
      </c>
      <c r="H60" t="n">
        <v>82520</v>
      </c>
      <c r="I60" t="n">
        <v>30000</v>
      </c>
      <c r="J60" t="n">
        <v>30000</v>
      </c>
      <c r="K60" t="inlineStr">
        <is>
          <t>Ad_A</t>
        </is>
      </c>
      <c r="L60" t="n">
        <v>1</v>
      </c>
      <c r="M60" t="n">
        <v>2</v>
      </c>
      <c r="N60" t="n">
        <v>4</v>
      </c>
      <c r="O60" t="n">
        <v>0.1443</v>
      </c>
      <c r="P60">
        <f>UPPER(TRIM(B60))</f>
        <v/>
      </c>
      <c r="Q60">
        <f>IFERROR(INDEX(SessionLog!$A$2:$A$26,MATCH(P60,SessionLog!$N$2:$N$26,0)),"NOT FOUND")</f>
        <v/>
      </c>
      <c r="R60">
        <f>IFERROR(INDEX(SessionLog!$L$2:$L$26,MATCH(P60,SessionLog!$N$2:$N$26,0)),"NOT FOUND")</f>
        <v/>
      </c>
      <c r="S60">
        <f>IF(R60="Yes",Q60&amp;"|"&amp;F60&amp;"|"&amp;G60&amp;"|"&amp;K60,"DROP")</f>
        <v/>
      </c>
      <c r="T60" s="4">
        <f>IF(I60&gt;0,J60/I60,0)</f>
        <v/>
      </c>
      <c r="U60">
        <f>IF(T60&gt;=0.8,1,0)</f>
        <v/>
      </c>
    </row>
    <row r="61">
      <c r="A61" t="inlineStr">
        <is>
          <t>SIMULATED Multimodal Ad Study</t>
        </is>
      </c>
      <c r="B61" t="inlineStr">
        <is>
          <t>P09</t>
        </is>
      </c>
      <c r="C61" t="inlineStr">
        <is>
          <t>FEMALE</t>
        </is>
      </c>
      <c r="D61" t="n">
        <v>20</v>
      </c>
      <c r="E61" t="inlineStr">
        <is>
          <t>AB</t>
        </is>
      </c>
      <c r="F61" t="inlineStr">
        <is>
          <t>Stimulus</t>
        </is>
      </c>
      <c r="G61" t="inlineStr">
        <is>
          <t>Ad_B</t>
        </is>
      </c>
      <c r="H61" t="n">
        <v>112611</v>
      </c>
      <c r="I61" t="n">
        <v>30000</v>
      </c>
      <c r="J61" t="n">
        <v>30000</v>
      </c>
      <c r="K61" t="inlineStr">
        <is>
          <t>Ad_B</t>
        </is>
      </c>
      <c r="L61" t="n">
        <v>1</v>
      </c>
      <c r="M61" t="n">
        <v>5</v>
      </c>
      <c r="N61" t="n">
        <v>10</v>
      </c>
      <c r="O61" t="n">
        <v>0.1693</v>
      </c>
      <c r="P61">
        <f>UPPER(TRIM(B61))</f>
        <v/>
      </c>
      <c r="Q61">
        <f>IFERROR(INDEX(SessionLog!$A$2:$A$26,MATCH(P61,SessionLog!$N$2:$N$26,0)),"NOT FOUND")</f>
        <v/>
      </c>
      <c r="R61">
        <f>IFERROR(INDEX(SessionLog!$L$2:$L$26,MATCH(P61,SessionLog!$N$2:$N$26,0)),"NOT FOUND")</f>
        <v/>
      </c>
      <c r="S61">
        <f>IF(R61="Yes",Q61&amp;"|"&amp;F61&amp;"|"&amp;G61&amp;"|"&amp;K61,"DROP")</f>
        <v/>
      </c>
      <c r="T61" s="4">
        <f>IF(I61&gt;0,J61/I61,0)</f>
        <v/>
      </c>
      <c r="U61">
        <f>IF(T61&gt;=0.8,1,0)</f>
        <v/>
      </c>
    </row>
    <row r="62">
      <c r="A62" t="inlineStr">
        <is>
          <t>SIMULATED Multimodal Ad Study</t>
        </is>
      </c>
      <c r="B62" t="inlineStr">
        <is>
          <t>P09</t>
        </is>
      </c>
      <c r="C62" t="inlineStr">
        <is>
          <t>FEMALE</t>
        </is>
      </c>
      <c r="D62" t="n">
        <v>20</v>
      </c>
      <c r="E62" t="inlineStr">
        <is>
          <t>AB</t>
        </is>
      </c>
      <c r="F62" t="inlineStr">
        <is>
          <t>Stimulus</t>
        </is>
      </c>
      <c r="G62" t="inlineStr">
        <is>
          <t>Baseline</t>
        </is>
      </c>
      <c r="H62" t="n">
        <v>22455</v>
      </c>
      <c r="I62" t="n">
        <v>60000</v>
      </c>
      <c r="J62" t="n">
        <v>60000</v>
      </c>
      <c r="K62" t="inlineStr">
        <is>
          <t>Baseline</t>
        </is>
      </c>
      <c r="L62" t="n">
        <v>1</v>
      </c>
      <c r="M62" t="n">
        <v>3</v>
      </c>
      <c r="N62" t="n">
        <v>3</v>
      </c>
      <c r="O62" t="n">
        <v>0.1238</v>
      </c>
      <c r="P62">
        <f>UPPER(TRIM(B62))</f>
        <v/>
      </c>
      <c r="Q62">
        <f>IFERROR(INDEX(SessionLog!$A$2:$A$26,MATCH(P62,SessionLog!$N$2:$N$26,0)),"NOT FOUND")</f>
        <v/>
      </c>
      <c r="R62">
        <f>IFERROR(INDEX(SessionLog!$L$2:$L$26,MATCH(P62,SessionLog!$N$2:$N$26,0)),"NOT FOUND")</f>
        <v/>
      </c>
      <c r="S62">
        <f>IF(R62="Yes",Q62&amp;"|"&amp;F62&amp;"|"&amp;G62&amp;"|"&amp;K62,"DROP")</f>
        <v/>
      </c>
      <c r="T62" s="4">
        <f>IF(I62&gt;0,J62/I62,0)</f>
        <v/>
      </c>
      <c r="U62">
        <f>IF(T62&gt;=0.8,1,0)</f>
        <v/>
      </c>
    </row>
    <row r="63">
      <c r="A63" t="inlineStr">
        <is>
          <t>SIMULATED Multimodal Ad Study</t>
        </is>
      </c>
      <c r="B63" t="inlineStr">
        <is>
          <t>P09</t>
        </is>
      </c>
      <c r="C63" t="inlineStr">
        <is>
          <t>FEMALE</t>
        </is>
      </c>
      <c r="D63" t="n">
        <v>20</v>
      </c>
      <c r="E63" t="inlineStr">
        <is>
          <t>AB</t>
        </is>
      </c>
      <c r="F63" t="inlineStr">
        <is>
          <t>Stimulus</t>
        </is>
      </c>
      <c r="G63" t="inlineStr">
        <is>
          <t>Instructions</t>
        </is>
      </c>
      <c r="H63" t="n">
        <v>39</v>
      </c>
      <c r="I63" t="n">
        <v>22377</v>
      </c>
      <c r="J63" t="n">
        <v>22377</v>
      </c>
      <c r="K63" t="inlineStr">
        <is>
          <t>Instructions</t>
        </is>
      </c>
      <c r="L63" t="n">
        <v>1</v>
      </c>
      <c r="M63" t="n">
        <v>1</v>
      </c>
      <c r="N63" t="n">
        <v>2.681</v>
      </c>
      <c r="O63" t="n">
        <v>0.1685</v>
      </c>
      <c r="P63">
        <f>UPPER(TRIM(B63))</f>
        <v/>
      </c>
      <c r="Q63">
        <f>IFERROR(INDEX(SessionLog!$A$2:$A$26,MATCH(P63,SessionLog!$N$2:$N$26,0)),"NOT FOUND")</f>
        <v/>
      </c>
      <c r="R63">
        <f>IFERROR(INDEX(SessionLog!$L$2:$L$26,MATCH(P63,SessionLog!$N$2:$N$26,0)),"NOT FOUND")</f>
        <v/>
      </c>
      <c r="S63">
        <f>IF(R63="Yes",Q63&amp;"|"&amp;F63&amp;"|"&amp;G63&amp;"|"&amp;K63,"DROP")</f>
        <v/>
      </c>
      <c r="T63" s="4">
        <f>IF(I63&gt;0,J63/I63,0)</f>
        <v/>
      </c>
      <c r="U63">
        <f>IF(T63&gt;=0.8,1,0)</f>
        <v/>
      </c>
    </row>
    <row r="64">
      <c r="A64" t="inlineStr">
        <is>
          <t>SIMULATED Multimodal Ad Study</t>
        </is>
      </c>
      <c r="B64" t="inlineStr">
        <is>
          <t>P09</t>
        </is>
      </c>
      <c r="C64" t="inlineStr">
        <is>
          <t>FEMALE</t>
        </is>
      </c>
      <c r="D64" t="n">
        <v>20</v>
      </c>
      <c r="E64" t="inlineStr">
        <is>
          <t>AB</t>
        </is>
      </c>
      <c r="F64" t="inlineStr">
        <is>
          <t>Stimulus</t>
        </is>
      </c>
      <c r="G64" t="inlineStr">
        <is>
          <t>Questionnaire</t>
        </is>
      </c>
      <c r="H64" t="n">
        <v>142659</v>
      </c>
      <c r="I64" t="n">
        <v>104314</v>
      </c>
      <c r="J64" t="n">
        <v>104314</v>
      </c>
      <c r="K64" t="inlineStr">
        <is>
          <t>Questionnaire</t>
        </is>
      </c>
      <c r="L64" t="n">
        <v>1</v>
      </c>
      <c r="M64" t="n">
        <v>7</v>
      </c>
      <c r="N64" t="n">
        <v>4.026</v>
      </c>
      <c r="O64" t="n">
        <v>0.1212</v>
      </c>
      <c r="P64">
        <f>UPPER(TRIM(B64))</f>
        <v/>
      </c>
      <c r="Q64">
        <f>IFERROR(INDEX(SessionLog!$A$2:$A$26,MATCH(P64,SessionLog!$N$2:$N$26,0)),"NOT FOUND")</f>
        <v/>
      </c>
      <c r="R64">
        <f>IFERROR(INDEX(SessionLog!$L$2:$L$26,MATCH(P64,SessionLog!$N$2:$N$26,0)),"NOT FOUND")</f>
        <v/>
      </c>
      <c r="S64">
        <f>IF(R64="Yes",Q64&amp;"|"&amp;F64&amp;"|"&amp;G64&amp;"|"&amp;K64,"DROP")</f>
        <v/>
      </c>
      <c r="T64" s="4">
        <f>IF(I64&gt;0,J64/I64,0)</f>
        <v/>
      </c>
      <c r="U64">
        <f>IF(T64&gt;=0.8,1,0)</f>
        <v/>
      </c>
    </row>
    <row r="65">
      <c r="A65" t="inlineStr">
        <is>
          <t>SIMULATED Multimodal Ad Study</t>
        </is>
      </c>
      <c r="B65" t="inlineStr">
        <is>
          <t>P09</t>
        </is>
      </c>
      <c r="C65" t="inlineStr">
        <is>
          <t>FEMALE</t>
        </is>
      </c>
      <c r="D65" t="n">
        <v>20</v>
      </c>
      <c r="E65" t="inlineStr">
        <is>
          <t>AB</t>
        </is>
      </c>
      <c r="F65" t="inlineStr">
        <is>
          <t>Annotation</t>
        </is>
      </c>
      <c r="G65" t="inlineStr">
        <is>
          <t>EndCard</t>
        </is>
      </c>
      <c r="H65" t="n">
        <v>107520</v>
      </c>
      <c r="I65" t="n">
        <v>5000</v>
      </c>
      <c r="J65" t="n">
        <v>5000</v>
      </c>
      <c r="K65" t="inlineStr">
        <is>
          <t>Ad_A</t>
        </is>
      </c>
      <c r="L65" t="n">
        <v>0</v>
      </c>
      <c r="M65" t="n">
        <v>0</v>
      </c>
      <c r="N65" t="n">
        <v>0</v>
      </c>
      <c r="O65" t="inlineStr">
        <is>
          <t>NA</t>
        </is>
      </c>
      <c r="P65">
        <f>UPPER(TRIM(B65))</f>
        <v/>
      </c>
      <c r="Q65">
        <f>IFERROR(INDEX(SessionLog!$A$2:$A$26,MATCH(P65,SessionLog!$N$2:$N$26,0)),"NOT FOUND")</f>
        <v/>
      </c>
      <c r="R65">
        <f>IFERROR(INDEX(SessionLog!$L$2:$L$26,MATCH(P65,SessionLog!$N$2:$N$26,0)),"NOT FOUND")</f>
        <v/>
      </c>
      <c r="S65">
        <f>IF(R65="Yes",Q65&amp;"|"&amp;F65&amp;"|"&amp;G65&amp;"|"&amp;K65,"DROP")</f>
        <v/>
      </c>
      <c r="T65" s="4">
        <f>IF(I65&gt;0,J65/I65,0)</f>
        <v/>
      </c>
      <c r="U65">
        <f>IF(T65&gt;=0.8,1,0)</f>
        <v/>
      </c>
    </row>
    <row r="66">
      <c r="A66" t="inlineStr">
        <is>
          <t>SIMULATED Multimodal Ad Study</t>
        </is>
      </c>
      <c r="B66" t="inlineStr">
        <is>
          <t>P09</t>
        </is>
      </c>
      <c r="C66" t="inlineStr">
        <is>
          <t>FEMALE</t>
        </is>
      </c>
      <c r="D66" t="n">
        <v>20</v>
      </c>
      <c r="E66" t="inlineStr">
        <is>
          <t>AB</t>
        </is>
      </c>
      <c r="F66" t="inlineStr">
        <is>
          <t>Annotation</t>
        </is>
      </c>
      <c r="G66" t="inlineStr">
        <is>
          <t>EndCard</t>
        </is>
      </c>
      <c r="H66" t="n">
        <v>137611</v>
      </c>
      <c r="I66" t="n">
        <v>5000</v>
      </c>
      <c r="J66" t="n">
        <v>5000</v>
      </c>
      <c r="K66" t="inlineStr">
        <is>
          <t>Ad_B</t>
        </is>
      </c>
      <c r="L66" t="n">
        <v>0</v>
      </c>
      <c r="M66" t="n">
        <v>0</v>
      </c>
      <c r="N66" t="n">
        <v>0</v>
      </c>
      <c r="O66" t="inlineStr">
        <is>
          <t>NA</t>
        </is>
      </c>
      <c r="P66">
        <f>UPPER(TRIM(B66))</f>
        <v/>
      </c>
      <c r="Q66">
        <f>IFERROR(INDEX(SessionLog!$A$2:$A$26,MATCH(P66,SessionLog!$N$2:$N$26,0)),"NOT FOUND")</f>
        <v/>
      </c>
      <c r="R66">
        <f>IFERROR(INDEX(SessionLog!$L$2:$L$26,MATCH(P66,SessionLog!$N$2:$N$26,0)),"NOT FOUND")</f>
        <v/>
      </c>
      <c r="S66">
        <f>IF(R66="Yes",Q66&amp;"|"&amp;F66&amp;"|"&amp;G66&amp;"|"&amp;K66,"DROP")</f>
        <v/>
      </c>
      <c r="T66" s="4">
        <f>IF(I66&gt;0,J66/I66,0)</f>
        <v/>
      </c>
      <c r="U66">
        <f>IF(T66&gt;=0.8,1,0)</f>
        <v/>
      </c>
    </row>
    <row r="67">
      <c r="A67" t="inlineStr">
        <is>
          <t>SIMULATED Multimodal Ad Study</t>
        </is>
      </c>
      <c r="B67" t="inlineStr">
        <is>
          <t>P10</t>
        </is>
      </c>
      <c r="C67" t="inlineStr">
        <is>
          <t>MALE</t>
        </is>
      </c>
      <c r="D67" t="n">
        <v>23</v>
      </c>
      <c r="E67" t="inlineStr">
        <is>
          <t>BA</t>
        </is>
      </c>
      <c r="F67" t="inlineStr">
        <is>
          <t>Stimulus</t>
        </is>
      </c>
      <c r="G67" t="inlineStr">
        <is>
          <t>Ad_A</t>
        </is>
      </c>
      <c r="H67" t="n">
        <v>108013</v>
      </c>
      <c r="I67" t="n">
        <v>30000</v>
      </c>
      <c r="J67" t="n">
        <v>30000</v>
      </c>
      <c r="K67" t="inlineStr">
        <is>
          <t>Ad_A</t>
        </is>
      </c>
      <c r="L67" t="n">
        <v>1</v>
      </c>
      <c r="M67" t="n">
        <v>3</v>
      </c>
      <c r="N67" t="n">
        <v>6</v>
      </c>
      <c r="O67" t="n">
        <v>0.0945</v>
      </c>
      <c r="P67">
        <f>UPPER(TRIM(B67))</f>
        <v/>
      </c>
      <c r="Q67">
        <f>IFERROR(INDEX(SessionLog!$A$2:$A$26,MATCH(P67,SessionLog!$N$2:$N$26,0)),"NOT FOUND")</f>
        <v/>
      </c>
      <c r="R67">
        <f>IFERROR(INDEX(SessionLog!$L$2:$L$26,MATCH(P67,SessionLog!$N$2:$N$26,0)),"NOT FOUND")</f>
        <v/>
      </c>
      <c r="S67">
        <f>IF(R67="Yes",Q67&amp;"|"&amp;F67&amp;"|"&amp;G67&amp;"|"&amp;K67,"DROP")</f>
        <v/>
      </c>
      <c r="T67" s="4">
        <f>IF(I67&gt;0,J67/I67,0)</f>
        <v/>
      </c>
      <c r="U67">
        <f>IF(T67&gt;=0.8,1,0)</f>
        <v/>
      </c>
    </row>
    <row r="68">
      <c r="A68" t="inlineStr">
        <is>
          <t>SIMULATED Multimodal Ad Study</t>
        </is>
      </c>
      <c r="B68" t="inlineStr">
        <is>
          <t>P10</t>
        </is>
      </c>
      <c r="C68" t="inlineStr">
        <is>
          <t>MALE</t>
        </is>
      </c>
      <c r="D68" t="n">
        <v>23</v>
      </c>
      <c r="E68" t="inlineStr">
        <is>
          <t>BA</t>
        </is>
      </c>
      <c r="F68" t="inlineStr">
        <is>
          <t>Stimulus</t>
        </is>
      </c>
      <c r="G68" t="inlineStr">
        <is>
          <t>Ad_B</t>
        </is>
      </c>
      <c r="H68" t="n">
        <v>77915</v>
      </c>
      <c r="I68" t="n">
        <v>30000</v>
      </c>
      <c r="J68" t="n">
        <v>30000</v>
      </c>
      <c r="K68" t="inlineStr">
        <is>
          <t>Ad_B</t>
        </is>
      </c>
      <c r="L68" t="n">
        <v>1</v>
      </c>
      <c r="M68" t="n">
        <v>4</v>
      </c>
      <c r="N68" t="n">
        <v>8</v>
      </c>
      <c r="O68" t="n">
        <v>0.1322</v>
      </c>
      <c r="P68">
        <f>UPPER(TRIM(B68))</f>
        <v/>
      </c>
      <c r="Q68">
        <f>IFERROR(INDEX(SessionLog!$A$2:$A$26,MATCH(P68,SessionLog!$N$2:$N$26,0)),"NOT FOUND")</f>
        <v/>
      </c>
      <c r="R68">
        <f>IFERROR(INDEX(SessionLog!$L$2:$L$26,MATCH(P68,SessionLog!$N$2:$N$26,0)),"NOT FOUND")</f>
        <v/>
      </c>
      <c r="S68">
        <f>IF(R68="Yes",Q68&amp;"|"&amp;F68&amp;"|"&amp;G68&amp;"|"&amp;K68,"DROP")</f>
        <v/>
      </c>
      <c r="T68" s="4">
        <f>IF(I68&gt;0,J68/I68,0)</f>
        <v/>
      </c>
      <c r="U68">
        <f>IF(T68&gt;=0.8,1,0)</f>
        <v/>
      </c>
    </row>
    <row r="69">
      <c r="A69" t="inlineStr">
        <is>
          <t>SIMULATED Multimodal Ad Study</t>
        </is>
      </c>
      <c r="B69" t="inlineStr">
        <is>
          <t>P10</t>
        </is>
      </c>
      <c r="C69" t="inlineStr">
        <is>
          <t>MALE</t>
        </is>
      </c>
      <c r="D69" t="n">
        <v>23</v>
      </c>
      <c r="E69" t="inlineStr">
        <is>
          <t>BA</t>
        </is>
      </c>
      <c r="F69" t="inlineStr">
        <is>
          <t>Stimulus</t>
        </is>
      </c>
      <c r="G69" t="inlineStr">
        <is>
          <t>Baseline</t>
        </is>
      </c>
      <c r="H69" t="n">
        <v>17827</v>
      </c>
      <c r="I69" t="n">
        <v>60000</v>
      </c>
      <c r="J69" t="n">
        <v>60000</v>
      </c>
      <c r="K69" t="inlineStr">
        <is>
          <t>Baseline</t>
        </is>
      </c>
      <c r="L69" t="n">
        <v>1</v>
      </c>
      <c r="M69" t="n">
        <v>2</v>
      </c>
      <c r="N69" t="n">
        <v>2</v>
      </c>
      <c r="O69" t="n">
        <v>0.1483</v>
      </c>
      <c r="P69">
        <f>UPPER(TRIM(B69))</f>
        <v/>
      </c>
      <c r="Q69">
        <f>IFERROR(INDEX(SessionLog!$A$2:$A$26,MATCH(P69,SessionLog!$N$2:$N$26,0)),"NOT FOUND")</f>
        <v/>
      </c>
      <c r="R69">
        <f>IFERROR(INDEX(SessionLog!$L$2:$L$26,MATCH(P69,SessionLog!$N$2:$N$26,0)),"NOT FOUND")</f>
        <v/>
      </c>
      <c r="S69">
        <f>IF(R69="Yes",Q69&amp;"|"&amp;F69&amp;"|"&amp;G69&amp;"|"&amp;K69,"DROP")</f>
        <v/>
      </c>
      <c r="T69" s="4">
        <f>IF(I69&gt;0,J69/I69,0)</f>
        <v/>
      </c>
      <c r="U69">
        <f>IF(T69&gt;=0.8,1,0)</f>
        <v/>
      </c>
    </row>
    <row r="70">
      <c r="A70" t="inlineStr">
        <is>
          <t>SIMULATED Multimodal Ad Study</t>
        </is>
      </c>
      <c r="B70" t="inlineStr">
        <is>
          <t>P10</t>
        </is>
      </c>
      <c r="C70" t="inlineStr">
        <is>
          <t>MALE</t>
        </is>
      </c>
      <c r="D70" t="n">
        <v>23</v>
      </c>
      <c r="E70" t="inlineStr">
        <is>
          <t>BA</t>
        </is>
      </c>
      <c r="F70" t="inlineStr">
        <is>
          <t>Stimulus</t>
        </is>
      </c>
      <c r="G70" t="inlineStr">
        <is>
          <t>Instructions</t>
        </is>
      </c>
      <c r="H70" t="n">
        <v>28</v>
      </c>
      <c r="I70" t="n">
        <v>17747</v>
      </c>
      <c r="J70" t="n">
        <v>17747</v>
      </c>
      <c r="K70" t="inlineStr">
        <is>
          <t>Instructions</t>
        </is>
      </c>
      <c r="L70" t="n">
        <v>1</v>
      </c>
      <c r="M70" t="n">
        <v>2</v>
      </c>
      <c r="N70" t="n">
        <v>6.762</v>
      </c>
      <c r="O70" t="n">
        <v>0.4046</v>
      </c>
      <c r="P70">
        <f>UPPER(TRIM(B70))</f>
        <v/>
      </c>
      <c r="Q70">
        <f>IFERROR(INDEX(SessionLog!$A$2:$A$26,MATCH(P70,SessionLog!$N$2:$N$26,0)),"NOT FOUND")</f>
        <v/>
      </c>
      <c r="R70">
        <f>IFERROR(INDEX(SessionLog!$L$2:$L$26,MATCH(P70,SessionLog!$N$2:$N$26,0)),"NOT FOUND")</f>
        <v/>
      </c>
      <c r="S70">
        <f>IF(R70="Yes",Q70&amp;"|"&amp;F70&amp;"|"&amp;G70&amp;"|"&amp;K70,"DROP")</f>
        <v/>
      </c>
      <c r="T70" s="4">
        <f>IF(I70&gt;0,J70/I70,0)</f>
        <v/>
      </c>
      <c r="U70">
        <f>IF(T70&gt;=0.8,1,0)</f>
        <v/>
      </c>
    </row>
    <row r="71">
      <c r="A71" t="inlineStr">
        <is>
          <t>SIMULATED Multimodal Ad Study</t>
        </is>
      </c>
      <c r="B71" t="inlineStr">
        <is>
          <t>P10</t>
        </is>
      </c>
      <c r="C71" t="inlineStr">
        <is>
          <t>MALE</t>
        </is>
      </c>
      <c r="D71" t="n">
        <v>23</v>
      </c>
      <c r="E71" t="inlineStr">
        <is>
          <t>BA</t>
        </is>
      </c>
      <c r="F71" t="inlineStr">
        <is>
          <t>Stimulus</t>
        </is>
      </c>
      <c r="G71" t="inlineStr">
        <is>
          <t>Questionnaire</t>
        </is>
      </c>
      <c r="H71" t="n">
        <v>138038</v>
      </c>
      <c r="I71" t="n">
        <v>145470</v>
      </c>
      <c r="J71" t="n">
        <v>145470</v>
      </c>
      <c r="K71" t="inlineStr">
        <is>
          <t>Questionnaire</t>
        </is>
      </c>
      <c r="L71" t="n">
        <v>1</v>
      </c>
      <c r="M71" t="n">
        <v>6</v>
      </c>
      <c r="N71" t="n">
        <v>2.475</v>
      </c>
      <c r="O71" t="n">
        <v>0.07870000000000001</v>
      </c>
      <c r="P71">
        <f>UPPER(TRIM(B71))</f>
        <v/>
      </c>
      <c r="Q71">
        <f>IFERROR(INDEX(SessionLog!$A$2:$A$26,MATCH(P71,SessionLog!$N$2:$N$26,0)),"NOT FOUND")</f>
        <v/>
      </c>
      <c r="R71">
        <f>IFERROR(INDEX(SessionLog!$L$2:$L$26,MATCH(P71,SessionLog!$N$2:$N$26,0)),"NOT FOUND")</f>
        <v/>
      </c>
      <c r="S71">
        <f>IF(R71="Yes",Q71&amp;"|"&amp;F71&amp;"|"&amp;G71&amp;"|"&amp;K71,"DROP")</f>
        <v/>
      </c>
      <c r="T71" s="4">
        <f>IF(I71&gt;0,J71/I71,0)</f>
        <v/>
      </c>
      <c r="U71">
        <f>IF(T71&gt;=0.8,1,0)</f>
        <v/>
      </c>
    </row>
    <row r="72">
      <c r="A72" t="inlineStr">
        <is>
          <t>SIMULATED Multimodal Ad Study</t>
        </is>
      </c>
      <c r="B72" t="inlineStr">
        <is>
          <t>P10</t>
        </is>
      </c>
      <c r="C72" t="inlineStr">
        <is>
          <t>MALE</t>
        </is>
      </c>
      <c r="D72" t="n">
        <v>23</v>
      </c>
      <c r="E72" t="inlineStr">
        <is>
          <t>BA</t>
        </is>
      </c>
      <c r="F72" t="inlineStr">
        <is>
          <t>Annotation</t>
        </is>
      </c>
      <c r="G72" t="inlineStr">
        <is>
          <t>EndCard</t>
        </is>
      </c>
      <c r="H72" t="n">
        <v>133013</v>
      </c>
      <c r="I72" t="n">
        <v>5000</v>
      </c>
      <c r="J72" t="n">
        <v>5000</v>
      </c>
      <c r="K72" t="inlineStr">
        <is>
          <t>Ad_A</t>
        </is>
      </c>
      <c r="L72" t="n">
        <v>0</v>
      </c>
      <c r="M72" t="n">
        <v>0</v>
      </c>
      <c r="N72" t="n">
        <v>0</v>
      </c>
      <c r="O72" t="inlineStr">
        <is>
          <t>NA</t>
        </is>
      </c>
      <c r="P72">
        <f>UPPER(TRIM(B72))</f>
        <v/>
      </c>
      <c r="Q72">
        <f>IFERROR(INDEX(SessionLog!$A$2:$A$26,MATCH(P72,SessionLog!$N$2:$N$26,0)),"NOT FOUND")</f>
        <v/>
      </c>
      <c r="R72">
        <f>IFERROR(INDEX(SessionLog!$L$2:$L$26,MATCH(P72,SessionLog!$N$2:$N$26,0)),"NOT FOUND")</f>
        <v/>
      </c>
      <c r="S72">
        <f>IF(R72="Yes",Q72&amp;"|"&amp;F72&amp;"|"&amp;G72&amp;"|"&amp;K72,"DROP")</f>
        <v/>
      </c>
      <c r="T72" s="4">
        <f>IF(I72&gt;0,J72/I72,0)</f>
        <v/>
      </c>
      <c r="U72">
        <f>IF(T72&gt;=0.8,1,0)</f>
        <v/>
      </c>
    </row>
    <row r="73">
      <c r="A73" t="inlineStr">
        <is>
          <t>SIMULATED Multimodal Ad Study</t>
        </is>
      </c>
      <c r="B73" t="inlineStr">
        <is>
          <t>P10</t>
        </is>
      </c>
      <c r="C73" t="inlineStr">
        <is>
          <t>MALE</t>
        </is>
      </c>
      <c r="D73" t="n">
        <v>23</v>
      </c>
      <c r="E73" t="inlineStr">
        <is>
          <t>BA</t>
        </is>
      </c>
      <c r="F73" t="inlineStr">
        <is>
          <t>Annotation</t>
        </is>
      </c>
      <c r="G73" t="inlineStr">
        <is>
          <t>EndCard</t>
        </is>
      </c>
      <c r="H73" t="n">
        <v>102915</v>
      </c>
      <c r="I73" t="n">
        <v>5000</v>
      </c>
      <c r="J73" t="n">
        <v>5000</v>
      </c>
      <c r="K73" t="inlineStr">
        <is>
          <t>Ad_B</t>
        </is>
      </c>
      <c r="L73" t="n">
        <v>0</v>
      </c>
      <c r="M73" t="n">
        <v>0</v>
      </c>
      <c r="N73" t="n">
        <v>0</v>
      </c>
      <c r="O73" t="inlineStr">
        <is>
          <t>NA</t>
        </is>
      </c>
      <c r="P73">
        <f>UPPER(TRIM(B73))</f>
        <v/>
      </c>
      <c r="Q73">
        <f>IFERROR(INDEX(SessionLog!$A$2:$A$26,MATCH(P73,SessionLog!$N$2:$N$26,0)),"NOT FOUND")</f>
        <v/>
      </c>
      <c r="R73">
        <f>IFERROR(INDEX(SessionLog!$L$2:$L$26,MATCH(P73,SessionLog!$N$2:$N$26,0)),"NOT FOUND")</f>
        <v/>
      </c>
      <c r="S73">
        <f>IF(R73="Yes",Q73&amp;"|"&amp;F73&amp;"|"&amp;G73&amp;"|"&amp;K73,"DROP")</f>
        <v/>
      </c>
      <c r="T73" s="4">
        <f>IF(I73&gt;0,J73/I73,0)</f>
        <v/>
      </c>
      <c r="U73">
        <f>IF(T73&gt;=0.8,1,0)</f>
        <v/>
      </c>
    </row>
    <row r="74">
      <c r="A74" t="inlineStr">
        <is>
          <t>SIMULATED Multimodal Ad Study</t>
        </is>
      </c>
      <c r="B74" t="inlineStr">
        <is>
          <t>P11</t>
        </is>
      </c>
      <c r="C74" t="inlineStr">
        <is>
          <t>FEMALE</t>
        </is>
      </c>
      <c r="D74" t="n">
        <v>24</v>
      </c>
      <c r="E74" t="inlineStr">
        <is>
          <t>AB</t>
        </is>
      </c>
      <c r="F74" t="inlineStr">
        <is>
          <t>Stimulus</t>
        </is>
      </c>
      <c r="G74" t="inlineStr">
        <is>
          <t>Ad_A</t>
        </is>
      </c>
      <c r="H74" t="n">
        <v>78503</v>
      </c>
      <c r="I74" t="n">
        <v>30000</v>
      </c>
      <c r="J74" t="n">
        <v>30000</v>
      </c>
      <c r="K74" t="inlineStr">
        <is>
          <t>Ad_A</t>
        </is>
      </c>
      <c r="L74" t="n">
        <v>1</v>
      </c>
      <c r="M74" t="n">
        <v>13</v>
      </c>
      <c r="N74" t="n">
        <v>26</v>
      </c>
      <c r="O74" t="n">
        <v>0.1987</v>
      </c>
      <c r="P74">
        <f>UPPER(TRIM(B74))</f>
        <v/>
      </c>
      <c r="Q74">
        <f>IFERROR(INDEX(SessionLog!$A$2:$A$26,MATCH(P74,SessionLog!$N$2:$N$26,0)),"NOT FOUND")</f>
        <v/>
      </c>
      <c r="R74">
        <f>IFERROR(INDEX(SessionLog!$L$2:$L$26,MATCH(P74,SessionLog!$N$2:$N$26,0)),"NOT FOUND")</f>
        <v/>
      </c>
      <c r="S74">
        <f>IF(R74="Yes",Q74&amp;"|"&amp;F74&amp;"|"&amp;G74&amp;"|"&amp;K74,"DROP")</f>
        <v/>
      </c>
      <c r="T74" s="4">
        <f>IF(I74&gt;0,J74/I74,0)</f>
        <v/>
      </c>
      <c r="U74">
        <f>IF(T74&gt;=0.8,1,0)</f>
        <v/>
      </c>
    </row>
    <row r="75">
      <c r="A75" t="inlineStr">
        <is>
          <t>SIMULATED Multimodal Ad Study</t>
        </is>
      </c>
      <c r="B75" t="inlineStr">
        <is>
          <t>P11</t>
        </is>
      </c>
      <c r="C75" t="inlineStr">
        <is>
          <t>FEMALE</t>
        </is>
      </c>
      <c r="D75" t="n">
        <v>24</v>
      </c>
      <c r="E75" t="inlineStr">
        <is>
          <t>AB</t>
        </is>
      </c>
      <c r="F75" t="inlineStr">
        <is>
          <t>Stimulus</t>
        </is>
      </c>
      <c r="G75" t="inlineStr">
        <is>
          <t>Ad_B</t>
        </is>
      </c>
      <c r="H75" t="n">
        <v>108565</v>
      </c>
      <c r="I75" t="n">
        <v>30000</v>
      </c>
      <c r="J75" t="n">
        <v>30000</v>
      </c>
      <c r="K75" t="inlineStr">
        <is>
          <t>Ad_B</t>
        </is>
      </c>
      <c r="L75" t="n">
        <v>1</v>
      </c>
      <c r="M75" t="n">
        <v>9</v>
      </c>
      <c r="N75" t="n">
        <v>18</v>
      </c>
      <c r="O75" t="n">
        <v>0.2315</v>
      </c>
      <c r="P75">
        <f>UPPER(TRIM(B75))</f>
        <v/>
      </c>
      <c r="Q75">
        <f>IFERROR(INDEX(SessionLog!$A$2:$A$26,MATCH(P75,SessionLog!$N$2:$N$26,0)),"NOT FOUND")</f>
        <v/>
      </c>
      <c r="R75">
        <f>IFERROR(INDEX(SessionLog!$L$2:$L$26,MATCH(P75,SessionLog!$N$2:$N$26,0)),"NOT FOUND")</f>
        <v/>
      </c>
      <c r="S75">
        <f>IF(R75="Yes",Q75&amp;"|"&amp;F75&amp;"|"&amp;G75&amp;"|"&amp;K75,"DROP")</f>
        <v/>
      </c>
      <c r="T75" s="4">
        <f>IF(I75&gt;0,J75/I75,0)</f>
        <v/>
      </c>
      <c r="U75">
        <f>IF(T75&gt;=0.8,1,0)</f>
        <v/>
      </c>
    </row>
    <row r="76">
      <c r="A76" t="inlineStr">
        <is>
          <t>SIMULATED Multimodal Ad Study</t>
        </is>
      </c>
      <c r="B76" t="inlineStr">
        <is>
          <t>P11</t>
        </is>
      </c>
      <c r="C76" t="inlineStr">
        <is>
          <t>FEMALE</t>
        </is>
      </c>
      <c r="D76" t="n">
        <v>24</v>
      </c>
      <c r="E76" t="inlineStr">
        <is>
          <t>AB</t>
        </is>
      </c>
      <c r="F76" t="inlineStr">
        <is>
          <t>Stimulus</t>
        </is>
      </c>
      <c r="G76" t="inlineStr">
        <is>
          <t>Baseline</t>
        </is>
      </c>
      <c r="H76" t="n">
        <v>18403</v>
      </c>
      <c r="I76" t="n">
        <v>60000</v>
      </c>
      <c r="J76" t="n">
        <v>60000</v>
      </c>
      <c r="K76" t="inlineStr">
        <is>
          <t>Baseline</t>
        </is>
      </c>
      <c r="L76" t="n">
        <v>1</v>
      </c>
      <c r="M76" t="n">
        <v>5</v>
      </c>
      <c r="N76" t="n">
        <v>5</v>
      </c>
      <c r="O76" t="n">
        <v>0.1853</v>
      </c>
      <c r="P76">
        <f>UPPER(TRIM(B76))</f>
        <v/>
      </c>
      <c r="Q76">
        <f>IFERROR(INDEX(SessionLog!$A$2:$A$26,MATCH(P76,SessionLog!$N$2:$N$26,0)),"NOT FOUND")</f>
        <v/>
      </c>
      <c r="R76">
        <f>IFERROR(INDEX(SessionLog!$L$2:$L$26,MATCH(P76,SessionLog!$N$2:$N$26,0)),"NOT FOUND")</f>
        <v/>
      </c>
      <c r="S76">
        <f>IF(R76="Yes",Q76&amp;"|"&amp;F76&amp;"|"&amp;G76&amp;"|"&amp;K76,"DROP")</f>
        <v/>
      </c>
      <c r="T76" s="4">
        <f>IF(I76&gt;0,J76/I76,0)</f>
        <v/>
      </c>
      <c r="U76">
        <f>IF(T76&gt;=0.8,1,0)</f>
        <v/>
      </c>
    </row>
    <row r="77">
      <c r="A77" t="inlineStr">
        <is>
          <t>SIMULATED Multimodal Ad Study</t>
        </is>
      </c>
      <c r="B77" t="inlineStr">
        <is>
          <t>P11</t>
        </is>
      </c>
      <c r="C77" t="inlineStr">
        <is>
          <t>FEMALE</t>
        </is>
      </c>
      <c r="D77" t="n">
        <v>24</v>
      </c>
      <c r="E77" t="inlineStr">
        <is>
          <t>AB</t>
        </is>
      </c>
      <c r="F77" t="inlineStr">
        <is>
          <t>Stimulus</t>
        </is>
      </c>
      <c r="G77" t="inlineStr">
        <is>
          <t>Instructions</t>
        </is>
      </c>
      <c r="H77" t="n">
        <v>24</v>
      </c>
      <c r="I77" t="n">
        <v>18324</v>
      </c>
      <c r="J77" t="n">
        <v>18324</v>
      </c>
      <c r="K77" t="inlineStr">
        <is>
          <t>Instructions</t>
        </is>
      </c>
      <c r="L77" t="n">
        <v>1</v>
      </c>
      <c r="M77" t="n">
        <v>2</v>
      </c>
      <c r="N77" t="n">
        <v>6.549</v>
      </c>
      <c r="O77" t="n">
        <v>0.09760000000000001</v>
      </c>
      <c r="P77">
        <f>UPPER(TRIM(B77))</f>
        <v/>
      </c>
      <c r="Q77">
        <f>IFERROR(INDEX(SessionLog!$A$2:$A$26,MATCH(P77,SessionLog!$N$2:$N$26,0)),"NOT FOUND")</f>
        <v/>
      </c>
      <c r="R77">
        <f>IFERROR(INDEX(SessionLog!$L$2:$L$26,MATCH(P77,SessionLog!$N$2:$N$26,0)),"NOT FOUND")</f>
        <v/>
      </c>
      <c r="S77">
        <f>IF(R77="Yes",Q77&amp;"|"&amp;F77&amp;"|"&amp;G77&amp;"|"&amp;K77,"DROP")</f>
        <v/>
      </c>
      <c r="T77" s="4">
        <f>IF(I77&gt;0,J77/I77,0)</f>
        <v/>
      </c>
      <c r="U77">
        <f>IF(T77&gt;=0.8,1,0)</f>
        <v/>
      </c>
    </row>
    <row r="78">
      <c r="A78" t="inlineStr">
        <is>
          <t>SIMULATED Multimodal Ad Study</t>
        </is>
      </c>
      <c r="B78" t="inlineStr">
        <is>
          <t>P11</t>
        </is>
      </c>
      <c r="C78" t="inlineStr">
        <is>
          <t>FEMALE</t>
        </is>
      </c>
      <c r="D78" t="n">
        <v>24</v>
      </c>
      <c r="E78" t="inlineStr">
        <is>
          <t>AB</t>
        </is>
      </c>
      <c r="F78" t="inlineStr">
        <is>
          <t>Stimulus</t>
        </is>
      </c>
      <c r="G78" t="inlineStr">
        <is>
          <t>Questionnaire</t>
        </is>
      </c>
      <c r="H78" t="n">
        <v>138591</v>
      </c>
      <c r="I78" t="n">
        <v>147642</v>
      </c>
      <c r="J78" t="n">
        <v>147642</v>
      </c>
      <c r="K78" t="inlineStr">
        <is>
          <t>Questionnaire</t>
        </is>
      </c>
      <c r="L78" t="n">
        <v>1</v>
      </c>
      <c r="M78" t="n">
        <v>8</v>
      </c>
      <c r="N78" t="n">
        <v>3.251</v>
      </c>
      <c r="O78" t="n">
        <v>0.1148</v>
      </c>
      <c r="P78">
        <f>UPPER(TRIM(B78))</f>
        <v/>
      </c>
      <c r="Q78">
        <f>IFERROR(INDEX(SessionLog!$A$2:$A$26,MATCH(P78,SessionLog!$N$2:$N$26,0)),"NOT FOUND")</f>
        <v/>
      </c>
      <c r="R78">
        <f>IFERROR(INDEX(SessionLog!$L$2:$L$26,MATCH(P78,SessionLog!$N$2:$N$26,0)),"NOT FOUND")</f>
        <v/>
      </c>
      <c r="S78">
        <f>IF(R78="Yes",Q78&amp;"|"&amp;F78&amp;"|"&amp;G78&amp;"|"&amp;K78,"DROP")</f>
        <v/>
      </c>
      <c r="T78" s="4">
        <f>IF(I78&gt;0,J78/I78,0)</f>
        <v/>
      </c>
      <c r="U78">
        <f>IF(T78&gt;=0.8,1,0)</f>
        <v/>
      </c>
    </row>
    <row r="79">
      <c r="A79" t="inlineStr">
        <is>
          <t>SIMULATED Multimodal Ad Study</t>
        </is>
      </c>
      <c r="B79" t="inlineStr">
        <is>
          <t>P11</t>
        </is>
      </c>
      <c r="C79" t="inlineStr">
        <is>
          <t>FEMALE</t>
        </is>
      </c>
      <c r="D79" t="n">
        <v>24</v>
      </c>
      <c r="E79" t="inlineStr">
        <is>
          <t>AB</t>
        </is>
      </c>
      <c r="F79" t="inlineStr">
        <is>
          <t>Annotation</t>
        </is>
      </c>
      <c r="G79" t="inlineStr">
        <is>
          <t>EndCard</t>
        </is>
      </c>
      <c r="H79" t="n">
        <v>103503</v>
      </c>
      <c r="I79" t="n">
        <v>5000</v>
      </c>
      <c r="J79" t="n">
        <v>5000</v>
      </c>
      <c r="K79" t="inlineStr">
        <is>
          <t>Ad_A</t>
        </is>
      </c>
      <c r="L79" t="n">
        <v>1</v>
      </c>
      <c r="M79" t="n">
        <v>1</v>
      </c>
      <c r="N79" t="n">
        <v>12</v>
      </c>
      <c r="O79" t="n">
        <v>0.226</v>
      </c>
      <c r="P79">
        <f>UPPER(TRIM(B79))</f>
        <v/>
      </c>
      <c r="Q79">
        <f>IFERROR(INDEX(SessionLog!$A$2:$A$26,MATCH(P79,SessionLog!$N$2:$N$26,0)),"NOT FOUND")</f>
        <v/>
      </c>
      <c r="R79">
        <f>IFERROR(INDEX(SessionLog!$L$2:$L$26,MATCH(P79,SessionLog!$N$2:$N$26,0)),"NOT FOUND")</f>
        <v/>
      </c>
      <c r="S79">
        <f>IF(R79="Yes",Q79&amp;"|"&amp;F79&amp;"|"&amp;G79&amp;"|"&amp;K79,"DROP")</f>
        <v/>
      </c>
      <c r="T79" s="4">
        <f>IF(I79&gt;0,J79/I79,0)</f>
        <v/>
      </c>
      <c r="U79">
        <f>IF(T79&gt;=0.8,1,0)</f>
        <v/>
      </c>
    </row>
    <row r="80">
      <c r="A80" t="inlineStr">
        <is>
          <t>SIMULATED Multimodal Ad Study</t>
        </is>
      </c>
      <c r="B80" t="inlineStr">
        <is>
          <t>P11</t>
        </is>
      </c>
      <c r="C80" t="inlineStr">
        <is>
          <t>FEMALE</t>
        </is>
      </c>
      <c r="D80" t="n">
        <v>24</v>
      </c>
      <c r="E80" t="inlineStr">
        <is>
          <t>AB</t>
        </is>
      </c>
      <c r="F80" t="inlineStr">
        <is>
          <t>Annotation</t>
        </is>
      </c>
      <c r="G80" t="inlineStr">
        <is>
          <t>EndCard</t>
        </is>
      </c>
      <c r="H80" t="n">
        <v>133565</v>
      </c>
      <c r="I80" t="n">
        <v>5000</v>
      </c>
      <c r="J80" t="n">
        <v>5000</v>
      </c>
      <c r="K80" t="inlineStr">
        <is>
          <t>Ad_B</t>
        </is>
      </c>
      <c r="L80" t="n">
        <v>1</v>
      </c>
      <c r="M80" t="n">
        <v>1</v>
      </c>
      <c r="N80" t="n">
        <v>12</v>
      </c>
      <c r="O80" t="n">
        <v>0.1375</v>
      </c>
      <c r="P80">
        <f>UPPER(TRIM(B80))</f>
        <v/>
      </c>
      <c r="Q80">
        <f>IFERROR(INDEX(SessionLog!$A$2:$A$26,MATCH(P80,SessionLog!$N$2:$N$26,0)),"NOT FOUND")</f>
        <v/>
      </c>
      <c r="R80">
        <f>IFERROR(INDEX(SessionLog!$L$2:$L$26,MATCH(P80,SessionLog!$N$2:$N$26,0)),"NOT FOUND")</f>
        <v/>
      </c>
      <c r="S80">
        <f>IF(R80="Yes",Q80&amp;"|"&amp;F80&amp;"|"&amp;G80&amp;"|"&amp;K80,"DROP")</f>
        <v/>
      </c>
      <c r="T80" s="4">
        <f>IF(I80&gt;0,J80/I80,0)</f>
        <v/>
      </c>
      <c r="U80">
        <f>IF(T80&gt;=0.8,1,0)</f>
        <v/>
      </c>
    </row>
    <row r="81">
      <c r="A81" t="inlineStr">
        <is>
          <t>SIMULATED Multimodal Ad Study</t>
        </is>
      </c>
      <c r="B81" t="inlineStr">
        <is>
          <t>P12</t>
        </is>
      </c>
      <c r="C81" t="inlineStr">
        <is>
          <t>MALE</t>
        </is>
      </c>
      <c r="D81" t="n">
        <v>23</v>
      </c>
      <c r="E81" t="inlineStr">
        <is>
          <t>BA</t>
        </is>
      </c>
      <c r="F81" t="inlineStr">
        <is>
          <t>Stimulus</t>
        </is>
      </c>
      <c r="G81" t="inlineStr">
        <is>
          <t>Ad_A</t>
        </is>
      </c>
      <c r="H81" t="n">
        <v>106654</v>
      </c>
      <c r="I81" t="n">
        <v>30000</v>
      </c>
      <c r="J81" t="n">
        <v>30000</v>
      </c>
      <c r="K81" t="inlineStr">
        <is>
          <t>Ad_A</t>
        </is>
      </c>
      <c r="L81" t="n">
        <v>1</v>
      </c>
      <c r="M81" t="n">
        <v>1</v>
      </c>
      <c r="N81" t="n">
        <v>2</v>
      </c>
      <c r="O81" t="n">
        <v>0.1769</v>
      </c>
      <c r="P81">
        <f>UPPER(TRIM(B81))</f>
        <v/>
      </c>
      <c r="Q81">
        <f>IFERROR(INDEX(SessionLog!$A$2:$A$26,MATCH(P81,SessionLog!$N$2:$N$26,0)),"NOT FOUND")</f>
        <v/>
      </c>
      <c r="R81">
        <f>IFERROR(INDEX(SessionLog!$L$2:$L$26,MATCH(P81,SessionLog!$N$2:$N$26,0)),"NOT FOUND")</f>
        <v/>
      </c>
      <c r="S81">
        <f>IF(R81="Yes",Q81&amp;"|"&amp;F81&amp;"|"&amp;G81&amp;"|"&amp;K81,"DROP")</f>
        <v/>
      </c>
      <c r="T81" s="4">
        <f>IF(I81&gt;0,J81/I81,0)</f>
        <v/>
      </c>
      <c r="U81">
        <f>IF(T81&gt;=0.8,1,0)</f>
        <v/>
      </c>
    </row>
    <row r="82">
      <c r="A82" t="inlineStr">
        <is>
          <t>SIMULATED Multimodal Ad Study</t>
        </is>
      </c>
      <c r="B82" t="inlineStr">
        <is>
          <t>P12</t>
        </is>
      </c>
      <c r="C82" t="inlineStr">
        <is>
          <t>MALE</t>
        </is>
      </c>
      <c r="D82" t="n">
        <v>23</v>
      </c>
      <c r="E82" t="inlineStr">
        <is>
          <t>BA</t>
        </is>
      </c>
      <c r="F82" t="inlineStr">
        <is>
          <t>Stimulus</t>
        </is>
      </c>
      <c r="G82" t="inlineStr">
        <is>
          <t>Ad_B</t>
        </is>
      </c>
      <c r="H82" t="n">
        <v>76589</v>
      </c>
      <c r="I82" t="n">
        <v>30000</v>
      </c>
      <c r="J82" t="n">
        <v>30000</v>
      </c>
      <c r="K82" t="inlineStr">
        <is>
          <t>Ad_B</t>
        </is>
      </c>
      <c r="L82" t="n">
        <v>1</v>
      </c>
      <c r="M82" t="n">
        <v>2</v>
      </c>
      <c r="N82" t="n">
        <v>4</v>
      </c>
      <c r="O82" t="n">
        <v>0.1921</v>
      </c>
      <c r="P82">
        <f>UPPER(TRIM(B82))</f>
        <v/>
      </c>
      <c r="Q82">
        <f>IFERROR(INDEX(SessionLog!$A$2:$A$26,MATCH(P82,SessionLog!$N$2:$N$26,0)),"NOT FOUND")</f>
        <v/>
      </c>
      <c r="R82">
        <f>IFERROR(INDEX(SessionLog!$L$2:$L$26,MATCH(P82,SessionLog!$N$2:$N$26,0)),"NOT FOUND")</f>
        <v/>
      </c>
      <c r="S82">
        <f>IF(R82="Yes",Q82&amp;"|"&amp;F82&amp;"|"&amp;G82&amp;"|"&amp;K82,"DROP")</f>
        <v/>
      </c>
      <c r="T82" s="4">
        <f>IF(I82&gt;0,J82/I82,0)</f>
        <v/>
      </c>
      <c r="U82">
        <f>IF(T82&gt;=0.8,1,0)</f>
        <v/>
      </c>
    </row>
    <row r="83">
      <c r="A83" t="inlineStr">
        <is>
          <t>SIMULATED Multimodal Ad Study</t>
        </is>
      </c>
      <c r="B83" t="inlineStr">
        <is>
          <t>P12</t>
        </is>
      </c>
      <c r="C83" t="inlineStr">
        <is>
          <t>MALE</t>
        </is>
      </c>
      <c r="D83" t="n">
        <v>23</v>
      </c>
      <c r="E83" t="inlineStr">
        <is>
          <t>BA</t>
        </is>
      </c>
      <c r="F83" t="inlineStr">
        <is>
          <t>Stimulus</t>
        </is>
      </c>
      <c r="G83" t="inlineStr">
        <is>
          <t>Baseline</t>
        </is>
      </c>
      <c r="H83" t="n">
        <v>16493</v>
      </c>
      <c r="I83" t="n">
        <v>60000</v>
      </c>
      <c r="J83" t="n">
        <v>54797</v>
      </c>
      <c r="K83" t="inlineStr">
        <is>
          <t>Baseline</t>
        </is>
      </c>
      <c r="L83" t="n">
        <v>1</v>
      </c>
      <c r="M83" t="n">
        <v>4</v>
      </c>
      <c r="N83" t="n">
        <v>4.38</v>
      </c>
      <c r="O83" t="n">
        <v>0.1796</v>
      </c>
      <c r="P83">
        <f>UPPER(TRIM(B83))</f>
        <v/>
      </c>
      <c r="Q83">
        <f>IFERROR(INDEX(SessionLog!$A$2:$A$26,MATCH(P83,SessionLog!$N$2:$N$26,0)),"NOT FOUND")</f>
        <v/>
      </c>
      <c r="R83">
        <f>IFERROR(INDEX(SessionLog!$L$2:$L$26,MATCH(P83,SessionLog!$N$2:$N$26,0)),"NOT FOUND")</f>
        <v/>
      </c>
      <c r="S83">
        <f>IF(R83="Yes",Q83&amp;"|"&amp;F83&amp;"|"&amp;G83&amp;"|"&amp;K83,"DROP")</f>
        <v/>
      </c>
      <c r="T83" s="4">
        <f>IF(I83&gt;0,J83/I83,0)</f>
        <v/>
      </c>
      <c r="U83">
        <f>IF(T83&gt;=0.8,1,0)</f>
        <v/>
      </c>
    </row>
    <row r="84">
      <c r="A84" t="inlineStr">
        <is>
          <t>SIMULATED Multimodal Ad Study</t>
        </is>
      </c>
      <c r="B84" t="inlineStr">
        <is>
          <t>P12</t>
        </is>
      </c>
      <c r="C84" t="inlineStr">
        <is>
          <t>MALE</t>
        </is>
      </c>
      <c r="D84" t="n">
        <v>23</v>
      </c>
      <c r="E84" t="inlineStr">
        <is>
          <t>BA</t>
        </is>
      </c>
      <c r="F84" t="inlineStr">
        <is>
          <t>Stimulus</t>
        </is>
      </c>
      <c r="G84" t="inlineStr">
        <is>
          <t>Instructions</t>
        </is>
      </c>
      <c r="H84" t="n">
        <v>30</v>
      </c>
      <c r="I84" t="n">
        <v>16415</v>
      </c>
      <c r="J84" t="n">
        <v>16415</v>
      </c>
      <c r="K84" t="inlineStr">
        <is>
          <t>Instructions</t>
        </is>
      </c>
      <c r="L84" t="n">
        <v>1</v>
      </c>
      <c r="M84" t="n">
        <v>1</v>
      </c>
      <c r="N84" t="n">
        <v>3.655</v>
      </c>
      <c r="O84" t="n">
        <v>0.4553</v>
      </c>
      <c r="P84">
        <f>UPPER(TRIM(B84))</f>
        <v/>
      </c>
      <c r="Q84">
        <f>IFERROR(INDEX(SessionLog!$A$2:$A$26,MATCH(P84,SessionLog!$N$2:$N$26,0)),"NOT FOUND")</f>
        <v/>
      </c>
      <c r="R84">
        <f>IFERROR(INDEX(SessionLog!$L$2:$L$26,MATCH(P84,SessionLog!$N$2:$N$26,0)),"NOT FOUND")</f>
        <v/>
      </c>
      <c r="S84">
        <f>IF(R84="Yes",Q84&amp;"|"&amp;F84&amp;"|"&amp;G84&amp;"|"&amp;K84,"DROP")</f>
        <v/>
      </c>
      <c r="T84" s="4">
        <f>IF(I84&gt;0,J84/I84,0)</f>
        <v/>
      </c>
      <c r="U84">
        <f>IF(T84&gt;=0.8,1,0)</f>
        <v/>
      </c>
    </row>
    <row r="85">
      <c r="A85" t="inlineStr">
        <is>
          <t>SIMULATED Multimodal Ad Study</t>
        </is>
      </c>
      <c r="B85" t="inlineStr">
        <is>
          <t>P12</t>
        </is>
      </c>
      <c r="C85" t="inlineStr">
        <is>
          <t>MALE</t>
        </is>
      </c>
      <c r="D85" t="n">
        <v>23</v>
      </c>
      <c r="E85" t="inlineStr">
        <is>
          <t>BA</t>
        </is>
      </c>
      <c r="F85" t="inlineStr">
        <is>
          <t>Stimulus</t>
        </is>
      </c>
      <c r="G85" t="inlineStr">
        <is>
          <t>Questionnaire</t>
        </is>
      </c>
      <c r="H85" t="n">
        <v>136687</v>
      </c>
      <c r="I85" t="n">
        <v>108041</v>
      </c>
      <c r="J85" t="n">
        <v>108041</v>
      </c>
      <c r="K85" t="inlineStr">
        <is>
          <t>Questionnaire</t>
        </is>
      </c>
      <c r="L85" t="n">
        <v>1</v>
      </c>
      <c r="M85" t="n">
        <v>8</v>
      </c>
      <c r="N85" t="n">
        <v>4.443</v>
      </c>
      <c r="O85" t="n">
        <v>0.2352</v>
      </c>
      <c r="P85">
        <f>UPPER(TRIM(B85))</f>
        <v/>
      </c>
      <c r="Q85">
        <f>IFERROR(INDEX(SessionLog!$A$2:$A$26,MATCH(P85,SessionLog!$N$2:$N$26,0)),"NOT FOUND")</f>
        <v/>
      </c>
      <c r="R85">
        <f>IFERROR(INDEX(SessionLog!$L$2:$L$26,MATCH(P85,SessionLog!$N$2:$N$26,0)),"NOT FOUND")</f>
        <v/>
      </c>
      <c r="S85">
        <f>IF(R85="Yes",Q85&amp;"|"&amp;F85&amp;"|"&amp;G85&amp;"|"&amp;K85,"DROP")</f>
        <v/>
      </c>
      <c r="T85" s="4">
        <f>IF(I85&gt;0,J85/I85,0)</f>
        <v/>
      </c>
      <c r="U85">
        <f>IF(T85&gt;=0.8,1,0)</f>
        <v/>
      </c>
    </row>
    <row r="86">
      <c r="A86" t="inlineStr">
        <is>
          <t>SIMULATED Multimodal Ad Study</t>
        </is>
      </c>
      <c r="B86" t="inlineStr">
        <is>
          <t>P12</t>
        </is>
      </c>
      <c r="C86" t="inlineStr">
        <is>
          <t>MALE</t>
        </is>
      </c>
      <c r="D86" t="n">
        <v>23</v>
      </c>
      <c r="E86" t="inlineStr">
        <is>
          <t>BA</t>
        </is>
      </c>
      <c r="F86" t="inlineStr">
        <is>
          <t>Annotation</t>
        </is>
      </c>
      <c r="G86" t="inlineStr">
        <is>
          <t>EndCard</t>
        </is>
      </c>
      <c r="H86" t="n">
        <v>131654</v>
      </c>
      <c r="I86" t="n">
        <v>5000</v>
      </c>
      <c r="J86" t="n">
        <v>5000</v>
      </c>
      <c r="K86" t="inlineStr">
        <is>
          <t>Ad_A</t>
        </is>
      </c>
      <c r="L86" t="n">
        <v>0</v>
      </c>
      <c r="M86" t="n">
        <v>0</v>
      </c>
      <c r="N86" t="n">
        <v>0</v>
      </c>
      <c r="O86" t="inlineStr">
        <is>
          <t>NA</t>
        </is>
      </c>
      <c r="P86">
        <f>UPPER(TRIM(B86))</f>
        <v/>
      </c>
      <c r="Q86">
        <f>IFERROR(INDEX(SessionLog!$A$2:$A$26,MATCH(P86,SessionLog!$N$2:$N$26,0)),"NOT FOUND")</f>
        <v/>
      </c>
      <c r="R86">
        <f>IFERROR(INDEX(SessionLog!$L$2:$L$26,MATCH(P86,SessionLog!$N$2:$N$26,0)),"NOT FOUND")</f>
        <v/>
      </c>
      <c r="S86">
        <f>IF(R86="Yes",Q86&amp;"|"&amp;F86&amp;"|"&amp;G86&amp;"|"&amp;K86,"DROP")</f>
        <v/>
      </c>
      <c r="T86" s="4">
        <f>IF(I86&gt;0,J86/I86,0)</f>
        <v/>
      </c>
      <c r="U86">
        <f>IF(T86&gt;=0.8,1,0)</f>
        <v/>
      </c>
    </row>
    <row r="87">
      <c r="A87" t="inlineStr">
        <is>
          <t>SIMULATED Multimodal Ad Study</t>
        </is>
      </c>
      <c r="B87" t="inlineStr">
        <is>
          <t>P12</t>
        </is>
      </c>
      <c r="C87" t="inlineStr">
        <is>
          <t>MALE</t>
        </is>
      </c>
      <c r="D87" t="n">
        <v>23</v>
      </c>
      <c r="E87" t="inlineStr">
        <is>
          <t>BA</t>
        </is>
      </c>
      <c r="F87" t="inlineStr">
        <is>
          <t>Annotation</t>
        </is>
      </c>
      <c r="G87" t="inlineStr">
        <is>
          <t>EndCard</t>
        </is>
      </c>
      <c r="H87" t="n">
        <v>101589</v>
      </c>
      <c r="I87" t="n">
        <v>5000</v>
      </c>
      <c r="J87" t="n">
        <v>5000</v>
      </c>
      <c r="K87" t="inlineStr">
        <is>
          <t>Ad_B</t>
        </is>
      </c>
      <c r="L87" t="n">
        <v>0</v>
      </c>
      <c r="M87" t="n">
        <v>0</v>
      </c>
      <c r="N87" t="n">
        <v>0</v>
      </c>
      <c r="O87" t="inlineStr">
        <is>
          <t>NA</t>
        </is>
      </c>
      <c r="P87">
        <f>UPPER(TRIM(B87))</f>
        <v/>
      </c>
      <c r="Q87">
        <f>IFERROR(INDEX(SessionLog!$A$2:$A$26,MATCH(P87,SessionLog!$N$2:$N$26,0)),"NOT FOUND")</f>
        <v/>
      </c>
      <c r="R87">
        <f>IFERROR(INDEX(SessionLog!$L$2:$L$26,MATCH(P87,SessionLog!$N$2:$N$26,0)),"NOT FOUND")</f>
        <v/>
      </c>
      <c r="S87">
        <f>IF(R87="Yes",Q87&amp;"|"&amp;F87&amp;"|"&amp;G87&amp;"|"&amp;K87,"DROP")</f>
        <v/>
      </c>
      <c r="T87" s="4">
        <f>IF(I87&gt;0,J87/I87,0)</f>
        <v/>
      </c>
      <c r="U87">
        <f>IF(T87&gt;=0.8,1,0)</f>
        <v/>
      </c>
    </row>
    <row r="88">
      <c r="A88" t="inlineStr">
        <is>
          <t>SIMULATED Multimodal Ad Study</t>
        </is>
      </c>
      <c r="B88" t="inlineStr">
        <is>
          <t>P13</t>
        </is>
      </c>
      <c r="C88" t="inlineStr">
        <is>
          <t>MALE</t>
        </is>
      </c>
      <c r="D88" t="n">
        <v>20</v>
      </c>
      <c r="E88" t="inlineStr">
        <is>
          <t>AB</t>
        </is>
      </c>
      <c r="F88" t="inlineStr">
        <is>
          <t>Stimulus</t>
        </is>
      </c>
      <c r="G88" t="inlineStr">
        <is>
          <t>Ad_A</t>
        </is>
      </c>
      <c r="H88" t="n">
        <v>84283</v>
      </c>
      <c r="I88" t="n">
        <v>30000</v>
      </c>
      <c r="J88" t="n">
        <v>30000</v>
      </c>
      <c r="K88" t="inlineStr">
        <is>
          <t>Ad_A</t>
        </is>
      </c>
      <c r="L88" t="n">
        <v>1</v>
      </c>
      <c r="M88" t="n">
        <v>1</v>
      </c>
      <c r="N88" t="n">
        <v>2</v>
      </c>
      <c r="O88" t="n">
        <v>0.2273</v>
      </c>
      <c r="P88">
        <f>UPPER(TRIM(B88))</f>
        <v/>
      </c>
      <c r="Q88">
        <f>IFERROR(INDEX(SessionLog!$A$2:$A$26,MATCH(P88,SessionLog!$N$2:$N$26,0)),"NOT FOUND")</f>
        <v/>
      </c>
      <c r="R88">
        <f>IFERROR(INDEX(SessionLog!$L$2:$L$26,MATCH(P88,SessionLog!$N$2:$N$26,0)),"NOT FOUND")</f>
        <v/>
      </c>
      <c r="S88">
        <f>IF(R88="Yes",Q88&amp;"|"&amp;F88&amp;"|"&amp;G88&amp;"|"&amp;K88,"DROP")</f>
        <v/>
      </c>
      <c r="T88" s="4">
        <f>IF(I88&gt;0,J88/I88,0)</f>
        <v/>
      </c>
      <c r="U88">
        <f>IF(T88&gt;=0.8,1,0)</f>
        <v/>
      </c>
    </row>
    <row r="89">
      <c r="A89" t="inlineStr">
        <is>
          <t>SIMULATED Multimodal Ad Study</t>
        </is>
      </c>
      <c r="B89" t="inlineStr">
        <is>
          <t>P13</t>
        </is>
      </c>
      <c r="C89" t="inlineStr">
        <is>
          <t>MALE</t>
        </is>
      </c>
      <c r="D89" t="n">
        <v>20</v>
      </c>
      <c r="E89" t="inlineStr">
        <is>
          <t>AB</t>
        </is>
      </c>
      <c r="F89" t="inlineStr">
        <is>
          <t>Stimulus</t>
        </is>
      </c>
      <c r="G89" t="inlineStr">
        <is>
          <t>Ad_B</t>
        </is>
      </c>
      <c r="H89" t="n">
        <v>114384</v>
      </c>
      <c r="I89" t="n">
        <v>30000</v>
      </c>
      <c r="J89" t="n">
        <v>30000</v>
      </c>
      <c r="K89" t="inlineStr">
        <is>
          <t>Ad_B</t>
        </is>
      </c>
      <c r="L89" t="n">
        <v>0</v>
      </c>
      <c r="M89" t="n">
        <v>0</v>
      </c>
      <c r="N89" t="n">
        <v>0</v>
      </c>
      <c r="O89" t="inlineStr">
        <is>
          <t>NA</t>
        </is>
      </c>
      <c r="P89">
        <f>UPPER(TRIM(B89))</f>
        <v/>
      </c>
      <c r="Q89">
        <f>IFERROR(INDEX(SessionLog!$A$2:$A$26,MATCH(P89,SessionLog!$N$2:$N$26,0)),"NOT FOUND")</f>
        <v/>
      </c>
      <c r="R89">
        <f>IFERROR(INDEX(SessionLog!$L$2:$L$26,MATCH(P89,SessionLog!$N$2:$N$26,0)),"NOT FOUND")</f>
        <v/>
      </c>
      <c r="S89">
        <f>IF(R89="Yes",Q89&amp;"|"&amp;F89&amp;"|"&amp;G89&amp;"|"&amp;K89,"DROP")</f>
        <v/>
      </c>
      <c r="T89" s="4">
        <f>IF(I89&gt;0,J89/I89,0)</f>
        <v/>
      </c>
      <c r="U89">
        <f>IF(T89&gt;=0.8,1,0)</f>
        <v/>
      </c>
    </row>
    <row r="90">
      <c r="A90" t="inlineStr">
        <is>
          <t>SIMULATED Multimodal Ad Study</t>
        </is>
      </c>
      <c r="B90" t="inlineStr">
        <is>
          <t>P13</t>
        </is>
      </c>
      <c r="C90" t="inlineStr">
        <is>
          <t>MALE</t>
        </is>
      </c>
      <c r="D90" t="n">
        <v>20</v>
      </c>
      <c r="E90" t="inlineStr">
        <is>
          <t>AB</t>
        </is>
      </c>
      <c r="F90" t="inlineStr">
        <is>
          <t>Stimulus</t>
        </is>
      </c>
      <c r="G90" t="inlineStr">
        <is>
          <t>Baseline</t>
        </is>
      </c>
      <c r="H90" t="n">
        <v>24213</v>
      </c>
      <c r="I90" t="n">
        <v>60000</v>
      </c>
      <c r="J90" t="n">
        <v>60000</v>
      </c>
      <c r="K90" t="inlineStr">
        <is>
          <t>Baseline</t>
        </is>
      </c>
      <c r="L90" t="n">
        <v>0</v>
      </c>
      <c r="M90" t="n">
        <v>0</v>
      </c>
      <c r="N90" t="n">
        <v>0</v>
      </c>
      <c r="O90" t="inlineStr">
        <is>
          <t>NA</t>
        </is>
      </c>
      <c r="P90">
        <f>UPPER(TRIM(B90))</f>
        <v/>
      </c>
      <c r="Q90">
        <f>IFERROR(INDEX(SessionLog!$A$2:$A$26,MATCH(P90,SessionLog!$N$2:$N$26,0)),"NOT FOUND")</f>
        <v/>
      </c>
      <c r="R90">
        <f>IFERROR(INDEX(SessionLog!$L$2:$L$26,MATCH(P90,SessionLog!$N$2:$N$26,0)),"NOT FOUND")</f>
        <v/>
      </c>
      <c r="S90">
        <f>IF(R90="Yes",Q90&amp;"|"&amp;F90&amp;"|"&amp;G90&amp;"|"&amp;K90,"DROP")</f>
        <v/>
      </c>
      <c r="T90" s="4">
        <f>IF(I90&gt;0,J90/I90,0)</f>
        <v/>
      </c>
      <c r="U90">
        <f>IF(T90&gt;=0.8,1,0)</f>
        <v/>
      </c>
    </row>
    <row r="91">
      <c r="A91" t="inlineStr">
        <is>
          <t>SIMULATED Multimodal Ad Study</t>
        </is>
      </c>
      <c r="B91" t="inlineStr">
        <is>
          <t>P13</t>
        </is>
      </c>
      <c r="C91" t="inlineStr">
        <is>
          <t>MALE</t>
        </is>
      </c>
      <c r="D91" t="n">
        <v>20</v>
      </c>
      <c r="E91" t="inlineStr">
        <is>
          <t>AB</t>
        </is>
      </c>
      <c r="F91" t="inlineStr">
        <is>
          <t>Stimulus</t>
        </is>
      </c>
      <c r="G91" t="inlineStr">
        <is>
          <t>Instructions</t>
        </is>
      </c>
      <c r="H91" t="n">
        <v>34</v>
      </c>
      <c r="I91" t="n">
        <v>24140</v>
      </c>
      <c r="J91" t="n">
        <v>24140</v>
      </c>
      <c r="K91" t="inlineStr">
        <is>
          <t>Instructions</t>
        </is>
      </c>
      <c r="L91" t="n">
        <v>1</v>
      </c>
      <c r="M91" t="n">
        <v>2</v>
      </c>
      <c r="N91" t="n">
        <v>4.971</v>
      </c>
      <c r="O91" t="n">
        <v>0.0815</v>
      </c>
      <c r="P91">
        <f>UPPER(TRIM(B91))</f>
        <v/>
      </c>
      <c r="Q91">
        <f>IFERROR(INDEX(SessionLog!$A$2:$A$26,MATCH(P91,SessionLog!$N$2:$N$26,0)),"NOT FOUND")</f>
        <v/>
      </c>
      <c r="R91">
        <f>IFERROR(INDEX(SessionLog!$L$2:$L$26,MATCH(P91,SessionLog!$N$2:$N$26,0)),"NOT FOUND")</f>
        <v/>
      </c>
      <c r="S91">
        <f>IF(R91="Yes",Q91&amp;"|"&amp;F91&amp;"|"&amp;G91&amp;"|"&amp;K91,"DROP")</f>
        <v/>
      </c>
      <c r="T91" s="4">
        <f>IF(I91&gt;0,J91/I91,0)</f>
        <v/>
      </c>
      <c r="U91">
        <f>IF(T91&gt;=0.8,1,0)</f>
        <v/>
      </c>
    </row>
    <row r="92">
      <c r="A92" t="inlineStr">
        <is>
          <t>SIMULATED Multimodal Ad Study</t>
        </is>
      </c>
      <c r="B92" t="inlineStr">
        <is>
          <t>P13</t>
        </is>
      </c>
      <c r="C92" t="inlineStr">
        <is>
          <t>MALE</t>
        </is>
      </c>
      <c r="D92" t="n">
        <v>20</v>
      </c>
      <c r="E92" t="inlineStr">
        <is>
          <t>AB</t>
        </is>
      </c>
      <c r="F92" t="inlineStr">
        <is>
          <t>Stimulus</t>
        </is>
      </c>
      <c r="G92" t="inlineStr">
        <is>
          <t>Questionnaire</t>
        </is>
      </c>
      <c r="H92" t="n">
        <v>144432</v>
      </c>
      <c r="I92" t="n">
        <v>143814</v>
      </c>
      <c r="J92" t="n">
        <v>143814</v>
      </c>
      <c r="K92" t="inlineStr">
        <is>
          <t>Questionnaire</t>
        </is>
      </c>
      <c r="L92" t="n">
        <v>1</v>
      </c>
      <c r="M92" t="n">
        <v>4</v>
      </c>
      <c r="N92" t="n">
        <v>1.669</v>
      </c>
      <c r="O92" t="n">
        <v>0.0634</v>
      </c>
      <c r="P92">
        <f>UPPER(TRIM(B92))</f>
        <v/>
      </c>
      <c r="Q92">
        <f>IFERROR(INDEX(SessionLog!$A$2:$A$26,MATCH(P92,SessionLog!$N$2:$N$26,0)),"NOT FOUND")</f>
        <v/>
      </c>
      <c r="R92">
        <f>IFERROR(INDEX(SessionLog!$L$2:$L$26,MATCH(P92,SessionLog!$N$2:$N$26,0)),"NOT FOUND")</f>
        <v/>
      </c>
      <c r="S92">
        <f>IF(R92="Yes",Q92&amp;"|"&amp;F92&amp;"|"&amp;G92&amp;"|"&amp;K92,"DROP")</f>
        <v/>
      </c>
      <c r="T92" s="4">
        <f>IF(I92&gt;0,J92/I92,0)</f>
        <v/>
      </c>
      <c r="U92">
        <f>IF(T92&gt;=0.8,1,0)</f>
        <v/>
      </c>
    </row>
    <row r="93">
      <c r="A93" t="inlineStr">
        <is>
          <t>SIMULATED Multimodal Ad Study</t>
        </is>
      </c>
      <c r="B93" t="inlineStr">
        <is>
          <t>P13</t>
        </is>
      </c>
      <c r="C93" t="inlineStr">
        <is>
          <t>MALE</t>
        </is>
      </c>
      <c r="D93" t="n">
        <v>20</v>
      </c>
      <c r="E93" t="inlineStr">
        <is>
          <t>AB</t>
        </is>
      </c>
      <c r="F93" t="inlineStr">
        <is>
          <t>Annotation</t>
        </is>
      </c>
      <c r="G93" t="inlineStr">
        <is>
          <t>EndCard</t>
        </is>
      </c>
      <c r="H93" t="n">
        <v>109283</v>
      </c>
      <c r="I93" t="n">
        <v>5000</v>
      </c>
      <c r="J93" t="n">
        <v>5000</v>
      </c>
      <c r="K93" t="inlineStr">
        <is>
          <t>Ad_A</t>
        </is>
      </c>
      <c r="L93" t="n">
        <v>0</v>
      </c>
      <c r="M93" t="n">
        <v>0</v>
      </c>
      <c r="N93" t="n">
        <v>0</v>
      </c>
      <c r="O93" t="inlineStr">
        <is>
          <t>NA</t>
        </is>
      </c>
      <c r="P93">
        <f>UPPER(TRIM(B93))</f>
        <v/>
      </c>
      <c r="Q93">
        <f>IFERROR(INDEX(SessionLog!$A$2:$A$26,MATCH(P93,SessionLog!$N$2:$N$26,0)),"NOT FOUND")</f>
        <v/>
      </c>
      <c r="R93">
        <f>IFERROR(INDEX(SessionLog!$L$2:$L$26,MATCH(P93,SessionLog!$N$2:$N$26,0)),"NOT FOUND")</f>
        <v/>
      </c>
      <c r="S93">
        <f>IF(R93="Yes",Q93&amp;"|"&amp;F93&amp;"|"&amp;G93&amp;"|"&amp;K93,"DROP")</f>
        <v/>
      </c>
      <c r="T93" s="4">
        <f>IF(I93&gt;0,J93/I93,0)</f>
        <v/>
      </c>
      <c r="U93">
        <f>IF(T93&gt;=0.8,1,0)</f>
        <v/>
      </c>
    </row>
    <row r="94">
      <c r="A94" t="inlineStr">
        <is>
          <t>SIMULATED Multimodal Ad Study</t>
        </is>
      </c>
      <c r="B94" t="inlineStr">
        <is>
          <t>P13</t>
        </is>
      </c>
      <c r="C94" t="inlineStr">
        <is>
          <t>MALE</t>
        </is>
      </c>
      <c r="D94" t="n">
        <v>20</v>
      </c>
      <c r="E94" t="inlineStr">
        <is>
          <t>AB</t>
        </is>
      </c>
      <c r="F94" t="inlineStr">
        <is>
          <t>Annotation</t>
        </is>
      </c>
      <c r="G94" t="inlineStr">
        <is>
          <t>EndCard</t>
        </is>
      </c>
      <c r="H94" t="n">
        <v>139384</v>
      </c>
      <c r="I94" t="n">
        <v>5000</v>
      </c>
      <c r="J94" t="n">
        <v>5000</v>
      </c>
      <c r="K94" t="inlineStr">
        <is>
          <t>Ad_B</t>
        </is>
      </c>
      <c r="L94" t="n">
        <v>0</v>
      </c>
      <c r="M94" t="n">
        <v>0</v>
      </c>
      <c r="N94" t="n">
        <v>0</v>
      </c>
      <c r="O94" t="inlineStr">
        <is>
          <t>NA</t>
        </is>
      </c>
      <c r="P94">
        <f>UPPER(TRIM(B94))</f>
        <v/>
      </c>
      <c r="Q94">
        <f>IFERROR(INDEX(SessionLog!$A$2:$A$26,MATCH(P94,SessionLog!$N$2:$N$26,0)),"NOT FOUND")</f>
        <v/>
      </c>
      <c r="R94">
        <f>IFERROR(INDEX(SessionLog!$L$2:$L$26,MATCH(P94,SessionLog!$N$2:$N$26,0)),"NOT FOUND")</f>
        <v/>
      </c>
      <c r="S94">
        <f>IF(R94="Yes",Q94&amp;"|"&amp;F94&amp;"|"&amp;G94&amp;"|"&amp;K94,"DROP")</f>
        <v/>
      </c>
      <c r="T94" s="4">
        <f>IF(I94&gt;0,J94/I94,0)</f>
        <v/>
      </c>
      <c r="U94">
        <f>IF(T94&gt;=0.8,1,0)</f>
        <v/>
      </c>
    </row>
    <row r="95">
      <c r="A95" t="inlineStr">
        <is>
          <t>SIMULATED Multimodal Ad Study</t>
        </is>
      </c>
      <c r="B95" t="inlineStr">
        <is>
          <t>P14</t>
        </is>
      </c>
      <c r="C95" t="inlineStr">
        <is>
          <t>FEMALE</t>
        </is>
      </c>
      <c r="D95" t="n">
        <v>21</v>
      </c>
      <c r="E95" t="inlineStr">
        <is>
          <t>BA</t>
        </is>
      </c>
      <c r="F95" t="inlineStr">
        <is>
          <t>Stimulus</t>
        </is>
      </c>
      <c r="G95" t="inlineStr">
        <is>
          <t>Ad_A</t>
        </is>
      </c>
      <c r="H95" t="n">
        <v>117605</v>
      </c>
      <c r="I95" t="n">
        <v>30000</v>
      </c>
      <c r="J95" t="n">
        <v>30000</v>
      </c>
      <c r="K95" t="inlineStr">
        <is>
          <t>Ad_A</t>
        </is>
      </c>
      <c r="L95" t="n">
        <v>1</v>
      </c>
      <c r="M95" t="n">
        <v>1</v>
      </c>
      <c r="N95" t="n">
        <v>2</v>
      </c>
      <c r="O95" t="n">
        <v>0.1081</v>
      </c>
      <c r="P95">
        <f>UPPER(TRIM(B95))</f>
        <v/>
      </c>
      <c r="Q95">
        <f>IFERROR(INDEX(SessionLog!$A$2:$A$26,MATCH(P95,SessionLog!$N$2:$N$26,0)),"NOT FOUND")</f>
        <v/>
      </c>
      <c r="R95">
        <f>IFERROR(INDEX(SessionLog!$L$2:$L$26,MATCH(P95,SessionLog!$N$2:$N$26,0)),"NOT FOUND")</f>
        <v/>
      </c>
      <c r="S95">
        <f>IF(R95="Yes",Q95&amp;"|"&amp;F95&amp;"|"&amp;G95&amp;"|"&amp;K95,"DROP")</f>
        <v/>
      </c>
      <c r="T95" s="4">
        <f>IF(I95&gt;0,J95/I95,0)</f>
        <v/>
      </c>
      <c r="U95">
        <f>IF(T95&gt;=0.8,1,0)</f>
        <v/>
      </c>
    </row>
    <row r="96">
      <c r="A96" t="inlineStr">
        <is>
          <t>SIMULATED Multimodal Ad Study</t>
        </is>
      </c>
      <c r="B96" t="inlineStr">
        <is>
          <t>P14</t>
        </is>
      </c>
      <c r="C96" t="inlineStr">
        <is>
          <t>FEMALE</t>
        </is>
      </c>
      <c r="D96" t="n">
        <v>21</v>
      </c>
      <c r="E96" t="inlineStr">
        <is>
          <t>BA</t>
        </is>
      </c>
      <c r="F96" t="inlineStr">
        <is>
          <t>Stimulus</t>
        </is>
      </c>
      <c r="G96" t="inlineStr">
        <is>
          <t>Ad_B</t>
        </is>
      </c>
      <c r="H96" t="n">
        <v>87522</v>
      </c>
      <c r="I96" t="n">
        <v>30000</v>
      </c>
      <c r="J96" t="n">
        <v>30000</v>
      </c>
      <c r="K96" t="inlineStr">
        <is>
          <t>Ad_B</t>
        </is>
      </c>
      <c r="L96" t="n">
        <v>1</v>
      </c>
      <c r="M96" t="n">
        <v>1</v>
      </c>
      <c r="N96" t="n">
        <v>2</v>
      </c>
      <c r="O96" t="n">
        <v>0.2255</v>
      </c>
      <c r="P96">
        <f>UPPER(TRIM(B96))</f>
        <v/>
      </c>
      <c r="Q96">
        <f>IFERROR(INDEX(SessionLog!$A$2:$A$26,MATCH(P96,SessionLog!$N$2:$N$26,0)),"NOT FOUND")</f>
        <v/>
      </c>
      <c r="R96">
        <f>IFERROR(INDEX(SessionLog!$L$2:$L$26,MATCH(P96,SessionLog!$N$2:$N$26,0)),"NOT FOUND")</f>
        <v/>
      </c>
      <c r="S96">
        <f>IF(R96="Yes",Q96&amp;"|"&amp;F96&amp;"|"&amp;G96&amp;"|"&amp;K96,"DROP")</f>
        <v/>
      </c>
      <c r="T96" s="4">
        <f>IF(I96&gt;0,J96/I96,0)</f>
        <v/>
      </c>
      <c r="U96">
        <f>IF(T96&gt;=0.8,1,0)</f>
        <v/>
      </c>
    </row>
    <row r="97">
      <c r="A97" t="inlineStr">
        <is>
          <t>SIMULATED Multimodal Ad Study</t>
        </is>
      </c>
      <c r="B97" t="inlineStr">
        <is>
          <t>P14</t>
        </is>
      </c>
      <c r="C97" t="inlineStr">
        <is>
          <t>FEMALE</t>
        </is>
      </c>
      <c r="D97" t="n">
        <v>21</v>
      </c>
      <c r="E97" t="inlineStr">
        <is>
          <t>BA</t>
        </is>
      </c>
      <c r="F97" t="inlineStr">
        <is>
          <t>Stimulus</t>
        </is>
      </c>
      <c r="G97" t="inlineStr">
        <is>
          <t>Baseline</t>
        </is>
      </c>
      <c r="H97" t="n">
        <v>27465</v>
      </c>
      <c r="I97" t="n">
        <v>60000</v>
      </c>
      <c r="J97" t="n">
        <v>60000</v>
      </c>
      <c r="K97" t="inlineStr">
        <is>
          <t>Baseline</t>
        </is>
      </c>
      <c r="L97" t="n">
        <v>0</v>
      </c>
      <c r="M97" t="n">
        <v>0</v>
      </c>
      <c r="N97" t="n">
        <v>0</v>
      </c>
      <c r="O97" t="inlineStr">
        <is>
          <t>NA</t>
        </is>
      </c>
      <c r="P97">
        <f>UPPER(TRIM(B97))</f>
        <v/>
      </c>
      <c r="Q97">
        <f>IFERROR(INDEX(SessionLog!$A$2:$A$26,MATCH(P97,SessionLog!$N$2:$N$26,0)),"NOT FOUND")</f>
        <v/>
      </c>
      <c r="R97">
        <f>IFERROR(INDEX(SessionLog!$L$2:$L$26,MATCH(P97,SessionLog!$N$2:$N$26,0)),"NOT FOUND")</f>
        <v/>
      </c>
      <c r="S97">
        <f>IF(R97="Yes",Q97&amp;"|"&amp;F97&amp;"|"&amp;G97&amp;"|"&amp;K97,"DROP")</f>
        <v/>
      </c>
      <c r="T97" s="4">
        <f>IF(I97&gt;0,J97/I97,0)</f>
        <v/>
      </c>
      <c r="U97">
        <f>IF(T97&gt;=0.8,1,0)</f>
        <v/>
      </c>
    </row>
    <row r="98">
      <c r="A98" t="inlineStr">
        <is>
          <t>SIMULATED Multimodal Ad Study</t>
        </is>
      </c>
      <c r="B98" t="inlineStr">
        <is>
          <t>P14</t>
        </is>
      </c>
      <c r="C98" t="inlineStr">
        <is>
          <t>FEMALE</t>
        </is>
      </c>
      <c r="D98" t="n">
        <v>21</v>
      </c>
      <c r="E98" t="inlineStr">
        <is>
          <t>BA</t>
        </is>
      </c>
      <c r="F98" t="inlineStr">
        <is>
          <t>Stimulus</t>
        </is>
      </c>
      <c r="G98" t="inlineStr">
        <is>
          <t>Instructions</t>
        </is>
      </c>
      <c r="H98" t="n">
        <v>24</v>
      </c>
      <c r="I98" t="n">
        <v>27400</v>
      </c>
      <c r="J98" t="n">
        <v>27400</v>
      </c>
      <c r="K98" t="inlineStr">
        <is>
          <t>Instructions</t>
        </is>
      </c>
      <c r="L98" t="n">
        <v>1</v>
      </c>
      <c r="M98" t="n">
        <v>1</v>
      </c>
      <c r="N98" t="n">
        <v>2.19</v>
      </c>
      <c r="O98" t="n">
        <v>0.1524</v>
      </c>
      <c r="P98">
        <f>UPPER(TRIM(B98))</f>
        <v/>
      </c>
      <c r="Q98">
        <f>IFERROR(INDEX(SessionLog!$A$2:$A$26,MATCH(P98,SessionLog!$N$2:$N$26,0)),"NOT FOUND")</f>
        <v/>
      </c>
      <c r="R98">
        <f>IFERROR(INDEX(SessionLog!$L$2:$L$26,MATCH(P98,SessionLog!$N$2:$N$26,0)),"NOT FOUND")</f>
        <v/>
      </c>
      <c r="S98">
        <f>IF(R98="Yes",Q98&amp;"|"&amp;F98&amp;"|"&amp;G98&amp;"|"&amp;K98,"DROP")</f>
        <v/>
      </c>
      <c r="T98" s="4">
        <f>IF(I98&gt;0,J98/I98,0)</f>
        <v/>
      </c>
      <c r="U98">
        <f>IF(T98&gt;=0.8,1,0)</f>
        <v/>
      </c>
    </row>
    <row r="99">
      <c r="A99" t="inlineStr">
        <is>
          <t>SIMULATED Multimodal Ad Study</t>
        </is>
      </c>
      <c r="B99" t="inlineStr">
        <is>
          <t>P14</t>
        </is>
      </c>
      <c r="C99" t="inlineStr">
        <is>
          <t>FEMALE</t>
        </is>
      </c>
      <c r="D99" t="n">
        <v>21</v>
      </c>
      <c r="E99" t="inlineStr">
        <is>
          <t>BA</t>
        </is>
      </c>
      <c r="F99" t="inlineStr">
        <is>
          <t>Stimulus</t>
        </is>
      </c>
      <c r="G99" t="inlineStr">
        <is>
          <t>Questionnaire</t>
        </is>
      </c>
      <c r="H99" t="n">
        <v>147653</v>
      </c>
      <c r="I99" t="n">
        <v>130213</v>
      </c>
      <c r="J99" t="n">
        <v>130213</v>
      </c>
      <c r="K99" t="inlineStr">
        <is>
          <t>Questionnaire</t>
        </is>
      </c>
      <c r="L99" t="n">
        <v>1</v>
      </c>
      <c r="M99" t="n">
        <v>6</v>
      </c>
      <c r="N99" t="n">
        <v>2.765</v>
      </c>
      <c r="O99" t="n">
        <v>0.1372</v>
      </c>
      <c r="P99">
        <f>UPPER(TRIM(B99))</f>
        <v/>
      </c>
      <c r="Q99">
        <f>IFERROR(INDEX(SessionLog!$A$2:$A$26,MATCH(P99,SessionLog!$N$2:$N$26,0)),"NOT FOUND")</f>
        <v/>
      </c>
      <c r="R99">
        <f>IFERROR(INDEX(SessionLog!$L$2:$L$26,MATCH(P99,SessionLog!$N$2:$N$26,0)),"NOT FOUND")</f>
        <v/>
      </c>
      <c r="S99">
        <f>IF(R99="Yes",Q99&amp;"|"&amp;F99&amp;"|"&amp;G99&amp;"|"&amp;K99,"DROP")</f>
        <v/>
      </c>
      <c r="T99" s="4">
        <f>IF(I99&gt;0,J99/I99,0)</f>
        <v/>
      </c>
      <c r="U99">
        <f>IF(T99&gt;=0.8,1,0)</f>
        <v/>
      </c>
    </row>
    <row r="100">
      <c r="A100" t="inlineStr">
        <is>
          <t>SIMULATED Multimodal Ad Study</t>
        </is>
      </c>
      <c r="B100" t="inlineStr">
        <is>
          <t>P14</t>
        </is>
      </c>
      <c r="C100" t="inlineStr">
        <is>
          <t>FEMALE</t>
        </is>
      </c>
      <c r="D100" t="n">
        <v>21</v>
      </c>
      <c r="E100" t="inlineStr">
        <is>
          <t>BA</t>
        </is>
      </c>
      <c r="F100" t="inlineStr">
        <is>
          <t>Annotation</t>
        </is>
      </c>
      <c r="G100" t="inlineStr">
        <is>
          <t>EndCard</t>
        </is>
      </c>
      <c r="H100" t="n">
        <v>142605</v>
      </c>
      <c r="I100" t="n">
        <v>5000</v>
      </c>
      <c r="J100" t="n">
        <v>5000</v>
      </c>
      <c r="K100" t="inlineStr">
        <is>
          <t>Ad_A</t>
        </is>
      </c>
      <c r="L100" t="n">
        <v>0</v>
      </c>
      <c r="M100" t="n">
        <v>0</v>
      </c>
      <c r="N100" t="n">
        <v>0</v>
      </c>
      <c r="O100" t="inlineStr">
        <is>
          <t>NA</t>
        </is>
      </c>
      <c r="P100">
        <f>UPPER(TRIM(B100))</f>
        <v/>
      </c>
      <c r="Q100">
        <f>IFERROR(INDEX(SessionLog!$A$2:$A$26,MATCH(P100,SessionLog!$N$2:$N$26,0)),"NOT FOUND")</f>
        <v/>
      </c>
      <c r="R100">
        <f>IFERROR(INDEX(SessionLog!$L$2:$L$26,MATCH(P100,SessionLog!$N$2:$N$26,0)),"NOT FOUND")</f>
        <v/>
      </c>
      <c r="S100">
        <f>IF(R100="Yes",Q100&amp;"|"&amp;F100&amp;"|"&amp;G100&amp;"|"&amp;K100,"DROP")</f>
        <v/>
      </c>
      <c r="T100" s="4">
        <f>IF(I100&gt;0,J100/I100,0)</f>
        <v/>
      </c>
      <c r="U100">
        <f>IF(T100&gt;=0.8,1,0)</f>
        <v/>
      </c>
    </row>
    <row r="101">
      <c r="A101" t="inlineStr">
        <is>
          <t>SIMULATED Multimodal Ad Study</t>
        </is>
      </c>
      <c r="B101" t="inlineStr">
        <is>
          <t>P14</t>
        </is>
      </c>
      <c r="C101" t="inlineStr">
        <is>
          <t>FEMALE</t>
        </is>
      </c>
      <c r="D101" t="n">
        <v>21</v>
      </c>
      <c r="E101" t="inlineStr">
        <is>
          <t>BA</t>
        </is>
      </c>
      <c r="F101" t="inlineStr">
        <is>
          <t>Annotation</t>
        </is>
      </c>
      <c r="G101" t="inlineStr">
        <is>
          <t>EndCard</t>
        </is>
      </c>
      <c r="H101" t="n">
        <v>112522</v>
      </c>
      <c r="I101" t="n">
        <v>5000</v>
      </c>
      <c r="J101" t="n">
        <v>5000</v>
      </c>
      <c r="K101" t="inlineStr">
        <is>
          <t>Ad_B</t>
        </is>
      </c>
      <c r="L101" t="n">
        <v>1</v>
      </c>
      <c r="M101" t="n">
        <v>1</v>
      </c>
      <c r="N101" t="n">
        <v>12</v>
      </c>
      <c r="O101" t="n">
        <v>0.2255</v>
      </c>
      <c r="P101">
        <f>UPPER(TRIM(B101))</f>
        <v/>
      </c>
      <c r="Q101">
        <f>IFERROR(INDEX(SessionLog!$A$2:$A$26,MATCH(P101,SessionLog!$N$2:$N$26,0)),"NOT FOUND")</f>
        <v/>
      </c>
      <c r="R101">
        <f>IFERROR(INDEX(SessionLog!$L$2:$L$26,MATCH(P101,SessionLog!$N$2:$N$26,0)),"NOT FOUND")</f>
        <v/>
      </c>
      <c r="S101">
        <f>IF(R101="Yes",Q101&amp;"|"&amp;F101&amp;"|"&amp;G101&amp;"|"&amp;K101,"DROP")</f>
        <v/>
      </c>
      <c r="T101" s="4">
        <f>IF(I101&gt;0,J101/I101,0)</f>
        <v/>
      </c>
      <c r="U101">
        <f>IF(T101&gt;=0.8,1,0)</f>
        <v/>
      </c>
    </row>
    <row r="102">
      <c r="A102" t="inlineStr">
        <is>
          <t>SIMULATED Multimodal Ad Study</t>
        </is>
      </c>
      <c r="B102" t="inlineStr">
        <is>
          <t>P15</t>
        </is>
      </c>
      <c r="C102" t="inlineStr">
        <is>
          <t>MALE</t>
        </is>
      </c>
      <c r="D102" t="n">
        <v>20</v>
      </c>
      <c r="E102" t="inlineStr">
        <is>
          <t>AB</t>
        </is>
      </c>
      <c r="F102" t="inlineStr">
        <is>
          <t>Stimulus</t>
        </is>
      </c>
      <c r="G102" t="inlineStr">
        <is>
          <t>Ad_A</t>
        </is>
      </c>
      <c r="H102" t="n">
        <v>75559</v>
      </c>
      <c r="I102" t="n">
        <v>30000</v>
      </c>
      <c r="J102" t="n">
        <v>30000</v>
      </c>
      <c r="K102" t="inlineStr">
        <is>
          <t>Ad_A</t>
        </is>
      </c>
      <c r="L102" t="n">
        <v>1</v>
      </c>
      <c r="M102" t="n">
        <v>4</v>
      </c>
      <c r="N102" t="n">
        <v>8</v>
      </c>
      <c r="O102" t="n">
        <v>0.1752</v>
      </c>
      <c r="P102">
        <f>UPPER(TRIM(B102))</f>
        <v/>
      </c>
      <c r="Q102">
        <f>IFERROR(INDEX(SessionLog!$A$2:$A$26,MATCH(P102,SessionLog!$N$2:$N$26,0)),"NOT FOUND")</f>
        <v/>
      </c>
      <c r="R102">
        <f>IFERROR(INDEX(SessionLog!$L$2:$L$26,MATCH(P102,SessionLog!$N$2:$N$26,0)),"NOT FOUND")</f>
        <v/>
      </c>
      <c r="S102">
        <f>IF(R102="Yes",Q102&amp;"|"&amp;F102&amp;"|"&amp;G102&amp;"|"&amp;K102,"DROP")</f>
        <v/>
      </c>
      <c r="T102" s="4">
        <f>IF(I102&gt;0,J102/I102,0)</f>
        <v/>
      </c>
      <c r="U102">
        <f>IF(T102&gt;=0.8,1,0)</f>
        <v/>
      </c>
    </row>
    <row r="103">
      <c r="A103" t="inlineStr">
        <is>
          <t>SIMULATED Multimodal Ad Study</t>
        </is>
      </c>
      <c r="B103" t="inlineStr">
        <is>
          <t>P15</t>
        </is>
      </c>
      <c r="C103" t="inlineStr">
        <is>
          <t>MALE</t>
        </is>
      </c>
      <c r="D103" t="n">
        <v>20</v>
      </c>
      <c r="E103" t="inlineStr">
        <is>
          <t>AB</t>
        </is>
      </c>
      <c r="F103" t="inlineStr">
        <is>
          <t>Stimulus</t>
        </is>
      </c>
      <c r="G103" t="inlineStr">
        <is>
          <t>Ad_B</t>
        </is>
      </c>
      <c r="H103" t="n">
        <v>105614</v>
      </c>
      <c r="I103" t="n">
        <v>30000</v>
      </c>
      <c r="J103" t="n">
        <v>30000</v>
      </c>
      <c r="K103" t="inlineStr">
        <is>
          <t>Ad_B</t>
        </is>
      </c>
      <c r="L103" t="n">
        <v>1</v>
      </c>
      <c r="M103" t="n">
        <v>2</v>
      </c>
      <c r="N103" t="n">
        <v>4</v>
      </c>
      <c r="O103" t="n">
        <v>0.0868</v>
      </c>
      <c r="P103">
        <f>UPPER(TRIM(B103))</f>
        <v/>
      </c>
      <c r="Q103">
        <f>IFERROR(INDEX(SessionLog!$A$2:$A$26,MATCH(P103,SessionLog!$N$2:$N$26,0)),"NOT FOUND")</f>
        <v/>
      </c>
      <c r="R103">
        <f>IFERROR(INDEX(SessionLog!$L$2:$L$26,MATCH(P103,SessionLog!$N$2:$N$26,0)),"NOT FOUND")</f>
        <v/>
      </c>
      <c r="S103">
        <f>IF(R103="Yes",Q103&amp;"|"&amp;F103&amp;"|"&amp;G103&amp;"|"&amp;K103,"DROP")</f>
        <v/>
      </c>
      <c r="T103" s="4">
        <f>IF(I103&gt;0,J103/I103,0)</f>
        <v/>
      </c>
      <c r="U103">
        <f>IF(T103&gt;=0.8,1,0)</f>
        <v/>
      </c>
    </row>
    <row r="104">
      <c r="A104" t="inlineStr">
        <is>
          <t>SIMULATED Multimodal Ad Study</t>
        </is>
      </c>
      <c r="B104" t="inlineStr">
        <is>
          <t>P15</t>
        </is>
      </c>
      <c r="C104" t="inlineStr">
        <is>
          <t>MALE</t>
        </is>
      </c>
      <c r="D104" t="n">
        <v>20</v>
      </c>
      <c r="E104" t="inlineStr">
        <is>
          <t>AB</t>
        </is>
      </c>
      <c r="F104" t="inlineStr">
        <is>
          <t>Stimulus</t>
        </is>
      </c>
      <c r="G104" t="inlineStr">
        <is>
          <t>Baseline</t>
        </is>
      </c>
      <c r="H104" t="n">
        <v>15472</v>
      </c>
      <c r="I104" t="n">
        <v>60000</v>
      </c>
      <c r="J104" t="n">
        <v>60000</v>
      </c>
      <c r="K104" t="inlineStr">
        <is>
          <t>Baseline</t>
        </is>
      </c>
      <c r="L104" t="n">
        <v>1</v>
      </c>
      <c r="M104" t="n">
        <v>2</v>
      </c>
      <c r="N104" t="n">
        <v>2</v>
      </c>
      <c r="O104" t="n">
        <v>0.1271</v>
      </c>
      <c r="P104">
        <f>UPPER(TRIM(B104))</f>
        <v/>
      </c>
      <c r="Q104">
        <f>IFERROR(INDEX(SessionLog!$A$2:$A$26,MATCH(P104,SessionLog!$N$2:$N$26,0)),"NOT FOUND")</f>
        <v/>
      </c>
      <c r="R104">
        <f>IFERROR(INDEX(SessionLog!$L$2:$L$26,MATCH(P104,SessionLog!$N$2:$N$26,0)),"NOT FOUND")</f>
        <v/>
      </c>
      <c r="S104">
        <f>IF(R104="Yes",Q104&amp;"|"&amp;F104&amp;"|"&amp;G104&amp;"|"&amp;K104,"DROP")</f>
        <v/>
      </c>
      <c r="T104" s="4">
        <f>IF(I104&gt;0,J104/I104,0)</f>
        <v/>
      </c>
      <c r="U104">
        <f>IF(T104&gt;=0.8,1,0)</f>
        <v/>
      </c>
    </row>
    <row r="105">
      <c r="A105" t="inlineStr">
        <is>
          <t>SIMULATED Multimodal Ad Study</t>
        </is>
      </c>
      <c r="B105" t="inlineStr">
        <is>
          <t>P15</t>
        </is>
      </c>
      <c r="C105" t="inlineStr">
        <is>
          <t>MALE</t>
        </is>
      </c>
      <c r="D105" t="n">
        <v>20</v>
      </c>
      <c r="E105" t="inlineStr">
        <is>
          <t>AB</t>
        </is>
      </c>
      <c r="F105" t="inlineStr">
        <is>
          <t>Stimulus</t>
        </is>
      </c>
      <c r="G105" t="inlineStr">
        <is>
          <t>Instructions</t>
        </is>
      </c>
      <c r="H105" t="n">
        <v>29</v>
      </c>
      <c r="I105" t="n">
        <v>15399</v>
      </c>
      <c r="J105" t="n">
        <v>15399</v>
      </c>
      <c r="K105" t="inlineStr">
        <is>
          <t>Instructions</t>
        </is>
      </c>
      <c r="L105" t="n">
        <v>1</v>
      </c>
      <c r="M105" t="n">
        <v>3</v>
      </c>
      <c r="N105" t="n">
        <v>11.689</v>
      </c>
      <c r="O105" t="n">
        <v>0.1256</v>
      </c>
      <c r="P105">
        <f>UPPER(TRIM(B105))</f>
        <v/>
      </c>
      <c r="Q105">
        <f>IFERROR(INDEX(SessionLog!$A$2:$A$26,MATCH(P105,SessionLog!$N$2:$N$26,0)),"NOT FOUND")</f>
        <v/>
      </c>
      <c r="R105">
        <f>IFERROR(INDEX(SessionLog!$L$2:$L$26,MATCH(P105,SessionLog!$N$2:$N$26,0)),"NOT FOUND")</f>
        <v/>
      </c>
      <c r="S105">
        <f>IF(R105="Yes",Q105&amp;"|"&amp;F105&amp;"|"&amp;G105&amp;"|"&amp;K105,"DROP")</f>
        <v/>
      </c>
      <c r="T105" s="4">
        <f>IF(I105&gt;0,J105/I105,0)</f>
        <v/>
      </c>
      <c r="U105">
        <f>IF(T105&gt;=0.8,1,0)</f>
        <v/>
      </c>
    </row>
    <row r="106">
      <c r="A106" t="inlineStr">
        <is>
          <t>SIMULATED Multimodal Ad Study</t>
        </is>
      </c>
      <c r="B106" t="inlineStr">
        <is>
          <t>P15</t>
        </is>
      </c>
      <c r="C106" t="inlineStr">
        <is>
          <t>MALE</t>
        </is>
      </c>
      <c r="D106" t="n">
        <v>20</v>
      </c>
      <c r="E106" t="inlineStr">
        <is>
          <t>AB</t>
        </is>
      </c>
      <c r="F106" t="inlineStr">
        <is>
          <t>Stimulus</t>
        </is>
      </c>
      <c r="G106" t="inlineStr">
        <is>
          <t>Questionnaire</t>
        </is>
      </c>
      <c r="H106" t="n">
        <v>135641</v>
      </c>
      <c r="I106" t="n">
        <v>148164</v>
      </c>
      <c r="J106" t="n">
        <v>148164</v>
      </c>
      <c r="K106" t="inlineStr">
        <is>
          <t>Questionnaire</t>
        </is>
      </c>
      <c r="L106" t="n">
        <v>1</v>
      </c>
      <c r="M106" t="n">
        <v>11</v>
      </c>
      <c r="N106" t="n">
        <v>4.455</v>
      </c>
      <c r="O106" t="n">
        <v>0.1377</v>
      </c>
      <c r="P106">
        <f>UPPER(TRIM(B106))</f>
        <v/>
      </c>
      <c r="Q106">
        <f>IFERROR(INDEX(SessionLog!$A$2:$A$26,MATCH(P106,SessionLog!$N$2:$N$26,0)),"NOT FOUND")</f>
        <v/>
      </c>
      <c r="R106">
        <f>IFERROR(INDEX(SessionLog!$L$2:$L$26,MATCH(P106,SessionLog!$N$2:$N$26,0)),"NOT FOUND")</f>
        <v/>
      </c>
      <c r="S106">
        <f>IF(R106="Yes",Q106&amp;"|"&amp;F106&amp;"|"&amp;G106&amp;"|"&amp;K106,"DROP")</f>
        <v/>
      </c>
      <c r="T106" s="4">
        <f>IF(I106&gt;0,J106/I106,0)</f>
        <v/>
      </c>
      <c r="U106">
        <f>IF(T106&gt;=0.8,1,0)</f>
        <v/>
      </c>
    </row>
    <row r="107">
      <c r="A107" t="inlineStr">
        <is>
          <t>SIMULATED Multimodal Ad Study</t>
        </is>
      </c>
      <c r="B107" t="inlineStr">
        <is>
          <t>P15</t>
        </is>
      </c>
      <c r="C107" t="inlineStr">
        <is>
          <t>MALE</t>
        </is>
      </c>
      <c r="D107" t="n">
        <v>20</v>
      </c>
      <c r="E107" t="inlineStr">
        <is>
          <t>AB</t>
        </is>
      </c>
      <c r="F107" t="inlineStr">
        <is>
          <t>Annotation</t>
        </is>
      </c>
      <c r="G107" t="inlineStr">
        <is>
          <t>EndCard</t>
        </is>
      </c>
      <c r="H107" t="n">
        <v>100559</v>
      </c>
      <c r="I107" t="n">
        <v>5000</v>
      </c>
      <c r="J107" t="n">
        <v>5000</v>
      </c>
      <c r="K107" t="inlineStr">
        <is>
          <t>Ad_A</t>
        </is>
      </c>
      <c r="L107" t="n">
        <v>0</v>
      </c>
      <c r="M107" t="n">
        <v>0</v>
      </c>
      <c r="N107" t="n">
        <v>0</v>
      </c>
      <c r="O107" t="inlineStr">
        <is>
          <t>NA</t>
        </is>
      </c>
      <c r="P107">
        <f>UPPER(TRIM(B107))</f>
        <v/>
      </c>
      <c r="Q107">
        <f>IFERROR(INDEX(SessionLog!$A$2:$A$26,MATCH(P107,SessionLog!$N$2:$N$26,0)),"NOT FOUND")</f>
        <v/>
      </c>
      <c r="R107">
        <f>IFERROR(INDEX(SessionLog!$L$2:$L$26,MATCH(P107,SessionLog!$N$2:$N$26,0)),"NOT FOUND")</f>
        <v/>
      </c>
      <c r="S107">
        <f>IF(R107="Yes",Q107&amp;"|"&amp;F107&amp;"|"&amp;G107&amp;"|"&amp;K107,"DROP")</f>
        <v/>
      </c>
      <c r="T107" s="4">
        <f>IF(I107&gt;0,J107/I107,0)</f>
        <v/>
      </c>
      <c r="U107">
        <f>IF(T107&gt;=0.8,1,0)</f>
        <v/>
      </c>
    </row>
    <row r="108">
      <c r="A108" t="inlineStr">
        <is>
          <t>SIMULATED Multimodal Ad Study</t>
        </is>
      </c>
      <c r="B108" t="inlineStr">
        <is>
          <t>P15</t>
        </is>
      </c>
      <c r="C108" t="inlineStr">
        <is>
          <t>MALE</t>
        </is>
      </c>
      <c r="D108" t="n">
        <v>20</v>
      </c>
      <c r="E108" t="inlineStr">
        <is>
          <t>AB</t>
        </is>
      </c>
      <c r="F108" t="inlineStr">
        <is>
          <t>Annotation</t>
        </is>
      </c>
      <c r="G108" t="inlineStr">
        <is>
          <t>EndCard</t>
        </is>
      </c>
      <c r="H108" t="n">
        <v>130614</v>
      </c>
      <c r="I108" t="n">
        <v>5000</v>
      </c>
      <c r="J108" t="n">
        <v>5000</v>
      </c>
      <c r="K108" t="inlineStr">
        <is>
          <t>Ad_B</t>
        </is>
      </c>
      <c r="L108" t="n">
        <v>1</v>
      </c>
      <c r="M108" t="n">
        <v>1</v>
      </c>
      <c r="N108" t="n">
        <v>12</v>
      </c>
      <c r="O108" t="n">
        <v>0.0683</v>
      </c>
      <c r="P108">
        <f>UPPER(TRIM(B108))</f>
        <v/>
      </c>
      <c r="Q108">
        <f>IFERROR(INDEX(SessionLog!$A$2:$A$26,MATCH(P108,SessionLog!$N$2:$N$26,0)),"NOT FOUND")</f>
        <v/>
      </c>
      <c r="R108">
        <f>IFERROR(INDEX(SessionLog!$L$2:$L$26,MATCH(P108,SessionLog!$N$2:$N$26,0)),"NOT FOUND")</f>
        <v/>
      </c>
      <c r="S108">
        <f>IF(R108="Yes",Q108&amp;"|"&amp;F108&amp;"|"&amp;G108&amp;"|"&amp;K108,"DROP")</f>
        <v/>
      </c>
      <c r="T108" s="4">
        <f>IF(I108&gt;0,J108/I108,0)</f>
        <v/>
      </c>
      <c r="U108">
        <f>IF(T108&gt;=0.8,1,0)</f>
        <v/>
      </c>
    </row>
    <row r="109">
      <c r="A109" t="inlineStr">
        <is>
          <t>SIMULATED Multimodal Ad Study</t>
        </is>
      </c>
      <c r="B109" t="inlineStr">
        <is>
          <t>P16</t>
        </is>
      </c>
      <c r="C109" t="inlineStr">
        <is>
          <t>MALE</t>
        </is>
      </c>
      <c r="D109" t="n">
        <v>23</v>
      </c>
      <c r="E109" t="inlineStr">
        <is>
          <t>BA</t>
        </is>
      </c>
      <c r="F109" t="inlineStr">
        <is>
          <t>Stimulus</t>
        </is>
      </c>
      <c r="G109" t="inlineStr">
        <is>
          <t>Ad_A</t>
        </is>
      </c>
      <c r="H109" t="n">
        <v>104559</v>
      </c>
      <c r="I109" t="n">
        <v>30000</v>
      </c>
      <c r="J109" t="n">
        <v>30000</v>
      </c>
      <c r="K109" t="inlineStr">
        <is>
          <t>Ad_A</t>
        </is>
      </c>
      <c r="L109" t="n">
        <v>1</v>
      </c>
      <c r="M109" t="n">
        <v>8</v>
      </c>
      <c r="N109" t="n">
        <v>16</v>
      </c>
      <c r="O109" t="n">
        <v>0.1632</v>
      </c>
      <c r="P109">
        <f>UPPER(TRIM(B109))</f>
        <v/>
      </c>
      <c r="Q109">
        <f>IFERROR(INDEX(SessionLog!$A$2:$A$26,MATCH(P109,SessionLog!$N$2:$N$26,0)),"NOT FOUND")</f>
        <v/>
      </c>
      <c r="R109">
        <f>IFERROR(INDEX(SessionLog!$L$2:$L$26,MATCH(P109,SessionLog!$N$2:$N$26,0)),"NOT FOUND")</f>
        <v/>
      </c>
      <c r="S109">
        <f>IF(R109="Yes",Q109&amp;"|"&amp;F109&amp;"|"&amp;G109&amp;"|"&amp;K109,"DROP")</f>
        <v/>
      </c>
      <c r="T109" s="4">
        <f>IF(I109&gt;0,J109/I109,0)</f>
        <v/>
      </c>
      <c r="U109">
        <f>IF(T109&gt;=0.8,1,0)</f>
        <v/>
      </c>
    </row>
    <row r="110">
      <c r="A110" t="inlineStr">
        <is>
          <t>SIMULATED Multimodal Ad Study</t>
        </is>
      </c>
      <c r="B110" t="inlineStr">
        <is>
          <t>P16</t>
        </is>
      </c>
      <c r="C110" t="inlineStr">
        <is>
          <t>MALE</t>
        </is>
      </c>
      <c r="D110" t="n">
        <v>23</v>
      </c>
      <c r="E110" t="inlineStr">
        <is>
          <t>BA</t>
        </is>
      </c>
      <c r="F110" t="inlineStr">
        <is>
          <t>Stimulus</t>
        </is>
      </c>
      <c r="G110" t="inlineStr">
        <is>
          <t>Ad_B</t>
        </is>
      </c>
      <c r="H110" t="n">
        <v>74480</v>
      </c>
      <c r="I110" t="n">
        <v>30000</v>
      </c>
      <c r="J110" t="n">
        <v>30000</v>
      </c>
      <c r="K110" t="inlineStr">
        <is>
          <t>Ad_B</t>
        </is>
      </c>
      <c r="L110" t="n">
        <v>1</v>
      </c>
      <c r="M110" t="n">
        <v>3</v>
      </c>
      <c r="N110" t="n">
        <v>6</v>
      </c>
      <c r="O110" t="n">
        <v>0.2298</v>
      </c>
      <c r="P110">
        <f>UPPER(TRIM(B110))</f>
        <v/>
      </c>
      <c r="Q110">
        <f>IFERROR(INDEX(SessionLog!$A$2:$A$26,MATCH(P110,SessionLog!$N$2:$N$26,0)),"NOT FOUND")</f>
        <v/>
      </c>
      <c r="R110">
        <f>IFERROR(INDEX(SessionLog!$L$2:$L$26,MATCH(P110,SessionLog!$N$2:$N$26,0)),"NOT FOUND")</f>
        <v/>
      </c>
      <c r="S110">
        <f>IF(R110="Yes",Q110&amp;"|"&amp;F110&amp;"|"&amp;G110&amp;"|"&amp;K110,"DROP")</f>
        <v/>
      </c>
      <c r="T110" s="4">
        <f>IF(I110&gt;0,J110/I110,0)</f>
        <v/>
      </c>
      <c r="U110">
        <f>IF(T110&gt;=0.8,1,0)</f>
        <v/>
      </c>
    </row>
    <row r="111">
      <c r="A111" t="inlineStr">
        <is>
          <t>SIMULATED Multimodal Ad Study</t>
        </is>
      </c>
      <c r="B111" t="inlineStr">
        <is>
          <t>P16</t>
        </is>
      </c>
      <c r="C111" t="inlineStr">
        <is>
          <t>MALE</t>
        </is>
      </c>
      <c r="D111" t="n">
        <v>23</v>
      </c>
      <c r="E111" t="inlineStr">
        <is>
          <t>BA</t>
        </is>
      </c>
      <c r="F111" t="inlineStr">
        <is>
          <t>Stimulus</t>
        </is>
      </c>
      <c r="G111" t="inlineStr">
        <is>
          <t>Baseline</t>
        </is>
      </c>
      <c r="H111" t="n">
        <v>14366</v>
      </c>
      <c r="I111" t="n">
        <v>60000</v>
      </c>
      <c r="J111" t="n">
        <v>60000</v>
      </c>
      <c r="K111" t="inlineStr">
        <is>
          <t>Baseline</t>
        </is>
      </c>
      <c r="L111" t="n">
        <v>1</v>
      </c>
      <c r="M111" t="n">
        <v>4</v>
      </c>
      <c r="N111" t="n">
        <v>4</v>
      </c>
      <c r="O111" t="n">
        <v>0.1297</v>
      </c>
      <c r="P111">
        <f>UPPER(TRIM(B111))</f>
        <v/>
      </c>
      <c r="Q111">
        <f>IFERROR(INDEX(SessionLog!$A$2:$A$26,MATCH(P111,SessionLog!$N$2:$N$26,0)),"NOT FOUND")</f>
        <v/>
      </c>
      <c r="R111">
        <f>IFERROR(INDEX(SessionLog!$L$2:$L$26,MATCH(P111,SessionLog!$N$2:$N$26,0)),"NOT FOUND")</f>
        <v/>
      </c>
      <c r="S111">
        <f>IF(R111="Yes",Q111&amp;"|"&amp;F111&amp;"|"&amp;G111&amp;"|"&amp;K111,"DROP")</f>
        <v/>
      </c>
      <c r="T111" s="4">
        <f>IF(I111&gt;0,J111/I111,0)</f>
        <v/>
      </c>
      <c r="U111">
        <f>IF(T111&gt;=0.8,1,0)</f>
        <v/>
      </c>
    </row>
    <row r="112">
      <c r="A112" t="inlineStr">
        <is>
          <t>SIMULATED Multimodal Ad Study</t>
        </is>
      </c>
      <c r="B112" t="inlineStr">
        <is>
          <t>P16</t>
        </is>
      </c>
      <c r="C112" t="inlineStr">
        <is>
          <t>MALE</t>
        </is>
      </c>
      <c r="D112" t="n">
        <v>23</v>
      </c>
      <c r="E112" t="inlineStr">
        <is>
          <t>BA</t>
        </is>
      </c>
      <c r="F112" t="inlineStr">
        <is>
          <t>Stimulus</t>
        </is>
      </c>
      <c r="G112" t="inlineStr">
        <is>
          <t>Instructions</t>
        </is>
      </c>
      <c r="H112" t="n">
        <v>35</v>
      </c>
      <c r="I112" t="n">
        <v>14285</v>
      </c>
      <c r="J112" t="n">
        <v>14285</v>
      </c>
      <c r="K112" t="inlineStr">
        <is>
          <t>Instructions</t>
        </is>
      </c>
      <c r="L112" t="n">
        <v>1</v>
      </c>
      <c r="M112" t="n">
        <v>2</v>
      </c>
      <c r="N112" t="n">
        <v>8.4</v>
      </c>
      <c r="O112" t="n">
        <v>0.1155</v>
      </c>
      <c r="P112">
        <f>UPPER(TRIM(B112))</f>
        <v/>
      </c>
      <c r="Q112">
        <f>IFERROR(INDEX(SessionLog!$A$2:$A$26,MATCH(P112,SessionLog!$N$2:$N$26,0)),"NOT FOUND")</f>
        <v/>
      </c>
      <c r="R112">
        <f>IFERROR(INDEX(SessionLog!$L$2:$L$26,MATCH(P112,SessionLog!$N$2:$N$26,0)),"NOT FOUND")</f>
        <v/>
      </c>
      <c r="S112">
        <f>IF(R112="Yes",Q112&amp;"|"&amp;F112&amp;"|"&amp;G112&amp;"|"&amp;K112,"DROP")</f>
        <v/>
      </c>
      <c r="T112" s="4">
        <f>IF(I112&gt;0,J112/I112,0)</f>
        <v/>
      </c>
      <c r="U112">
        <f>IF(T112&gt;=0.8,1,0)</f>
        <v/>
      </c>
    </row>
    <row r="113">
      <c r="A113" t="inlineStr">
        <is>
          <t>SIMULATED Multimodal Ad Study</t>
        </is>
      </c>
      <c r="B113" t="inlineStr">
        <is>
          <t>P16</t>
        </is>
      </c>
      <c r="C113" t="inlineStr">
        <is>
          <t>MALE</t>
        </is>
      </c>
      <c r="D113" t="n">
        <v>23</v>
      </c>
      <c r="E113" t="inlineStr">
        <is>
          <t>BA</t>
        </is>
      </c>
      <c r="F113" t="inlineStr">
        <is>
          <t>Stimulus</t>
        </is>
      </c>
      <c r="G113" t="inlineStr">
        <is>
          <t>Questionnaire</t>
        </is>
      </c>
      <c r="H113" t="n">
        <v>134599</v>
      </c>
      <c r="I113" t="n">
        <v>78791</v>
      </c>
      <c r="J113" t="n">
        <v>78791</v>
      </c>
      <c r="K113" t="inlineStr">
        <is>
          <t>Questionnaire</t>
        </is>
      </c>
      <c r="L113" t="n">
        <v>1</v>
      </c>
      <c r="M113" t="n">
        <v>1</v>
      </c>
      <c r="N113" t="n">
        <v>0.762</v>
      </c>
      <c r="O113" t="n">
        <v>0.1463</v>
      </c>
      <c r="P113">
        <f>UPPER(TRIM(B113))</f>
        <v/>
      </c>
      <c r="Q113">
        <f>IFERROR(INDEX(SessionLog!$A$2:$A$26,MATCH(P113,SessionLog!$N$2:$N$26,0)),"NOT FOUND")</f>
        <v/>
      </c>
      <c r="R113">
        <f>IFERROR(INDEX(SessionLog!$L$2:$L$26,MATCH(P113,SessionLog!$N$2:$N$26,0)),"NOT FOUND")</f>
        <v/>
      </c>
      <c r="S113">
        <f>IF(R113="Yes",Q113&amp;"|"&amp;F113&amp;"|"&amp;G113&amp;"|"&amp;K113,"DROP")</f>
        <v/>
      </c>
      <c r="T113" s="4">
        <f>IF(I113&gt;0,J113/I113,0)</f>
        <v/>
      </c>
      <c r="U113">
        <f>IF(T113&gt;=0.8,1,0)</f>
        <v/>
      </c>
    </row>
    <row r="114">
      <c r="A114" t="inlineStr">
        <is>
          <t>SIMULATED Multimodal Ad Study</t>
        </is>
      </c>
      <c r="B114" t="inlineStr">
        <is>
          <t>P16</t>
        </is>
      </c>
      <c r="C114" t="inlineStr">
        <is>
          <t>MALE</t>
        </is>
      </c>
      <c r="D114" t="n">
        <v>23</v>
      </c>
      <c r="E114" t="inlineStr">
        <is>
          <t>BA</t>
        </is>
      </c>
      <c r="F114" t="inlineStr">
        <is>
          <t>Annotation</t>
        </is>
      </c>
      <c r="G114" t="inlineStr">
        <is>
          <t>EndCard</t>
        </is>
      </c>
      <c r="H114" t="n">
        <v>129559</v>
      </c>
      <c r="I114" t="n">
        <v>5000</v>
      </c>
      <c r="J114" t="n">
        <v>5000</v>
      </c>
      <c r="K114" t="inlineStr">
        <is>
          <t>Ad_A</t>
        </is>
      </c>
      <c r="L114" t="n">
        <v>0</v>
      </c>
      <c r="M114" t="n">
        <v>0</v>
      </c>
      <c r="N114" t="n">
        <v>0</v>
      </c>
      <c r="O114" t="inlineStr">
        <is>
          <t>NA</t>
        </is>
      </c>
      <c r="P114">
        <f>UPPER(TRIM(B114))</f>
        <v/>
      </c>
      <c r="Q114">
        <f>IFERROR(INDEX(SessionLog!$A$2:$A$26,MATCH(P114,SessionLog!$N$2:$N$26,0)),"NOT FOUND")</f>
        <v/>
      </c>
      <c r="R114">
        <f>IFERROR(INDEX(SessionLog!$L$2:$L$26,MATCH(P114,SessionLog!$N$2:$N$26,0)),"NOT FOUND")</f>
        <v/>
      </c>
      <c r="S114">
        <f>IF(R114="Yes",Q114&amp;"|"&amp;F114&amp;"|"&amp;G114&amp;"|"&amp;K114,"DROP")</f>
        <v/>
      </c>
      <c r="T114" s="4">
        <f>IF(I114&gt;0,J114/I114,0)</f>
        <v/>
      </c>
      <c r="U114">
        <f>IF(T114&gt;=0.8,1,0)</f>
        <v/>
      </c>
    </row>
    <row r="115">
      <c r="A115" t="inlineStr">
        <is>
          <t>SIMULATED Multimodal Ad Study</t>
        </is>
      </c>
      <c r="B115" t="inlineStr">
        <is>
          <t>P16</t>
        </is>
      </c>
      <c r="C115" t="inlineStr">
        <is>
          <t>MALE</t>
        </is>
      </c>
      <c r="D115" t="n">
        <v>23</v>
      </c>
      <c r="E115" t="inlineStr">
        <is>
          <t>BA</t>
        </is>
      </c>
      <c r="F115" t="inlineStr">
        <is>
          <t>Annotation</t>
        </is>
      </c>
      <c r="G115" t="inlineStr">
        <is>
          <t>EndCard</t>
        </is>
      </c>
      <c r="H115" t="n">
        <v>99480</v>
      </c>
      <c r="I115" t="n">
        <v>5000</v>
      </c>
      <c r="J115" t="n">
        <v>5000</v>
      </c>
      <c r="K115" t="inlineStr">
        <is>
          <t>Ad_B</t>
        </is>
      </c>
      <c r="L115" t="n">
        <v>0</v>
      </c>
      <c r="M115" t="n">
        <v>0</v>
      </c>
      <c r="N115" t="n">
        <v>0</v>
      </c>
      <c r="O115" t="inlineStr">
        <is>
          <t>NA</t>
        </is>
      </c>
      <c r="P115">
        <f>UPPER(TRIM(B115))</f>
        <v/>
      </c>
      <c r="Q115">
        <f>IFERROR(INDEX(SessionLog!$A$2:$A$26,MATCH(P115,SessionLog!$N$2:$N$26,0)),"NOT FOUND")</f>
        <v/>
      </c>
      <c r="R115">
        <f>IFERROR(INDEX(SessionLog!$L$2:$L$26,MATCH(P115,SessionLog!$N$2:$N$26,0)),"NOT FOUND")</f>
        <v/>
      </c>
      <c r="S115">
        <f>IF(R115="Yes",Q115&amp;"|"&amp;F115&amp;"|"&amp;G115&amp;"|"&amp;K115,"DROP")</f>
        <v/>
      </c>
      <c r="T115" s="4">
        <f>IF(I115&gt;0,J115/I115,0)</f>
        <v/>
      </c>
      <c r="U115">
        <f>IF(T115&gt;=0.8,1,0)</f>
        <v/>
      </c>
    </row>
    <row r="116">
      <c r="A116" t="inlineStr">
        <is>
          <t>SIMULATED Multimodal Ad Study</t>
        </is>
      </c>
      <c r="B116" t="inlineStr">
        <is>
          <t>P17</t>
        </is>
      </c>
      <c r="C116" t="inlineStr">
        <is>
          <t>FEMALE</t>
        </is>
      </c>
      <c r="D116" t="n">
        <v>19</v>
      </c>
      <c r="E116" t="inlineStr">
        <is>
          <t>AB</t>
        </is>
      </c>
      <c r="F116" t="inlineStr">
        <is>
          <t>Stimulus</t>
        </is>
      </c>
      <c r="G116" t="inlineStr">
        <is>
          <t>Ad_A</t>
        </is>
      </c>
      <c r="H116" t="n">
        <v>80404</v>
      </c>
      <c r="I116" t="n">
        <v>30000</v>
      </c>
      <c r="J116" t="n">
        <v>30000</v>
      </c>
      <c r="K116" t="inlineStr">
        <is>
          <t>Ad_A</t>
        </is>
      </c>
      <c r="L116" t="n">
        <v>1</v>
      </c>
      <c r="M116" t="n">
        <v>4</v>
      </c>
      <c r="N116" t="n">
        <v>8</v>
      </c>
      <c r="O116" t="n">
        <v>0.1278</v>
      </c>
      <c r="P116">
        <f>UPPER(TRIM(B116))</f>
        <v/>
      </c>
      <c r="Q116">
        <f>IFERROR(INDEX(SessionLog!$A$2:$A$26,MATCH(P116,SessionLog!$N$2:$N$26,0)),"NOT FOUND")</f>
        <v/>
      </c>
      <c r="R116">
        <f>IFERROR(INDEX(SessionLog!$L$2:$L$26,MATCH(P116,SessionLog!$N$2:$N$26,0)),"NOT FOUND")</f>
        <v/>
      </c>
      <c r="S116">
        <f>IF(R116="Yes",Q116&amp;"|"&amp;F116&amp;"|"&amp;G116&amp;"|"&amp;K116,"DROP")</f>
        <v/>
      </c>
      <c r="T116" s="4">
        <f>IF(I116&gt;0,J116/I116,0)</f>
        <v/>
      </c>
      <c r="U116">
        <f>IF(T116&gt;=0.8,1,0)</f>
        <v/>
      </c>
    </row>
    <row r="117">
      <c r="A117" t="inlineStr">
        <is>
          <t>SIMULATED Multimodal Ad Study</t>
        </is>
      </c>
      <c r="B117" t="inlineStr">
        <is>
          <t>P17</t>
        </is>
      </c>
      <c r="C117" t="inlineStr">
        <is>
          <t>FEMALE</t>
        </is>
      </c>
      <c r="D117" t="n">
        <v>19</v>
      </c>
      <c r="E117" t="inlineStr">
        <is>
          <t>AB</t>
        </is>
      </c>
      <c r="F117" t="inlineStr">
        <is>
          <t>Stimulus</t>
        </is>
      </c>
      <c r="G117" t="inlineStr">
        <is>
          <t>Ad_B</t>
        </is>
      </c>
      <c r="H117" t="n">
        <v>110514</v>
      </c>
      <c r="I117" t="n">
        <v>30000</v>
      </c>
      <c r="J117" t="n">
        <v>30000</v>
      </c>
      <c r="K117" t="inlineStr">
        <is>
          <t>Ad_B</t>
        </is>
      </c>
      <c r="L117" t="n">
        <v>1</v>
      </c>
      <c r="M117" t="n">
        <v>4</v>
      </c>
      <c r="N117" t="n">
        <v>8</v>
      </c>
      <c r="O117" t="n">
        <v>0.1807</v>
      </c>
      <c r="P117">
        <f>UPPER(TRIM(B117))</f>
        <v/>
      </c>
      <c r="Q117">
        <f>IFERROR(INDEX(SessionLog!$A$2:$A$26,MATCH(P117,SessionLog!$N$2:$N$26,0)),"NOT FOUND")</f>
        <v/>
      </c>
      <c r="R117">
        <f>IFERROR(INDEX(SessionLog!$L$2:$L$26,MATCH(P117,SessionLog!$N$2:$N$26,0)),"NOT FOUND")</f>
        <v/>
      </c>
      <c r="S117">
        <f>IF(R117="Yes",Q117&amp;"|"&amp;F117&amp;"|"&amp;G117&amp;"|"&amp;K117,"DROP")</f>
        <v/>
      </c>
      <c r="T117" s="4">
        <f>IF(I117&gt;0,J117/I117,0)</f>
        <v/>
      </c>
      <c r="U117">
        <f>IF(T117&gt;=0.8,1,0)</f>
        <v/>
      </c>
    </row>
    <row r="118">
      <c r="A118" t="inlineStr">
        <is>
          <t>SIMULATED Multimodal Ad Study</t>
        </is>
      </c>
      <c r="B118" t="inlineStr">
        <is>
          <t>P17</t>
        </is>
      </c>
      <c r="C118" t="inlineStr">
        <is>
          <t>FEMALE</t>
        </is>
      </c>
      <c r="D118" t="n">
        <v>19</v>
      </c>
      <c r="E118" t="inlineStr">
        <is>
          <t>AB</t>
        </is>
      </c>
      <c r="F118" t="inlineStr">
        <is>
          <t>Stimulus</t>
        </is>
      </c>
      <c r="G118" t="inlineStr">
        <is>
          <t>Baseline</t>
        </is>
      </c>
      <c r="H118" t="n">
        <v>20324</v>
      </c>
      <c r="I118" t="n">
        <v>60000</v>
      </c>
      <c r="J118" t="n">
        <v>60000</v>
      </c>
      <c r="K118" t="inlineStr">
        <is>
          <t>Baseline</t>
        </is>
      </c>
      <c r="L118" t="n">
        <v>1</v>
      </c>
      <c r="M118" t="n">
        <v>3</v>
      </c>
      <c r="N118" t="n">
        <v>3</v>
      </c>
      <c r="O118" t="n">
        <v>0.1222</v>
      </c>
      <c r="P118">
        <f>UPPER(TRIM(B118))</f>
        <v/>
      </c>
      <c r="Q118">
        <f>IFERROR(INDEX(SessionLog!$A$2:$A$26,MATCH(P118,SessionLog!$N$2:$N$26,0)),"NOT FOUND")</f>
        <v/>
      </c>
      <c r="R118">
        <f>IFERROR(INDEX(SessionLog!$L$2:$L$26,MATCH(P118,SessionLog!$N$2:$N$26,0)),"NOT FOUND")</f>
        <v/>
      </c>
      <c r="S118">
        <f>IF(R118="Yes",Q118&amp;"|"&amp;F118&amp;"|"&amp;G118&amp;"|"&amp;K118,"DROP")</f>
        <v/>
      </c>
      <c r="T118" s="4">
        <f>IF(I118&gt;0,J118/I118,0)</f>
        <v/>
      </c>
      <c r="U118">
        <f>IF(T118&gt;=0.8,1,0)</f>
        <v/>
      </c>
    </row>
    <row r="119">
      <c r="A119" t="inlineStr">
        <is>
          <t>SIMULATED Multimodal Ad Study</t>
        </is>
      </c>
      <c r="B119" t="inlineStr">
        <is>
          <t>P17</t>
        </is>
      </c>
      <c r="C119" t="inlineStr">
        <is>
          <t>FEMALE</t>
        </is>
      </c>
      <c r="D119" t="n">
        <v>19</v>
      </c>
      <c r="E119" t="inlineStr">
        <is>
          <t>AB</t>
        </is>
      </c>
      <c r="F119" t="inlineStr">
        <is>
          <t>Stimulus</t>
        </is>
      </c>
      <c r="G119" t="inlineStr">
        <is>
          <t>Instructions</t>
        </is>
      </c>
      <c r="H119" t="n">
        <v>20</v>
      </c>
      <c r="I119" t="n">
        <v>20276</v>
      </c>
      <c r="J119" t="n">
        <v>20276</v>
      </c>
      <c r="K119" t="inlineStr">
        <is>
          <t>Instructions</t>
        </is>
      </c>
      <c r="L119" t="n">
        <v>1</v>
      </c>
      <c r="M119" t="n">
        <v>4</v>
      </c>
      <c r="N119" t="n">
        <v>11.837</v>
      </c>
      <c r="O119" t="n">
        <v>0.0977</v>
      </c>
      <c r="P119">
        <f>UPPER(TRIM(B119))</f>
        <v/>
      </c>
      <c r="Q119">
        <f>IFERROR(INDEX(SessionLog!$A$2:$A$26,MATCH(P119,SessionLog!$N$2:$N$26,0)),"NOT FOUND")</f>
        <v/>
      </c>
      <c r="R119">
        <f>IFERROR(INDEX(SessionLog!$L$2:$L$26,MATCH(P119,SessionLog!$N$2:$N$26,0)),"NOT FOUND")</f>
        <v/>
      </c>
      <c r="S119">
        <f>IF(R119="Yes",Q119&amp;"|"&amp;F119&amp;"|"&amp;G119&amp;"|"&amp;K119,"DROP")</f>
        <v/>
      </c>
      <c r="T119" s="4">
        <f>IF(I119&gt;0,J119/I119,0)</f>
        <v/>
      </c>
      <c r="U119">
        <f>IF(T119&gt;=0.8,1,0)</f>
        <v/>
      </c>
    </row>
    <row r="120">
      <c r="A120" t="inlineStr">
        <is>
          <t>SIMULATED Multimodal Ad Study</t>
        </is>
      </c>
      <c r="B120" t="inlineStr">
        <is>
          <t>P17</t>
        </is>
      </c>
      <c r="C120" t="inlineStr">
        <is>
          <t>FEMALE</t>
        </is>
      </c>
      <c r="D120" t="n">
        <v>19</v>
      </c>
      <c r="E120" t="inlineStr">
        <is>
          <t>AB</t>
        </is>
      </c>
      <c r="F120" t="inlineStr">
        <is>
          <t>Stimulus</t>
        </is>
      </c>
      <c r="G120" t="inlineStr">
        <is>
          <t>Questionnaire</t>
        </is>
      </c>
      <c r="H120" t="n">
        <v>140551</v>
      </c>
      <c r="I120" t="n">
        <v>118308</v>
      </c>
      <c r="J120" t="n">
        <v>118308</v>
      </c>
      <c r="K120" t="inlineStr">
        <is>
          <t>Questionnaire</t>
        </is>
      </c>
      <c r="L120" t="n">
        <v>1</v>
      </c>
      <c r="M120" t="n">
        <v>8</v>
      </c>
      <c r="N120" t="n">
        <v>4.057</v>
      </c>
      <c r="O120" t="n">
        <v>0.2046</v>
      </c>
      <c r="P120">
        <f>UPPER(TRIM(B120))</f>
        <v/>
      </c>
      <c r="Q120">
        <f>IFERROR(INDEX(SessionLog!$A$2:$A$26,MATCH(P120,SessionLog!$N$2:$N$26,0)),"NOT FOUND")</f>
        <v/>
      </c>
      <c r="R120">
        <f>IFERROR(INDEX(SessionLog!$L$2:$L$26,MATCH(P120,SessionLog!$N$2:$N$26,0)),"NOT FOUND")</f>
        <v/>
      </c>
      <c r="S120">
        <f>IF(R120="Yes",Q120&amp;"|"&amp;F120&amp;"|"&amp;G120&amp;"|"&amp;K120,"DROP")</f>
        <v/>
      </c>
      <c r="T120" s="4">
        <f>IF(I120&gt;0,J120/I120,0)</f>
        <v/>
      </c>
      <c r="U120">
        <f>IF(T120&gt;=0.8,1,0)</f>
        <v/>
      </c>
    </row>
    <row r="121">
      <c r="A121" t="inlineStr">
        <is>
          <t>SIMULATED Multimodal Ad Study</t>
        </is>
      </c>
      <c r="B121" t="inlineStr">
        <is>
          <t>P17</t>
        </is>
      </c>
      <c r="C121" t="inlineStr">
        <is>
          <t>FEMALE</t>
        </is>
      </c>
      <c r="D121" t="n">
        <v>19</v>
      </c>
      <c r="E121" t="inlineStr">
        <is>
          <t>AB</t>
        </is>
      </c>
      <c r="F121" t="inlineStr">
        <is>
          <t>Annotation</t>
        </is>
      </c>
      <c r="G121" t="inlineStr">
        <is>
          <t>EndCard</t>
        </is>
      </c>
      <c r="H121" t="n">
        <v>105404</v>
      </c>
      <c r="I121" t="n">
        <v>5000</v>
      </c>
      <c r="J121" t="n">
        <v>5000</v>
      </c>
      <c r="K121" t="inlineStr">
        <is>
          <t>Ad_A</t>
        </is>
      </c>
      <c r="L121" t="n">
        <v>0</v>
      </c>
      <c r="M121" t="n">
        <v>0</v>
      </c>
      <c r="N121" t="n">
        <v>0</v>
      </c>
      <c r="O121" t="inlineStr">
        <is>
          <t>NA</t>
        </is>
      </c>
      <c r="P121">
        <f>UPPER(TRIM(B121))</f>
        <v/>
      </c>
      <c r="Q121">
        <f>IFERROR(INDEX(SessionLog!$A$2:$A$26,MATCH(P121,SessionLog!$N$2:$N$26,0)),"NOT FOUND")</f>
        <v/>
      </c>
      <c r="R121">
        <f>IFERROR(INDEX(SessionLog!$L$2:$L$26,MATCH(P121,SessionLog!$N$2:$N$26,0)),"NOT FOUND")</f>
        <v/>
      </c>
      <c r="S121">
        <f>IF(R121="Yes",Q121&amp;"|"&amp;F121&amp;"|"&amp;G121&amp;"|"&amp;K121,"DROP")</f>
        <v/>
      </c>
      <c r="T121" s="4">
        <f>IF(I121&gt;0,J121/I121,0)</f>
        <v/>
      </c>
      <c r="U121">
        <f>IF(T121&gt;=0.8,1,0)</f>
        <v/>
      </c>
    </row>
    <row r="122">
      <c r="A122" t="inlineStr">
        <is>
          <t>SIMULATED Multimodal Ad Study</t>
        </is>
      </c>
      <c r="B122" t="inlineStr">
        <is>
          <t>P17</t>
        </is>
      </c>
      <c r="C122" t="inlineStr">
        <is>
          <t>FEMALE</t>
        </is>
      </c>
      <c r="D122" t="n">
        <v>19</v>
      </c>
      <c r="E122" t="inlineStr">
        <is>
          <t>AB</t>
        </is>
      </c>
      <c r="F122" t="inlineStr">
        <is>
          <t>Annotation</t>
        </is>
      </c>
      <c r="G122" t="inlineStr">
        <is>
          <t>EndCard</t>
        </is>
      </c>
      <c r="H122" t="n">
        <v>135514</v>
      </c>
      <c r="I122" t="n">
        <v>5000</v>
      </c>
      <c r="J122" t="n">
        <v>5000</v>
      </c>
      <c r="K122" t="inlineStr">
        <is>
          <t>Ad_B</t>
        </is>
      </c>
      <c r="L122" t="n">
        <v>1</v>
      </c>
      <c r="M122" t="n">
        <v>1</v>
      </c>
      <c r="N122" t="n">
        <v>12</v>
      </c>
      <c r="O122" t="n">
        <v>0.2146</v>
      </c>
      <c r="P122">
        <f>UPPER(TRIM(B122))</f>
        <v/>
      </c>
      <c r="Q122">
        <f>IFERROR(INDEX(SessionLog!$A$2:$A$26,MATCH(P122,SessionLog!$N$2:$N$26,0)),"NOT FOUND")</f>
        <v/>
      </c>
      <c r="R122">
        <f>IFERROR(INDEX(SessionLog!$L$2:$L$26,MATCH(P122,SessionLog!$N$2:$N$26,0)),"NOT FOUND")</f>
        <v/>
      </c>
      <c r="S122">
        <f>IF(R122="Yes",Q122&amp;"|"&amp;F122&amp;"|"&amp;G122&amp;"|"&amp;K122,"DROP")</f>
        <v/>
      </c>
      <c r="T122" s="4">
        <f>IF(I122&gt;0,J122/I122,0)</f>
        <v/>
      </c>
      <c r="U122">
        <f>IF(T122&gt;=0.8,1,0)</f>
        <v/>
      </c>
    </row>
    <row r="123">
      <c r="A123" t="inlineStr">
        <is>
          <t>SIMULATED Multimodal Ad Study</t>
        </is>
      </c>
      <c r="B123" t="inlineStr">
        <is>
          <t>P18</t>
        </is>
      </c>
      <c r="C123" t="inlineStr">
        <is>
          <t>FEMALE</t>
        </is>
      </c>
      <c r="D123" t="n">
        <v>20</v>
      </c>
      <c r="E123" t="inlineStr">
        <is>
          <t>BA</t>
        </is>
      </c>
      <c r="F123" t="inlineStr">
        <is>
          <t>Stimulus</t>
        </is>
      </c>
      <c r="G123" t="inlineStr">
        <is>
          <t>Ad_A</t>
        </is>
      </c>
      <c r="H123" t="n">
        <v>102730</v>
      </c>
      <c r="I123" t="n">
        <v>30000</v>
      </c>
      <c r="J123" t="n">
        <v>30000</v>
      </c>
      <c r="K123" t="inlineStr">
        <is>
          <t>Ad_A</t>
        </is>
      </c>
      <c r="L123" t="n">
        <v>1</v>
      </c>
      <c r="M123" t="n">
        <v>4</v>
      </c>
      <c r="N123" t="n">
        <v>8</v>
      </c>
      <c r="O123" t="n">
        <v>0.2281</v>
      </c>
      <c r="P123">
        <f>UPPER(TRIM(B123))</f>
        <v/>
      </c>
      <c r="Q123">
        <f>IFERROR(INDEX(SessionLog!$A$2:$A$26,MATCH(P123,SessionLog!$N$2:$N$26,0)),"NOT FOUND")</f>
        <v/>
      </c>
      <c r="R123">
        <f>IFERROR(INDEX(SessionLog!$L$2:$L$26,MATCH(P123,SessionLog!$N$2:$N$26,0)),"NOT FOUND")</f>
        <v/>
      </c>
      <c r="S123">
        <f>IF(R123="Yes",Q123&amp;"|"&amp;F123&amp;"|"&amp;G123&amp;"|"&amp;K123,"DROP")</f>
        <v/>
      </c>
      <c r="T123" s="4">
        <f>IF(I123&gt;0,J123/I123,0)</f>
        <v/>
      </c>
      <c r="U123">
        <f>IF(T123&gt;=0.8,1,0)</f>
        <v/>
      </c>
    </row>
    <row r="124">
      <c r="A124" t="inlineStr">
        <is>
          <t>SIMULATED Multimodal Ad Study</t>
        </is>
      </c>
      <c r="B124" t="inlineStr">
        <is>
          <t>P18</t>
        </is>
      </c>
      <c r="C124" t="inlineStr">
        <is>
          <t>FEMALE</t>
        </is>
      </c>
      <c r="D124" t="n">
        <v>20</v>
      </c>
      <c r="E124" t="inlineStr">
        <is>
          <t>BA</t>
        </is>
      </c>
      <c r="F124" t="inlineStr">
        <is>
          <t>Stimulus</t>
        </is>
      </c>
      <c r="G124" t="inlineStr">
        <is>
          <t>Ad_B</t>
        </is>
      </c>
      <c r="H124" t="n">
        <v>72615</v>
      </c>
      <c r="I124" t="n">
        <v>30000</v>
      </c>
      <c r="J124" t="n">
        <v>30000</v>
      </c>
      <c r="K124" t="inlineStr">
        <is>
          <t>Ad_B</t>
        </is>
      </c>
      <c r="L124" t="n">
        <v>1</v>
      </c>
      <c r="M124" t="n">
        <v>3</v>
      </c>
      <c r="N124" t="n">
        <v>6</v>
      </c>
      <c r="O124" t="n">
        <v>0.1359</v>
      </c>
      <c r="P124">
        <f>UPPER(TRIM(B124))</f>
        <v/>
      </c>
      <c r="Q124">
        <f>IFERROR(INDEX(SessionLog!$A$2:$A$26,MATCH(P124,SessionLog!$N$2:$N$26,0)),"NOT FOUND")</f>
        <v/>
      </c>
      <c r="R124">
        <f>IFERROR(INDEX(SessionLog!$L$2:$L$26,MATCH(P124,SessionLog!$N$2:$N$26,0)),"NOT FOUND")</f>
        <v/>
      </c>
      <c r="S124">
        <f>IF(R124="Yes",Q124&amp;"|"&amp;F124&amp;"|"&amp;G124&amp;"|"&amp;K124,"DROP")</f>
        <v/>
      </c>
      <c r="T124" s="4">
        <f>IF(I124&gt;0,J124/I124,0)</f>
        <v/>
      </c>
      <c r="U124">
        <f>IF(T124&gt;=0.8,1,0)</f>
        <v/>
      </c>
    </row>
    <row r="125">
      <c r="A125" t="inlineStr">
        <is>
          <t>SIMULATED Multimodal Ad Study</t>
        </is>
      </c>
      <c r="B125" t="inlineStr">
        <is>
          <t>P18</t>
        </is>
      </c>
      <c r="C125" t="inlineStr">
        <is>
          <t>FEMALE</t>
        </is>
      </c>
      <c r="D125" t="n">
        <v>20</v>
      </c>
      <c r="E125" t="inlineStr">
        <is>
          <t>BA</t>
        </is>
      </c>
      <c r="F125" t="inlineStr">
        <is>
          <t>Stimulus</t>
        </is>
      </c>
      <c r="G125" t="inlineStr">
        <is>
          <t>Baseline</t>
        </is>
      </c>
      <c r="H125" t="n">
        <v>12493</v>
      </c>
      <c r="I125" t="n">
        <v>60000</v>
      </c>
      <c r="J125" t="n">
        <v>60000</v>
      </c>
      <c r="K125" t="inlineStr">
        <is>
          <t>Baseline</t>
        </is>
      </c>
      <c r="L125" t="n">
        <v>1</v>
      </c>
      <c r="M125" t="n">
        <v>4</v>
      </c>
      <c r="N125" t="n">
        <v>4</v>
      </c>
      <c r="O125" t="n">
        <v>0.1441</v>
      </c>
      <c r="P125">
        <f>UPPER(TRIM(B125))</f>
        <v/>
      </c>
      <c r="Q125">
        <f>IFERROR(INDEX(SessionLog!$A$2:$A$26,MATCH(P125,SessionLog!$N$2:$N$26,0)),"NOT FOUND")</f>
        <v/>
      </c>
      <c r="R125">
        <f>IFERROR(INDEX(SessionLog!$L$2:$L$26,MATCH(P125,SessionLog!$N$2:$N$26,0)),"NOT FOUND")</f>
        <v/>
      </c>
      <c r="S125">
        <f>IF(R125="Yes",Q125&amp;"|"&amp;F125&amp;"|"&amp;G125&amp;"|"&amp;K125,"DROP")</f>
        <v/>
      </c>
      <c r="T125" s="4">
        <f>IF(I125&gt;0,J125/I125,0)</f>
        <v/>
      </c>
      <c r="U125">
        <f>IF(T125&gt;=0.8,1,0)</f>
        <v/>
      </c>
    </row>
    <row r="126">
      <c r="A126" t="inlineStr">
        <is>
          <t>SIMULATED Multimodal Ad Study</t>
        </is>
      </c>
      <c r="B126" t="inlineStr">
        <is>
          <t>P18</t>
        </is>
      </c>
      <c r="C126" t="inlineStr">
        <is>
          <t>FEMALE</t>
        </is>
      </c>
      <c r="D126" t="n">
        <v>20</v>
      </c>
      <c r="E126" t="inlineStr">
        <is>
          <t>BA</t>
        </is>
      </c>
      <c r="F126" t="inlineStr">
        <is>
          <t>Stimulus</t>
        </is>
      </c>
      <c r="G126" t="inlineStr">
        <is>
          <t>Instructions</t>
        </is>
      </c>
      <c r="H126" t="n">
        <v>34</v>
      </c>
      <c r="I126" t="n">
        <v>12416</v>
      </c>
      <c r="J126" t="n">
        <v>12416</v>
      </c>
      <c r="K126" t="inlineStr">
        <is>
          <t>Instructions</t>
        </is>
      </c>
      <c r="L126" t="n">
        <v>0</v>
      </c>
      <c r="M126" t="n">
        <v>0</v>
      </c>
      <c r="N126" t="n">
        <v>0</v>
      </c>
      <c r="O126" t="inlineStr">
        <is>
          <t>NA</t>
        </is>
      </c>
      <c r="P126">
        <f>UPPER(TRIM(B126))</f>
        <v/>
      </c>
      <c r="Q126">
        <f>IFERROR(INDEX(SessionLog!$A$2:$A$26,MATCH(P126,SessionLog!$N$2:$N$26,0)),"NOT FOUND")</f>
        <v/>
      </c>
      <c r="R126">
        <f>IFERROR(INDEX(SessionLog!$L$2:$L$26,MATCH(P126,SessionLog!$N$2:$N$26,0)),"NOT FOUND")</f>
        <v/>
      </c>
      <c r="S126">
        <f>IF(R126="Yes",Q126&amp;"|"&amp;F126&amp;"|"&amp;G126&amp;"|"&amp;K126,"DROP")</f>
        <v/>
      </c>
      <c r="T126" s="4">
        <f>IF(I126&gt;0,J126/I126,0)</f>
        <v/>
      </c>
      <c r="U126">
        <f>IF(T126&gt;=0.8,1,0)</f>
        <v/>
      </c>
    </row>
    <row r="127">
      <c r="A127" t="inlineStr">
        <is>
          <t>SIMULATED Multimodal Ad Study</t>
        </is>
      </c>
      <c r="B127" t="inlineStr">
        <is>
          <t>P18</t>
        </is>
      </c>
      <c r="C127" t="inlineStr">
        <is>
          <t>FEMALE</t>
        </is>
      </c>
      <c r="D127" t="n">
        <v>20</v>
      </c>
      <c r="E127" t="inlineStr">
        <is>
          <t>BA</t>
        </is>
      </c>
      <c r="F127" t="inlineStr">
        <is>
          <t>Stimulus</t>
        </is>
      </c>
      <c r="G127" t="inlineStr">
        <is>
          <t>Questionnaire</t>
        </is>
      </c>
      <c r="H127" t="n">
        <v>132764</v>
      </c>
      <c r="I127" t="n">
        <v>110067</v>
      </c>
      <c r="J127" t="n">
        <v>110067</v>
      </c>
      <c r="K127" t="inlineStr">
        <is>
          <t>Questionnaire</t>
        </is>
      </c>
      <c r="L127" t="n">
        <v>1</v>
      </c>
      <c r="M127" t="n">
        <v>4</v>
      </c>
      <c r="N127" t="n">
        <v>2.18</v>
      </c>
      <c r="O127" t="n">
        <v>0.1357</v>
      </c>
      <c r="P127">
        <f>UPPER(TRIM(B127))</f>
        <v/>
      </c>
      <c r="Q127">
        <f>IFERROR(INDEX(SessionLog!$A$2:$A$26,MATCH(P127,SessionLog!$N$2:$N$26,0)),"NOT FOUND")</f>
        <v/>
      </c>
      <c r="R127">
        <f>IFERROR(INDEX(SessionLog!$L$2:$L$26,MATCH(P127,SessionLog!$N$2:$N$26,0)),"NOT FOUND")</f>
        <v/>
      </c>
      <c r="S127">
        <f>IF(R127="Yes",Q127&amp;"|"&amp;F127&amp;"|"&amp;G127&amp;"|"&amp;K127,"DROP")</f>
        <v/>
      </c>
      <c r="T127" s="4">
        <f>IF(I127&gt;0,J127/I127,0)</f>
        <v/>
      </c>
      <c r="U127">
        <f>IF(T127&gt;=0.8,1,0)</f>
        <v/>
      </c>
    </row>
    <row r="128">
      <c r="A128" t="inlineStr">
        <is>
          <t>SIMULATED Multimodal Ad Study</t>
        </is>
      </c>
      <c r="B128" t="inlineStr">
        <is>
          <t>P18</t>
        </is>
      </c>
      <c r="C128" t="inlineStr">
        <is>
          <t>FEMALE</t>
        </is>
      </c>
      <c r="D128" t="n">
        <v>20</v>
      </c>
      <c r="E128" t="inlineStr">
        <is>
          <t>BA</t>
        </is>
      </c>
      <c r="F128" t="inlineStr">
        <is>
          <t>Annotation</t>
        </is>
      </c>
      <c r="G128" t="inlineStr">
        <is>
          <t>EndCard</t>
        </is>
      </c>
      <c r="H128" t="n">
        <v>127730</v>
      </c>
      <c r="I128" t="n">
        <v>5000</v>
      </c>
      <c r="J128" t="n">
        <v>5000</v>
      </c>
      <c r="K128" t="inlineStr">
        <is>
          <t>Ad_A</t>
        </is>
      </c>
      <c r="L128" t="n">
        <v>1</v>
      </c>
      <c r="M128" t="n">
        <v>1</v>
      </c>
      <c r="N128" t="n">
        <v>12</v>
      </c>
      <c r="O128" t="n">
        <v>0.2056</v>
      </c>
      <c r="P128">
        <f>UPPER(TRIM(B128))</f>
        <v/>
      </c>
      <c r="Q128">
        <f>IFERROR(INDEX(SessionLog!$A$2:$A$26,MATCH(P128,SessionLog!$N$2:$N$26,0)),"NOT FOUND")</f>
        <v/>
      </c>
      <c r="R128">
        <f>IFERROR(INDEX(SessionLog!$L$2:$L$26,MATCH(P128,SessionLog!$N$2:$N$26,0)),"NOT FOUND")</f>
        <v/>
      </c>
      <c r="S128">
        <f>IF(R128="Yes",Q128&amp;"|"&amp;F128&amp;"|"&amp;G128&amp;"|"&amp;K128,"DROP")</f>
        <v/>
      </c>
      <c r="T128" s="4">
        <f>IF(I128&gt;0,J128/I128,0)</f>
        <v/>
      </c>
      <c r="U128">
        <f>IF(T128&gt;=0.8,1,0)</f>
        <v/>
      </c>
    </row>
    <row r="129">
      <c r="A129" t="inlineStr">
        <is>
          <t>SIMULATED Multimodal Ad Study</t>
        </is>
      </c>
      <c r="B129" t="inlineStr">
        <is>
          <t>P18</t>
        </is>
      </c>
      <c r="C129" t="inlineStr">
        <is>
          <t>FEMALE</t>
        </is>
      </c>
      <c r="D129" t="n">
        <v>20</v>
      </c>
      <c r="E129" t="inlineStr">
        <is>
          <t>BA</t>
        </is>
      </c>
      <c r="F129" t="inlineStr">
        <is>
          <t>Annotation</t>
        </is>
      </c>
      <c r="G129" t="inlineStr">
        <is>
          <t>EndCard</t>
        </is>
      </c>
      <c r="H129" t="n">
        <v>97615</v>
      </c>
      <c r="I129" t="n">
        <v>5000</v>
      </c>
      <c r="J129" t="n">
        <v>5000</v>
      </c>
      <c r="K129" t="inlineStr">
        <is>
          <t>Ad_B</t>
        </is>
      </c>
      <c r="L129" t="n">
        <v>0</v>
      </c>
      <c r="M129" t="n">
        <v>0</v>
      </c>
      <c r="N129" t="n">
        <v>0</v>
      </c>
      <c r="O129" t="inlineStr">
        <is>
          <t>NA</t>
        </is>
      </c>
      <c r="P129">
        <f>UPPER(TRIM(B129))</f>
        <v/>
      </c>
      <c r="Q129">
        <f>IFERROR(INDEX(SessionLog!$A$2:$A$26,MATCH(P129,SessionLog!$N$2:$N$26,0)),"NOT FOUND")</f>
        <v/>
      </c>
      <c r="R129">
        <f>IFERROR(INDEX(SessionLog!$L$2:$L$26,MATCH(P129,SessionLog!$N$2:$N$26,0)),"NOT FOUND")</f>
        <v/>
      </c>
      <c r="S129">
        <f>IF(R129="Yes",Q129&amp;"|"&amp;F129&amp;"|"&amp;G129&amp;"|"&amp;K129,"DROP")</f>
        <v/>
      </c>
      <c r="T129" s="4">
        <f>IF(I129&gt;0,J129/I129,0)</f>
        <v/>
      </c>
      <c r="U129">
        <f>IF(T129&gt;=0.8,1,0)</f>
        <v/>
      </c>
    </row>
    <row r="130">
      <c r="A130" t="inlineStr">
        <is>
          <t>SIMULATED Multimodal Ad Study</t>
        </is>
      </c>
      <c r="B130" t="inlineStr">
        <is>
          <t>P19</t>
        </is>
      </c>
      <c r="C130" t="inlineStr">
        <is>
          <t>MALE</t>
        </is>
      </c>
      <c r="D130" t="n">
        <v>23</v>
      </c>
      <c r="E130" t="inlineStr">
        <is>
          <t>AB</t>
        </is>
      </c>
      <c r="F130" t="inlineStr">
        <is>
          <t>Stimulus</t>
        </is>
      </c>
      <c r="G130" t="inlineStr">
        <is>
          <t>Ad_A</t>
        </is>
      </c>
      <c r="H130" t="n">
        <v>85606</v>
      </c>
      <c r="I130" t="n">
        <v>30000</v>
      </c>
      <c r="J130" t="n">
        <v>30000</v>
      </c>
      <c r="K130" t="inlineStr">
        <is>
          <t>Ad_A</t>
        </is>
      </c>
      <c r="L130" t="n">
        <v>1</v>
      </c>
      <c r="M130" t="n">
        <v>7</v>
      </c>
      <c r="N130" t="n">
        <v>14</v>
      </c>
      <c r="O130" t="n">
        <v>0.1762</v>
      </c>
      <c r="P130">
        <f>UPPER(TRIM(B130))</f>
        <v/>
      </c>
      <c r="Q130">
        <f>IFERROR(INDEX(SessionLog!$A$2:$A$26,MATCH(P130,SessionLog!$N$2:$N$26,0)),"NOT FOUND")</f>
        <v/>
      </c>
      <c r="R130">
        <f>IFERROR(INDEX(SessionLog!$L$2:$L$26,MATCH(P130,SessionLog!$N$2:$N$26,0)),"NOT FOUND")</f>
        <v/>
      </c>
      <c r="S130">
        <f>IF(R130="Yes",Q130&amp;"|"&amp;F130&amp;"|"&amp;G130&amp;"|"&amp;K130,"DROP")</f>
        <v/>
      </c>
      <c r="T130" s="4">
        <f>IF(I130&gt;0,J130/I130,0)</f>
        <v/>
      </c>
      <c r="U130">
        <f>IF(T130&gt;=0.8,1,0)</f>
        <v/>
      </c>
    </row>
    <row r="131">
      <c r="A131" t="inlineStr">
        <is>
          <t>SIMULATED Multimodal Ad Study</t>
        </is>
      </c>
      <c r="B131" t="inlineStr">
        <is>
          <t>P19</t>
        </is>
      </c>
      <c r="C131" t="inlineStr">
        <is>
          <t>MALE</t>
        </is>
      </c>
      <c r="D131" t="n">
        <v>23</v>
      </c>
      <c r="E131" t="inlineStr">
        <is>
          <t>AB</t>
        </is>
      </c>
      <c r="F131" t="inlineStr">
        <is>
          <t>Stimulus</t>
        </is>
      </c>
      <c r="G131" t="inlineStr">
        <is>
          <t>Ad_B</t>
        </is>
      </c>
      <c r="H131" t="n">
        <v>115719</v>
      </c>
      <c r="I131" t="n">
        <v>30000</v>
      </c>
      <c r="J131" t="n">
        <v>30000</v>
      </c>
      <c r="K131" t="inlineStr">
        <is>
          <t>Ad_B</t>
        </is>
      </c>
      <c r="L131" t="n">
        <v>1</v>
      </c>
      <c r="M131" t="n">
        <v>3</v>
      </c>
      <c r="N131" t="n">
        <v>6</v>
      </c>
      <c r="O131" t="n">
        <v>0.1146</v>
      </c>
      <c r="P131">
        <f>UPPER(TRIM(B131))</f>
        <v/>
      </c>
      <c r="Q131">
        <f>IFERROR(INDEX(SessionLog!$A$2:$A$26,MATCH(P131,SessionLog!$N$2:$N$26,0)),"NOT FOUND")</f>
        <v/>
      </c>
      <c r="R131">
        <f>IFERROR(INDEX(SessionLog!$L$2:$L$26,MATCH(P131,SessionLog!$N$2:$N$26,0)),"NOT FOUND")</f>
        <v/>
      </c>
      <c r="S131">
        <f>IF(R131="Yes",Q131&amp;"|"&amp;F131&amp;"|"&amp;G131&amp;"|"&amp;K131,"DROP")</f>
        <v/>
      </c>
      <c r="T131" s="4">
        <f>IF(I131&gt;0,J131/I131,0)</f>
        <v/>
      </c>
      <c r="U131">
        <f>IF(T131&gt;=0.8,1,0)</f>
        <v/>
      </c>
    </row>
    <row r="132">
      <c r="A132" t="inlineStr">
        <is>
          <t>SIMULATED Multimodal Ad Study</t>
        </is>
      </c>
      <c r="B132" t="inlineStr">
        <is>
          <t>P19</t>
        </is>
      </c>
      <c r="C132" t="inlineStr">
        <is>
          <t>MALE</t>
        </is>
      </c>
      <c r="D132" t="n">
        <v>23</v>
      </c>
      <c r="E132" t="inlineStr">
        <is>
          <t>AB</t>
        </is>
      </c>
      <c r="F132" t="inlineStr">
        <is>
          <t>Stimulus</t>
        </is>
      </c>
      <c r="G132" t="inlineStr">
        <is>
          <t>Baseline</t>
        </is>
      </c>
      <c r="H132" t="n">
        <v>25555</v>
      </c>
      <c r="I132" t="n">
        <v>60000</v>
      </c>
      <c r="J132" t="n">
        <v>60000</v>
      </c>
      <c r="K132" t="inlineStr">
        <is>
          <t>Baseline</t>
        </is>
      </c>
      <c r="L132" t="n">
        <v>1</v>
      </c>
      <c r="M132" t="n">
        <v>1</v>
      </c>
      <c r="N132" t="n">
        <v>1</v>
      </c>
      <c r="O132" t="n">
        <v>0.1566</v>
      </c>
      <c r="P132">
        <f>UPPER(TRIM(B132))</f>
        <v/>
      </c>
      <c r="Q132">
        <f>IFERROR(INDEX(SessionLog!$A$2:$A$26,MATCH(P132,SessionLog!$N$2:$N$26,0)),"NOT FOUND")</f>
        <v/>
      </c>
      <c r="R132">
        <f>IFERROR(INDEX(SessionLog!$L$2:$L$26,MATCH(P132,SessionLog!$N$2:$N$26,0)),"NOT FOUND")</f>
        <v/>
      </c>
      <c r="S132">
        <f>IF(R132="Yes",Q132&amp;"|"&amp;F132&amp;"|"&amp;G132&amp;"|"&amp;K132,"DROP")</f>
        <v/>
      </c>
      <c r="T132" s="4">
        <f>IF(I132&gt;0,J132/I132,0)</f>
        <v/>
      </c>
      <c r="U132">
        <f>IF(T132&gt;=0.8,1,0)</f>
        <v/>
      </c>
    </row>
    <row r="133">
      <c r="A133" t="inlineStr">
        <is>
          <t>SIMULATED Multimodal Ad Study</t>
        </is>
      </c>
      <c r="B133" t="inlineStr">
        <is>
          <t>P19</t>
        </is>
      </c>
      <c r="C133" t="inlineStr">
        <is>
          <t>MALE</t>
        </is>
      </c>
      <c r="D133" t="n">
        <v>23</v>
      </c>
      <c r="E133" t="inlineStr">
        <is>
          <t>AB</t>
        </is>
      </c>
      <c r="F133" t="inlineStr">
        <is>
          <t>Stimulus</t>
        </is>
      </c>
      <c r="G133" t="inlineStr">
        <is>
          <t>Instructions</t>
        </is>
      </c>
      <c r="H133" t="n">
        <v>19</v>
      </c>
      <c r="I133" t="n">
        <v>25503</v>
      </c>
      <c r="J133" t="n">
        <v>25503</v>
      </c>
      <c r="K133" t="inlineStr">
        <is>
          <t>Instructions</t>
        </is>
      </c>
      <c r="L133" t="n">
        <v>1</v>
      </c>
      <c r="M133" t="n">
        <v>1</v>
      </c>
      <c r="N133" t="n">
        <v>2.353</v>
      </c>
      <c r="O133" t="n">
        <v>0.2011</v>
      </c>
      <c r="P133">
        <f>UPPER(TRIM(B133))</f>
        <v/>
      </c>
      <c r="Q133">
        <f>IFERROR(INDEX(SessionLog!$A$2:$A$26,MATCH(P133,SessionLog!$N$2:$N$26,0)),"NOT FOUND")</f>
        <v/>
      </c>
      <c r="R133">
        <f>IFERROR(INDEX(SessionLog!$L$2:$L$26,MATCH(P133,SessionLog!$N$2:$N$26,0)),"NOT FOUND")</f>
        <v/>
      </c>
      <c r="S133">
        <f>IF(R133="Yes",Q133&amp;"|"&amp;F133&amp;"|"&amp;G133&amp;"|"&amp;K133,"DROP")</f>
        <v/>
      </c>
      <c r="T133" s="4">
        <f>IF(I133&gt;0,J133/I133,0)</f>
        <v/>
      </c>
      <c r="U133">
        <f>IF(T133&gt;=0.8,1,0)</f>
        <v/>
      </c>
    </row>
    <row r="134">
      <c r="A134" t="inlineStr">
        <is>
          <t>SIMULATED Multimodal Ad Study</t>
        </is>
      </c>
      <c r="B134" t="inlineStr">
        <is>
          <t>P19</t>
        </is>
      </c>
      <c r="C134" t="inlineStr">
        <is>
          <t>MALE</t>
        </is>
      </c>
      <c r="D134" t="n">
        <v>23</v>
      </c>
      <c r="E134" t="inlineStr">
        <is>
          <t>AB</t>
        </is>
      </c>
      <c r="F134" t="inlineStr">
        <is>
          <t>Stimulus</t>
        </is>
      </c>
      <c r="G134" t="inlineStr">
        <is>
          <t>Questionnaire</t>
        </is>
      </c>
      <c r="H134" t="n">
        <v>145763</v>
      </c>
      <c r="I134" t="n">
        <v>151679</v>
      </c>
      <c r="J134" t="n">
        <v>151679</v>
      </c>
      <c r="K134" t="inlineStr">
        <is>
          <t>Questionnaire</t>
        </is>
      </c>
      <c r="L134" t="n">
        <v>1</v>
      </c>
      <c r="M134" t="n">
        <v>12</v>
      </c>
      <c r="N134" t="n">
        <v>4.747</v>
      </c>
      <c r="O134" t="n">
        <v>0.1598</v>
      </c>
      <c r="P134">
        <f>UPPER(TRIM(B134))</f>
        <v/>
      </c>
      <c r="Q134">
        <f>IFERROR(INDEX(SessionLog!$A$2:$A$26,MATCH(P134,SessionLog!$N$2:$N$26,0)),"NOT FOUND")</f>
        <v/>
      </c>
      <c r="R134">
        <f>IFERROR(INDEX(SessionLog!$L$2:$L$26,MATCH(P134,SessionLog!$N$2:$N$26,0)),"NOT FOUND")</f>
        <v/>
      </c>
      <c r="S134">
        <f>IF(R134="Yes",Q134&amp;"|"&amp;F134&amp;"|"&amp;G134&amp;"|"&amp;K134,"DROP")</f>
        <v/>
      </c>
      <c r="T134" s="4">
        <f>IF(I134&gt;0,J134/I134,0)</f>
        <v/>
      </c>
      <c r="U134">
        <f>IF(T134&gt;=0.8,1,0)</f>
        <v/>
      </c>
    </row>
    <row r="135">
      <c r="A135" t="inlineStr">
        <is>
          <t>SIMULATED Multimodal Ad Study</t>
        </is>
      </c>
      <c r="B135" t="inlineStr">
        <is>
          <t>P19</t>
        </is>
      </c>
      <c r="C135" t="inlineStr">
        <is>
          <t>MALE</t>
        </is>
      </c>
      <c r="D135" t="n">
        <v>23</v>
      </c>
      <c r="E135" t="inlineStr">
        <is>
          <t>AB</t>
        </is>
      </c>
      <c r="F135" t="inlineStr">
        <is>
          <t>Annotation</t>
        </is>
      </c>
      <c r="G135" t="inlineStr">
        <is>
          <t>EndCard</t>
        </is>
      </c>
      <c r="H135" t="n">
        <v>110606</v>
      </c>
      <c r="I135" t="n">
        <v>5000</v>
      </c>
      <c r="J135" t="n">
        <v>5000</v>
      </c>
      <c r="K135" t="inlineStr">
        <is>
          <t>Ad_A</t>
        </is>
      </c>
      <c r="L135" t="n">
        <v>0</v>
      </c>
      <c r="M135" t="n">
        <v>0</v>
      </c>
      <c r="N135" t="n">
        <v>0</v>
      </c>
      <c r="O135" t="inlineStr">
        <is>
          <t>NA</t>
        </is>
      </c>
      <c r="P135">
        <f>UPPER(TRIM(B135))</f>
        <v/>
      </c>
      <c r="Q135">
        <f>IFERROR(INDEX(SessionLog!$A$2:$A$26,MATCH(P135,SessionLog!$N$2:$N$26,0)),"NOT FOUND")</f>
        <v/>
      </c>
      <c r="R135">
        <f>IFERROR(INDEX(SessionLog!$L$2:$L$26,MATCH(P135,SessionLog!$N$2:$N$26,0)),"NOT FOUND")</f>
        <v/>
      </c>
      <c r="S135">
        <f>IF(R135="Yes",Q135&amp;"|"&amp;F135&amp;"|"&amp;G135&amp;"|"&amp;K135,"DROP")</f>
        <v/>
      </c>
      <c r="T135" s="4">
        <f>IF(I135&gt;0,J135/I135,0)</f>
        <v/>
      </c>
      <c r="U135">
        <f>IF(T135&gt;=0.8,1,0)</f>
        <v/>
      </c>
    </row>
    <row r="136">
      <c r="A136" t="inlineStr">
        <is>
          <t>SIMULATED Multimodal Ad Study</t>
        </is>
      </c>
      <c r="B136" t="inlineStr">
        <is>
          <t>P19</t>
        </is>
      </c>
      <c r="C136" t="inlineStr">
        <is>
          <t>MALE</t>
        </is>
      </c>
      <c r="D136" t="n">
        <v>23</v>
      </c>
      <c r="E136" t="inlineStr">
        <is>
          <t>AB</t>
        </is>
      </c>
      <c r="F136" t="inlineStr">
        <is>
          <t>Annotation</t>
        </is>
      </c>
      <c r="G136" t="inlineStr">
        <is>
          <t>EndCard</t>
        </is>
      </c>
      <c r="H136" t="n">
        <v>140719</v>
      </c>
      <c r="I136" t="n">
        <v>5000</v>
      </c>
      <c r="J136" t="n">
        <v>5000</v>
      </c>
      <c r="K136" t="inlineStr">
        <is>
          <t>Ad_B</t>
        </is>
      </c>
      <c r="L136" t="n">
        <v>0</v>
      </c>
      <c r="M136" t="n">
        <v>0</v>
      </c>
      <c r="N136" t="n">
        <v>0</v>
      </c>
      <c r="O136" t="inlineStr">
        <is>
          <t>NA</t>
        </is>
      </c>
      <c r="P136">
        <f>UPPER(TRIM(B136))</f>
        <v/>
      </c>
      <c r="Q136">
        <f>IFERROR(INDEX(SessionLog!$A$2:$A$26,MATCH(P136,SessionLog!$N$2:$N$26,0)),"NOT FOUND")</f>
        <v/>
      </c>
      <c r="R136">
        <f>IFERROR(INDEX(SessionLog!$L$2:$L$26,MATCH(P136,SessionLog!$N$2:$N$26,0)),"NOT FOUND")</f>
        <v/>
      </c>
      <c r="S136">
        <f>IF(R136="Yes",Q136&amp;"|"&amp;F136&amp;"|"&amp;G136&amp;"|"&amp;K136,"DROP")</f>
        <v/>
      </c>
      <c r="T136" s="4">
        <f>IF(I136&gt;0,J136/I136,0)</f>
        <v/>
      </c>
      <c r="U136">
        <f>IF(T136&gt;=0.8,1,0)</f>
        <v/>
      </c>
    </row>
    <row r="137">
      <c r="A137" t="inlineStr">
        <is>
          <t>SIMULATED Multimodal Ad Study</t>
        </is>
      </c>
      <c r="B137" t="inlineStr">
        <is>
          <t>P20</t>
        </is>
      </c>
      <c r="C137" t="inlineStr">
        <is>
          <t>FEMALE</t>
        </is>
      </c>
      <c r="D137" t="n">
        <v>19</v>
      </c>
      <c r="E137" t="inlineStr">
        <is>
          <t>BA</t>
        </is>
      </c>
      <c r="F137" t="inlineStr">
        <is>
          <t>Stimulus</t>
        </is>
      </c>
      <c r="G137" t="inlineStr">
        <is>
          <t>Ad_A</t>
        </is>
      </c>
      <c r="H137" t="n">
        <v>103141</v>
      </c>
      <c r="I137" t="n">
        <v>30000</v>
      </c>
      <c r="J137" t="n">
        <v>30000</v>
      </c>
      <c r="K137" t="inlineStr">
        <is>
          <t>Ad_A</t>
        </is>
      </c>
      <c r="L137" t="n">
        <v>1</v>
      </c>
      <c r="M137" t="n">
        <v>3</v>
      </c>
      <c r="N137" t="n">
        <v>6</v>
      </c>
      <c r="O137" t="n">
        <v>0.1091</v>
      </c>
      <c r="P137">
        <f>UPPER(TRIM(B137))</f>
        <v/>
      </c>
      <c r="Q137">
        <f>IFERROR(INDEX(SessionLog!$A$2:$A$26,MATCH(P137,SessionLog!$N$2:$N$26,0)),"NOT FOUND")</f>
        <v/>
      </c>
      <c r="R137">
        <f>IFERROR(INDEX(SessionLog!$L$2:$L$26,MATCH(P137,SessionLog!$N$2:$N$26,0)),"NOT FOUND")</f>
        <v/>
      </c>
      <c r="S137">
        <f>IF(R137="Yes",Q137&amp;"|"&amp;F137&amp;"|"&amp;G137&amp;"|"&amp;K137,"DROP")</f>
        <v/>
      </c>
      <c r="T137" s="4">
        <f>IF(I137&gt;0,J137/I137,0)</f>
        <v/>
      </c>
      <c r="U137">
        <f>IF(T137&gt;=0.8,1,0)</f>
        <v/>
      </c>
    </row>
    <row r="138">
      <c r="A138" t="inlineStr">
        <is>
          <t>SIMULATED Multimodal Ad Study</t>
        </is>
      </c>
      <c r="B138" t="inlineStr">
        <is>
          <t>P20</t>
        </is>
      </c>
      <c r="C138" t="inlineStr">
        <is>
          <t>FEMALE</t>
        </is>
      </c>
      <c r="D138" t="n">
        <v>19</v>
      </c>
      <c r="E138" t="inlineStr">
        <is>
          <t>BA</t>
        </is>
      </c>
      <c r="F138" t="inlineStr">
        <is>
          <t>Stimulus</t>
        </is>
      </c>
      <c r="G138" t="inlineStr">
        <is>
          <t>Ad_B</t>
        </is>
      </c>
      <c r="H138" t="n">
        <v>73082</v>
      </c>
      <c r="I138" t="n">
        <v>30000</v>
      </c>
      <c r="J138" t="n">
        <v>30000</v>
      </c>
      <c r="K138" t="inlineStr">
        <is>
          <t>Ad_B</t>
        </is>
      </c>
      <c r="L138" t="n">
        <v>1</v>
      </c>
      <c r="M138" t="n">
        <v>5</v>
      </c>
      <c r="N138" t="n">
        <v>10</v>
      </c>
      <c r="O138" t="n">
        <v>0.0873</v>
      </c>
      <c r="P138">
        <f>UPPER(TRIM(B138))</f>
        <v/>
      </c>
      <c r="Q138">
        <f>IFERROR(INDEX(SessionLog!$A$2:$A$26,MATCH(P138,SessionLog!$N$2:$N$26,0)),"NOT FOUND")</f>
        <v/>
      </c>
      <c r="R138">
        <f>IFERROR(INDEX(SessionLog!$L$2:$L$26,MATCH(P138,SessionLog!$N$2:$N$26,0)),"NOT FOUND")</f>
        <v/>
      </c>
      <c r="S138">
        <f>IF(R138="Yes",Q138&amp;"|"&amp;F138&amp;"|"&amp;G138&amp;"|"&amp;K138,"DROP")</f>
        <v/>
      </c>
      <c r="T138" s="4">
        <f>IF(I138&gt;0,J138/I138,0)</f>
        <v/>
      </c>
      <c r="U138">
        <f>IF(T138&gt;=0.8,1,0)</f>
        <v/>
      </c>
    </row>
    <row r="139">
      <c r="A139" t="inlineStr">
        <is>
          <t>SIMULATED Multimodal Ad Study</t>
        </is>
      </c>
      <c r="B139" t="inlineStr">
        <is>
          <t>P20</t>
        </is>
      </c>
      <c r="C139" t="inlineStr">
        <is>
          <t>FEMALE</t>
        </is>
      </c>
      <c r="D139" t="n">
        <v>19</v>
      </c>
      <c r="E139" t="inlineStr">
        <is>
          <t>BA</t>
        </is>
      </c>
      <c r="F139" t="inlineStr">
        <is>
          <t>Stimulus</t>
        </is>
      </c>
      <c r="G139" t="inlineStr">
        <is>
          <t>Baseline</t>
        </is>
      </c>
      <c r="H139" t="n">
        <v>13010</v>
      </c>
      <c r="I139" t="n">
        <v>60000</v>
      </c>
      <c r="J139" t="n">
        <v>60000</v>
      </c>
      <c r="K139" t="inlineStr">
        <is>
          <t>Baseline</t>
        </is>
      </c>
      <c r="L139" t="n">
        <v>1</v>
      </c>
      <c r="M139" t="n">
        <v>2</v>
      </c>
      <c r="N139" t="n">
        <v>2</v>
      </c>
      <c r="O139" t="n">
        <v>0.0827</v>
      </c>
      <c r="P139">
        <f>UPPER(TRIM(B139))</f>
        <v/>
      </c>
      <c r="Q139">
        <f>IFERROR(INDEX(SessionLog!$A$2:$A$26,MATCH(P139,SessionLog!$N$2:$N$26,0)),"NOT FOUND")</f>
        <v/>
      </c>
      <c r="R139">
        <f>IFERROR(INDEX(SessionLog!$L$2:$L$26,MATCH(P139,SessionLog!$N$2:$N$26,0)),"NOT FOUND")</f>
        <v/>
      </c>
      <c r="S139">
        <f>IF(R139="Yes",Q139&amp;"|"&amp;F139&amp;"|"&amp;G139&amp;"|"&amp;K139,"DROP")</f>
        <v/>
      </c>
      <c r="T139" s="4">
        <f>IF(I139&gt;0,J139/I139,0)</f>
        <v/>
      </c>
      <c r="U139">
        <f>IF(T139&gt;=0.8,1,0)</f>
        <v/>
      </c>
    </row>
    <row r="140">
      <c r="A140" t="inlineStr">
        <is>
          <t>SIMULATED Multimodal Ad Study</t>
        </is>
      </c>
      <c r="B140" t="inlineStr">
        <is>
          <t>P20</t>
        </is>
      </c>
      <c r="C140" t="inlineStr">
        <is>
          <t>FEMALE</t>
        </is>
      </c>
      <c r="D140" t="n">
        <v>19</v>
      </c>
      <c r="E140" t="inlineStr">
        <is>
          <t>BA</t>
        </is>
      </c>
      <c r="F140" t="inlineStr">
        <is>
          <t>Stimulus</t>
        </is>
      </c>
      <c r="G140" t="inlineStr">
        <is>
          <t>Instructions</t>
        </is>
      </c>
      <c r="H140" t="n">
        <v>20</v>
      </c>
      <c r="I140" t="n">
        <v>12958</v>
      </c>
      <c r="J140" t="n">
        <v>12958</v>
      </c>
      <c r="K140" t="inlineStr">
        <is>
          <t>Instructions</t>
        </is>
      </c>
      <c r="L140" t="n">
        <v>1</v>
      </c>
      <c r="M140" t="n">
        <v>1</v>
      </c>
      <c r="N140" t="n">
        <v>4.63</v>
      </c>
      <c r="O140" t="n">
        <v>0.1714</v>
      </c>
      <c r="P140">
        <f>UPPER(TRIM(B140))</f>
        <v/>
      </c>
      <c r="Q140">
        <f>IFERROR(INDEX(SessionLog!$A$2:$A$26,MATCH(P140,SessionLog!$N$2:$N$26,0)),"NOT FOUND")</f>
        <v/>
      </c>
      <c r="R140">
        <f>IFERROR(INDEX(SessionLog!$L$2:$L$26,MATCH(P140,SessionLog!$N$2:$N$26,0)),"NOT FOUND")</f>
        <v/>
      </c>
      <c r="S140">
        <f>IF(R140="Yes",Q140&amp;"|"&amp;F140&amp;"|"&amp;G140&amp;"|"&amp;K140,"DROP")</f>
        <v/>
      </c>
      <c r="T140" s="4">
        <f>IF(I140&gt;0,J140/I140,0)</f>
        <v/>
      </c>
      <c r="U140">
        <f>IF(T140&gt;=0.8,1,0)</f>
        <v/>
      </c>
    </row>
    <row r="141">
      <c r="A141" t="inlineStr">
        <is>
          <t>SIMULATED Multimodal Ad Study</t>
        </is>
      </c>
      <c r="B141" t="inlineStr">
        <is>
          <t>P20</t>
        </is>
      </c>
      <c r="C141" t="inlineStr">
        <is>
          <t>FEMALE</t>
        </is>
      </c>
      <c r="D141" t="n">
        <v>19</v>
      </c>
      <c r="E141" t="inlineStr">
        <is>
          <t>BA</t>
        </is>
      </c>
      <c r="F141" t="inlineStr">
        <is>
          <t>Stimulus</t>
        </is>
      </c>
      <c r="G141" t="inlineStr">
        <is>
          <t>Questionnaire</t>
        </is>
      </c>
      <c r="H141" t="n">
        <v>133192</v>
      </c>
      <c r="I141" t="n">
        <v>158386</v>
      </c>
      <c r="J141" t="n">
        <v>158386</v>
      </c>
      <c r="K141" t="inlineStr">
        <is>
          <t>Questionnaire</t>
        </is>
      </c>
      <c r="L141" t="n">
        <v>1</v>
      </c>
      <c r="M141" t="n">
        <v>5</v>
      </c>
      <c r="N141" t="n">
        <v>1.894</v>
      </c>
      <c r="O141" t="n">
        <v>0.126</v>
      </c>
      <c r="P141">
        <f>UPPER(TRIM(B141))</f>
        <v/>
      </c>
      <c r="Q141">
        <f>IFERROR(INDEX(SessionLog!$A$2:$A$26,MATCH(P141,SessionLog!$N$2:$N$26,0)),"NOT FOUND")</f>
        <v/>
      </c>
      <c r="R141">
        <f>IFERROR(INDEX(SessionLog!$L$2:$L$26,MATCH(P141,SessionLog!$N$2:$N$26,0)),"NOT FOUND")</f>
        <v/>
      </c>
      <c r="S141">
        <f>IF(R141="Yes",Q141&amp;"|"&amp;F141&amp;"|"&amp;G141&amp;"|"&amp;K141,"DROP")</f>
        <v/>
      </c>
      <c r="T141" s="4">
        <f>IF(I141&gt;0,J141/I141,0)</f>
        <v/>
      </c>
      <c r="U141">
        <f>IF(T141&gt;=0.8,1,0)</f>
        <v/>
      </c>
    </row>
    <row r="142">
      <c r="A142" t="inlineStr">
        <is>
          <t>SIMULATED Multimodal Ad Study</t>
        </is>
      </c>
      <c r="B142" t="inlineStr">
        <is>
          <t>P20</t>
        </is>
      </c>
      <c r="C142" t="inlineStr">
        <is>
          <t>FEMALE</t>
        </is>
      </c>
      <c r="D142" t="n">
        <v>19</v>
      </c>
      <c r="E142" t="inlineStr">
        <is>
          <t>BA</t>
        </is>
      </c>
      <c r="F142" t="inlineStr">
        <is>
          <t>Annotation</t>
        </is>
      </c>
      <c r="G142" t="inlineStr">
        <is>
          <t>EndCard</t>
        </is>
      </c>
      <c r="H142" t="n">
        <v>128141</v>
      </c>
      <c r="I142" t="n">
        <v>5000</v>
      </c>
      <c r="J142" t="n">
        <v>5000</v>
      </c>
      <c r="K142" t="inlineStr">
        <is>
          <t>Ad_A</t>
        </is>
      </c>
      <c r="L142" t="n">
        <v>0</v>
      </c>
      <c r="M142" t="n">
        <v>0</v>
      </c>
      <c r="N142" t="n">
        <v>0</v>
      </c>
      <c r="O142" t="inlineStr">
        <is>
          <t>NA</t>
        </is>
      </c>
      <c r="P142">
        <f>UPPER(TRIM(B142))</f>
        <v/>
      </c>
      <c r="Q142">
        <f>IFERROR(INDEX(SessionLog!$A$2:$A$26,MATCH(P142,SessionLog!$N$2:$N$26,0)),"NOT FOUND")</f>
        <v/>
      </c>
      <c r="R142">
        <f>IFERROR(INDEX(SessionLog!$L$2:$L$26,MATCH(P142,SessionLog!$N$2:$N$26,0)),"NOT FOUND")</f>
        <v/>
      </c>
      <c r="S142">
        <f>IF(R142="Yes",Q142&amp;"|"&amp;F142&amp;"|"&amp;G142&amp;"|"&amp;K142,"DROP")</f>
        <v/>
      </c>
      <c r="T142" s="4">
        <f>IF(I142&gt;0,J142/I142,0)</f>
        <v/>
      </c>
      <c r="U142">
        <f>IF(T142&gt;=0.8,1,0)</f>
        <v/>
      </c>
    </row>
    <row r="143">
      <c r="A143" t="inlineStr">
        <is>
          <t>SIMULATED Multimodal Ad Study</t>
        </is>
      </c>
      <c r="B143" t="inlineStr">
        <is>
          <t>P20</t>
        </is>
      </c>
      <c r="C143" t="inlineStr">
        <is>
          <t>FEMALE</t>
        </is>
      </c>
      <c r="D143" t="n">
        <v>19</v>
      </c>
      <c r="E143" t="inlineStr">
        <is>
          <t>BA</t>
        </is>
      </c>
      <c r="F143" t="inlineStr">
        <is>
          <t>Annotation</t>
        </is>
      </c>
      <c r="G143" t="inlineStr">
        <is>
          <t>EndCard</t>
        </is>
      </c>
      <c r="H143" t="n">
        <v>98082</v>
      </c>
      <c r="I143" t="n">
        <v>5000</v>
      </c>
      <c r="J143" t="n">
        <v>5000</v>
      </c>
      <c r="K143" t="inlineStr">
        <is>
          <t>Ad_B</t>
        </is>
      </c>
      <c r="L143" t="n">
        <v>0</v>
      </c>
      <c r="M143" t="n">
        <v>0</v>
      </c>
      <c r="N143" t="n">
        <v>0</v>
      </c>
      <c r="O143" t="inlineStr">
        <is>
          <t>NA</t>
        </is>
      </c>
      <c r="P143">
        <f>UPPER(TRIM(B143))</f>
        <v/>
      </c>
      <c r="Q143">
        <f>IFERROR(INDEX(SessionLog!$A$2:$A$26,MATCH(P143,SessionLog!$N$2:$N$26,0)),"NOT FOUND")</f>
        <v/>
      </c>
      <c r="R143">
        <f>IFERROR(INDEX(SessionLog!$L$2:$L$26,MATCH(P143,SessionLog!$N$2:$N$26,0)),"NOT FOUND")</f>
        <v/>
      </c>
      <c r="S143">
        <f>IF(R143="Yes",Q143&amp;"|"&amp;F143&amp;"|"&amp;G143&amp;"|"&amp;K143,"DROP")</f>
        <v/>
      </c>
      <c r="T143" s="4">
        <f>IF(I143&gt;0,J143/I143,0)</f>
        <v/>
      </c>
      <c r="U143">
        <f>IF(T143&gt;=0.8,1,0)</f>
        <v/>
      </c>
    </row>
    <row r="144">
      <c r="A144" t="inlineStr">
        <is>
          <t>SIMULATED Multimodal Ad Study</t>
        </is>
      </c>
      <c r="B144" t="inlineStr">
        <is>
          <t>P21</t>
        </is>
      </c>
      <c r="C144" t="inlineStr">
        <is>
          <t>MALE</t>
        </is>
      </c>
      <c r="D144" t="n">
        <v>20</v>
      </c>
      <c r="E144" t="inlineStr">
        <is>
          <t>AB</t>
        </is>
      </c>
      <c r="F144" t="inlineStr">
        <is>
          <t>Stimulus</t>
        </is>
      </c>
      <c r="G144" t="inlineStr">
        <is>
          <t>Ad_A</t>
        </is>
      </c>
      <c r="H144" t="n">
        <v>82716</v>
      </c>
      <c r="I144" t="n">
        <v>30000</v>
      </c>
      <c r="J144" t="n">
        <v>30000</v>
      </c>
      <c r="K144" t="inlineStr">
        <is>
          <t>Ad_A</t>
        </is>
      </c>
      <c r="L144" t="n">
        <v>1</v>
      </c>
      <c r="M144" t="n">
        <v>8</v>
      </c>
      <c r="N144" t="n">
        <v>16</v>
      </c>
      <c r="O144" t="n">
        <v>0.2175</v>
      </c>
      <c r="P144">
        <f>UPPER(TRIM(B144))</f>
        <v/>
      </c>
      <c r="Q144">
        <f>IFERROR(INDEX(SessionLog!$A$2:$A$26,MATCH(P144,SessionLog!$N$2:$N$26,0)),"NOT FOUND")</f>
        <v/>
      </c>
      <c r="R144">
        <f>IFERROR(INDEX(SessionLog!$L$2:$L$26,MATCH(P144,SessionLog!$N$2:$N$26,0)),"NOT FOUND")</f>
        <v/>
      </c>
      <c r="S144">
        <f>IF(R144="Yes",Q144&amp;"|"&amp;F144&amp;"|"&amp;G144&amp;"|"&amp;K144,"DROP")</f>
        <v/>
      </c>
      <c r="T144" s="4">
        <f>IF(I144&gt;0,J144/I144,0)</f>
        <v/>
      </c>
      <c r="U144">
        <f>IF(T144&gt;=0.8,1,0)</f>
        <v/>
      </c>
    </row>
    <row r="145">
      <c r="A145" t="inlineStr">
        <is>
          <t>SIMULATED Multimodal Ad Study</t>
        </is>
      </c>
      <c r="B145" t="inlineStr">
        <is>
          <t>P21</t>
        </is>
      </c>
      <c r="C145" t="inlineStr">
        <is>
          <t>MALE</t>
        </is>
      </c>
      <c r="D145" t="n">
        <v>20</v>
      </c>
      <c r="E145" t="inlineStr">
        <is>
          <t>AB</t>
        </is>
      </c>
      <c r="F145" t="inlineStr">
        <is>
          <t>Stimulus</t>
        </is>
      </c>
      <c r="G145" t="inlineStr">
        <is>
          <t>Ad_B</t>
        </is>
      </c>
      <c r="H145" t="n">
        <v>112789</v>
      </c>
      <c r="I145" t="n">
        <v>30000</v>
      </c>
      <c r="J145" t="n">
        <v>30000</v>
      </c>
      <c r="K145" t="inlineStr">
        <is>
          <t>Ad_B</t>
        </is>
      </c>
      <c r="L145" t="n">
        <v>1</v>
      </c>
      <c r="M145" t="n">
        <v>4</v>
      </c>
      <c r="N145" t="n">
        <v>8</v>
      </c>
      <c r="O145" t="n">
        <v>0.1095</v>
      </c>
      <c r="P145">
        <f>UPPER(TRIM(B145))</f>
        <v/>
      </c>
      <c r="Q145">
        <f>IFERROR(INDEX(SessionLog!$A$2:$A$26,MATCH(P145,SessionLog!$N$2:$N$26,0)),"NOT FOUND")</f>
        <v/>
      </c>
      <c r="R145">
        <f>IFERROR(INDEX(SessionLog!$L$2:$L$26,MATCH(P145,SessionLog!$N$2:$N$26,0)),"NOT FOUND")</f>
        <v/>
      </c>
      <c r="S145">
        <f>IF(R145="Yes",Q145&amp;"|"&amp;F145&amp;"|"&amp;G145&amp;"|"&amp;K145,"DROP")</f>
        <v/>
      </c>
      <c r="T145" s="4">
        <f>IF(I145&gt;0,J145/I145,0)</f>
        <v/>
      </c>
      <c r="U145">
        <f>IF(T145&gt;=0.8,1,0)</f>
        <v/>
      </c>
    </row>
    <row r="146">
      <c r="A146" t="inlineStr">
        <is>
          <t>SIMULATED Multimodal Ad Study</t>
        </is>
      </c>
      <c r="B146" t="inlineStr">
        <is>
          <t>P21</t>
        </is>
      </c>
      <c r="C146" t="inlineStr">
        <is>
          <t>MALE</t>
        </is>
      </c>
      <c r="D146" t="n">
        <v>20</v>
      </c>
      <c r="E146" t="inlineStr">
        <is>
          <t>AB</t>
        </is>
      </c>
      <c r="F146" t="inlineStr">
        <is>
          <t>Stimulus</t>
        </is>
      </c>
      <c r="G146" t="inlineStr">
        <is>
          <t>Baseline</t>
        </is>
      </c>
      <c r="H146" t="n">
        <v>22607</v>
      </c>
      <c r="I146" t="n">
        <v>60000</v>
      </c>
      <c r="J146" t="n">
        <v>60000</v>
      </c>
      <c r="K146" t="inlineStr">
        <is>
          <t>Baseline</t>
        </is>
      </c>
      <c r="L146" t="n">
        <v>1</v>
      </c>
      <c r="M146" t="n">
        <v>9</v>
      </c>
      <c r="N146" t="n">
        <v>9</v>
      </c>
      <c r="O146" t="n">
        <v>0.194</v>
      </c>
      <c r="P146">
        <f>UPPER(TRIM(B146))</f>
        <v/>
      </c>
      <c r="Q146">
        <f>IFERROR(INDEX(SessionLog!$A$2:$A$26,MATCH(P146,SessionLog!$N$2:$N$26,0)),"NOT FOUND")</f>
        <v/>
      </c>
      <c r="R146">
        <f>IFERROR(INDEX(SessionLog!$L$2:$L$26,MATCH(P146,SessionLog!$N$2:$N$26,0)),"NOT FOUND")</f>
        <v/>
      </c>
      <c r="S146">
        <f>IF(R146="Yes",Q146&amp;"|"&amp;F146&amp;"|"&amp;G146&amp;"|"&amp;K146,"DROP")</f>
        <v/>
      </c>
      <c r="T146" s="4">
        <f>IF(I146&gt;0,J146/I146,0)</f>
        <v/>
      </c>
      <c r="U146">
        <f>IF(T146&gt;=0.8,1,0)</f>
        <v/>
      </c>
    </row>
    <row r="147">
      <c r="A147" t="inlineStr">
        <is>
          <t>SIMULATED Multimodal Ad Study</t>
        </is>
      </c>
      <c r="B147" t="inlineStr">
        <is>
          <t>P21</t>
        </is>
      </c>
      <c r="C147" t="inlineStr">
        <is>
          <t>MALE</t>
        </is>
      </c>
      <c r="D147" t="n">
        <v>20</v>
      </c>
      <c r="E147" t="inlineStr">
        <is>
          <t>AB</t>
        </is>
      </c>
      <c r="F147" t="inlineStr">
        <is>
          <t>Stimulus</t>
        </is>
      </c>
      <c r="G147" t="inlineStr">
        <is>
          <t>Instructions</t>
        </is>
      </c>
      <c r="H147" t="n">
        <v>33</v>
      </c>
      <c r="I147" t="n">
        <v>22534</v>
      </c>
      <c r="J147" t="n">
        <v>22534</v>
      </c>
      <c r="K147" t="inlineStr">
        <is>
          <t>Instructions</t>
        </is>
      </c>
      <c r="L147" t="n">
        <v>1</v>
      </c>
      <c r="M147" t="n">
        <v>1</v>
      </c>
      <c r="N147" t="n">
        <v>2.663</v>
      </c>
      <c r="O147" t="n">
        <v>0.1359</v>
      </c>
      <c r="P147">
        <f>UPPER(TRIM(B147))</f>
        <v/>
      </c>
      <c r="Q147">
        <f>IFERROR(INDEX(SessionLog!$A$2:$A$26,MATCH(P147,SessionLog!$N$2:$N$26,0)),"NOT FOUND")</f>
        <v/>
      </c>
      <c r="R147">
        <f>IFERROR(INDEX(SessionLog!$L$2:$L$26,MATCH(P147,SessionLog!$N$2:$N$26,0)),"NOT FOUND")</f>
        <v/>
      </c>
      <c r="S147">
        <f>IF(R147="Yes",Q147&amp;"|"&amp;F147&amp;"|"&amp;G147&amp;"|"&amp;K147,"DROP")</f>
        <v/>
      </c>
      <c r="T147" s="4">
        <f>IF(I147&gt;0,J147/I147,0)</f>
        <v/>
      </c>
      <c r="U147">
        <f>IF(T147&gt;=0.8,1,0)</f>
        <v/>
      </c>
    </row>
    <row r="148">
      <c r="A148" t="inlineStr">
        <is>
          <t>SIMULATED Multimodal Ad Study</t>
        </is>
      </c>
      <c r="B148" t="inlineStr">
        <is>
          <t>P21</t>
        </is>
      </c>
      <c r="C148" t="inlineStr">
        <is>
          <t>MALE</t>
        </is>
      </c>
      <c r="D148" t="n">
        <v>20</v>
      </c>
      <c r="E148" t="inlineStr">
        <is>
          <t>AB</t>
        </is>
      </c>
      <c r="F148" t="inlineStr">
        <is>
          <t>Stimulus</t>
        </is>
      </c>
      <c r="G148" t="inlineStr">
        <is>
          <t>Questionnaire</t>
        </is>
      </c>
      <c r="H148" t="n">
        <v>142824</v>
      </c>
      <c r="I148" t="n">
        <v>137187</v>
      </c>
      <c r="J148" t="n">
        <v>137187</v>
      </c>
      <c r="K148" t="inlineStr">
        <is>
          <t>Questionnaire</t>
        </is>
      </c>
      <c r="L148" t="n">
        <v>1</v>
      </c>
      <c r="M148" t="n">
        <v>14</v>
      </c>
      <c r="N148" t="n">
        <v>6.123</v>
      </c>
      <c r="O148" t="n">
        <v>0.1454</v>
      </c>
      <c r="P148">
        <f>UPPER(TRIM(B148))</f>
        <v/>
      </c>
      <c r="Q148">
        <f>IFERROR(INDEX(SessionLog!$A$2:$A$26,MATCH(P148,SessionLog!$N$2:$N$26,0)),"NOT FOUND")</f>
        <v/>
      </c>
      <c r="R148">
        <f>IFERROR(INDEX(SessionLog!$L$2:$L$26,MATCH(P148,SessionLog!$N$2:$N$26,0)),"NOT FOUND")</f>
        <v/>
      </c>
      <c r="S148">
        <f>IF(R148="Yes",Q148&amp;"|"&amp;F148&amp;"|"&amp;G148&amp;"|"&amp;K148,"DROP")</f>
        <v/>
      </c>
      <c r="T148" s="4">
        <f>IF(I148&gt;0,J148/I148,0)</f>
        <v/>
      </c>
      <c r="U148">
        <f>IF(T148&gt;=0.8,1,0)</f>
        <v/>
      </c>
    </row>
    <row r="149">
      <c r="A149" t="inlineStr">
        <is>
          <t>SIMULATED Multimodal Ad Study</t>
        </is>
      </c>
      <c r="B149" t="inlineStr">
        <is>
          <t>P21</t>
        </is>
      </c>
      <c r="C149" t="inlineStr">
        <is>
          <t>MALE</t>
        </is>
      </c>
      <c r="D149" t="n">
        <v>20</v>
      </c>
      <c r="E149" t="inlineStr">
        <is>
          <t>AB</t>
        </is>
      </c>
      <c r="F149" t="inlineStr">
        <is>
          <t>Annotation</t>
        </is>
      </c>
      <c r="G149" t="inlineStr">
        <is>
          <t>EndCard</t>
        </is>
      </c>
      <c r="H149" t="n">
        <v>107716</v>
      </c>
      <c r="I149" t="n">
        <v>5000</v>
      </c>
      <c r="J149" t="n">
        <v>5000</v>
      </c>
      <c r="K149" t="inlineStr">
        <is>
          <t>Ad_A</t>
        </is>
      </c>
      <c r="L149" t="n">
        <v>1</v>
      </c>
      <c r="M149" t="n">
        <v>2</v>
      </c>
      <c r="N149" t="n">
        <v>24</v>
      </c>
      <c r="O149" t="n">
        <v>0.2544</v>
      </c>
      <c r="P149">
        <f>UPPER(TRIM(B149))</f>
        <v/>
      </c>
      <c r="Q149">
        <f>IFERROR(INDEX(SessionLog!$A$2:$A$26,MATCH(P149,SessionLog!$N$2:$N$26,0)),"NOT FOUND")</f>
        <v/>
      </c>
      <c r="R149">
        <f>IFERROR(INDEX(SessionLog!$L$2:$L$26,MATCH(P149,SessionLog!$N$2:$N$26,0)),"NOT FOUND")</f>
        <v/>
      </c>
      <c r="S149">
        <f>IF(R149="Yes",Q149&amp;"|"&amp;F149&amp;"|"&amp;G149&amp;"|"&amp;K149,"DROP")</f>
        <v/>
      </c>
      <c r="T149" s="4">
        <f>IF(I149&gt;0,J149/I149,0)</f>
        <v/>
      </c>
      <c r="U149">
        <f>IF(T149&gt;=0.8,1,0)</f>
        <v/>
      </c>
    </row>
    <row r="150">
      <c r="A150" t="inlineStr">
        <is>
          <t>SIMULATED Multimodal Ad Study</t>
        </is>
      </c>
      <c r="B150" t="inlineStr">
        <is>
          <t>P21</t>
        </is>
      </c>
      <c r="C150" t="inlineStr">
        <is>
          <t>MALE</t>
        </is>
      </c>
      <c r="D150" t="n">
        <v>20</v>
      </c>
      <c r="E150" t="inlineStr">
        <is>
          <t>AB</t>
        </is>
      </c>
      <c r="F150" t="inlineStr">
        <is>
          <t>Annotation</t>
        </is>
      </c>
      <c r="G150" t="inlineStr">
        <is>
          <t>EndCard</t>
        </is>
      </c>
      <c r="H150" t="n">
        <v>137789</v>
      </c>
      <c r="I150" t="n">
        <v>5000</v>
      </c>
      <c r="J150" t="n">
        <v>5000</v>
      </c>
      <c r="K150" t="inlineStr">
        <is>
          <t>Ad_B</t>
        </is>
      </c>
      <c r="L150" t="n">
        <v>0</v>
      </c>
      <c r="M150" t="n">
        <v>0</v>
      </c>
      <c r="N150" t="n">
        <v>0</v>
      </c>
      <c r="O150" t="inlineStr">
        <is>
          <t>NA</t>
        </is>
      </c>
      <c r="P150">
        <f>UPPER(TRIM(B150))</f>
        <v/>
      </c>
      <c r="Q150">
        <f>IFERROR(INDEX(SessionLog!$A$2:$A$26,MATCH(P150,SessionLog!$N$2:$N$26,0)),"NOT FOUND")</f>
        <v/>
      </c>
      <c r="R150">
        <f>IFERROR(INDEX(SessionLog!$L$2:$L$26,MATCH(P150,SessionLog!$N$2:$N$26,0)),"NOT FOUND")</f>
        <v/>
      </c>
      <c r="S150">
        <f>IF(R150="Yes",Q150&amp;"|"&amp;F150&amp;"|"&amp;G150&amp;"|"&amp;K150,"DROP")</f>
        <v/>
      </c>
      <c r="T150" s="4">
        <f>IF(I150&gt;0,J150/I150,0)</f>
        <v/>
      </c>
      <c r="U150">
        <f>IF(T150&gt;=0.8,1,0)</f>
        <v/>
      </c>
    </row>
    <row r="151">
      <c r="A151" t="inlineStr">
        <is>
          <t>SIMULATED Multimodal Ad Study</t>
        </is>
      </c>
      <c r="B151" t="inlineStr">
        <is>
          <t>P22</t>
        </is>
      </c>
      <c r="C151" t="inlineStr">
        <is>
          <t>OTHER</t>
        </is>
      </c>
      <c r="D151" t="n">
        <v>0</v>
      </c>
      <c r="E151" t="inlineStr">
        <is>
          <t>Default</t>
        </is>
      </c>
      <c r="F151" t="inlineStr">
        <is>
          <t>Stimulus</t>
        </is>
      </c>
      <c r="G151" t="inlineStr">
        <is>
          <t>Ad_A</t>
        </is>
      </c>
      <c r="H151" t="n">
        <v>117743</v>
      </c>
      <c r="I151" t="n">
        <v>30000</v>
      </c>
      <c r="J151" t="n">
        <v>30000</v>
      </c>
      <c r="K151" t="inlineStr">
        <is>
          <t>Ad_A</t>
        </is>
      </c>
      <c r="L151" t="n">
        <v>1</v>
      </c>
      <c r="M151" t="n">
        <v>1</v>
      </c>
      <c r="N151" t="n">
        <v>2</v>
      </c>
      <c r="O151" t="n">
        <v>0.1053</v>
      </c>
      <c r="P151">
        <f>UPPER(TRIM(B151))</f>
        <v/>
      </c>
      <c r="Q151">
        <f>IFERROR(INDEX(SessionLog!$A$2:$A$26,MATCH(P151,SessionLog!$N$2:$N$26,0)),"NOT FOUND")</f>
        <v/>
      </c>
      <c r="R151">
        <f>IFERROR(INDEX(SessionLog!$L$2:$L$26,MATCH(P151,SessionLog!$N$2:$N$26,0)),"NOT FOUND")</f>
        <v/>
      </c>
      <c r="S151">
        <f>IF(R151="Yes",Q151&amp;"|"&amp;F151&amp;"|"&amp;G151&amp;"|"&amp;K151,"DROP")</f>
        <v/>
      </c>
      <c r="T151" s="4">
        <f>IF(I151&gt;0,J151/I151,0)</f>
        <v/>
      </c>
      <c r="U151">
        <f>IF(T151&gt;=0.8,1,0)</f>
        <v/>
      </c>
    </row>
    <row r="152">
      <c r="A152" t="inlineStr">
        <is>
          <t>SIMULATED Multimodal Ad Study</t>
        </is>
      </c>
      <c r="B152" t="inlineStr">
        <is>
          <t>P22</t>
        </is>
      </c>
      <c r="C152" t="inlineStr">
        <is>
          <t>OTHER</t>
        </is>
      </c>
      <c r="D152" t="n">
        <v>0</v>
      </c>
      <c r="E152" t="inlineStr">
        <is>
          <t>Default</t>
        </is>
      </c>
      <c r="F152" t="inlineStr">
        <is>
          <t>Stimulus</t>
        </is>
      </c>
      <c r="G152" t="inlineStr">
        <is>
          <t>Ad_B</t>
        </is>
      </c>
      <c r="H152" t="n">
        <v>87689</v>
      </c>
      <c r="I152" t="n">
        <v>30000</v>
      </c>
      <c r="J152" t="n">
        <v>30000</v>
      </c>
      <c r="K152" t="inlineStr">
        <is>
          <t>Ad_B</t>
        </is>
      </c>
      <c r="L152" t="n">
        <v>1</v>
      </c>
      <c r="M152" t="n">
        <v>1</v>
      </c>
      <c r="N152" t="n">
        <v>2</v>
      </c>
      <c r="O152" t="n">
        <v>0.1901</v>
      </c>
      <c r="P152">
        <f>UPPER(TRIM(B152))</f>
        <v/>
      </c>
      <c r="Q152">
        <f>IFERROR(INDEX(SessionLog!$A$2:$A$26,MATCH(P152,SessionLog!$N$2:$N$26,0)),"NOT FOUND")</f>
        <v/>
      </c>
      <c r="R152">
        <f>IFERROR(INDEX(SessionLog!$L$2:$L$26,MATCH(P152,SessionLog!$N$2:$N$26,0)),"NOT FOUND")</f>
        <v/>
      </c>
      <c r="S152">
        <f>IF(R152="Yes",Q152&amp;"|"&amp;F152&amp;"|"&amp;G152&amp;"|"&amp;K152,"DROP")</f>
        <v/>
      </c>
      <c r="T152" s="4">
        <f>IF(I152&gt;0,J152/I152,0)</f>
        <v/>
      </c>
      <c r="U152">
        <f>IF(T152&gt;=0.8,1,0)</f>
        <v/>
      </c>
    </row>
    <row r="153">
      <c r="A153" t="inlineStr">
        <is>
          <t>SIMULATED Multimodal Ad Study</t>
        </is>
      </c>
      <c r="B153" t="inlineStr">
        <is>
          <t>P22</t>
        </is>
      </c>
      <c r="C153" t="inlineStr">
        <is>
          <t>OTHER</t>
        </is>
      </c>
      <c r="D153" t="n">
        <v>0</v>
      </c>
      <c r="E153" t="inlineStr">
        <is>
          <t>Default</t>
        </is>
      </c>
      <c r="F153" t="inlineStr">
        <is>
          <t>Stimulus</t>
        </is>
      </c>
      <c r="G153" t="inlineStr">
        <is>
          <t>Baseline</t>
        </is>
      </c>
      <c r="H153" t="n">
        <v>27610</v>
      </c>
      <c r="I153" t="n">
        <v>60000</v>
      </c>
      <c r="J153" t="n">
        <v>60000</v>
      </c>
      <c r="K153" t="inlineStr">
        <is>
          <t>Baseline</t>
        </is>
      </c>
      <c r="L153" t="n">
        <v>0</v>
      </c>
      <c r="M153" t="n">
        <v>0</v>
      </c>
      <c r="N153" t="n">
        <v>0</v>
      </c>
      <c r="O153" t="inlineStr">
        <is>
          <t>NA</t>
        </is>
      </c>
      <c r="P153">
        <f>UPPER(TRIM(B153))</f>
        <v/>
      </c>
      <c r="Q153">
        <f>IFERROR(INDEX(SessionLog!$A$2:$A$26,MATCH(P153,SessionLog!$N$2:$N$26,0)),"NOT FOUND")</f>
        <v/>
      </c>
      <c r="R153">
        <f>IFERROR(INDEX(SessionLog!$L$2:$L$26,MATCH(P153,SessionLog!$N$2:$N$26,0)),"NOT FOUND")</f>
        <v/>
      </c>
      <c r="S153">
        <f>IF(R153="Yes",Q153&amp;"|"&amp;F153&amp;"|"&amp;G153&amp;"|"&amp;K153,"DROP")</f>
        <v/>
      </c>
      <c r="T153" s="4">
        <f>IF(I153&gt;0,J153/I153,0)</f>
        <v/>
      </c>
      <c r="U153">
        <f>IF(T153&gt;=0.8,1,0)</f>
        <v/>
      </c>
    </row>
    <row r="154">
      <c r="A154" t="inlineStr">
        <is>
          <t>SIMULATED Multimodal Ad Study</t>
        </is>
      </c>
      <c r="B154" t="inlineStr">
        <is>
          <t>P22</t>
        </is>
      </c>
      <c r="C154" t="inlineStr">
        <is>
          <t>OTHER</t>
        </is>
      </c>
      <c r="D154" t="n">
        <v>0</v>
      </c>
      <c r="E154" t="inlineStr">
        <is>
          <t>Default</t>
        </is>
      </c>
      <c r="F154" t="inlineStr">
        <is>
          <t>Stimulus</t>
        </is>
      </c>
      <c r="G154" t="inlineStr">
        <is>
          <t>Instructions</t>
        </is>
      </c>
      <c r="H154" t="n">
        <v>38</v>
      </c>
      <c r="I154" t="n">
        <v>27519</v>
      </c>
      <c r="J154" t="n">
        <v>27519</v>
      </c>
      <c r="K154" t="inlineStr">
        <is>
          <t>Instructions</t>
        </is>
      </c>
      <c r="L154" t="n">
        <v>1</v>
      </c>
      <c r="M154" t="n">
        <v>4</v>
      </c>
      <c r="N154" t="n">
        <v>8.721</v>
      </c>
      <c r="O154" t="n">
        <v>0.1361</v>
      </c>
      <c r="P154">
        <f>UPPER(TRIM(B154))</f>
        <v/>
      </c>
      <c r="Q154">
        <f>IFERROR(INDEX(SessionLog!$A$2:$A$26,MATCH(P154,SessionLog!$N$2:$N$26,0)),"NOT FOUND")</f>
        <v/>
      </c>
      <c r="R154">
        <f>IFERROR(INDEX(SessionLog!$L$2:$L$26,MATCH(P154,SessionLog!$N$2:$N$26,0)),"NOT FOUND")</f>
        <v/>
      </c>
      <c r="S154">
        <f>IF(R154="Yes",Q154&amp;"|"&amp;F154&amp;"|"&amp;G154&amp;"|"&amp;K154,"DROP")</f>
        <v/>
      </c>
      <c r="T154" s="4">
        <f>IF(I154&gt;0,J154/I154,0)</f>
        <v/>
      </c>
      <c r="U154">
        <f>IF(T154&gt;=0.8,1,0)</f>
        <v/>
      </c>
    </row>
    <row r="155">
      <c r="A155" t="inlineStr">
        <is>
          <t>SIMULATED Multimodal Ad Study</t>
        </is>
      </c>
      <c r="B155" t="inlineStr">
        <is>
          <t>P22</t>
        </is>
      </c>
      <c r="C155" t="inlineStr">
        <is>
          <t>OTHER</t>
        </is>
      </c>
      <c r="D155" t="n">
        <v>0</v>
      </c>
      <c r="E155" t="inlineStr">
        <is>
          <t>Default</t>
        </is>
      </c>
      <c r="F155" t="inlineStr">
        <is>
          <t>Stimulus</t>
        </is>
      </c>
      <c r="G155" t="inlineStr">
        <is>
          <t>Questionnaire</t>
        </is>
      </c>
      <c r="H155" t="n">
        <v>147795</v>
      </c>
      <c r="I155" t="n">
        <v>133675</v>
      </c>
      <c r="J155" t="n">
        <v>133675</v>
      </c>
      <c r="K155" t="inlineStr">
        <is>
          <t>Questionnaire</t>
        </is>
      </c>
      <c r="L155" t="n">
        <v>1</v>
      </c>
      <c r="M155" t="n">
        <v>6</v>
      </c>
      <c r="N155" t="n">
        <v>2.693</v>
      </c>
      <c r="O155" t="n">
        <v>0.1546</v>
      </c>
      <c r="P155">
        <f>UPPER(TRIM(B155))</f>
        <v/>
      </c>
      <c r="Q155">
        <f>IFERROR(INDEX(SessionLog!$A$2:$A$26,MATCH(P155,SessionLog!$N$2:$N$26,0)),"NOT FOUND")</f>
        <v/>
      </c>
      <c r="R155">
        <f>IFERROR(INDEX(SessionLog!$L$2:$L$26,MATCH(P155,SessionLog!$N$2:$N$26,0)),"NOT FOUND")</f>
        <v/>
      </c>
      <c r="S155">
        <f>IF(R155="Yes",Q155&amp;"|"&amp;F155&amp;"|"&amp;G155&amp;"|"&amp;K155,"DROP")</f>
        <v/>
      </c>
      <c r="T155" s="4">
        <f>IF(I155&gt;0,J155/I155,0)</f>
        <v/>
      </c>
      <c r="U155">
        <f>IF(T155&gt;=0.8,1,0)</f>
        <v/>
      </c>
    </row>
    <row r="156">
      <c r="A156" t="inlineStr">
        <is>
          <t>SIMULATED Multimodal Ad Study</t>
        </is>
      </c>
      <c r="B156" t="inlineStr">
        <is>
          <t>P22</t>
        </is>
      </c>
      <c r="C156" t="inlineStr">
        <is>
          <t>OTHER</t>
        </is>
      </c>
      <c r="D156" t="n">
        <v>0</v>
      </c>
      <c r="E156" t="inlineStr">
        <is>
          <t>Default</t>
        </is>
      </c>
      <c r="F156" t="inlineStr">
        <is>
          <t>Annotation</t>
        </is>
      </c>
      <c r="G156" t="inlineStr">
        <is>
          <t>EndCard</t>
        </is>
      </c>
      <c r="H156" t="n">
        <v>142743</v>
      </c>
      <c r="I156" t="n">
        <v>5000</v>
      </c>
      <c r="J156" t="n">
        <v>5000</v>
      </c>
      <c r="K156" t="inlineStr">
        <is>
          <t>Ad_A</t>
        </is>
      </c>
      <c r="L156" t="n">
        <v>0</v>
      </c>
      <c r="M156" t="n">
        <v>0</v>
      </c>
      <c r="N156" t="n">
        <v>0</v>
      </c>
      <c r="O156" t="inlineStr">
        <is>
          <t>NA</t>
        </is>
      </c>
      <c r="P156">
        <f>UPPER(TRIM(B156))</f>
        <v/>
      </c>
      <c r="Q156">
        <f>IFERROR(INDEX(SessionLog!$A$2:$A$26,MATCH(P156,SessionLog!$N$2:$N$26,0)),"NOT FOUND")</f>
        <v/>
      </c>
      <c r="R156">
        <f>IFERROR(INDEX(SessionLog!$L$2:$L$26,MATCH(P156,SessionLog!$N$2:$N$26,0)),"NOT FOUND")</f>
        <v/>
      </c>
      <c r="S156">
        <f>IF(R156="Yes",Q156&amp;"|"&amp;F156&amp;"|"&amp;G156&amp;"|"&amp;K156,"DROP")</f>
        <v/>
      </c>
      <c r="T156" s="4">
        <f>IF(I156&gt;0,J156/I156,0)</f>
        <v/>
      </c>
      <c r="U156">
        <f>IF(T156&gt;=0.8,1,0)</f>
        <v/>
      </c>
    </row>
    <row r="157">
      <c r="A157" t="inlineStr">
        <is>
          <t>SIMULATED Multimodal Ad Study</t>
        </is>
      </c>
      <c r="B157" t="inlineStr">
        <is>
          <t>P22</t>
        </is>
      </c>
      <c r="C157" t="inlineStr">
        <is>
          <t>OTHER</t>
        </is>
      </c>
      <c r="D157" t="n">
        <v>0</v>
      </c>
      <c r="E157" t="inlineStr">
        <is>
          <t>Default</t>
        </is>
      </c>
      <c r="F157" t="inlineStr">
        <is>
          <t>Annotation</t>
        </is>
      </c>
      <c r="G157" t="inlineStr">
        <is>
          <t>EndCard</t>
        </is>
      </c>
      <c r="H157" t="n">
        <v>112689</v>
      </c>
      <c r="I157" t="n">
        <v>5000</v>
      </c>
      <c r="J157" t="n">
        <v>5000</v>
      </c>
      <c r="K157" t="inlineStr">
        <is>
          <t>Ad_B</t>
        </is>
      </c>
      <c r="L157" t="n">
        <v>0</v>
      </c>
      <c r="M157" t="n">
        <v>0</v>
      </c>
      <c r="N157" t="n">
        <v>0</v>
      </c>
      <c r="O157" t="inlineStr">
        <is>
          <t>NA</t>
        </is>
      </c>
      <c r="P157">
        <f>UPPER(TRIM(B157))</f>
        <v/>
      </c>
      <c r="Q157">
        <f>IFERROR(INDEX(SessionLog!$A$2:$A$26,MATCH(P157,SessionLog!$N$2:$N$26,0)),"NOT FOUND")</f>
        <v/>
      </c>
      <c r="R157">
        <f>IFERROR(INDEX(SessionLog!$L$2:$L$26,MATCH(P157,SessionLog!$N$2:$N$26,0)),"NOT FOUND")</f>
        <v/>
      </c>
      <c r="S157">
        <f>IF(R157="Yes",Q157&amp;"|"&amp;F157&amp;"|"&amp;G157&amp;"|"&amp;K157,"DROP")</f>
        <v/>
      </c>
      <c r="T157" s="4">
        <f>IF(I157&gt;0,J157/I157,0)</f>
        <v/>
      </c>
      <c r="U157">
        <f>IF(T157&gt;=0.8,1,0)</f>
        <v/>
      </c>
    </row>
    <row r="158">
      <c r="A158" t="inlineStr">
        <is>
          <t>SIMULATED Multimodal Ad Study</t>
        </is>
      </c>
      <c r="B158" t="inlineStr">
        <is>
          <t>P23</t>
        </is>
      </c>
      <c r="C158" t="inlineStr">
        <is>
          <t>MALE</t>
        </is>
      </c>
      <c r="D158" t="n">
        <v>20</v>
      </c>
      <c r="E158" t="inlineStr">
        <is>
          <t>AB</t>
        </is>
      </c>
      <c r="F158" t="inlineStr">
        <is>
          <t>Stimulus</t>
        </is>
      </c>
      <c r="G158" t="inlineStr">
        <is>
          <t>Ad_A</t>
        </is>
      </c>
      <c r="H158" t="n">
        <v>80189</v>
      </c>
      <c r="I158" t="n">
        <v>30000</v>
      </c>
      <c r="J158" t="n">
        <v>30000</v>
      </c>
      <c r="K158" t="inlineStr">
        <is>
          <t>Ad_A</t>
        </is>
      </c>
      <c r="L158" t="n">
        <v>1</v>
      </c>
      <c r="M158" t="n">
        <v>1</v>
      </c>
      <c r="N158" t="n">
        <v>2</v>
      </c>
      <c r="O158" t="n">
        <v>0.1294</v>
      </c>
      <c r="P158">
        <f>UPPER(TRIM(B158))</f>
        <v/>
      </c>
      <c r="Q158">
        <f>IFERROR(INDEX(SessionLog!$A$2:$A$26,MATCH(P158,SessionLog!$N$2:$N$26,0)),"NOT FOUND")</f>
        <v/>
      </c>
      <c r="R158">
        <f>IFERROR(INDEX(SessionLog!$L$2:$L$26,MATCH(P158,SessionLog!$N$2:$N$26,0)),"NOT FOUND")</f>
        <v/>
      </c>
      <c r="S158">
        <f>IF(R158="Yes",Q158&amp;"|"&amp;F158&amp;"|"&amp;G158&amp;"|"&amp;K158,"DROP")</f>
        <v/>
      </c>
      <c r="T158" s="4">
        <f>IF(I158&gt;0,J158/I158,0)</f>
        <v/>
      </c>
      <c r="U158">
        <f>IF(T158&gt;=0.8,1,0)</f>
        <v/>
      </c>
    </row>
    <row r="159">
      <c r="A159" t="inlineStr">
        <is>
          <t>SIMULATED Multimodal Ad Study</t>
        </is>
      </c>
      <c r="B159" t="inlineStr">
        <is>
          <t>P23</t>
        </is>
      </c>
      <c r="C159" t="inlineStr">
        <is>
          <t>MALE</t>
        </is>
      </c>
      <c r="D159" t="n">
        <v>20</v>
      </c>
      <c r="E159" t="inlineStr">
        <is>
          <t>AB</t>
        </is>
      </c>
      <c r="F159" t="inlineStr">
        <is>
          <t>Stimulus</t>
        </is>
      </c>
      <c r="G159" t="inlineStr">
        <is>
          <t>Ad_B</t>
        </is>
      </c>
      <c r="H159" t="n">
        <v>110246</v>
      </c>
      <c r="I159" t="n">
        <v>30000</v>
      </c>
      <c r="J159" t="n">
        <v>30000</v>
      </c>
      <c r="K159" t="inlineStr">
        <is>
          <t>Ad_B</t>
        </is>
      </c>
      <c r="L159" t="n">
        <v>1</v>
      </c>
      <c r="M159" t="n">
        <v>2</v>
      </c>
      <c r="N159" t="n">
        <v>4</v>
      </c>
      <c r="O159" t="n">
        <v>0.1774</v>
      </c>
      <c r="P159">
        <f>UPPER(TRIM(B159))</f>
        <v/>
      </c>
      <c r="Q159">
        <f>IFERROR(INDEX(SessionLog!$A$2:$A$26,MATCH(P159,SessionLog!$N$2:$N$26,0)),"NOT FOUND")</f>
        <v/>
      </c>
      <c r="R159">
        <f>IFERROR(INDEX(SessionLog!$L$2:$L$26,MATCH(P159,SessionLog!$N$2:$N$26,0)),"NOT FOUND")</f>
        <v/>
      </c>
      <c r="S159">
        <f>IF(R159="Yes",Q159&amp;"|"&amp;F159&amp;"|"&amp;G159&amp;"|"&amp;K159,"DROP")</f>
        <v/>
      </c>
      <c r="T159" s="4">
        <f>IF(I159&gt;0,J159/I159,0)</f>
        <v/>
      </c>
      <c r="U159">
        <f>IF(T159&gt;=0.8,1,0)</f>
        <v/>
      </c>
    </row>
    <row r="160">
      <c r="A160" t="inlineStr">
        <is>
          <t>SIMULATED Multimodal Ad Study</t>
        </is>
      </c>
      <c r="B160" t="inlineStr">
        <is>
          <t>P23</t>
        </is>
      </c>
      <c r="C160" t="inlineStr">
        <is>
          <t>MALE</t>
        </is>
      </c>
      <c r="D160" t="n">
        <v>20</v>
      </c>
      <c r="E160" t="inlineStr">
        <is>
          <t>AB</t>
        </is>
      </c>
      <c r="F160" t="inlineStr">
        <is>
          <t>Stimulus</t>
        </is>
      </c>
      <c r="G160" t="inlineStr">
        <is>
          <t>Baseline</t>
        </is>
      </c>
      <c r="H160" t="n">
        <v>20114</v>
      </c>
      <c r="I160" t="n">
        <v>60000</v>
      </c>
      <c r="J160" t="n">
        <v>60000</v>
      </c>
      <c r="K160" t="inlineStr">
        <is>
          <t>Baseline</t>
        </is>
      </c>
      <c r="L160" t="n">
        <v>0</v>
      </c>
      <c r="M160" t="n">
        <v>0</v>
      </c>
      <c r="N160" t="n">
        <v>0</v>
      </c>
      <c r="O160" t="inlineStr">
        <is>
          <t>NA</t>
        </is>
      </c>
      <c r="P160">
        <f>UPPER(TRIM(B160))</f>
        <v/>
      </c>
      <c r="Q160">
        <f>IFERROR(INDEX(SessionLog!$A$2:$A$26,MATCH(P160,SessionLog!$N$2:$N$26,0)),"NOT FOUND")</f>
        <v/>
      </c>
      <c r="R160">
        <f>IFERROR(INDEX(SessionLog!$L$2:$L$26,MATCH(P160,SessionLog!$N$2:$N$26,0)),"NOT FOUND")</f>
        <v/>
      </c>
      <c r="S160">
        <f>IF(R160="Yes",Q160&amp;"|"&amp;F160&amp;"|"&amp;G160&amp;"|"&amp;K160,"DROP")</f>
        <v/>
      </c>
      <c r="T160" s="4">
        <f>IF(I160&gt;0,J160/I160,0)</f>
        <v/>
      </c>
      <c r="U160">
        <f>IF(T160&gt;=0.8,1,0)</f>
        <v/>
      </c>
    </row>
    <row r="161">
      <c r="A161" t="inlineStr">
        <is>
          <t>SIMULATED Multimodal Ad Study</t>
        </is>
      </c>
      <c r="B161" t="inlineStr">
        <is>
          <t>P23</t>
        </is>
      </c>
      <c r="C161" t="inlineStr">
        <is>
          <t>MALE</t>
        </is>
      </c>
      <c r="D161" t="n">
        <v>20</v>
      </c>
      <c r="E161" t="inlineStr">
        <is>
          <t>AB</t>
        </is>
      </c>
      <c r="F161" t="inlineStr">
        <is>
          <t>Stimulus</t>
        </is>
      </c>
      <c r="G161" t="inlineStr">
        <is>
          <t>Instructions</t>
        </is>
      </c>
      <c r="H161" t="n">
        <v>16</v>
      </c>
      <c r="I161" t="n">
        <v>20055</v>
      </c>
      <c r="J161" t="n">
        <v>20055</v>
      </c>
      <c r="K161" t="inlineStr">
        <is>
          <t>Instructions</t>
        </is>
      </c>
      <c r="L161" t="n">
        <v>0</v>
      </c>
      <c r="M161" t="n">
        <v>0</v>
      </c>
      <c r="N161" t="n">
        <v>0</v>
      </c>
      <c r="O161" t="inlineStr">
        <is>
          <t>NA</t>
        </is>
      </c>
      <c r="P161">
        <f>UPPER(TRIM(B161))</f>
        <v/>
      </c>
      <c r="Q161">
        <f>IFERROR(INDEX(SessionLog!$A$2:$A$26,MATCH(P161,SessionLog!$N$2:$N$26,0)),"NOT FOUND")</f>
        <v/>
      </c>
      <c r="R161">
        <f>IFERROR(INDEX(SessionLog!$L$2:$L$26,MATCH(P161,SessionLog!$N$2:$N$26,0)),"NOT FOUND")</f>
        <v/>
      </c>
      <c r="S161">
        <f>IF(R161="Yes",Q161&amp;"|"&amp;F161&amp;"|"&amp;G161&amp;"|"&amp;K161,"DROP")</f>
        <v/>
      </c>
      <c r="T161" s="4">
        <f>IF(I161&gt;0,J161/I161,0)</f>
        <v/>
      </c>
      <c r="U161">
        <f>IF(T161&gt;=0.8,1,0)</f>
        <v/>
      </c>
    </row>
    <row r="162">
      <c r="A162" t="inlineStr">
        <is>
          <t>SIMULATED Multimodal Ad Study</t>
        </is>
      </c>
      <c r="B162" t="inlineStr">
        <is>
          <t>P23</t>
        </is>
      </c>
      <c r="C162" t="inlineStr">
        <is>
          <t>MALE</t>
        </is>
      </c>
      <c r="D162" t="n">
        <v>20</v>
      </c>
      <c r="E162" t="inlineStr">
        <is>
          <t>AB</t>
        </is>
      </c>
      <c r="F162" t="inlineStr">
        <is>
          <t>Stimulus</t>
        </is>
      </c>
      <c r="G162" t="inlineStr">
        <is>
          <t>Questionnaire</t>
        </is>
      </c>
      <c r="H162" t="n">
        <v>140298</v>
      </c>
      <c r="I162" t="n">
        <v>71906</v>
      </c>
      <c r="J162" t="n">
        <v>71906</v>
      </c>
      <c r="K162" t="inlineStr">
        <is>
          <t>Questionnaire</t>
        </is>
      </c>
      <c r="L162" t="n">
        <v>1</v>
      </c>
      <c r="M162" t="n">
        <v>2</v>
      </c>
      <c r="N162" t="n">
        <v>1.669</v>
      </c>
      <c r="O162" t="n">
        <v>0.1342</v>
      </c>
      <c r="P162">
        <f>UPPER(TRIM(B162))</f>
        <v/>
      </c>
      <c r="Q162">
        <f>IFERROR(INDEX(SessionLog!$A$2:$A$26,MATCH(P162,SessionLog!$N$2:$N$26,0)),"NOT FOUND")</f>
        <v/>
      </c>
      <c r="R162">
        <f>IFERROR(INDEX(SessionLog!$L$2:$L$26,MATCH(P162,SessionLog!$N$2:$N$26,0)),"NOT FOUND")</f>
        <v/>
      </c>
      <c r="S162">
        <f>IF(R162="Yes",Q162&amp;"|"&amp;F162&amp;"|"&amp;G162&amp;"|"&amp;K162,"DROP")</f>
        <v/>
      </c>
      <c r="T162" s="4">
        <f>IF(I162&gt;0,J162/I162,0)</f>
        <v/>
      </c>
      <c r="U162">
        <f>IF(T162&gt;=0.8,1,0)</f>
        <v/>
      </c>
    </row>
    <row r="163">
      <c r="A163" t="inlineStr">
        <is>
          <t>SIMULATED Multimodal Ad Study</t>
        </is>
      </c>
      <c r="B163" t="inlineStr">
        <is>
          <t>P23</t>
        </is>
      </c>
      <c r="C163" t="inlineStr">
        <is>
          <t>MALE</t>
        </is>
      </c>
      <c r="D163" t="n">
        <v>20</v>
      </c>
      <c r="E163" t="inlineStr">
        <is>
          <t>AB</t>
        </is>
      </c>
      <c r="F163" t="inlineStr">
        <is>
          <t>Annotation</t>
        </is>
      </c>
      <c r="G163" t="inlineStr">
        <is>
          <t>EndCard</t>
        </is>
      </c>
      <c r="H163" t="n">
        <v>105189</v>
      </c>
      <c r="I163" t="n">
        <v>5000</v>
      </c>
      <c r="J163" t="n">
        <v>5000</v>
      </c>
      <c r="K163" t="inlineStr">
        <is>
          <t>Ad_A</t>
        </is>
      </c>
      <c r="L163" t="n">
        <v>1</v>
      </c>
      <c r="M163" t="n">
        <v>1</v>
      </c>
      <c r="N163" t="n">
        <v>12</v>
      </c>
      <c r="O163" t="n">
        <v>0.1294</v>
      </c>
      <c r="P163">
        <f>UPPER(TRIM(B163))</f>
        <v/>
      </c>
      <c r="Q163">
        <f>IFERROR(INDEX(SessionLog!$A$2:$A$26,MATCH(P163,SessionLog!$N$2:$N$26,0)),"NOT FOUND")</f>
        <v/>
      </c>
      <c r="R163">
        <f>IFERROR(INDEX(SessionLog!$L$2:$L$26,MATCH(P163,SessionLog!$N$2:$N$26,0)),"NOT FOUND")</f>
        <v/>
      </c>
      <c r="S163">
        <f>IF(R163="Yes",Q163&amp;"|"&amp;F163&amp;"|"&amp;G163&amp;"|"&amp;K163,"DROP")</f>
        <v/>
      </c>
      <c r="T163" s="4">
        <f>IF(I163&gt;0,J163/I163,0)</f>
        <v/>
      </c>
      <c r="U163">
        <f>IF(T163&gt;=0.8,1,0)</f>
        <v/>
      </c>
    </row>
    <row r="164">
      <c r="A164" t="inlineStr">
        <is>
          <t>SIMULATED Multimodal Ad Study</t>
        </is>
      </c>
      <c r="B164" t="inlineStr">
        <is>
          <t>P23</t>
        </is>
      </c>
      <c r="C164" t="inlineStr">
        <is>
          <t>MALE</t>
        </is>
      </c>
      <c r="D164" t="n">
        <v>20</v>
      </c>
      <c r="E164" t="inlineStr">
        <is>
          <t>AB</t>
        </is>
      </c>
      <c r="F164" t="inlineStr">
        <is>
          <t>Annotation</t>
        </is>
      </c>
      <c r="G164" t="inlineStr">
        <is>
          <t>EndCard</t>
        </is>
      </c>
      <c r="H164" t="n">
        <v>135246</v>
      </c>
      <c r="I164" t="n">
        <v>5000</v>
      </c>
      <c r="J164" t="n">
        <v>5000</v>
      </c>
      <c r="K164" t="inlineStr">
        <is>
          <t>Ad_B</t>
        </is>
      </c>
      <c r="L164" t="n">
        <v>0</v>
      </c>
      <c r="M164" t="n">
        <v>0</v>
      </c>
      <c r="N164" t="n">
        <v>0</v>
      </c>
      <c r="O164" t="inlineStr">
        <is>
          <t>NA</t>
        </is>
      </c>
      <c r="P164">
        <f>UPPER(TRIM(B164))</f>
        <v/>
      </c>
      <c r="Q164">
        <f>IFERROR(INDEX(SessionLog!$A$2:$A$26,MATCH(P164,SessionLog!$N$2:$N$26,0)),"NOT FOUND")</f>
        <v/>
      </c>
      <c r="R164">
        <f>IFERROR(INDEX(SessionLog!$L$2:$L$26,MATCH(P164,SessionLog!$N$2:$N$26,0)),"NOT FOUND")</f>
        <v/>
      </c>
      <c r="S164">
        <f>IF(R164="Yes",Q164&amp;"|"&amp;F164&amp;"|"&amp;G164&amp;"|"&amp;K164,"DROP")</f>
        <v/>
      </c>
      <c r="T164" s="4">
        <f>IF(I164&gt;0,J164/I164,0)</f>
        <v/>
      </c>
      <c r="U164">
        <f>IF(T164&gt;=0.8,1,0)</f>
        <v/>
      </c>
    </row>
    <row r="165">
      <c r="A165" t="inlineStr">
        <is>
          <t>SIMULATED Multimodal Ad Study</t>
        </is>
      </c>
      <c r="B165" t="inlineStr">
        <is>
          <t>P24</t>
        </is>
      </c>
      <c r="C165" t="inlineStr">
        <is>
          <t>FEMALE</t>
        </is>
      </c>
      <c r="D165" t="n">
        <v>19</v>
      </c>
      <c r="E165" t="inlineStr">
        <is>
          <t>BA</t>
        </is>
      </c>
      <c r="F165" t="inlineStr">
        <is>
          <t>Stimulus</t>
        </is>
      </c>
      <c r="G165" t="inlineStr">
        <is>
          <t>Ad_A</t>
        </is>
      </c>
      <c r="H165" t="n">
        <v>116348</v>
      </c>
      <c r="I165" t="n">
        <v>30000</v>
      </c>
      <c r="J165" t="n">
        <v>30000</v>
      </c>
      <c r="K165" t="inlineStr">
        <is>
          <t>Ad_A</t>
        </is>
      </c>
      <c r="L165" t="n">
        <v>1</v>
      </c>
      <c r="M165" t="n">
        <v>1</v>
      </c>
      <c r="N165" t="n">
        <v>2</v>
      </c>
      <c r="O165" t="n">
        <v>0.1122</v>
      </c>
      <c r="P165">
        <f>UPPER(TRIM(B165))</f>
        <v/>
      </c>
      <c r="Q165">
        <f>IFERROR(INDEX(SessionLog!$A$2:$A$26,MATCH(P165,SessionLog!$N$2:$N$26,0)),"NOT FOUND")</f>
        <v/>
      </c>
      <c r="R165">
        <f>IFERROR(INDEX(SessionLog!$L$2:$L$26,MATCH(P165,SessionLog!$N$2:$N$26,0)),"NOT FOUND")</f>
        <v/>
      </c>
      <c r="S165">
        <f>IF(R165="Yes",Q165&amp;"|"&amp;F165&amp;"|"&amp;G165&amp;"|"&amp;K165,"DROP")</f>
        <v/>
      </c>
      <c r="T165" s="4">
        <f>IF(I165&gt;0,J165/I165,0)</f>
        <v/>
      </c>
      <c r="U165">
        <f>IF(T165&gt;=0.8,1,0)</f>
        <v/>
      </c>
    </row>
    <row r="166">
      <c r="A166" t="inlineStr">
        <is>
          <t>SIMULATED Multimodal Ad Study</t>
        </is>
      </c>
      <c r="B166" t="inlineStr">
        <is>
          <t>P24</t>
        </is>
      </c>
      <c r="C166" t="inlineStr">
        <is>
          <t>FEMALE</t>
        </is>
      </c>
      <c r="D166" t="n">
        <v>19</v>
      </c>
      <c r="E166" t="inlineStr">
        <is>
          <t>BA</t>
        </is>
      </c>
      <c r="F166" t="inlineStr">
        <is>
          <t>Stimulus</t>
        </is>
      </c>
      <c r="G166" t="inlineStr">
        <is>
          <t>Ad_B</t>
        </is>
      </c>
      <c r="H166" t="n">
        <v>86268</v>
      </c>
      <c r="I166" t="n">
        <v>30000</v>
      </c>
      <c r="J166" t="n">
        <v>30000</v>
      </c>
      <c r="K166" t="inlineStr">
        <is>
          <t>Ad_B</t>
        </is>
      </c>
      <c r="L166" t="n">
        <v>0</v>
      </c>
      <c r="M166" t="n">
        <v>0</v>
      </c>
      <c r="N166" t="n">
        <v>0</v>
      </c>
      <c r="O166" t="inlineStr">
        <is>
          <t>NA</t>
        </is>
      </c>
      <c r="P166">
        <f>UPPER(TRIM(B166))</f>
        <v/>
      </c>
      <c r="Q166">
        <f>IFERROR(INDEX(SessionLog!$A$2:$A$26,MATCH(P166,SessionLog!$N$2:$N$26,0)),"NOT FOUND")</f>
        <v/>
      </c>
      <c r="R166">
        <f>IFERROR(INDEX(SessionLog!$L$2:$L$26,MATCH(P166,SessionLog!$N$2:$N$26,0)),"NOT FOUND")</f>
        <v/>
      </c>
      <c r="S166">
        <f>IF(R166="Yes",Q166&amp;"|"&amp;F166&amp;"|"&amp;G166&amp;"|"&amp;K166,"DROP")</f>
        <v/>
      </c>
      <c r="T166" s="4">
        <f>IF(I166&gt;0,J166/I166,0)</f>
        <v/>
      </c>
      <c r="U166">
        <f>IF(T166&gt;=0.8,1,0)</f>
        <v/>
      </c>
    </row>
    <row r="167">
      <c r="A167" t="inlineStr">
        <is>
          <t>SIMULATED Multimodal Ad Study</t>
        </is>
      </c>
      <c r="B167" t="inlineStr">
        <is>
          <t>P24</t>
        </is>
      </c>
      <c r="C167" t="inlineStr">
        <is>
          <t>FEMALE</t>
        </is>
      </c>
      <c r="D167" t="n">
        <v>19</v>
      </c>
      <c r="E167" t="inlineStr">
        <is>
          <t>BA</t>
        </is>
      </c>
      <c r="F167" t="inlineStr">
        <is>
          <t>Stimulus</t>
        </is>
      </c>
      <c r="G167" t="inlineStr">
        <is>
          <t>Baseline</t>
        </is>
      </c>
      <c r="H167" t="n">
        <v>26180</v>
      </c>
      <c r="I167" t="n">
        <v>60000</v>
      </c>
      <c r="J167" t="n">
        <v>60000</v>
      </c>
      <c r="K167" t="inlineStr">
        <is>
          <t>Baseline</t>
        </is>
      </c>
      <c r="L167" t="n">
        <v>1</v>
      </c>
      <c r="M167" t="n">
        <v>2</v>
      </c>
      <c r="N167" t="n">
        <v>2</v>
      </c>
      <c r="O167" t="n">
        <v>0.0663</v>
      </c>
      <c r="P167">
        <f>UPPER(TRIM(B167))</f>
        <v/>
      </c>
      <c r="Q167">
        <f>IFERROR(INDEX(SessionLog!$A$2:$A$26,MATCH(P167,SessionLog!$N$2:$N$26,0)),"NOT FOUND")</f>
        <v/>
      </c>
      <c r="R167">
        <f>IFERROR(INDEX(SessionLog!$L$2:$L$26,MATCH(P167,SessionLog!$N$2:$N$26,0)),"NOT FOUND")</f>
        <v/>
      </c>
      <c r="S167">
        <f>IF(R167="Yes",Q167&amp;"|"&amp;F167&amp;"|"&amp;G167&amp;"|"&amp;K167,"DROP")</f>
        <v/>
      </c>
      <c r="T167" s="4">
        <f>IF(I167&gt;0,J167/I167,0)</f>
        <v/>
      </c>
      <c r="U167">
        <f>IF(T167&gt;=0.8,1,0)</f>
        <v/>
      </c>
    </row>
    <row r="168">
      <c r="A168" t="inlineStr">
        <is>
          <t>SIMULATED Multimodal Ad Study</t>
        </is>
      </c>
      <c r="B168" t="inlineStr">
        <is>
          <t>P24</t>
        </is>
      </c>
      <c r="C168" t="inlineStr">
        <is>
          <t>FEMALE</t>
        </is>
      </c>
      <c r="D168" t="n">
        <v>19</v>
      </c>
      <c r="E168" t="inlineStr">
        <is>
          <t>BA</t>
        </is>
      </c>
      <c r="F168" t="inlineStr">
        <is>
          <t>Stimulus</t>
        </is>
      </c>
      <c r="G168" t="inlineStr">
        <is>
          <t>Instructions</t>
        </is>
      </c>
      <c r="H168" t="n">
        <v>19</v>
      </c>
      <c r="I168" t="n">
        <v>26130</v>
      </c>
      <c r="J168" t="n">
        <v>26130</v>
      </c>
      <c r="K168" t="inlineStr">
        <is>
          <t>Instructions</t>
        </is>
      </c>
      <c r="L168" t="n">
        <v>0</v>
      </c>
      <c r="M168" t="n">
        <v>0</v>
      </c>
      <c r="N168" t="n">
        <v>0</v>
      </c>
      <c r="O168" t="inlineStr">
        <is>
          <t>NA</t>
        </is>
      </c>
      <c r="P168">
        <f>UPPER(TRIM(B168))</f>
        <v/>
      </c>
      <c r="Q168">
        <f>IFERROR(INDEX(SessionLog!$A$2:$A$26,MATCH(P168,SessionLog!$N$2:$N$26,0)),"NOT FOUND")</f>
        <v/>
      </c>
      <c r="R168">
        <f>IFERROR(INDEX(SessionLog!$L$2:$L$26,MATCH(P168,SessionLog!$N$2:$N$26,0)),"NOT FOUND")</f>
        <v/>
      </c>
      <c r="S168">
        <f>IF(R168="Yes",Q168&amp;"|"&amp;F168&amp;"|"&amp;G168&amp;"|"&amp;K168,"DROP")</f>
        <v/>
      </c>
      <c r="T168" s="4">
        <f>IF(I168&gt;0,J168/I168,0)</f>
        <v/>
      </c>
      <c r="U168">
        <f>IF(T168&gt;=0.8,1,0)</f>
        <v/>
      </c>
    </row>
    <row r="169">
      <c r="A169" t="inlineStr">
        <is>
          <t>SIMULATED Multimodal Ad Study</t>
        </is>
      </c>
      <c r="B169" t="inlineStr">
        <is>
          <t>P24</t>
        </is>
      </c>
      <c r="C169" t="inlineStr">
        <is>
          <t>FEMALE</t>
        </is>
      </c>
      <c r="D169" t="n">
        <v>19</v>
      </c>
      <c r="E169" t="inlineStr">
        <is>
          <t>BA</t>
        </is>
      </c>
      <c r="F169" t="inlineStr">
        <is>
          <t>Stimulus</t>
        </is>
      </c>
      <c r="G169" t="inlineStr">
        <is>
          <t>Questionnaire</t>
        </is>
      </c>
      <c r="H169" t="n">
        <v>146391</v>
      </c>
      <c r="I169" t="n">
        <v>115087</v>
      </c>
      <c r="J169" t="n">
        <v>115087</v>
      </c>
      <c r="K169" t="inlineStr">
        <is>
          <t>Questionnaire</t>
        </is>
      </c>
      <c r="L169" t="n">
        <v>1</v>
      </c>
      <c r="M169" t="n">
        <v>3</v>
      </c>
      <c r="N169" t="n">
        <v>1.564</v>
      </c>
      <c r="O169" t="n">
        <v>0.0873</v>
      </c>
      <c r="P169">
        <f>UPPER(TRIM(B169))</f>
        <v/>
      </c>
      <c r="Q169">
        <f>IFERROR(INDEX(SessionLog!$A$2:$A$26,MATCH(P169,SessionLog!$N$2:$N$26,0)),"NOT FOUND")</f>
        <v/>
      </c>
      <c r="R169">
        <f>IFERROR(INDEX(SessionLog!$L$2:$L$26,MATCH(P169,SessionLog!$N$2:$N$26,0)),"NOT FOUND")</f>
        <v/>
      </c>
      <c r="S169">
        <f>IF(R169="Yes",Q169&amp;"|"&amp;F169&amp;"|"&amp;G169&amp;"|"&amp;K169,"DROP")</f>
        <v/>
      </c>
      <c r="T169" s="4">
        <f>IF(I169&gt;0,J169/I169,0)</f>
        <v/>
      </c>
      <c r="U169">
        <f>IF(T169&gt;=0.8,1,0)</f>
        <v/>
      </c>
    </row>
    <row r="170">
      <c r="A170" t="inlineStr">
        <is>
          <t>SIMULATED Multimodal Ad Study</t>
        </is>
      </c>
      <c r="B170" t="inlineStr">
        <is>
          <t>P24</t>
        </is>
      </c>
      <c r="C170" t="inlineStr">
        <is>
          <t>FEMALE</t>
        </is>
      </c>
      <c r="D170" t="n">
        <v>19</v>
      </c>
      <c r="E170" t="inlineStr">
        <is>
          <t>BA</t>
        </is>
      </c>
      <c r="F170" t="inlineStr">
        <is>
          <t>Annotation</t>
        </is>
      </c>
      <c r="G170" t="inlineStr">
        <is>
          <t>EndCard</t>
        </is>
      </c>
      <c r="H170" t="n">
        <v>141348</v>
      </c>
      <c r="I170" t="n">
        <v>5000</v>
      </c>
      <c r="J170" t="n">
        <v>5000</v>
      </c>
      <c r="K170" t="inlineStr">
        <is>
          <t>Ad_A</t>
        </is>
      </c>
      <c r="L170" t="n">
        <v>0</v>
      </c>
      <c r="M170" t="n">
        <v>0</v>
      </c>
      <c r="N170" t="n">
        <v>0</v>
      </c>
      <c r="O170" t="inlineStr">
        <is>
          <t>NA</t>
        </is>
      </c>
      <c r="P170">
        <f>UPPER(TRIM(B170))</f>
        <v/>
      </c>
      <c r="Q170">
        <f>IFERROR(INDEX(SessionLog!$A$2:$A$26,MATCH(P170,SessionLog!$N$2:$N$26,0)),"NOT FOUND")</f>
        <v/>
      </c>
      <c r="R170">
        <f>IFERROR(INDEX(SessionLog!$L$2:$L$26,MATCH(P170,SessionLog!$N$2:$N$26,0)),"NOT FOUND")</f>
        <v/>
      </c>
      <c r="S170">
        <f>IF(R170="Yes",Q170&amp;"|"&amp;F170&amp;"|"&amp;G170&amp;"|"&amp;K170,"DROP")</f>
        <v/>
      </c>
      <c r="T170" s="4">
        <f>IF(I170&gt;0,J170/I170,0)</f>
        <v/>
      </c>
      <c r="U170">
        <f>IF(T170&gt;=0.8,1,0)</f>
        <v/>
      </c>
    </row>
    <row r="171">
      <c r="A171" t="inlineStr">
        <is>
          <t>SIMULATED Multimodal Ad Study</t>
        </is>
      </c>
      <c r="B171" t="inlineStr">
        <is>
          <t>P24</t>
        </is>
      </c>
      <c r="C171" t="inlineStr">
        <is>
          <t>FEMALE</t>
        </is>
      </c>
      <c r="D171" t="n">
        <v>19</v>
      </c>
      <c r="E171" t="inlineStr">
        <is>
          <t>BA</t>
        </is>
      </c>
      <c r="F171" t="inlineStr">
        <is>
          <t>Annotation</t>
        </is>
      </c>
      <c r="G171" t="inlineStr">
        <is>
          <t>EndCard</t>
        </is>
      </c>
      <c r="H171" t="n">
        <v>111268</v>
      </c>
      <c r="I171" t="n">
        <v>5000</v>
      </c>
      <c r="J171" t="n">
        <v>5000</v>
      </c>
      <c r="K171" t="inlineStr">
        <is>
          <t>Ad_B</t>
        </is>
      </c>
      <c r="L171" t="n">
        <v>0</v>
      </c>
      <c r="M171" t="n">
        <v>0</v>
      </c>
      <c r="N171" t="n">
        <v>0</v>
      </c>
      <c r="O171" t="inlineStr">
        <is>
          <t>NA</t>
        </is>
      </c>
      <c r="P171">
        <f>UPPER(TRIM(B171))</f>
        <v/>
      </c>
      <c r="Q171">
        <f>IFERROR(INDEX(SessionLog!$A$2:$A$26,MATCH(P171,SessionLog!$N$2:$N$26,0)),"NOT FOUND")</f>
        <v/>
      </c>
      <c r="R171">
        <f>IFERROR(INDEX(SessionLog!$L$2:$L$26,MATCH(P171,SessionLog!$N$2:$N$26,0)),"NOT FOUND")</f>
        <v/>
      </c>
      <c r="S171">
        <f>IF(R171="Yes",Q171&amp;"|"&amp;F171&amp;"|"&amp;G171&amp;"|"&amp;K171,"DROP")</f>
        <v/>
      </c>
      <c r="T171" s="4">
        <f>IF(I171&gt;0,J171/I171,0)</f>
        <v/>
      </c>
      <c r="U171">
        <f>IF(T171&gt;=0.8,1,0)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30" customWidth="1" min="31" max="31"/>
  </cols>
  <sheetData>
    <row r="1">
      <c r="A1" s="2" t="inlineStr">
        <is>
          <t>STUDY</t>
        </is>
      </c>
      <c r="B1" s="2" t="inlineStr">
        <is>
          <t>RESPONDENT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GROUP</t>
        </is>
      </c>
      <c r="F1" s="2" t="inlineStr">
        <is>
          <t>LABELID_Questionnaire_Liking_A,Question1 "How much did you like the hiking ad? (1 = not at all, 7 = very much)"</t>
        </is>
      </c>
      <c r="G1" s="2" t="inlineStr">
        <is>
          <t>LABELVALUE_Questionnaire_Liking_A,Question1 "How much did you like the hiking ad? (1 = not at all, 7 = very much)"</t>
        </is>
      </c>
      <c r="H1" s="2" t="inlineStr">
        <is>
          <t>LABELID_Questionnaire_Liking_B,Question1 "How much did you like the cycling ad? (1 = not at all, 7 = very much)"</t>
        </is>
      </c>
      <c r="I1" s="2" t="inlineStr">
        <is>
          <t>LABELVALUE_Questionnaire_Liking_B,Question1 "How much did you like the cycling ad? (1 = not at all, 7 = very much)"</t>
        </is>
      </c>
      <c r="J1" s="2" t="inlineStr">
        <is>
          <t>LABELID_Questionnaire_Recall_A,Question1 "Which brand was advertised in the hiking ad?"</t>
        </is>
      </c>
      <c r="K1" s="2" t="inlineStr">
        <is>
          <t>LABELVALUE_Questionnaire_Recall_A,Question1 "Which brand was advertised in the hiking ad?"</t>
        </is>
      </c>
      <c r="L1" s="2" t="inlineStr">
        <is>
          <t>LABELID_Questionnaire_Recall_B,Question1 "Which brand was advertised in the cycling ad?"</t>
        </is>
      </c>
      <c r="M1" s="2" t="inlineStr">
        <is>
          <t>LABELVALUE_Questionnaire_Recall_B,Question1 "Which brand was advertised in the cycling ad?"</t>
        </is>
      </c>
      <c r="N1" s="2" t="inlineStr">
        <is>
          <t>LABELID_Questionnaire_ATT_1,Question1 "I like reusable water bottles. (1 = strongly disagree, 7 = strongly agree)"</t>
        </is>
      </c>
      <c r="O1" s="2" t="inlineStr">
        <is>
          <t>LABELVALUE_Questionnaire_ATT_1,Question1 "I like reusable water bottles. (1 = strongly disagree, 7 = strongly agree)"</t>
        </is>
      </c>
      <c r="P1" s="2" t="inlineStr">
        <is>
          <t>LABELID_Questionnaire_ATT_2,Question1 "Buying a reusable water bottle is a smart choice. (1 = strongly disagree, 7 = strongly agree)"</t>
        </is>
      </c>
      <c r="Q1" s="2" t="inlineStr">
        <is>
          <t>LABELVALUE_Questionnaire_ATT_2,Question1 "Buying a reusable water bottle is a smart choice. (1 = strongly disagree, 7 = strongly agree)"</t>
        </is>
      </c>
      <c r="R1" s="2" t="inlineStr">
        <is>
          <t>LABELID_Questionnaire_ATT_3R,Question1 "Reusable water bottles are a waste of money. (1 = strongly disagree, 7 = strongly agree)"</t>
        </is>
      </c>
      <c r="S1" s="2" t="inlineStr">
        <is>
          <t>LABELVALUE_Questionnaire_ATT_3R,Question1 "Reusable water bottles are a waste of money. (1 = strongly disagree, 7 = strongly agree)"</t>
        </is>
      </c>
      <c r="T1" s="2" t="inlineStr">
        <is>
          <t>LABELID_Questionnaire_PI,Question1 "How likely are you to buy a reusable water bottle in the next three months? (1 = very unlikely, 7 = very likely)"</t>
        </is>
      </c>
      <c r="U1" s="2" t="inlineStr">
        <is>
          <t>LABELVALUE_Questionnaire_PI,Question1 "How likely are you to buy a reusable water bottle in the next three months? (1 = very unlikely, 7 = very likely)"</t>
        </is>
      </c>
      <c r="V1" s="3" t="inlineStr">
        <is>
          <t>Key = UPPER(TRIM())</t>
        </is>
      </c>
      <c r="W1" s="3" t="inlineStr">
        <is>
          <t>Participant</t>
        </is>
      </c>
      <c r="X1" s="3" t="inlineStr">
        <is>
          <t>Recall_A correct</t>
        </is>
      </c>
      <c r="Y1" s="3" t="inlineStr">
        <is>
          <t>Recall_B correct</t>
        </is>
      </c>
      <c r="Z1" s="3" t="inlineStr">
        <is>
          <t>ATT_3 recoded</t>
        </is>
      </c>
      <c r="AA1" s="3" t="inlineStr">
        <is>
          <t>Attitude</t>
        </is>
      </c>
      <c r="AB1" s="3" t="inlineStr">
        <is>
          <t>Sum (recoded)</t>
        </is>
      </c>
      <c r="AC1" s="3" t="inlineStr">
        <is>
          <t>Sum (not recoded)</t>
        </is>
      </c>
      <c r="AE1" s="1" t="inlineStr">
        <is>
          <t>Cronbach's alpha (k = 3)</t>
        </is>
      </c>
    </row>
    <row r="2">
      <c r="A2" t="inlineStr">
        <is>
          <t>SIMULATED Multimodal Ad Study</t>
        </is>
      </c>
      <c r="B2" t="inlineStr">
        <is>
          <t>P01</t>
        </is>
      </c>
      <c r="C2" t="inlineStr">
        <is>
          <t>MALE</t>
        </is>
      </c>
      <c r="D2" t="n">
        <v>20</v>
      </c>
      <c r="E2" t="inlineStr">
        <is>
          <t>AB</t>
        </is>
      </c>
      <c r="F2" t="inlineStr">
        <is>
          <t>Label4</t>
        </is>
      </c>
      <c r="G2" t="n">
        <v>4</v>
      </c>
      <c r="H2" t="inlineStr">
        <is>
          <t>Label5</t>
        </is>
      </c>
      <c r="I2" t="n">
        <v>5</v>
      </c>
      <c r="J2" t="inlineStr">
        <is>
          <t>Label4</t>
        </is>
      </c>
      <c r="K2" t="n">
        <v>4</v>
      </c>
      <c r="L2" t="inlineStr">
        <is>
          <t>Label2</t>
        </is>
      </c>
      <c r="M2" t="n">
        <v>2</v>
      </c>
      <c r="N2" t="inlineStr">
        <is>
          <t>Label5</t>
        </is>
      </c>
      <c r="O2" t="n">
        <v>5</v>
      </c>
      <c r="P2" t="inlineStr">
        <is>
          <t>Label4</t>
        </is>
      </c>
      <c r="Q2" t="n">
        <v>4</v>
      </c>
      <c r="R2" t="inlineStr">
        <is>
          <t>Label5</t>
        </is>
      </c>
      <c r="S2" t="n">
        <v>5</v>
      </c>
      <c r="T2" t="inlineStr">
        <is>
          <t>Label3</t>
        </is>
      </c>
      <c r="U2" t="n">
        <v>3</v>
      </c>
      <c r="V2">
        <f>UPPER(TRIM(B2))</f>
        <v/>
      </c>
      <c r="W2">
        <f>IFERROR(INDEX(SessionLog!$A$2:$A$26,MATCH(V2,SessionLog!$N$2:$N$26,0)),"NOT FOUND")</f>
        <v/>
      </c>
      <c r="X2">
        <f>IF(K2=1,1,0)</f>
        <v/>
      </c>
      <c r="Y2">
        <f>IF(M2=2,1,0)</f>
        <v/>
      </c>
      <c r="Z2">
        <f>8-S2</f>
        <v/>
      </c>
      <c r="AA2" s="5">
        <f>AVERAGE(O2,Q2,Z2)</f>
        <v/>
      </c>
      <c r="AB2">
        <f>O2+Q2+Z2</f>
        <v/>
      </c>
      <c r="AC2">
        <f>O2+Q2+S2</f>
        <v/>
      </c>
      <c r="AE2" t="inlineStr">
        <is>
          <t>With ATT_3R recoded</t>
        </is>
      </c>
      <c r="AF2" s="4">
        <f>3/2*(1-(_xlfn.VAR.S(O2:O25)+_xlfn.VAR.S(Q2:Q25)+_xlfn.VAR.S(Z2:Z25))/_xlfn.VAR.S(AB2:AB25))</f>
        <v/>
      </c>
    </row>
    <row r="3">
      <c r="A3" t="inlineStr">
        <is>
          <t>SIMULATED Multimodal Ad Study</t>
        </is>
      </c>
      <c r="B3" t="inlineStr">
        <is>
          <t>P02</t>
        </is>
      </c>
      <c r="C3" t="inlineStr">
        <is>
          <t>FEMALE</t>
        </is>
      </c>
      <c r="D3" t="n">
        <v>21</v>
      </c>
      <c r="E3" t="inlineStr">
        <is>
          <t>BA</t>
        </is>
      </c>
      <c r="F3" t="inlineStr">
        <is>
          <t>Label5</t>
        </is>
      </c>
      <c r="G3" t="n">
        <v>5</v>
      </c>
      <c r="H3" t="inlineStr">
        <is>
          <t>Label6</t>
        </is>
      </c>
      <c r="I3" t="n">
        <v>6</v>
      </c>
      <c r="J3" t="inlineStr">
        <is>
          <t>Label5</t>
        </is>
      </c>
      <c r="K3" t="n">
        <v>5</v>
      </c>
      <c r="L3" t="inlineStr">
        <is>
          <t>Label5</t>
        </is>
      </c>
      <c r="M3" t="n">
        <v>5</v>
      </c>
      <c r="N3" t="inlineStr">
        <is>
          <t>Label4</t>
        </is>
      </c>
      <c r="O3" t="n">
        <v>4</v>
      </c>
      <c r="P3" t="inlineStr">
        <is>
          <t>Label4</t>
        </is>
      </c>
      <c r="Q3" t="n">
        <v>4</v>
      </c>
      <c r="R3" t="inlineStr">
        <is>
          <t>Label3</t>
        </is>
      </c>
      <c r="S3" t="n">
        <v>3</v>
      </c>
      <c r="T3" t="inlineStr">
        <is>
          <t>Label3</t>
        </is>
      </c>
      <c r="U3" t="n">
        <v>3</v>
      </c>
      <c r="V3">
        <f>UPPER(TRIM(B3))</f>
        <v/>
      </c>
      <c r="W3">
        <f>IFERROR(INDEX(SessionLog!$A$2:$A$26,MATCH(V3,SessionLog!$N$2:$N$26,0)),"NOT FOUND")</f>
        <v/>
      </c>
      <c r="X3">
        <f>IF(K3=1,1,0)</f>
        <v/>
      </c>
      <c r="Y3">
        <f>IF(M3=2,1,0)</f>
        <v/>
      </c>
      <c r="Z3">
        <f>8-S3</f>
        <v/>
      </c>
      <c r="AA3" s="5">
        <f>AVERAGE(O3,Q3,Z3)</f>
        <v/>
      </c>
      <c r="AB3">
        <f>O3+Q3+Z3</f>
        <v/>
      </c>
      <c r="AC3">
        <f>O3+Q3+S3</f>
        <v/>
      </c>
      <c r="AE3" t="inlineStr">
        <is>
          <t>Without recoding (the mistake)</t>
        </is>
      </c>
      <c r="AF3" s="4">
        <f>3/2*(1-(_xlfn.VAR.S(O2:O25)+_xlfn.VAR.S(Q2:Q25)+_xlfn.VAR.S(S2:S25))/_xlfn.VAR.S(AC2:AC25))</f>
        <v/>
      </c>
    </row>
    <row r="4">
      <c r="A4" t="inlineStr">
        <is>
          <t>SIMULATED Multimodal Ad Study</t>
        </is>
      </c>
      <c r="B4" t="inlineStr">
        <is>
          <t>P03</t>
        </is>
      </c>
      <c r="C4" t="inlineStr">
        <is>
          <t>MALE</t>
        </is>
      </c>
      <c r="D4" t="n">
        <v>21</v>
      </c>
      <c r="E4" t="inlineStr">
        <is>
          <t>AB</t>
        </is>
      </c>
      <c r="F4" t="inlineStr">
        <is>
          <t>Label5</t>
        </is>
      </c>
      <c r="G4" t="n">
        <v>5</v>
      </c>
      <c r="H4" t="inlineStr">
        <is>
          <t>Label6</t>
        </is>
      </c>
      <c r="I4" t="n">
        <v>6</v>
      </c>
      <c r="J4" t="inlineStr">
        <is>
          <t>Label1</t>
        </is>
      </c>
      <c r="K4" t="n">
        <v>1</v>
      </c>
      <c r="L4" t="inlineStr">
        <is>
          <t>Label1</t>
        </is>
      </c>
      <c r="M4" t="n">
        <v>1</v>
      </c>
      <c r="N4" t="inlineStr">
        <is>
          <t>Label6</t>
        </is>
      </c>
      <c r="O4" t="n">
        <v>6</v>
      </c>
      <c r="P4" t="inlineStr">
        <is>
          <t>Label6</t>
        </is>
      </c>
      <c r="Q4" t="n">
        <v>6</v>
      </c>
      <c r="R4" t="inlineStr">
        <is>
          <t>Label2</t>
        </is>
      </c>
      <c r="S4" t="n">
        <v>2</v>
      </c>
      <c r="T4" t="inlineStr">
        <is>
          <t>Label4</t>
        </is>
      </c>
      <c r="U4" t="n">
        <v>4</v>
      </c>
      <c r="V4">
        <f>UPPER(TRIM(B4))</f>
        <v/>
      </c>
      <c r="W4">
        <f>IFERROR(INDEX(SessionLog!$A$2:$A$26,MATCH(V4,SessionLog!$N$2:$N$26,0)),"NOT FOUND")</f>
        <v/>
      </c>
      <c r="X4">
        <f>IF(K4=1,1,0)</f>
        <v/>
      </c>
      <c r="Y4">
        <f>IF(M4=2,1,0)</f>
        <v/>
      </c>
      <c r="Z4">
        <f>8-S4</f>
        <v/>
      </c>
      <c r="AA4" s="5">
        <f>AVERAGE(O4,Q4,Z4)</f>
        <v/>
      </c>
      <c r="AB4">
        <f>O4+Q4+Z4</f>
        <v/>
      </c>
      <c r="AC4">
        <f>O4+Q4+S4</f>
        <v/>
      </c>
    </row>
    <row r="5">
      <c r="A5" t="inlineStr">
        <is>
          <t>SIMULATED Multimodal Ad Study</t>
        </is>
      </c>
      <c r="B5" t="inlineStr">
        <is>
          <t>P04_rerun</t>
        </is>
      </c>
      <c r="C5" t="inlineStr">
        <is>
          <t>FEMALE</t>
        </is>
      </c>
      <c r="D5" t="n">
        <v>22</v>
      </c>
      <c r="E5" t="inlineStr">
        <is>
          <t>BA</t>
        </is>
      </c>
      <c r="F5" t="inlineStr">
        <is>
          <t>Label6</t>
        </is>
      </c>
      <c r="G5" t="n">
        <v>6</v>
      </c>
      <c r="H5" t="inlineStr">
        <is>
          <t>Label4</t>
        </is>
      </c>
      <c r="I5" t="n">
        <v>4</v>
      </c>
      <c r="J5" t="inlineStr">
        <is>
          <t>Label1</t>
        </is>
      </c>
      <c r="K5" t="n">
        <v>1</v>
      </c>
      <c r="L5" t="inlineStr">
        <is>
          <t>Label2</t>
        </is>
      </c>
      <c r="M5" t="n">
        <v>2</v>
      </c>
      <c r="N5" t="inlineStr">
        <is>
          <t>Label4</t>
        </is>
      </c>
      <c r="O5" t="n">
        <v>4</v>
      </c>
      <c r="P5" t="inlineStr">
        <is>
          <t>Label5</t>
        </is>
      </c>
      <c r="Q5" t="n">
        <v>5</v>
      </c>
      <c r="R5" t="inlineStr">
        <is>
          <t>Label4</t>
        </is>
      </c>
      <c r="S5" t="n">
        <v>4</v>
      </c>
      <c r="T5" t="inlineStr">
        <is>
          <t>Label3</t>
        </is>
      </c>
      <c r="U5" t="n">
        <v>3</v>
      </c>
      <c r="V5">
        <f>UPPER(TRIM(B5))</f>
        <v/>
      </c>
      <c r="W5">
        <f>IFERROR(INDEX(SessionLog!$A$2:$A$26,MATCH(V5,SessionLog!$N$2:$N$26,0)),"NOT FOUND")</f>
        <v/>
      </c>
      <c r="X5">
        <f>IF(K5=1,1,0)</f>
        <v/>
      </c>
      <c r="Y5">
        <f>IF(M5=2,1,0)</f>
        <v/>
      </c>
      <c r="Z5">
        <f>8-S5</f>
        <v/>
      </c>
      <c r="AA5" s="5">
        <f>AVERAGE(O5,Q5,Z5)</f>
        <v/>
      </c>
      <c r="AB5">
        <f>O5+Q5+Z5</f>
        <v/>
      </c>
      <c r="AC5">
        <f>O5+Q5+S5</f>
        <v/>
      </c>
    </row>
    <row r="6">
      <c r="A6" t="inlineStr">
        <is>
          <t>SIMULATED Multimodal Ad Study</t>
        </is>
      </c>
      <c r="B6" t="inlineStr">
        <is>
          <t>P05</t>
        </is>
      </c>
      <c r="C6" t="inlineStr">
        <is>
          <t>FEMALE</t>
        </is>
      </c>
      <c r="D6" t="n">
        <v>20</v>
      </c>
      <c r="E6" t="inlineStr">
        <is>
          <t>AB</t>
        </is>
      </c>
      <c r="F6" t="inlineStr">
        <is>
          <t>Label5</t>
        </is>
      </c>
      <c r="G6" t="n">
        <v>5</v>
      </c>
      <c r="H6" t="inlineStr">
        <is>
          <t>Label3</t>
        </is>
      </c>
      <c r="I6" t="n">
        <v>3</v>
      </c>
      <c r="J6" t="inlineStr">
        <is>
          <t>Label5</t>
        </is>
      </c>
      <c r="K6" t="n">
        <v>5</v>
      </c>
      <c r="L6" t="inlineStr">
        <is>
          <t>Label2</t>
        </is>
      </c>
      <c r="M6" t="n">
        <v>2</v>
      </c>
      <c r="N6" t="inlineStr">
        <is>
          <t>Label5</t>
        </is>
      </c>
      <c r="O6" t="n">
        <v>5</v>
      </c>
      <c r="P6" t="inlineStr">
        <is>
          <t>Label5</t>
        </is>
      </c>
      <c r="Q6" t="n">
        <v>5</v>
      </c>
      <c r="R6" t="inlineStr">
        <is>
          <t>Label3</t>
        </is>
      </c>
      <c r="S6" t="n">
        <v>3</v>
      </c>
      <c r="T6" t="inlineStr">
        <is>
          <t>Label5</t>
        </is>
      </c>
      <c r="U6" t="n">
        <v>5</v>
      </c>
      <c r="V6">
        <f>UPPER(TRIM(B6))</f>
        <v/>
      </c>
      <c r="W6">
        <f>IFERROR(INDEX(SessionLog!$A$2:$A$26,MATCH(V6,SessionLog!$N$2:$N$26,0)),"NOT FOUND")</f>
        <v/>
      </c>
      <c r="X6">
        <f>IF(K6=1,1,0)</f>
        <v/>
      </c>
      <c r="Y6">
        <f>IF(M6=2,1,0)</f>
        <v/>
      </c>
      <c r="Z6">
        <f>8-S6</f>
        <v/>
      </c>
      <c r="AA6" s="5">
        <f>AVERAGE(O6,Q6,Z6)</f>
        <v/>
      </c>
      <c r="AB6">
        <f>O6+Q6+Z6</f>
        <v/>
      </c>
      <c r="AC6">
        <f>O6+Q6+S6</f>
        <v/>
      </c>
    </row>
    <row r="7">
      <c r="A7" t="inlineStr">
        <is>
          <t>SIMULATED Multimodal Ad Study</t>
        </is>
      </c>
      <c r="B7" t="inlineStr">
        <is>
          <t>P06</t>
        </is>
      </c>
      <c r="C7" t="inlineStr">
        <is>
          <t>FEMALE</t>
        </is>
      </c>
      <c r="D7" t="n">
        <v>26</v>
      </c>
      <c r="E7" t="inlineStr">
        <is>
          <t>BA</t>
        </is>
      </c>
      <c r="F7" t="inlineStr">
        <is>
          <t>Label4</t>
        </is>
      </c>
      <c r="G7" t="n">
        <v>4</v>
      </c>
      <c r="H7" t="inlineStr">
        <is>
          <t>Label6</t>
        </is>
      </c>
      <c r="I7" t="n">
        <v>6</v>
      </c>
      <c r="J7" t="inlineStr">
        <is>
          <t>Label5</t>
        </is>
      </c>
      <c r="K7" t="n">
        <v>5</v>
      </c>
      <c r="L7" t="inlineStr">
        <is>
          <t>Label1</t>
        </is>
      </c>
      <c r="M7" t="n">
        <v>1</v>
      </c>
      <c r="N7" t="inlineStr">
        <is>
          <t>Label5</t>
        </is>
      </c>
      <c r="O7" t="n">
        <v>5</v>
      </c>
      <c r="P7" t="inlineStr">
        <is>
          <t>Label4</t>
        </is>
      </c>
      <c r="Q7" t="n">
        <v>4</v>
      </c>
      <c r="R7" t="inlineStr">
        <is>
          <t>Label4</t>
        </is>
      </c>
      <c r="S7" t="n">
        <v>4</v>
      </c>
      <c r="T7" t="inlineStr">
        <is>
          <t>Label2</t>
        </is>
      </c>
      <c r="U7" t="n">
        <v>2</v>
      </c>
      <c r="V7">
        <f>UPPER(TRIM(B7))</f>
        <v/>
      </c>
      <c r="W7">
        <f>IFERROR(INDEX(SessionLog!$A$2:$A$26,MATCH(V7,SessionLog!$N$2:$N$26,0)),"NOT FOUND")</f>
        <v/>
      </c>
      <c r="X7">
        <f>IF(K7=1,1,0)</f>
        <v/>
      </c>
      <c r="Y7">
        <f>IF(M7=2,1,0)</f>
        <v/>
      </c>
      <c r="Z7">
        <f>8-S7</f>
        <v/>
      </c>
      <c r="AA7" s="5">
        <f>AVERAGE(O7,Q7,Z7)</f>
        <v/>
      </c>
      <c r="AB7">
        <f>O7+Q7+Z7</f>
        <v/>
      </c>
      <c r="AC7">
        <f>O7+Q7+S7</f>
        <v/>
      </c>
    </row>
    <row r="8">
      <c r="A8" t="inlineStr">
        <is>
          <t>SIMULATED Multimodal Ad Study</t>
        </is>
      </c>
      <c r="B8" t="inlineStr">
        <is>
          <t>p07</t>
        </is>
      </c>
      <c r="C8" t="inlineStr">
        <is>
          <t>FEMALE</t>
        </is>
      </c>
      <c r="D8" t="n">
        <v>23</v>
      </c>
      <c r="E8" t="inlineStr">
        <is>
          <t>AB</t>
        </is>
      </c>
      <c r="F8" t="inlineStr">
        <is>
          <t>Label6</t>
        </is>
      </c>
      <c r="G8" t="n">
        <v>6</v>
      </c>
      <c r="H8" t="inlineStr">
        <is>
          <t>Label4</t>
        </is>
      </c>
      <c r="I8" t="n">
        <v>4</v>
      </c>
      <c r="J8" t="inlineStr">
        <is>
          <t>Label1</t>
        </is>
      </c>
      <c r="K8" t="n">
        <v>1</v>
      </c>
      <c r="L8" t="inlineStr">
        <is>
          <t>Label2</t>
        </is>
      </c>
      <c r="M8" t="n">
        <v>2</v>
      </c>
      <c r="N8" t="inlineStr">
        <is>
          <t>Label7</t>
        </is>
      </c>
      <c r="O8" t="n">
        <v>7</v>
      </c>
      <c r="P8" t="inlineStr">
        <is>
          <t>Label6</t>
        </is>
      </c>
      <c r="Q8" t="n">
        <v>6</v>
      </c>
      <c r="R8" t="inlineStr">
        <is>
          <t>Label1</t>
        </is>
      </c>
      <c r="S8" t="n">
        <v>1</v>
      </c>
      <c r="T8" t="inlineStr">
        <is>
          <t>Label5</t>
        </is>
      </c>
      <c r="U8" t="n">
        <v>5</v>
      </c>
      <c r="V8">
        <f>UPPER(TRIM(B8))</f>
        <v/>
      </c>
      <c r="W8">
        <f>IFERROR(INDEX(SessionLog!$A$2:$A$26,MATCH(V8,SessionLog!$N$2:$N$26,0)),"NOT FOUND")</f>
        <v/>
      </c>
      <c r="X8">
        <f>IF(K8=1,1,0)</f>
        <v/>
      </c>
      <c r="Y8">
        <f>IF(M8=2,1,0)</f>
        <v/>
      </c>
      <c r="Z8">
        <f>8-S8</f>
        <v/>
      </c>
      <c r="AA8" s="5">
        <f>AVERAGE(O8,Q8,Z8)</f>
        <v/>
      </c>
      <c r="AB8">
        <f>O8+Q8+Z8</f>
        <v/>
      </c>
      <c r="AC8">
        <f>O8+Q8+S8</f>
        <v/>
      </c>
    </row>
    <row r="9">
      <c r="A9" t="inlineStr">
        <is>
          <t>SIMULATED Multimodal Ad Study</t>
        </is>
      </c>
      <c r="B9" t="inlineStr">
        <is>
          <t>P08</t>
        </is>
      </c>
      <c r="C9" t="inlineStr">
        <is>
          <t>FEMALE</t>
        </is>
      </c>
      <c r="D9" t="n">
        <v>21</v>
      </c>
      <c r="E9" t="inlineStr">
        <is>
          <t>BA</t>
        </is>
      </c>
      <c r="F9" t="inlineStr">
        <is>
          <t>Label3</t>
        </is>
      </c>
      <c r="G9" t="n">
        <v>3</v>
      </c>
      <c r="H9" t="inlineStr">
        <is>
          <t>Label5</t>
        </is>
      </c>
      <c r="I9" t="n">
        <v>5</v>
      </c>
      <c r="J9" t="inlineStr">
        <is>
          <t>Label1</t>
        </is>
      </c>
      <c r="K9" t="n">
        <v>1</v>
      </c>
      <c r="L9" t="inlineStr">
        <is>
          <t>Label1</t>
        </is>
      </c>
      <c r="M9" t="n">
        <v>1</v>
      </c>
      <c r="N9" t="inlineStr">
        <is>
          <t>Label6</t>
        </is>
      </c>
      <c r="O9" t="n">
        <v>6</v>
      </c>
      <c r="P9" t="inlineStr">
        <is>
          <t>Label5</t>
        </is>
      </c>
      <c r="Q9" t="n">
        <v>5</v>
      </c>
      <c r="R9" t="inlineStr">
        <is>
          <t>Label3</t>
        </is>
      </c>
      <c r="S9" t="n">
        <v>3</v>
      </c>
      <c r="T9" t="inlineStr">
        <is>
          <t>Label5</t>
        </is>
      </c>
      <c r="U9" t="n">
        <v>5</v>
      </c>
      <c r="V9">
        <f>UPPER(TRIM(B9))</f>
        <v/>
      </c>
      <c r="W9">
        <f>IFERROR(INDEX(SessionLog!$A$2:$A$26,MATCH(V9,SessionLog!$N$2:$N$26,0)),"NOT FOUND")</f>
        <v/>
      </c>
      <c r="X9">
        <f>IF(K9=1,1,0)</f>
        <v/>
      </c>
      <c r="Y9">
        <f>IF(M9=2,1,0)</f>
        <v/>
      </c>
      <c r="Z9">
        <f>8-S9</f>
        <v/>
      </c>
      <c r="AA9" s="5">
        <f>AVERAGE(O9,Q9,Z9)</f>
        <v/>
      </c>
      <c r="AB9">
        <f>O9+Q9+Z9</f>
        <v/>
      </c>
      <c r="AC9">
        <f>O9+Q9+S9</f>
        <v/>
      </c>
    </row>
    <row r="10">
      <c r="A10" t="inlineStr">
        <is>
          <t>SIMULATED Multimodal Ad Study</t>
        </is>
      </c>
      <c r="B10" t="inlineStr">
        <is>
          <t>P09</t>
        </is>
      </c>
      <c r="C10" t="inlineStr">
        <is>
          <t>FEMALE</t>
        </is>
      </c>
      <c r="D10" t="n">
        <v>20</v>
      </c>
      <c r="E10" t="inlineStr">
        <is>
          <t>AB</t>
        </is>
      </c>
      <c r="F10" t="inlineStr">
        <is>
          <t>Label5</t>
        </is>
      </c>
      <c r="G10" t="n">
        <v>5</v>
      </c>
      <c r="H10" t="inlineStr">
        <is>
          <t>Label3</t>
        </is>
      </c>
      <c r="I10" t="n">
        <v>3</v>
      </c>
      <c r="J10" t="inlineStr">
        <is>
          <t>Label1</t>
        </is>
      </c>
      <c r="K10" t="n">
        <v>1</v>
      </c>
      <c r="L10" t="inlineStr">
        <is>
          <t>Label5</t>
        </is>
      </c>
      <c r="M10" t="n">
        <v>5</v>
      </c>
      <c r="N10" t="inlineStr">
        <is>
          <t>Label5</t>
        </is>
      </c>
      <c r="O10" t="n">
        <v>5</v>
      </c>
      <c r="P10" t="inlineStr">
        <is>
          <t>Label5</t>
        </is>
      </c>
      <c r="Q10" t="n">
        <v>5</v>
      </c>
      <c r="R10" t="inlineStr">
        <is>
          <t>Label4</t>
        </is>
      </c>
      <c r="S10" t="n">
        <v>4</v>
      </c>
      <c r="T10" t="inlineStr">
        <is>
          <t>Label1</t>
        </is>
      </c>
      <c r="U10" t="n">
        <v>1</v>
      </c>
      <c r="V10">
        <f>UPPER(TRIM(B10))</f>
        <v/>
      </c>
      <c r="W10">
        <f>IFERROR(INDEX(SessionLog!$A$2:$A$26,MATCH(V10,SessionLog!$N$2:$N$26,0)),"NOT FOUND")</f>
        <v/>
      </c>
      <c r="X10">
        <f>IF(K10=1,1,0)</f>
        <v/>
      </c>
      <c r="Y10">
        <f>IF(M10=2,1,0)</f>
        <v/>
      </c>
      <c r="Z10">
        <f>8-S10</f>
        <v/>
      </c>
      <c r="AA10" s="5">
        <f>AVERAGE(O10,Q10,Z10)</f>
        <v/>
      </c>
      <c r="AB10">
        <f>O10+Q10+Z10</f>
        <v/>
      </c>
      <c r="AC10">
        <f>O10+Q10+S10</f>
        <v/>
      </c>
    </row>
    <row r="11">
      <c r="A11" t="inlineStr">
        <is>
          <t>SIMULATED Multimodal Ad Study</t>
        </is>
      </c>
      <c r="B11" t="inlineStr">
        <is>
          <t>P10</t>
        </is>
      </c>
      <c r="C11" t="inlineStr">
        <is>
          <t>MALE</t>
        </is>
      </c>
      <c r="D11" t="n">
        <v>23</v>
      </c>
      <c r="E11" t="inlineStr">
        <is>
          <t>BA</t>
        </is>
      </c>
      <c r="F11" t="inlineStr">
        <is>
          <t>Label5</t>
        </is>
      </c>
      <c r="G11" t="n">
        <v>5</v>
      </c>
      <c r="H11" t="inlineStr">
        <is>
          <t>Label4</t>
        </is>
      </c>
      <c r="I11" t="n">
        <v>4</v>
      </c>
      <c r="J11" t="inlineStr">
        <is>
          <t>Label1</t>
        </is>
      </c>
      <c r="K11" t="n">
        <v>1</v>
      </c>
      <c r="L11" t="inlineStr">
        <is>
          <t>Label2</t>
        </is>
      </c>
      <c r="M11" t="n">
        <v>2</v>
      </c>
      <c r="N11" t="inlineStr">
        <is>
          <t>Label4</t>
        </is>
      </c>
      <c r="O11" t="n">
        <v>4</v>
      </c>
      <c r="P11" t="inlineStr">
        <is>
          <t>Label4</t>
        </is>
      </c>
      <c r="Q11" t="n">
        <v>4</v>
      </c>
      <c r="R11" t="inlineStr">
        <is>
          <t>Label4</t>
        </is>
      </c>
      <c r="S11" t="n">
        <v>4</v>
      </c>
      <c r="T11" t="inlineStr">
        <is>
          <t>Label4</t>
        </is>
      </c>
      <c r="U11" t="n">
        <v>4</v>
      </c>
      <c r="V11">
        <f>UPPER(TRIM(B11))</f>
        <v/>
      </c>
      <c r="W11">
        <f>IFERROR(INDEX(SessionLog!$A$2:$A$26,MATCH(V11,SessionLog!$N$2:$N$26,0)),"NOT FOUND")</f>
        <v/>
      </c>
      <c r="X11">
        <f>IF(K11=1,1,0)</f>
        <v/>
      </c>
      <c r="Y11">
        <f>IF(M11=2,1,0)</f>
        <v/>
      </c>
      <c r="Z11">
        <f>8-S11</f>
        <v/>
      </c>
      <c r="AA11" s="5">
        <f>AVERAGE(O11,Q11,Z11)</f>
        <v/>
      </c>
      <c r="AB11">
        <f>O11+Q11+Z11</f>
        <v/>
      </c>
      <c r="AC11">
        <f>O11+Q11+S11</f>
        <v/>
      </c>
    </row>
    <row r="12">
      <c r="A12" t="inlineStr">
        <is>
          <t>SIMULATED Multimodal Ad Study</t>
        </is>
      </c>
      <c r="B12" t="inlineStr">
        <is>
          <t>P11</t>
        </is>
      </c>
      <c r="C12" t="inlineStr">
        <is>
          <t>FEMALE</t>
        </is>
      </c>
      <c r="D12" t="n">
        <v>24</v>
      </c>
      <c r="E12" t="inlineStr">
        <is>
          <t>AB</t>
        </is>
      </c>
      <c r="F12" t="inlineStr">
        <is>
          <t>Label5</t>
        </is>
      </c>
      <c r="G12" t="n">
        <v>5</v>
      </c>
      <c r="H12" t="inlineStr">
        <is>
          <t>Label4</t>
        </is>
      </c>
      <c r="I12" t="n">
        <v>4</v>
      </c>
      <c r="J12" t="inlineStr">
        <is>
          <t>Label1</t>
        </is>
      </c>
      <c r="K12" t="n">
        <v>1</v>
      </c>
      <c r="L12" t="inlineStr">
        <is>
          <t>Label2</t>
        </is>
      </c>
      <c r="M12" t="n">
        <v>2</v>
      </c>
      <c r="N12" t="inlineStr">
        <is>
          <t>Label2</t>
        </is>
      </c>
      <c r="O12" t="n">
        <v>2</v>
      </c>
      <c r="P12" t="inlineStr">
        <is>
          <t>Label3</t>
        </is>
      </c>
      <c r="Q12" t="n">
        <v>3</v>
      </c>
      <c r="R12" t="inlineStr">
        <is>
          <t>Label5</t>
        </is>
      </c>
      <c r="S12" t="n">
        <v>5</v>
      </c>
      <c r="T12" t="inlineStr">
        <is>
          <t>Label2</t>
        </is>
      </c>
      <c r="U12" t="n">
        <v>2</v>
      </c>
      <c r="V12">
        <f>UPPER(TRIM(B12))</f>
        <v/>
      </c>
      <c r="W12">
        <f>IFERROR(INDEX(SessionLog!$A$2:$A$26,MATCH(V12,SessionLog!$N$2:$N$26,0)),"NOT FOUND")</f>
        <v/>
      </c>
      <c r="X12">
        <f>IF(K12=1,1,0)</f>
        <v/>
      </c>
      <c r="Y12">
        <f>IF(M12=2,1,0)</f>
        <v/>
      </c>
      <c r="Z12">
        <f>8-S12</f>
        <v/>
      </c>
      <c r="AA12" s="5">
        <f>AVERAGE(O12,Q12,Z12)</f>
        <v/>
      </c>
      <c r="AB12">
        <f>O12+Q12+Z12</f>
        <v/>
      </c>
      <c r="AC12">
        <f>O12+Q12+S12</f>
        <v/>
      </c>
    </row>
    <row r="13">
      <c r="A13" t="inlineStr">
        <is>
          <t>SIMULATED Multimodal Ad Study</t>
        </is>
      </c>
      <c r="B13" t="inlineStr">
        <is>
          <t>P12</t>
        </is>
      </c>
      <c r="C13" t="inlineStr">
        <is>
          <t>MALE</t>
        </is>
      </c>
      <c r="D13" t="n">
        <v>23</v>
      </c>
      <c r="E13" t="inlineStr">
        <is>
          <t>BA</t>
        </is>
      </c>
      <c r="F13" t="inlineStr">
        <is>
          <t>Label5</t>
        </is>
      </c>
      <c r="G13" t="n">
        <v>5</v>
      </c>
      <c r="H13" t="inlineStr">
        <is>
          <t>Label5</t>
        </is>
      </c>
      <c r="I13" t="n">
        <v>5</v>
      </c>
      <c r="J13" t="inlineStr">
        <is>
          <t>Label4</t>
        </is>
      </c>
      <c r="K13" t="n">
        <v>4</v>
      </c>
      <c r="L13" t="inlineStr">
        <is>
          <t>Label2</t>
        </is>
      </c>
      <c r="M13" t="n">
        <v>2</v>
      </c>
      <c r="N13" t="inlineStr">
        <is>
          <t>Label3</t>
        </is>
      </c>
      <c r="O13" t="n">
        <v>3</v>
      </c>
      <c r="P13" t="inlineStr">
        <is>
          <t>Label3</t>
        </is>
      </c>
      <c r="Q13" t="n">
        <v>3</v>
      </c>
      <c r="R13" t="inlineStr">
        <is>
          <t>Label5</t>
        </is>
      </c>
      <c r="S13" t="n">
        <v>5</v>
      </c>
      <c r="T13" t="inlineStr">
        <is>
          <t>Label1</t>
        </is>
      </c>
      <c r="U13" t="n">
        <v>1</v>
      </c>
      <c r="V13">
        <f>UPPER(TRIM(B13))</f>
        <v/>
      </c>
      <c r="W13">
        <f>IFERROR(INDEX(SessionLog!$A$2:$A$26,MATCH(V13,SessionLog!$N$2:$N$26,0)),"NOT FOUND")</f>
        <v/>
      </c>
      <c r="X13">
        <f>IF(K13=1,1,0)</f>
        <v/>
      </c>
      <c r="Y13">
        <f>IF(M13=2,1,0)</f>
        <v/>
      </c>
      <c r="Z13">
        <f>8-S13</f>
        <v/>
      </c>
      <c r="AA13" s="5">
        <f>AVERAGE(O13,Q13,Z13)</f>
        <v/>
      </c>
      <c r="AB13">
        <f>O13+Q13+Z13</f>
        <v/>
      </c>
      <c r="AC13">
        <f>O13+Q13+S13</f>
        <v/>
      </c>
    </row>
    <row r="14">
      <c r="A14" t="inlineStr">
        <is>
          <t>SIMULATED Multimodal Ad Study</t>
        </is>
      </c>
      <c r="B14" t="inlineStr">
        <is>
          <t>P13</t>
        </is>
      </c>
      <c r="C14" t="inlineStr">
        <is>
          <t>MALE</t>
        </is>
      </c>
      <c r="D14" t="n">
        <v>20</v>
      </c>
      <c r="E14" t="inlineStr">
        <is>
          <t>AB</t>
        </is>
      </c>
      <c r="F14" t="inlineStr">
        <is>
          <t>Label2</t>
        </is>
      </c>
      <c r="G14" t="n">
        <v>2</v>
      </c>
      <c r="H14" t="inlineStr">
        <is>
          <t>Label1</t>
        </is>
      </c>
      <c r="I14" t="n">
        <v>1</v>
      </c>
      <c r="J14" t="inlineStr">
        <is>
          <t>Label1</t>
        </is>
      </c>
      <c r="K14" t="n">
        <v>1</v>
      </c>
      <c r="L14" t="inlineStr">
        <is>
          <t>Label5</t>
        </is>
      </c>
      <c r="M14" t="n">
        <v>5</v>
      </c>
      <c r="N14" t="inlineStr">
        <is>
          <t>Label3</t>
        </is>
      </c>
      <c r="O14" t="n">
        <v>3</v>
      </c>
      <c r="P14" t="inlineStr">
        <is>
          <t>Label4</t>
        </is>
      </c>
      <c r="Q14" t="n">
        <v>4</v>
      </c>
      <c r="R14" t="inlineStr">
        <is>
          <t>Label6</t>
        </is>
      </c>
      <c r="S14" t="n">
        <v>6</v>
      </c>
      <c r="T14" t="inlineStr">
        <is>
          <t>Label4</t>
        </is>
      </c>
      <c r="U14" t="n">
        <v>4</v>
      </c>
      <c r="V14">
        <f>UPPER(TRIM(B14))</f>
        <v/>
      </c>
      <c r="W14">
        <f>IFERROR(INDEX(SessionLog!$A$2:$A$26,MATCH(V14,SessionLog!$N$2:$N$26,0)),"NOT FOUND")</f>
        <v/>
      </c>
      <c r="X14">
        <f>IF(K14=1,1,0)</f>
        <v/>
      </c>
      <c r="Y14">
        <f>IF(M14=2,1,0)</f>
        <v/>
      </c>
      <c r="Z14">
        <f>8-S14</f>
        <v/>
      </c>
      <c r="AA14" s="5">
        <f>AVERAGE(O14,Q14,Z14)</f>
        <v/>
      </c>
      <c r="AB14">
        <f>O14+Q14+Z14</f>
        <v/>
      </c>
      <c r="AC14">
        <f>O14+Q14+S14</f>
        <v/>
      </c>
    </row>
    <row r="15">
      <c r="A15" t="inlineStr">
        <is>
          <t>SIMULATED Multimodal Ad Study</t>
        </is>
      </c>
      <c r="B15" t="inlineStr">
        <is>
          <t>P14</t>
        </is>
      </c>
      <c r="C15" t="inlineStr">
        <is>
          <t>FEMALE</t>
        </is>
      </c>
      <c r="D15" t="n">
        <v>21</v>
      </c>
      <c r="E15" t="inlineStr">
        <is>
          <t>BA</t>
        </is>
      </c>
      <c r="F15" t="inlineStr">
        <is>
          <t>Label5</t>
        </is>
      </c>
      <c r="G15" t="n">
        <v>5</v>
      </c>
      <c r="H15" t="inlineStr">
        <is>
          <t>Label4</t>
        </is>
      </c>
      <c r="I15" t="n">
        <v>4</v>
      </c>
      <c r="J15" t="inlineStr">
        <is>
          <t>Label1</t>
        </is>
      </c>
      <c r="K15" t="n">
        <v>1</v>
      </c>
      <c r="L15" t="inlineStr">
        <is>
          <t>Label1</t>
        </is>
      </c>
      <c r="M15" t="n">
        <v>1</v>
      </c>
      <c r="N15" t="inlineStr">
        <is>
          <t>Label5</t>
        </is>
      </c>
      <c r="O15" t="n">
        <v>5</v>
      </c>
      <c r="P15" t="inlineStr">
        <is>
          <t>Label5</t>
        </is>
      </c>
      <c r="Q15" t="n">
        <v>5</v>
      </c>
      <c r="R15" t="inlineStr">
        <is>
          <t>Label2</t>
        </is>
      </c>
      <c r="S15" t="n">
        <v>2</v>
      </c>
      <c r="T15" t="inlineStr">
        <is>
          <t>Label5</t>
        </is>
      </c>
      <c r="U15" t="n">
        <v>5</v>
      </c>
      <c r="V15">
        <f>UPPER(TRIM(B15))</f>
        <v/>
      </c>
      <c r="W15">
        <f>IFERROR(INDEX(SessionLog!$A$2:$A$26,MATCH(V15,SessionLog!$N$2:$N$26,0)),"NOT FOUND")</f>
        <v/>
      </c>
      <c r="X15">
        <f>IF(K15=1,1,0)</f>
        <v/>
      </c>
      <c r="Y15">
        <f>IF(M15=2,1,0)</f>
        <v/>
      </c>
      <c r="Z15">
        <f>8-S15</f>
        <v/>
      </c>
      <c r="AA15" s="5">
        <f>AVERAGE(O15,Q15,Z15)</f>
        <v/>
      </c>
      <c r="AB15">
        <f>O15+Q15+Z15</f>
        <v/>
      </c>
      <c r="AC15">
        <f>O15+Q15+S15</f>
        <v/>
      </c>
    </row>
    <row r="16">
      <c r="A16" t="inlineStr">
        <is>
          <t>SIMULATED Multimodal Ad Study</t>
        </is>
      </c>
      <c r="B16" t="inlineStr">
        <is>
          <t>P15</t>
        </is>
      </c>
      <c r="C16" t="inlineStr">
        <is>
          <t>MALE</t>
        </is>
      </c>
      <c r="D16" t="n">
        <v>20</v>
      </c>
      <c r="E16" t="inlineStr">
        <is>
          <t>AB</t>
        </is>
      </c>
      <c r="F16" t="inlineStr">
        <is>
          <t>Label3</t>
        </is>
      </c>
      <c r="G16" t="n">
        <v>3</v>
      </c>
      <c r="H16" t="inlineStr">
        <is>
          <t>Label4</t>
        </is>
      </c>
      <c r="I16" t="n">
        <v>4</v>
      </c>
      <c r="J16" t="inlineStr">
        <is>
          <t>Label2</t>
        </is>
      </c>
      <c r="K16" t="n">
        <v>2</v>
      </c>
      <c r="L16" t="inlineStr">
        <is>
          <t>Label5</t>
        </is>
      </c>
      <c r="M16" t="n">
        <v>5</v>
      </c>
      <c r="N16" t="inlineStr">
        <is>
          <t>Label4</t>
        </is>
      </c>
      <c r="O16" t="n">
        <v>4</v>
      </c>
      <c r="P16" t="inlineStr">
        <is>
          <t>Label3</t>
        </is>
      </c>
      <c r="Q16" t="n">
        <v>3</v>
      </c>
      <c r="R16" t="inlineStr">
        <is>
          <t>Label5</t>
        </is>
      </c>
      <c r="S16" t="n">
        <v>5</v>
      </c>
      <c r="T16" t="inlineStr">
        <is>
          <t>Label4</t>
        </is>
      </c>
      <c r="U16" t="n">
        <v>4</v>
      </c>
      <c r="V16">
        <f>UPPER(TRIM(B16))</f>
        <v/>
      </c>
      <c r="W16">
        <f>IFERROR(INDEX(SessionLog!$A$2:$A$26,MATCH(V16,SessionLog!$N$2:$N$26,0)),"NOT FOUND")</f>
        <v/>
      </c>
      <c r="X16">
        <f>IF(K16=1,1,0)</f>
        <v/>
      </c>
      <c r="Y16">
        <f>IF(M16=2,1,0)</f>
        <v/>
      </c>
      <c r="Z16">
        <f>8-S16</f>
        <v/>
      </c>
      <c r="AA16" s="5">
        <f>AVERAGE(O16,Q16,Z16)</f>
        <v/>
      </c>
      <c r="AB16">
        <f>O16+Q16+Z16</f>
        <v/>
      </c>
      <c r="AC16">
        <f>O16+Q16+S16</f>
        <v/>
      </c>
    </row>
    <row r="17">
      <c r="A17" t="inlineStr">
        <is>
          <t>SIMULATED Multimodal Ad Study</t>
        </is>
      </c>
      <c r="B17" t="inlineStr">
        <is>
          <t>P16</t>
        </is>
      </c>
      <c r="C17" t="inlineStr">
        <is>
          <t>MALE</t>
        </is>
      </c>
      <c r="D17" t="n">
        <v>23</v>
      </c>
      <c r="E17" t="inlineStr">
        <is>
          <t>BA</t>
        </is>
      </c>
      <c r="F17" t="inlineStr">
        <is>
          <t>Label1</t>
        </is>
      </c>
      <c r="G17" t="n">
        <v>1</v>
      </c>
      <c r="H17" t="inlineStr">
        <is>
          <t>Label2</t>
        </is>
      </c>
      <c r="I17" t="n">
        <v>2</v>
      </c>
      <c r="J17" t="inlineStr">
        <is>
          <t>Label3</t>
        </is>
      </c>
      <c r="K17" t="n">
        <v>3</v>
      </c>
      <c r="L17" t="inlineStr">
        <is>
          <t>Label1</t>
        </is>
      </c>
      <c r="M17" t="n">
        <v>1</v>
      </c>
      <c r="N17" t="inlineStr">
        <is>
          <t>Label4</t>
        </is>
      </c>
      <c r="O17" t="n">
        <v>4</v>
      </c>
      <c r="P17" t="inlineStr">
        <is>
          <t>Label5</t>
        </is>
      </c>
      <c r="Q17" t="n">
        <v>5</v>
      </c>
      <c r="R17" t="inlineStr">
        <is>
          <t>Label4</t>
        </is>
      </c>
      <c r="S17" t="n">
        <v>4</v>
      </c>
      <c r="T17" t="inlineStr">
        <is>
          <t>Label5</t>
        </is>
      </c>
      <c r="U17" t="n">
        <v>5</v>
      </c>
      <c r="V17">
        <f>UPPER(TRIM(B17))</f>
        <v/>
      </c>
      <c r="W17">
        <f>IFERROR(INDEX(SessionLog!$A$2:$A$26,MATCH(V17,SessionLog!$N$2:$N$26,0)),"NOT FOUND")</f>
        <v/>
      </c>
      <c r="X17">
        <f>IF(K17=1,1,0)</f>
        <v/>
      </c>
      <c r="Y17">
        <f>IF(M17=2,1,0)</f>
        <v/>
      </c>
      <c r="Z17">
        <f>8-S17</f>
        <v/>
      </c>
      <c r="AA17" s="5">
        <f>AVERAGE(O17,Q17,Z17)</f>
        <v/>
      </c>
      <c r="AB17">
        <f>O17+Q17+Z17</f>
        <v/>
      </c>
      <c r="AC17">
        <f>O17+Q17+S17</f>
        <v/>
      </c>
    </row>
    <row r="18">
      <c r="A18" t="inlineStr">
        <is>
          <t>SIMULATED Multimodal Ad Study</t>
        </is>
      </c>
      <c r="B18" t="inlineStr">
        <is>
          <t>P17</t>
        </is>
      </c>
      <c r="C18" t="inlineStr">
        <is>
          <t>FEMALE</t>
        </is>
      </c>
      <c r="D18" t="n">
        <v>19</v>
      </c>
      <c r="E18" t="inlineStr">
        <is>
          <t>AB</t>
        </is>
      </c>
      <c r="F18" t="inlineStr">
        <is>
          <t>Label4</t>
        </is>
      </c>
      <c r="G18" t="n">
        <v>4</v>
      </c>
      <c r="H18" t="inlineStr">
        <is>
          <t>Label3</t>
        </is>
      </c>
      <c r="I18" t="n">
        <v>3</v>
      </c>
      <c r="J18" t="inlineStr">
        <is>
          <t>Label5</t>
        </is>
      </c>
      <c r="K18" t="n">
        <v>5</v>
      </c>
      <c r="L18" t="inlineStr">
        <is>
          <t>Label1</t>
        </is>
      </c>
      <c r="M18" t="n">
        <v>1</v>
      </c>
      <c r="N18" t="inlineStr">
        <is>
          <t>Label6</t>
        </is>
      </c>
      <c r="O18" t="n">
        <v>6</v>
      </c>
      <c r="P18" t="inlineStr">
        <is>
          <t>Label5</t>
        </is>
      </c>
      <c r="Q18" t="n">
        <v>5</v>
      </c>
      <c r="R18" t="inlineStr">
        <is>
          <t>Label2</t>
        </is>
      </c>
      <c r="S18" t="n">
        <v>2</v>
      </c>
      <c r="T18" t="inlineStr">
        <is>
          <t>Label4</t>
        </is>
      </c>
      <c r="U18" t="n">
        <v>4</v>
      </c>
      <c r="V18">
        <f>UPPER(TRIM(B18))</f>
        <v/>
      </c>
      <c r="W18">
        <f>IFERROR(INDEX(SessionLog!$A$2:$A$26,MATCH(V18,SessionLog!$N$2:$N$26,0)),"NOT FOUND")</f>
        <v/>
      </c>
      <c r="X18">
        <f>IF(K18=1,1,0)</f>
        <v/>
      </c>
      <c r="Y18">
        <f>IF(M18=2,1,0)</f>
        <v/>
      </c>
      <c r="Z18">
        <f>8-S18</f>
        <v/>
      </c>
      <c r="AA18" s="5">
        <f>AVERAGE(O18,Q18,Z18)</f>
        <v/>
      </c>
      <c r="AB18">
        <f>O18+Q18+Z18</f>
        <v/>
      </c>
      <c r="AC18">
        <f>O18+Q18+S18</f>
        <v/>
      </c>
    </row>
    <row r="19">
      <c r="A19" t="inlineStr">
        <is>
          <t>SIMULATED Multimodal Ad Study</t>
        </is>
      </c>
      <c r="B19" t="inlineStr">
        <is>
          <t>P18</t>
        </is>
      </c>
      <c r="C19" t="inlineStr">
        <is>
          <t>FEMALE</t>
        </is>
      </c>
      <c r="D19" t="n">
        <v>20</v>
      </c>
      <c r="E19" t="inlineStr">
        <is>
          <t>BA</t>
        </is>
      </c>
      <c r="F19" t="inlineStr">
        <is>
          <t>Label5</t>
        </is>
      </c>
      <c r="G19" t="n">
        <v>5</v>
      </c>
      <c r="H19" t="inlineStr">
        <is>
          <t>Label5</t>
        </is>
      </c>
      <c r="I19" t="n">
        <v>5</v>
      </c>
      <c r="J19" t="inlineStr">
        <is>
          <t>Label5</t>
        </is>
      </c>
      <c r="K19" t="n">
        <v>5</v>
      </c>
      <c r="L19" t="inlineStr">
        <is>
          <t>Label5</t>
        </is>
      </c>
      <c r="M19" t="n">
        <v>5</v>
      </c>
      <c r="N19" t="inlineStr">
        <is>
          <t>Label2</t>
        </is>
      </c>
      <c r="O19" t="n">
        <v>2</v>
      </c>
      <c r="P19" t="inlineStr">
        <is>
          <t>Label4</t>
        </is>
      </c>
      <c r="Q19" t="n">
        <v>4</v>
      </c>
      <c r="R19" t="inlineStr">
        <is>
          <t>Label4</t>
        </is>
      </c>
      <c r="S19" t="n">
        <v>4</v>
      </c>
      <c r="T19" t="inlineStr">
        <is>
          <t>Label3</t>
        </is>
      </c>
      <c r="U19" t="n">
        <v>3</v>
      </c>
      <c r="V19">
        <f>UPPER(TRIM(B19))</f>
        <v/>
      </c>
      <c r="W19">
        <f>IFERROR(INDEX(SessionLog!$A$2:$A$26,MATCH(V19,SessionLog!$N$2:$N$26,0)),"NOT FOUND")</f>
        <v/>
      </c>
      <c r="X19">
        <f>IF(K19=1,1,0)</f>
        <v/>
      </c>
      <c r="Y19">
        <f>IF(M19=2,1,0)</f>
        <v/>
      </c>
      <c r="Z19">
        <f>8-S19</f>
        <v/>
      </c>
      <c r="AA19" s="5">
        <f>AVERAGE(O19,Q19,Z19)</f>
        <v/>
      </c>
      <c r="AB19">
        <f>O19+Q19+Z19</f>
        <v/>
      </c>
      <c r="AC19">
        <f>O19+Q19+S19</f>
        <v/>
      </c>
    </row>
    <row r="20">
      <c r="A20" t="inlineStr">
        <is>
          <t>SIMULATED Multimodal Ad Study</t>
        </is>
      </c>
      <c r="B20" t="inlineStr">
        <is>
          <t>P19</t>
        </is>
      </c>
      <c r="C20" t="inlineStr">
        <is>
          <t>MALE</t>
        </is>
      </c>
      <c r="D20" t="n">
        <v>23</v>
      </c>
      <c r="E20" t="inlineStr">
        <is>
          <t>AB</t>
        </is>
      </c>
      <c r="F20" t="inlineStr">
        <is>
          <t>Label7</t>
        </is>
      </c>
      <c r="G20" t="n">
        <v>7</v>
      </c>
      <c r="H20" t="inlineStr">
        <is>
          <t>Label3</t>
        </is>
      </c>
      <c r="I20" t="n">
        <v>3</v>
      </c>
      <c r="J20" t="inlineStr">
        <is>
          <t>Label1</t>
        </is>
      </c>
      <c r="K20" t="n">
        <v>1</v>
      </c>
      <c r="L20" t="inlineStr">
        <is>
          <t>Label2</t>
        </is>
      </c>
      <c r="M20" t="n">
        <v>2</v>
      </c>
      <c r="N20" t="inlineStr">
        <is>
          <t>Label5</t>
        </is>
      </c>
      <c r="O20" t="n">
        <v>5</v>
      </c>
      <c r="P20" t="inlineStr">
        <is>
          <t>Label5</t>
        </is>
      </c>
      <c r="Q20" t="n">
        <v>5</v>
      </c>
      <c r="R20" t="inlineStr">
        <is>
          <t>Label3</t>
        </is>
      </c>
      <c r="S20" t="n">
        <v>3</v>
      </c>
      <c r="T20" t="inlineStr">
        <is>
          <t>Label5</t>
        </is>
      </c>
      <c r="U20" t="n">
        <v>5</v>
      </c>
      <c r="V20">
        <f>UPPER(TRIM(B20))</f>
        <v/>
      </c>
      <c r="W20">
        <f>IFERROR(INDEX(SessionLog!$A$2:$A$26,MATCH(V20,SessionLog!$N$2:$N$26,0)),"NOT FOUND")</f>
        <v/>
      </c>
      <c r="X20">
        <f>IF(K20=1,1,0)</f>
        <v/>
      </c>
      <c r="Y20">
        <f>IF(M20=2,1,0)</f>
        <v/>
      </c>
      <c r="Z20">
        <f>8-S20</f>
        <v/>
      </c>
      <c r="AA20" s="5">
        <f>AVERAGE(O20,Q20,Z20)</f>
        <v/>
      </c>
      <c r="AB20">
        <f>O20+Q20+Z20</f>
        <v/>
      </c>
      <c r="AC20">
        <f>O20+Q20+S20</f>
        <v/>
      </c>
    </row>
    <row r="21">
      <c r="A21" t="inlineStr">
        <is>
          <t>SIMULATED Multimodal Ad Study</t>
        </is>
      </c>
      <c r="B21" t="inlineStr">
        <is>
          <t>P20</t>
        </is>
      </c>
      <c r="C21" t="inlineStr">
        <is>
          <t>FEMALE</t>
        </is>
      </c>
      <c r="D21" t="n">
        <v>19</v>
      </c>
      <c r="E21" t="inlineStr">
        <is>
          <t>BA</t>
        </is>
      </c>
      <c r="F21" t="inlineStr">
        <is>
          <t>Label5</t>
        </is>
      </c>
      <c r="G21" t="n">
        <v>5</v>
      </c>
      <c r="H21" t="inlineStr">
        <is>
          <t>Label5</t>
        </is>
      </c>
      <c r="I21" t="n">
        <v>5</v>
      </c>
      <c r="J21" t="inlineStr">
        <is>
          <t>Label1</t>
        </is>
      </c>
      <c r="K21" t="n">
        <v>1</v>
      </c>
      <c r="L21" t="inlineStr">
        <is>
          <t>Label2</t>
        </is>
      </c>
      <c r="M21" t="n">
        <v>2</v>
      </c>
      <c r="N21" t="inlineStr">
        <is>
          <t>Label5</t>
        </is>
      </c>
      <c r="O21" t="n">
        <v>5</v>
      </c>
      <c r="P21" t="inlineStr">
        <is>
          <t>Label4</t>
        </is>
      </c>
      <c r="Q21" t="n">
        <v>4</v>
      </c>
      <c r="R21" t="inlineStr">
        <is>
          <t>Label2</t>
        </is>
      </c>
      <c r="S21" t="n">
        <v>2</v>
      </c>
      <c r="T21" t="inlineStr">
        <is>
          <t>Label4</t>
        </is>
      </c>
      <c r="U21" t="n">
        <v>4</v>
      </c>
      <c r="V21">
        <f>UPPER(TRIM(B21))</f>
        <v/>
      </c>
      <c r="W21">
        <f>IFERROR(INDEX(SessionLog!$A$2:$A$26,MATCH(V21,SessionLog!$N$2:$N$26,0)),"NOT FOUND")</f>
        <v/>
      </c>
      <c r="X21">
        <f>IF(K21=1,1,0)</f>
        <v/>
      </c>
      <c r="Y21">
        <f>IF(M21=2,1,0)</f>
        <v/>
      </c>
      <c r="Z21">
        <f>8-S21</f>
        <v/>
      </c>
      <c r="AA21" s="5">
        <f>AVERAGE(O21,Q21,Z21)</f>
        <v/>
      </c>
      <c r="AB21">
        <f>O21+Q21+Z21</f>
        <v/>
      </c>
      <c r="AC21">
        <f>O21+Q21+S21</f>
        <v/>
      </c>
    </row>
    <row r="22">
      <c r="A22" t="inlineStr">
        <is>
          <t>SIMULATED Multimodal Ad Study</t>
        </is>
      </c>
      <c r="B22" t="inlineStr">
        <is>
          <t>P21</t>
        </is>
      </c>
      <c r="C22" t="inlineStr">
        <is>
          <t>MALE</t>
        </is>
      </c>
      <c r="D22" t="n">
        <v>20</v>
      </c>
      <c r="E22" t="inlineStr">
        <is>
          <t>AB</t>
        </is>
      </c>
      <c r="F22" t="inlineStr">
        <is>
          <t>Label4</t>
        </is>
      </c>
      <c r="G22" t="n">
        <v>4</v>
      </c>
      <c r="H22" t="inlineStr">
        <is>
          <t>Label6</t>
        </is>
      </c>
      <c r="I22" t="n">
        <v>6</v>
      </c>
      <c r="J22" t="inlineStr">
        <is>
          <t>Label1</t>
        </is>
      </c>
      <c r="K22" t="n">
        <v>1</v>
      </c>
      <c r="L22" t="inlineStr">
        <is>
          <t>Label2</t>
        </is>
      </c>
      <c r="M22" t="n">
        <v>2</v>
      </c>
      <c r="N22" t="inlineStr">
        <is>
          <t>Label5</t>
        </is>
      </c>
      <c r="O22" t="n">
        <v>5</v>
      </c>
      <c r="P22" t="inlineStr">
        <is>
          <t>Label5</t>
        </is>
      </c>
      <c r="Q22" t="n">
        <v>5</v>
      </c>
      <c r="R22" t="inlineStr">
        <is>
          <t>Label5</t>
        </is>
      </c>
      <c r="S22" t="n">
        <v>5</v>
      </c>
      <c r="T22" t="inlineStr">
        <is>
          <t>Label3</t>
        </is>
      </c>
      <c r="U22" t="n">
        <v>3</v>
      </c>
      <c r="V22">
        <f>UPPER(TRIM(B22))</f>
        <v/>
      </c>
      <c r="W22">
        <f>IFERROR(INDEX(SessionLog!$A$2:$A$26,MATCH(V22,SessionLog!$N$2:$N$26,0)),"NOT FOUND")</f>
        <v/>
      </c>
      <c r="X22">
        <f>IF(K22=1,1,0)</f>
        <v/>
      </c>
      <c r="Y22">
        <f>IF(M22=2,1,0)</f>
        <v/>
      </c>
      <c r="Z22">
        <f>8-S22</f>
        <v/>
      </c>
      <c r="AA22" s="5">
        <f>AVERAGE(O22,Q22,Z22)</f>
        <v/>
      </c>
      <c r="AB22">
        <f>O22+Q22+Z22</f>
        <v/>
      </c>
      <c r="AC22">
        <f>O22+Q22+S22</f>
        <v/>
      </c>
    </row>
    <row r="23">
      <c r="A23" t="inlineStr">
        <is>
          <t>SIMULATED Multimodal Ad Study</t>
        </is>
      </c>
      <c r="B23" t="inlineStr">
        <is>
          <t>P22</t>
        </is>
      </c>
      <c r="C23" t="inlineStr">
        <is>
          <t>OTHER</t>
        </is>
      </c>
      <c r="D23" t="n">
        <v>0</v>
      </c>
      <c r="E23" t="inlineStr">
        <is>
          <t>Default</t>
        </is>
      </c>
      <c r="F23" t="inlineStr">
        <is>
          <t>Label6</t>
        </is>
      </c>
      <c r="G23" t="n">
        <v>6</v>
      </c>
      <c r="H23" t="inlineStr">
        <is>
          <t>Label4</t>
        </is>
      </c>
      <c r="I23" t="n">
        <v>4</v>
      </c>
      <c r="J23" t="inlineStr">
        <is>
          <t>Label2</t>
        </is>
      </c>
      <c r="K23" t="n">
        <v>2</v>
      </c>
      <c r="L23" t="inlineStr">
        <is>
          <t>Label2</t>
        </is>
      </c>
      <c r="M23" t="n">
        <v>2</v>
      </c>
      <c r="N23" t="inlineStr">
        <is>
          <t>Label6</t>
        </is>
      </c>
      <c r="O23" t="n">
        <v>6</v>
      </c>
      <c r="P23" t="inlineStr">
        <is>
          <t>Label6</t>
        </is>
      </c>
      <c r="Q23" t="n">
        <v>6</v>
      </c>
      <c r="R23" t="inlineStr">
        <is>
          <t>Label4</t>
        </is>
      </c>
      <c r="S23" t="n">
        <v>4</v>
      </c>
      <c r="T23" t="inlineStr">
        <is>
          <t>Label6</t>
        </is>
      </c>
      <c r="U23" t="n">
        <v>6</v>
      </c>
      <c r="V23">
        <f>UPPER(TRIM(B23))</f>
        <v/>
      </c>
      <c r="W23">
        <f>IFERROR(INDEX(SessionLog!$A$2:$A$26,MATCH(V23,SessionLog!$N$2:$N$26,0)),"NOT FOUND")</f>
        <v/>
      </c>
      <c r="X23">
        <f>IF(K23=1,1,0)</f>
        <v/>
      </c>
      <c r="Y23">
        <f>IF(M23=2,1,0)</f>
        <v/>
      </c>
      <c r="Z23">
        <f>8-S23</f>
        <v/>
      </c>
      <c r="AA23" s="5">
        <f>AVERAGE(O23,Q23,Z23)</f>
        <v/>
      </c>
      <c r="AB23">
        <f>O23+Q23+Z23</f>
        <v/>
      </c>
      <c r="AC23">
        <f>O23+Q23+S23</f>
        <v/>
      </c>
    </row>
    <row r="24">
      <c r="A24" t="inlineStr">
        <is>
          <t>SIMULATED Multimodal Ad Study</t>
        </is>
      </c>
      <c r="B24" t="inlineStr">
        <is>
          <t>P23</t>
        </is>
      </c>
      <c r="C24" t="inlineStr">
        <is>
          <t>MALE</t>
        </is>
      </c>
      <c r="D24" t="n">
        <v>20</v>
      </c>
      <c r="E24" t="inlineStr">
        <is>
          <t>AB</t>
        </is>
      </c>
      <c r="F24" t="inlineStr">
        <is>
          <t>Label4</t>
        </is>
      </c>
      <c r="G24" t="n">
        <v>4</v>
      </c>
      <c r="H24" t="inlineStr">
        <is>
          <t>Label3</t>
        </is>
      </c>
      <c r="I24" t="n">
        <v>3</v>
      </c>
      <c r="J24" t="inlineStr">
        <is>
          <t>Label5</t>
        </is>
      </c>
      <c r="K24" t="n">
        <v>5</v>
      </c>
      <c r="L24" t="inlineStr">
        <is>
          <t>Label2</t>
        </is>
      </c>
      <c r="M24" t="n">
        <v>2</v>
      </c>
      <c r="N24" t="inlineStr">
        <is>
          <t>Label4</t>
        </is>
      </c>
      <c r="O24" t="n">
        <v>4</v>
      </c>
      <c r="P24" t="inlineStr">
        <is>
          <t>Label5</t>
        </is>
      </c>
      <c r="Q24" t="n">
        <v>5</v>
      </c>
      <c r="R24" t="inlineStr">
        <is>
          <t>Label4</t>
        </is>
      </c>
      <c r="S24" t="n">
        <v>4</v>
      </c>
      <c r="T24" t="inlineStr">
        <is>
          <t>Label4</t>
        </is>
      </c>
      <c r="U24" t="n">
        <v>4</v>
      </c>
      <c r="V24">
        <f>UPPER(TRIM(B24))</f>
        <v/>
      </c>
      <c r="W24">
        <f>IFERROR(INDEX(SessionLog!$A$2:$A$26,MATCH(V24,SessionLog!$N$2:$N$26,0)),"NOT FOUND")</f>
        <v/>
      </c>
      <c r="X24">
        <f>IF(K24=1,1,0)</f>
        <v/>
      </c>
      <c r="Y24">
        <f>IF(M24=2,1,0)</f>
        <v/>
      </c>
      <c r="Z24">
        <f>8-S24</f>
        <v/>
      </c>
      <c r="AA24" s="5">
        <f>AVERAGE(O24,Q24,Z24)</f>
        <v/>
      </c>
      <c r="AB24">
        <f>O24+Q24+Z24</f>
        <v/>
      </c>
      <c r="AC24">
        <f>O24+Q24+S24</f>
        <v/>
      </c>
    </row>
    <row r="25">
      <c r="A25" t="inlineStr">
        <is>
          <t>SIMULATED Multimodal Ad Study</t>
        </is>
      </c>
      <c r="B25" t="inlineStr">
        <is>
          <t>P24</t>
        </is>
      </c>
      <c r="C25" t="inlineStr">
        <is>
          <t>FEMALE</t>
        </is>
      </c>
      <c r="D25" t="n">
        <v>19</v>
      </c>
      <c r="E25" t="inlineStr">
        <is>
          <t>BA</t>
        </is>
      </c>
      <c r="F25" t="inlineStr">
        <is>
          <t>Label6</t>
        </is>
      </c>
      <c r="G25" t="n">
        <v>6</v>
      </c>
      <c r="H25" t="inlineStr">
        <is>
          <t>Label5</t>
        </is>
      </c>
      <c r="I25" t="n">
        <v>5</v>
      </c>
      <c r="J25" t="inlineStr">
        <is>
          <t>Label1</t>
        </is>
      </c>
      <c r="K25" t="n">
        <v>1</v>
      </c>
      <c r="L25" t="inlineStr">
        <is>
          <t>Label2</t>
        </is>
      </c>
      <c r="M25" t="n">
        <v>2</v>
      </c>
      <c r="N25" t="inlineStr">
        <is>
          <t>Label5</t>
        </is>
      </c>
      <c r="O25" t="n">
        <v>5</v>
      </c>
      <c r="P25" t="inlineStr">
        <is>
          <t>Label5</t>
        </is>
      </c>
      <c r="Q25" t="n">
        <v>5</v>
      </c>
      <c r="R25" t="inlineStr">
        <is>
          <t>Label4</t>
        </is>
      </c>
      <c r="S25" t="n">
        <v>4</v>
      </c>
      <c r="T25" t="inlineStr">
        <is>
          <t>Label2</t>
        </is>
      </c>
      <c r="U25" t="n">
        <v>2</v>
      </c>
      <c r="V25">
        <f>UPPER(TRIM(B25))</f>
        <v/>
      </c>
      <c r="W25">
        <f>IFERROR(INDEX(SessionLog!$A$2:$A$26,MATCH(V25,SessionLog!$N$2:$N$26,0)),"NOT FOUND")</f>
        <v/>
      </c>
      <c r="X25">
        <f>IF(K25=1,1,0)</f>
        <v/>
      </c>
      <c r="Y25">
        <f>IF(M25=2,1,0)</f>
        <v/>
      </c>
      <c r="Z25">
        <f>8-S25</f>
        <v/>
      </c>
      <c r="AA25" s="5">
        <f>AVERAGE(O25,Q25,Z25)</f>
        <v/>
      </c>
      <c r="AB25">
        <f>O25+Q25+Z25</f>
        <v/>
      </c>
      <c r="AC25">
        <f>O25+Q25+S25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Respondent_Name</t>
        </is>
      </c>
      <c r="B1" s="2" t="inlineStr">
        <is>
          <t>Stim_Name</t>
        </is>
      </c>
      <c r="C1" s="2" t="inlineStr">
        <is>
          <t>Eye tracking_SamplingRate</t>
        </is>
      </c>
      <c r="D1" s="2" t="inlineStr">
        <is>
          <t>Eye tracking_Quality</t>
        </is>
      </c>
      <c r="E1" s="2" t="inlineStr">
        <is>
          <t>Affectiva AFFDEX_SamplingRate</t>
        </is>
      </c>
      <c r="F1" s="2" t="inlineStr">
        <is>
          <t>Affectiva AFFDEX_Quality</t>
        </is>
      </c>
      <c r="G1" s="2" t="inlineStr">
        <is>
          <t>Shimmer GSR_SamplingRate</t>
        </is>
      </c>
      <c r="H1" s="2" t="inlineStr">
        <is>
          <t>Shimmer GSR_Quality</t>
        </is>
      </c>
      <c r="I1" s="3" t="inlineStr">
        <is>
          <t>Key = UPPER(TRIM())</t>
        </is>
      </c>
      <c r="J1" s="3" t="inlineStr">
        <is>
          <t>Participant</t>
        </is>
      </c>
      <c r="K1" s="3" t="inlineStr">
        <is>
          <t>Use recording</t>
        </is>
      </c>
      <c r="L1" s="3" t="inlineStr">
        <is>
          <t>Lookup key</t>
        </is>
      </c>
      <c r="M1" s="3" t="inlineStr">
        <is>
          <t>LEN of the raw name</t>
        </is>
      </c>
    </row>
    <row r="2">
      <c r="A2" t="inlineStr">
        <is>
          <t>P01</t>
        </is>
      </c>
      <c r="B2" t="inlineStr">
        <is>
          <t>Instructions</t>
        </is>
      </c>
      <c r="C2" t="n">
        <v>60</v>
      </c>
      <c r="D2" t="n">
        <v>99</v>
      </c>
      <c r="E2" t="n">
        <v>29</v>
      </c>
      <c r="F2" t="n">
        <v>91</v>
      </c>
      <c r="G2" t="n">
        <v>127</v>
      </c>
      <c r="H2" t="n">
        <v>100</v>
      </c>
      <c r="I2">
        <f>UPPER(TRIM(A2))</f>
        <v/>
      </c>
      <c r="J2">
        <f>IFERROR(INDEX(SessionLog!$A$2:$A$26,MATCH(I2,SessionLog!$N$2:$N$26,0)),"NOT FOUND")</f>
        <v/>
      </c>
      <c r="K2">
        <f>IFERROR(INDEX(SessionLog!$L$2:$L$26,MATCH(I2,SessionLog!$N$2:$N$26,0)),"NOT FOUND")</f>
        <v/>
      </c>
      <c r="L2">
        <f>IF(K2="Yes",J2&amp;"|"&amp;B2,"DROP")</f>
        <v/>
      </c>
      <c r="M2">
        <f>LEN(A2)</f>
        <v/>
      </c>
    </row>
    <row r="3">
      <c r="A3" t="inlineStr">
        <is>
          <t>P01</t>
        </is>
      </c>
      <c r="B3" t="inlineStr">
        <is>
          <t>Baseline</t>
        </is>
      </c>
      <c r="C3" t="n">
        <v>60</v>
      </c>
      <c r="D3" t="n">
        <v>92</v>
      </c>
      <c r="E3" t="n">
        <v>30</v>
      </c>
      <c r="F3" t="n">
        <v>93</v>
      </c>
      <c r="G3" t="n">
        <v>128</v>
      </c>
      <c r="H3" t="n">
        <v>100</v>
      </c>
      <c r="I3">
        <f>UPPER(TRIM(A3))</f>
        <v/>
      </c>
      <c r="J3">
        <f>IFERROR(INDEX(SessionLog!$A$2:$A$26,MATCH(I3,SessionLog!$N$2:$N$26,0)),"NOT FOUND")</f>
        <v/>
      </c>
      <c r="K3">
        <f>IFERROR(INDEX(SessionLog!$L$2:$L$26,MATCH(I3,SessionLog!$N$2:$N$26,0)),"NOT FOUND")</f>
        <v/>
      </c>
      <c r="L3">
        <f>IF(K3="Yes",J3&amp;"|"&amp;B3,"DROP")</f>
        <v/>
      </c>
      <c r="M3">
        <f>LEN(A3)</f>
        <v/>
      </c>
    </row>
    <row r="4">
      <c r="A4" t="inlineStr">
        <is>
          <t>P01</t>
        </is>
      </c>
      <c r="B4" t="inlineStr">
        <is>
          <t>Ad_A</t>
        </is>
      </c>
      <c r="C4" t="n">
        <v>60</v>
      </c>
      <c r="D4" t="n">
        <v>95</v>
      </c>
      <c r="E4" t="n">
        <v>29</v>
      </c>
      <c r="F4" t="n">
        <v>93</v>
      </c>
      <c r="G4" t="n">
        <v>128</v>
      </c>
      <c r="H4" t="n">
        <v>100</v>
      </c>
      <c r="I4">
        <f>UPPER(TRIM(A4))</f>
        <v/>
      </c>
      <c r="J4">
        <f>IFERROR(INDEX(SessionLog!$A$2:$A$26,MATCH(I4,SessionLog!$N$2:$N$26,0)),"NOT FOUND")</f>
        <v/>
      </c>
      <c r="K4">
        <f>IFERROR(INDEX(SessionLog!$L$2:$L$26,MATCH(I4,SessionLog!$N$2:$N$26,0)),"NOT FOUND")</f>
        <v/>
      </c>
      <c r="L4">
        <f>IF(K4="Yes",J4&amp;"|"&amp;B4,"DROP")</f>
        <v/>
      </c>
      <c r="M4">
        <f>LEN(A4)</f>
        <v/>
      </c>
    </row>
    <row r="5">
      <c r="A5" t="inlineStr">
        <is>
          <t>P01</t>
        </is>
      </c>
      <c r="B5" t="inlineStr">
        <is>
          <t>Ad_B</t>
        </is>
      </c>
      <c r="C5" t="n">
        <v>60</v>
      </c>
      <c r="D5" t="n">
        <v>95</v>
      </c>
      <c r="E5" t="n">
        <v>29</v>
      </c>
      <c r="F5" t="n">
        <v>91</v>
      </c>
      <c r="G5" t="n">
        <v>127</v>
      </c>
      <c r="H5" t="n">
        <v>100</v>
      </c>
      <c r="I5">
        <f>UPPER(TRIM(A5))</f>
        <v/>
      </c>
      <c r="J5">
        <f>IFERROR(INDEX(SessionLog!$A$2:$A$26,MATCH(I5,SessionLog!$N$2:$N$26,0)),"NOT FOUND")</f>
        <v/>
      </c>
      <c r="K5">
        <f>IFERROR(INDEX(SessionLog!$L$2:$L$26,MATCH(I5,SessionLog!$N$2:$N$26,0)),"NOT FOUND")</f>
        <v/>
      </c>
      <c r="L5">
        <f>IF(K5="Yes",J5&amp;"|"&amp;B5,"DROP")</f>
        <v/>
      </c>
      <c r="M5">
        <f>LEN(A5)</f>
        <v/>
      </c>
    </row>
    <row r="6">
      <c r="A6" t="inlineStr">
        <is>
          <t>P01</t>
        </is>
      </c>
      <c r="B6" t="inlineStr">
        <is>
          <t>Questionnaire</t>
        </is>
      </c>
      <c r="C6" t="n">
        <v>59</v>
      </c>
      <c r="D6" t="n">
        <v>99</v>
      </c>
      <c r="E6" t="n">
        <v>29</v>
      </c>
      <c r="F6" t="n">
        <v>93</v>
      </c>
      <c r="G6" t="n">
        <v>127</v>
      </c>
      <c r="H6" t="n">
        <v>100</v>
      </c>
      <c r="I6">
        <f>UPPER(TRIM(A6))</f>
        <v/>
      </c>
      <c r="J6">
        <f>IFERROR(INDEX(SessionLog!$A$2:$A$26,MATCH(I6,SessionLog!$N$2:$N$26,0)),"NOT FOUND")</f>
        <v/>
      </c>
      <c r="K6">
        <f>IFERROR(INDEX(SessionLog!$L$2:$L$26,MATCH(I6,SessionLog!$N$2:$N$26,0)),"NOT FOUND")</f>
        <v/>
      </c>
      <c r="L6">
        <f>IF(K6="Yes",J6&amp;"|"&amp;B6,"DROP")</f>
        <v/>
      </c>
      <c r="M6">
        <f>LEN(A6)</f>
        <v/>
      </c>
    </row>
    <row r="7">
      <c r="A7" t="inlineStr">
        <is>
          <t>P02</t>
        </is>
      </c>
      <c r="B7" t="inlineStr">
        <is>
          <t>Instructions</t>
        </is>
      </c>
      <c r="C7" t="n">
        <v>60</v>
      </c>
      <c r="D7" t="n">
        <v>95</v>
      </c>
      <c r="E7" t="n">
        <v>30</v>
      </c>
      <c r="F7" t="n">
        <v>95</v>
      </c>
      <c r="G7" t="n">
        <v>127</v>
      </c>
      <c r="H7" t="n">
        <v>100</v>
      </c>
      <c r="I7">
        <f>UPPER(TRIM(A7))</f>
        <v/>
      </c>
      <c r="J7">
        <f>IFERROR(INDEX(SessionLog!$A$2:$A$26,MATCH(I7,SessionLog!$N$2:$N$26,0)),"NOT FOUND")</f>
        <v/>
      </c>
      <c r="K7">
        <f>IFERROR(INDEX(SessionLog!$L$2:$L$26,MATCH(I7,SessionLog!$N$2:$N$26,0)),"NOT FOUND")</f>
        <v/>
      </c>
      <c r="L7">
        <f>IF(K7="Yes",J7&amp;"|"&amp;B7,"DROP")</f>
        <v/>
      </c>
      <c r="M7">
        <f>LEN(A7)</f>
        <v/>
      </c>
    </row>
    <row r="8">
      <c r="A8" t="inlineStr">
        <is>
          <t>P02</t>
        </is>
      </c>
      <c r="B8" t="inlineStr">
        <is>
          <t>Baseline</t>
        </is>
      </c>
      <c r="C8" t="n">
        <v>60</v>
      </c>
      <c r="D8" t="n">
        <v>96</v>
      </c>
      <c r="E8" t="n">
        <v>29</v>
      </c>
      <c r="F8" t="n">
        <v>99</v>
      </c>
      <c r="G8" t="n">
        <v>127</v>
      </c>
      <c r="H8" t="n">
        <v>100</v>
      </c>
      <c r="I8">
        <f>UPPER(TRIM(A8))</f>
        <v/>
      </c>
      <c r="J8">
        <f>IFERROR(INDEX(SessionLog!$A$2:$A$26,MATCH(I8,SessionLog!$N$2:$N$26,0)),"NOT FOUND")</f>
        <v/>
      </c>
      <c r="K8">
        <f>IFERROR(INDEX(SessionLog!$L$2:$L$26,MATCH(I8,SessionLog!$N$2:$N$26,0)),"NOT FOUND")</f>
        <v/>
      </c>
      <c r="L8">
        <f>IF(K8="Yes",J8&amp;"|"&amp;B8,"DROP")</f>
        <v/>
      </c>
      <c r="M8">
        <f>LEN(A8)</f>
        <v/>
      </c>
    </row>
    <row r="9">
      <c r="A9" t="inlineStr">
        <is>
          <t>P02</t>
        </is>
      </c>
      <c r="B9" t="inlineStr">
        <is>
          <t>Ad_B</t>
        </is>
      </c>
      <c r="C9" t="n">
        <v>60</v>
      </c>
      <c r="D9" t="n">
        <v>94</v>
      </c>
      <c r="E9" t="n">
        <v>30</v>
      </c>
      <c r="F9" t="n">
        <v>98</v>
      </c>
      <c r="G9" t="n">
        <v>126</v>
      </c>
      <c r="H9" t="n">
        <v>99</v>
      </c>
      <c r="I9">
        <f>UPPER(TRIM(A9))</f>
        <v/>
      </c>
      <c r="J9">
        <f>IFERROR(INDEX(SessionLog!$A$2:$A$26,MATCH(I9,SessionLog!$N$2:$N$26,0)),"NOT FOUND")</f>
        <v/>
      </c>
      <c r="K9">
        <f>IFERROR(INDEX(SessionLog!$L$2:$L$26,MATCH(I9,SessionLog!$N$2:$N$26,0)),"NOT FOUND")</f>
        <v/>
      </c>
      <c r="L9">
        <f>IF(K9="Yes",J9&amp;"|"&amp;B9,"DROP")</f>
        <v/>
      </c>
      <c r="M9">
        <f>LEN(A9)</f>
        <v/>
      </c>
    </row>
    <row r="10">
      <c r="A10" t="inlineStr">
        <is>
          <t>P02</t>
        </is>
      </c>
      <c r="B10" t="inlineStr">
        <is>
          <t>Ad_A</t>
        </is>
      </c>
      <c r="C10" t="n">
        <v>60</v>
      </c>
      <c r="D10" t="n">
        <v>94</v>
      </c>
      <c r="E10" t="n">
        <v>29</v>
      </c>
      <c r="F10" t="n">
        <v>97</v>
      </c>
      <c r="G10" t="n">
        <v>127</v>
      </c>
      <c r="H10" t="n">
        <v>100</v>
      </c>
      <c r="I10">
        <f>UPPER(TRIM(A10))</f>
        <v/>
      </c>
      <c r="J10">
        <f>IFERROR(INDEX(SessionLog!$A$2:$A$26,MATCH(I10,SessionLog!$N$2:$N$26,0)),"NOT FOUND")</f>
        <v/>
      </c>
      <c r="K10">
        <f>IFERROR(INDEX(SessionLog!$L$2:$L$26,MATCH(I10,SessionLog!$N$2:$N$26,0)),"NOT FOUND")</f>
        <v/>
      </c>
      <c r="L10">
        <f>IF(K10="Yes",J10&amp;"|"&amp;B10,"DROP")</f>
        <v/>
      </c>
      <c r="M10">
        <f>LEN(A10)</f>
        <v/>
      </c>
    </row>
    <row r="11">
      <c r="A11" t="inlineStr">
        <is>
          <t>P02</t>
        </is>
      </c>
      <c r="B11" t="inlineStr">
        <is>
          <t>Questionnaire</t>
        </is>
      </c>
      <c r="C11" t="n">
        <v>60</v>
      </c>
      <c r="D11" t="n">
        <v>96</v>
      </c>
      <c r="E11" t="n">
        <v>29</v>
      </c>
      <c r="F11" t="n">
        <v>99</v>
      </c>
      <c r="G11" t="n">
        <v>127</v>
      </c>
      <c r="H11" t="n">
        <v>100</v>
      </c>
      <c r="I11">
        <f>UPPER(TRIM(A11))</f>
        <v/>
      </c>
      <c r="J11">
        <f>IFERROR(INDEX(SessionLog!$A$2:$A$26,MATCH(I11,SessionLog!$N$2:$N$26,0)),"NOT FOUND")</f>
        <v/>
      </c>
      <c r="K11">
        <f>IFERROR(INDEX(SessionLog!$L$2:$L$26,MATCH(I11,SessionLog!$N$2:$N$26,0)),"NOT FOUND")</f>
        <v/>
      </c>
      <c r="L11">
        <f>IF(K11="Yes",J11&amp;"|"&amp;B11,"DROP")</f>
        <v/>
      </c>
      <c r="M11">
        <f>LEN(A11)</f>
        <v/>
      </c>
    </row>
    <row r="12">
      <c r="A12" t="inlineStr">
        <is>
          <t>P03</t>
        </is>
      </c>
      <c r="B12" t="inlineStr">
        <is>
          <t>Instructions</t>
        </is>
      </c>
      <c r="C12" t="n">
        <v>60</v>
      </c>
      <c r="D12" t="n">
        <v>98</v>
      </c>
      <c r="E12" t="n">
        <v>29</v>
      </c>
      <c r="F12" t="n">
        <v>97</v>
      </c>
      <c r="G12" t="n">
        <v>125</v>
      </c>
      <c r="H12" t="n">
        <v>99</v>
      </c>
      <c r="I12">
        <f>UPPER(TRIM(A12))</f>
        <v/>
      </c>
      <c r="J12">
        <f>IFERROR(INDEX(SessionLog!$A$2:$A$26,MATCH(I12,SessionLog!$N$2:$N$26,0)),"NOT FOUND")</f>
        <v/>
      </c>
      <c r="K12">
        <f>IFERROR(INDEX(SessionLog!$L$2:$L$26,MATCH(I12,SessionLog!$N$2:$N$26,0)),"NOT FOUND")</f>
        <v/>
      </c>
      <c r="L12">
        <f>IF(K12="Yes",J12&amp;"|"&amp;B12,"DROP")</f>
        <v/>
      </c>
      <c r="M12">
        <f>LEN(A12)</f>
        <v/>
      </c>
    </row>
    <row r="13">
      <c r="A13" t="inlineStr">
        <is>
          <t>P03</t>
        </is>
      </c>
      <c r="B13" t="inlineStr">
        <is>
          <t>Baseline</t>
        </is>
      </c>
      <c r="C13" t="n">
        <v>60</v>
      </c>
      <c r="D13" t="n">
        <v>96</v>
      </c>
      <c r="E13" t="n">
        <v>30</v>
      </c>
      <c r="F13" t="n">
        <v>98</v>
      </c>
      <c r="G13" t="n">
        <v>127</v>
      </c>
      <c r="H13" t="n">
        <v>100</v>
      </c>
      <c r="I13">
        <f>UPPER(TRIM(A13))</f>
        <v/>
      </c>
      <c r="J13">
        <f>IFERROR(INDEX(SessionLog!$A$2:$A$26,MATCH(I13,SessionLog!$N$2:$N$26,0)),"NOT FOUND")</f>
        <v/>
      </c>
      <c r="K13">
        <f>IFERROR(INDEX(SessionLog!$L$2:$L$26,MATCH(I13,SessionLog!$N$2:$N$26,0)),"NOT FOUND")</f>
        <v/>
      </c>
      <c r="L13">
        <f>IF(K13="Yes",J13&amp;"|"&amp;B13,"DROP")</f>
        <v/>
      </c>
      <c r="M13">
        <f>LEN(A13)</f>
        <v/>
      </c>
    </row>
    <row r="14">
      <c r="A14" t="inlineStr">
        <is>
          <t>P03</t>
        </is>
      </c>
      <c r="B14" t="inlineStr">
        <is>
          <t>Ad_A</t>
        </is>
      </c>
      <c r="C14" t="n">
        <v>60</v>
      </c>
      <c r="D14" t="n">
        <v>96</v>
      </c>
      <c r="E14" t="n">
        <v>29</v>
      </c>
      <c r="F14" t="n">
        <v>97</v>
      </c>
      <c r="G14" t="n">
        <v>127</v>
      </c>
      <c r="H14" t="n">
        <v>100</v>
      </c>
      <c r="I14">
        <f>UPPER(TRIM(A14))</f>
        <v/>
      </c>
      <c r="J14">
        <f>IFERROR(INDEX(SessionLog!$A$2:$A$26,MATCH(I14,SessionLog!$N$2:$N$26,0)),"NOT FOUND")</f>
        <v/>
      </c>
      <c r="K14">
        <f>IFERROR(INDEX(SessionLog!$L$2:$L$26,MATCH(I14,SessionLog!$N$2:$N$26,0)),"NOT FOUND")</f>
        <v/>
      </c>
      <c r="L14">
        <f>IF(K14="Yes",J14&amp;"|"&amp;B14,"DROP")</f>
        <v/>
      </c>
      <c r="M14">
        <f>LEN(A14)</f>
        <v/>
      </c>
    </row>
    <row r="15">
      <c r="A15" t="inlineStr">
        <is>
          <t>P03</t>
        </is>
      </c>
      <c r="B15" t="inlineStr">
        <is>
          <t>Ad_B</t>
        </is>
      </c>
      <c r="C15" t="n">
        <v>60</v>
      </c>
      <c r="D15" t="n">
        <v>95</v>
      </c>
      <c r="E15" t="n">
        <v>30</v>
      </c>
      <c r="F15" t="n">
        <v>98</v>
      </c>
      <c r="G15" t="n">
        <v>128</v>
      </c>
      <c r="H15" t="n">
        <v>100</v>
      </c>
      <c r="I15">
        <f>UPPER(TRIM(A15))</f>
        <v/>
      </c>
      <c r="J15">
        <f>IFERROR(INDEX(SessionLog!$A$2:$A$26,MATCH(I15,SessionLog!$N$2:$N$26,0)),"NOT FOUND")</f>
        <v/>
      </c>
      <c r="K15">
        <f>IFERROR(INDEX(SessionLog!$L$2:$L$26,MATCH(I15,SessionLog!$N$2:$N$26,0)),"NOT FOUND")</f>
        <v/>
      </c>
      <c r="L15">
        <f>IF(K15="Yes",J15&amp;"|"&amp;B15,"DROP")</f>
        <v/>
      </c>
      <c r="M15">
        <f>LEN(A15)</f>
        <v/>
      </c>
    </row>
    <row r="16">
      <c r="A16" t="inlineStr">
        <is>
          <t>P03</t>
        </is>
      </c>
      <c r="B16" t="inlineStr">
        <is>
          <t>Questionnaire</t>
        </is>
      </c>
      <c r="C16" t="n">
        <v>59</v>
      </c>
      <c r="D16" t="n">
        <v>96</v>
      </c>
      <c r="E16" t="n">
        <v>29</v>
      </c>
      <c r="F16" t="n">
        <v>98</v>
      </c>
      <c r="G16" t="n">
        <v>127</v>
      </c>
      <c r="H16" t="n">
        <v>100</v>
      </c>
      <c r="I16">
        <f>UPPER(TRIM(A16))</f>
        <v/>
      </c>
      <c r="J16">
        <f>IFERROR(INDEX(SessionLog!$A$2:$A$26,MATCH(I16,SessionLog!$N$2:$N$26,0)),"NOT FOUND")</f>
        <v/>
      </c>
      <c r="K16">
        <f>IFERROR(INDEX(SessionLog!$L$2:$L$26,MATCH(I16,SessionLog!$N$2:$N$26,0)),"NOT FOUND")</f>
        <v/>
      </c>
      <c r="L16">
        <f>IF(K16="Yes",J16&amp;"|"&amp;B16,"DROP")</f>
        <v/>
      </c>
      <c r="M16">
        <f>LEN(A16)</f>
        <v/>
      </c>
    </row>
    <row r="17">
      <c r="A17" t="inlineStr">
        <is>
          <t>P04</t>
        </is>
      </c>
      <c r="B17" t="inlineStr">
        <is>
          <t>Instructions</t>
        </is>
      </c>
      <c r="C17" t="n">
        <v>59</v>
      </c>
      <c r="D17" t="n">
        <v>30</v>
      </c>
      <c r="E17" t="n">
        <v>30</v>
      </c>
      <c r="F17" t="n">
        <v>90</v>
      </c>
      <c r="G17" t="n">
        <v>124</v>
      </c>
      <c r="H17" t="n">
        <v>98</v>
      </c>
      <c r="I17">
        <f>UPPER(TRIM(A17))</f>
        <v/>
      </c>
      <c r="J17">
        <f>IFERROR(INDEX(SessionLog!$A$2:$A$26,MATCH(I17,SessionLog!$N$2:$N$26,0)),"NOT FOUND")</f>
        <v/>
      </c>
      <c r="K17">
        <f>IFERROR(INDEX(SessionLog!$L$2:$L$26,MATCH(I17,SessionLog!$N$2:$N$26,0)),"NOT FOUND")</f>
        <v/>
      </c>
      <c r="L17">
        <f>IF(K17="Yes",J17&amp;"|"&amp;B17,"DROP")</f>
        <v/>
      </c>
      <c r="M17">
        <f>LEN(A17)</f>
        <v/>
      </c>
    </row>
    <row r="18">
      <c r="A18" t="inlineStr">
        <is>
          <t>P04</t>
        </is>
      </c>
      <c r="B18" t="inlineStr">
        <is>
          <t>Baseline</t>
        </is>
      </c>
      <c r="C18" t="n">
        <v>59</v>
      </c>
      <c r="D18" t="n">
        <v>30</v>
      </c>
      <c r="E18" t="n">
        <v>30</v>
      </c>
      <c r="F18" t="n">
        <v>90</v>
      </c>
      <c r="G18" t="n">
        <v>127</v>
      </c>
      <c r="H18" t="n">
        <v>100</v>
      </c>
      <c r="I18">
        <f>UPPER(TRIM(A18))</f>
        <v/>
      </c>
      <c r="J18">
        <f>IFERROR(INDEX(SessionLog!$A$2:$A$26,MATCH(I18,SessionLog!$N$2:$N$26,0)),"NOT FOUND")</f>
        <v/>
      </c>
      <c r="K18">
        <f>IFERROR(INDEX(SessionLog!$L$2:$L$26,MATCH(I18,SessionLog!$N$2:$N$26,0)),"NOT FOUND")</f>
        <v/>
      </c>
      <c r="L18">
        <f>IF(K18="Yes",J18&amp;"|"&amp;B18,"DROP")</f>
        <v/>
      </c>
      <c r="M18">
        <f>LEN(A18)</f>
        <v/>
      </c>
    </row>
    <row r="19">
      <c r="A19" t="inlineStr">
        <is>
          <t>P04_rerun</t>
        </is>
      </c>
      <c r="B19" t="inlineStr">
        <is>
          <t>Instructions</t>
        </is>
      </c>
      <c r="C19" t="n">
        <v>60</v>
      </c>
      <c r="D19" t="n">
        <v>95</v>
      </c>
      <c r="E19" t="n">
        <v>30</v>
      </c>
      <c r="F19" t="n">
        <v>89</v>
      </c>
      <c r="G19" t="n">
        <v>127</v>
      </c>
      <c r="H19" t="n">
        <v>100</v>
      </c>
      <c r="I19">
        <f>UPPER(TRIM(A19))</f>
        <v/>
      </c>
      <c r="J19">
        <f>IFERROR(INDEX(SessionLog!$A$2:$A$26,MATCH(I19,SessionLog!$N$2:$N$26,0)),"NOT FOUND")</f>
        <v/>
      </c>
      <c r="K19">
        <f>IFERROR(INDEX(SessionLog!$L$2:$L$26,MATCH(I19,SessionLog!$N$2:$N$26,0)),"NOT FOUND")</f>
        <v/>
      </c>
      <c r="L19">
        <f>IF(K19="Yes",J19&amp;"|"&amp;B19,"DROP")</f>
        <v/>
      </c>
      <c r="M19">
        <f>LEN(A19)</f>
        <v/>
      </c>
    </row>
    <row r="20">
      <c r="A20" t="inlineStr">
        <is>
          <t>P04_rerun</t>
        </is>
      </c>
      <c r="B20" t="inlineStr">
        <is>
          <t>Baseline</t>
        </is>
      </c>
      <c r="C20" t="n">
        <v>60</v>
      </c>
      <c r="D20" t="n">
        <v>95</v>
      </c>
      <c r="E20" t="n">
        <v>29</v>
      </c>
      <c r="F20" t="n">
        <v>90</v>
      </c>
      <c r="G20" t="n">
        <v>127</v>
      </c>
      <c r="H20" t="n">
        <v>100</v>
      </c>
      <c r="I20">
        <f>UPPER(TRIM(A20))</f>
        <v/>
      </c>
      <c r="J20">
        <f>IFERROR(INDEX(SessionLog!$A$2:$A$26,MATCH(I20,SessionLog!$N$2:$N$26,0)),"NOT FOUND")</f>
        <v/>
      </c>
      <c r="K20">
        <f>IFERROR(INDEX(SessionLog!$L$2:$L$26,MATCH(I20,SessionLog!$N$2:$N$26,0)),"NOT FOUND")</f>
        <v/>
      </c>
      <c r="L20">
        <f>IF(K20="Yes",J20&amp;"|"&amp;B20,"DROP")</f>
        <v/>
      </c>
      <c r="M20">
        <f>LEN(A20)</f>
        <v/>
      </c>
    </row>
    <row r="21">
      <c r="A21" t="inlineStr">
        <is>
          <t>P04_rerun</t>
        </is>
      </c>
      <c r="B21" t="inlineStr">
        <is>
          <t>Ad_B</t>
        </is>
      </c>
      <c r="C21" t="n">
        <v>59</v>
      </c>
      <c r="D21" t="n">
        <v>94</v>
      </c>
      <c r="E21" t="n">
        <v>29</v>
      </c>
      <c r="F21" t="n">
        <v>90</v>
      </c>
      <c r="G21" t="n">
        <v>125</v>
      </c>
      <c r="H21" t="n">
        <v>99</v>
      </c>
      <c r="I21">
        <f>UPPER(TRIM(A21))</f>
        <v/>
      </c>
      <c r="J21">
        <f>IFERROR(INDEX(SessionLog!$A$2:$A$26,MATCH(I21,SessionLog!$N$2:$N$26,0)),"NOT FOUND")</f>
        <v/>
      </c>
      <c r="K21">
        <f>IFERROR(INDEX(SessionLog!$L$2:$L$26,MATCH(I21,SessionLog!$N$2:$N$26,0)),"NOT FOUND")</f>
        <v/>
      </c>
      <c r="L21">
        <f>IF(K21="Yes",J21&amp;"|"&amp;B21,"DROP")</f>
        <v/>
      </c>
      <c r="M21">
        <f>LEN(A21)</f>
        <v/>
      </c>
    </row>
    <row r="22">
      <c r="A22" t="inlineStr">
        <is>
          <t>P04_rerun</t>
        </is>
      </c>
      <c r="B22" t="inlineStr">
        <is>
          <t>Ad_A</t>
        </is>
      </c>
      <c r="C22" t="n">
        <v>60</v>
      </c>
      <c r="D22" t="n">
        <v>94</v>
      </c>
      <c r="E22" t="n">
        <v>29</v>
      </c>
      <c r="F22" t="n">
        <v>90</v>
      </c>
      <c r="G22" t="n">
        <v>128</v>
      </c>
      <c r="H22" t="n">
        <v>100</v>
      </c>
      <c r="I22">
        <f>UPPER(TRIM(A22))</f>
        <v/>
      </c>
      <c r="J22">
        <f>IFERROR(INDEX(SessionLog!$A$2:$A$26,MATCH(I22,SessionLog!$N$2:$N$26,0)),"NOT FOUND")</f>
        <v/>
      </c>
      <c r="K22">
        <f>IFERROR(INDEX(SessionLog!$L$2:$L$26,MATCH(I22,SessionLog!$N$2:$N$26,0)),"NOT FOUND")</f>
        <v/>
      </c>
      <c r="L22">
        <f>IF(K22="Yes",J22&amp;"|"&amp;B22,"DROP")</f>
        <v/>
      </c>
      <c r="M22">
        <f>LEN(A22)</f>
        <v/>
      </c>
    </row>
    <row r="23">
      <c r="A23" t="inlineStr">
        <is>
          <t>P04_rerun</t>
        </is>
      </c>
      <c r="B23" t="inlineStr">
        <is>
          <t>Questionnaire</t>
        </is>
      </c>
      <c r="C23" t="n">
        <v>59</v>
      </c>
      <c r="D23" t="n">
        <v>95</v>
      </c>
      <c r="E23" t="n">
        <v>30</v>
      </c>
      <c r="F23" t="n">
        <v>91</v>
      </c>
      <c r="G23" t="n">
        <v>127</v>
      </c>
      <c r="H23" t="n">
        <v>100</v>
      </c>
      <c r="I23">
        <f>UPPER(TRIM(A23))</f>
        <v/>
      </c>
      <c r="J23">
        <f>IFERROR(INDEX(SessionLog!$A$2:$A$26,MATCH(I23,SessionLog!$N$2:$N$26,0)),"NOT FOUND")</f>
        <v/>
      </c>
      <c r="K23">
        <f>IFERROR(INDEX(SessionLog!$L$2:$L$26,MATCH(I23,SessionLog!$N$2:$N$26,0)),"NOT FOUND")</f>
        <v/>
      </c>
      <c r="L23">
        <f>IF(K23="Yes",J23&amp;"|"&amp;B23,"DROP")</f>
        <v/>
      </c>
      <c r="M23">
        <f>LEN(A23)</f>
        <v/>
      </c>
    </row>
    <row r="24">
      <c r="A24" t="inlineStr">
        <is>
          <t>P05</t>
        </is>
      </c>
      <c r="B24" t="inlineStr">
        <is>
          <t>Instructions</t>
        </is>
      </c>
      <c r="C24" t="n">
        <v>59</v>
      </c>
      <c r="D24" t="n">
        <v>96</v>
      </c>
      <c r="E24" t="n">
        <v>29</v>
      </c>
      <c r="F24" t="n">
        <v>95</v>
      </c>
      <c r="G24" t="n">
        <v>127</v>
      </c>
      <c r="H24" t="n">
        <v>100</v>
      </c>
      <c r="I24">
        <f>UPPER(TRIM(A24))</f>
        <v/>
      </c>
      <c r="J24">
        <f>IFERROR(INDEX(SessionLog!$A$2:$A$26,MATCH(I24,SessionLog!$N$2:$N$26,0)),"NOT FOUND")</f>
        <v/>
      </c>
      <c r="K24">
        <f>IFERROR(INDEX(SessionLog!$L$2:$L$26,MATCH(I24,SessionLog!$N$2:$N$26,0)),"NOT FOUND")</f>
        <v/>
      </c>
      <c r="L24">
        <f>IF(K24="Yes",J24&amp;"|"&amp;B24,"DROP")</f>
        <v/>
      </c>
      <c r="M24">
        <f>LEN(A24)</f>
        <v/>
      </c>
    </row>
    <row r="25">
      <c r="A25" t="inlineStr">
        <is>
          <t>P05</t>
        </is>
      </c>
      <c r="B25" t="inlineStr">
        <is>
          <t>Baseline</t>
        </is>
      </c>
      <c r="C25" t="n">
        <v>59</v>
      </c>
      <c r="D25" t="n">
        <v>94</v>
      </c>
      <c r="E25" t="n">
        <v>29</v>
      </c>
      <c r="F25" t="n">
        <v>96</v>
      </c>
      <c r="G25" t="n">
        <v>126</v>
      </c>
      <c r="H25" t="n">
        <v>100</v>
      </c>
      <c r="I25">
        <f>UPPER(TRIM(A25))</f>
        <v/>
      </c>
      <c r="J25">
        <f>IFERROR(INDEX(SessionLog!$A$2:$A$26,MATCH(I25,SessionLog!$N$2:$N$26,0)),"NOT FOUND")</f>
        <v/>
      </c>
      <c r="K25">
        <f>IFERROR(INDEX(SessionLog!$L$2:$L$26,MATCH(I25,SessionLog!$N$2:$N$26,0)),"NOT FOUND")</f>
        <v/>
      </c>
      <c r="L25">
        <f>IF(K25="Yes",J25&amp;"|"&amp;B25,"DROP")</f>
        <v/>
      </c>
      <c r="M25">
        <f>LEN(A25)</f>
        <v/>
      </c>
    </row>
    <row r="26">
      <c r="A26" t="inlineStr">
        <is>
          <t>P05</t>
        </is>
      </c>
      <c r="B26" t="inlineStr">
        <is>
          <t>Ad_A</t>
        </is>
      </c>
      <c r="C26" t="n">
        <v>60</v>
      </c>
      <c r="D26" t="n">
        <v>94</v>
      </c>
      <c r="E26" t="n">
        <v>29</v>
      </c>
      <c r="F26" t="n">
        <v>95</v>
      </c>
      <c r="G26" t="n">
        <v>127</v>
      </c>
      <c r="H26" t="n">
        <v>100</v>
      </c>
      <c r="I26">
        <f>UPPER(TRIM(A26))</f>
        <v/>
      </c>
      <c r="J26">
        <f>IFERROR(INDEX(SessionLog!$A$2:$A$26,MATCH(I26,SessionLog!$N$2:$N$26,0)),"NOT FOUND")</f>
        <v/>
      </c>
      <c r="K26">
        <f>IFERROR(INDEX(SessionLog!$L$2:$L$26,MATCH(I26,SessionLog!$N$2:$N$26,0)),"NOT FOUND")</f>
        <v/>
      </c>
      <c r="L26">
        <f>IF(K26="Yes",J26&amp;"|"&amp;B26,"DROP")</f>
        <v/>
      </c>
      <c r="M26">
        <f>LEN(A26)</f>
        <v/>
      </c>
    </row>
    <row r="27">
      <c r="A27" t="inlineStr">
        <is>
          <t>P05</t>
        </is>
      </c>
      <c r="B27" t="inlineStr">
        <is>
          <t>Ad_B</t>
        </is>
      </c>
      <c r="C27" t="n">
        <v>59</v>
      </c>
      <c r="D27" t="n">
        <v>94</v>
      </c>
      <c r="E27" t="n">
        <v>30</v>
      </c>
      <c r="F27" t="n">
        <v>95</v>
      </c>
      <c r="G27" t="n">
        <v>32</v>
      </c>
      <c r="H27" t="n">
        <v>26</v>
      </c>
      <c r="I27">
        <f>UPPER(TRIM(A27))</f>
        <v/>
      </c>
      <c r="J27">
        <f>IFERROR(INDEX(SessionLog!$A$2:$A$26,MATCH(I27,SessionLog!$N$2:$N$26,0)),"NOT FOUND")</f>
        <v/>
      </c>
      <c r="K27">
        <f>IFERROR(INDEX(SessionLog!$L$2:$L$26,MATCH(I27,SessionLog!$N$2:$N$26,0)),"NOT FOUND")</f>
        <v/>
      </c>
      <c r="L27">
        <f>IF(K27="Yes",J27&amp;"|"&amp;B27,"DROP")</f>
        <v/>
      </c>
      <c r="M27">
        <f>LEN(A27)</f>
        <v/>
      </c>
    </row>
    <row r="28">
      <c r="A28" t="inlineStr">
        <is>
          <t>P05</t>
        </is>
      </c>
      <c r="B28" t="inlineStr">
        <is>
          <t>Questionnaire</t>
        </is>
      </c>
      <c r="C28" t="n">
        <v>60</v>
      </c>
      <c r="D28" t="n">
        <v>93</v>
      </c>
      <c r="E28" t="n">
        <v>30</v>
      </c>
      <c r="F28" t="n">
        <v>96</v>
      </c>
      <c r="G28" t="n">
        <v>0</v>
      </c>
      <c r="H28" t="n">
        <v>0</v>
      </c>
      <c r="I28">
        <f>UPPER(TRIM(A28))</f>
        <v/>
      </c>
      <c r="J28">
        <f>IFERROR(INDEX(SessionLog!$A$2:$A$26,MATCH(I28,SessionLog!$N$2:$N$26,0)),"NOT FOUND")</f>
        <v/>
      </c>
      <c r="K28">
        <f>IFERROR(INDEX(SessionLog!$L$2:$L$26,MATCH(I28,SessionLog!$N$2:$N$26,0)),"NOT FOUND")</f>
        <v/>
      </c>
      <c r="L28">
        <f>IF(K28="Yes",J28&amp;"|"&amp;B28,"DROP")</f>
        <v/>
      </c>
      <c r="M28">
        <f>LEN(A28)</f>
        <v/>
      </c>
    </row>
    <row r="29">
      <c r="A29" t="inlineStr">
        <is>
          <t>P06</t>
        </is>
      </c>
      <c r="B29" t="inlineStr">
        <is>
          <t>Instructions</t>
        </is>
      </c>
      <c r="C29" t="n">
        <v>59</v>
      </c>
      <c r="D29" t="n">
        <v>95</v>
      </c>
      <c r="E29" t="n">
        <v>29</v>
      </c>
      <c r="F29" t="n">
        <v>97</v>
      </c>
      <c r="G29" t="n">
        <v>128</v>
      </c>
      <c r="H29" t="n">
        <v>100</v>
      </c>
      <c r="I29">
        <f>UPPER(TRIM(A29))</f>
        <v/>
      </c>
      <c r="J29">
        <f>IFERROR(INDEX(SessionLog!$A$2:$A$26,MATCH(I29,SessionLog!$N$2:$N$26,0)),"NOT FOUND")</f>
        <v/>
      </c>
      <c r="K29">
        <f>IFERROR(INDEX(SessionLog!$L$2:$L$26,MATCH(I29,SessionLog!$N$2:$N$26,0)),"NOT FOUND")</f>
        <v/>
      </c>
      <c r="L29">
        <f>IF(K29="Yes",J29&amp;"|"&amp;B29,"DROP")</f>
        <v/>
      </c>
      <c r="M29">
        <f>LEN(A29)</f>
        <v/>
      </c>
    </row>
    <row r="30">
      <c r="A30" t="inlineStr">
        <is>
          <t>P06</t>
        </is>
      </c>
      <c r="B30" t="inlineStr">
        <is>
          <t>Baseline</t>
        </is>
      </c>
      <c r="C30" t="n">
        <v>60</v>
      </c>
      <c r="D30" t="n">
        <v>96</v>
      </c>
      <c r="E30" t="n">
        <v>30</v>
      </c>
      <c r="F30" t="n">
        <v>98</v>
      </c>
      <c r="G30" t="n">
        <v>127</v>
      </c>
      <c r="H30" t="n">
        <v>100</v>
      </c>
      <c r="I30">
        <f>UPPER(TRIM(A30))</f>
        <v/>
      </c>
      <c r="J30">
        <f>IFERROR(INDEX(SessionLog!$A$2:$A$26,MATCH(I30,SessionLog!$N$2:$N$26,0)),"NOT FOUND")</f>
        <v/>
      </c>
      <c r="K30">
        <f>IFERROR(INDEX(SessionLog!$L$2:$L$26,MATCH(I30,SessionLog!$N$2:$N$26,0)),"NOT FOUND")</f>
        <v/>
      </c>
      <c r="L30">
        <f>IF(K30="Yes",J30&amp;"|"&amp;B30,"DROP")</f>
        <v/>
      </c>
      <c r="M30">
        <f>LEN(A30)</f>
        <v/>
      </c>
    </row>
    <row r="31">
      <c r="A31" t="inlineStr">
        <is>
          <t>P06</t>
        </is>
      </c>
      <c r="B31" t="inlineStr">
        <is>
          <t>Ad_B</t>
        </is>
      </c>
      <c r="C31" t="n">
        <v>60</v>
      </c>
      <c r="D31" t="n">
        <v>95</v>
      </c>
      <c r="E31" t="n">
        <v>30</v>
      </c>
      <c r="F31" t="n">
        <v>97</v>
      </c>
      <c r="G31" t="n">
        <v>127</v>
      </c>
      <c r="H31" t="n">
        <v>100</v>
      </c>
      <c r="I31">
        <f>UPPER(TRIM(A31))</f>
        <v/>
      </c>
      <c r="J31">
        <f>IFERROR(INDEX(SessionLog!$A$2:$A$26,MATCH(I31,SessionLog!$N$2:$N$26,0)),"NOT FOUND")</f>
        <v/>
      </c>
      <c r="K31">
        <f>IFERROR(INDEX(SessionLog!$L$2:$L$26,MATCH(I31,SessionLog!$N$2:$N$26,0)),"NOT FOUND")</f>
        <v/>
      </c>
      <c r="L31">
        <f>IF(K31="Yes",J31&amp;"|"&amp;B31,"DROP")</f>
        <v/>
      </c>
      <c r="M31">
        <f>LEN(A31)</f>
        <v/>
      </c>
    </row>
    <row r="32">
      <c r="A32" t="inlineStr">
        <is>
          <t>P06</t>
        </is>
      </c>
      <c r="B32" t="inlineStr">
        <is>
          <t>Ad_A</t>
        </is>
      </c>
      <c r="C32" t="n">
        <v>60</v>
      </c>
      <c r="D32" t="n">
        <v>95</v>
      </c>
      <c r="E32" t="n">
        <v>30</v>
      </c>
      <c r="F32" t="n">
        <v>96</v>
      </c>
      <c r="G32" t="n">
        <v>127</v>
      </c>
      <c r="H32" t="n">
        <v>100</v>
      </c>
      <c r="I32">
        <f>UPPER(TRIM(A32))</f>
        <v/>
      </c>
      <c r="J32">
        <f>IFERROR(INDEX(SessionLog!$A$2:$A$26,MATCH(I32,SessionLog!$N$2:$N$26,0)),"NOT FOUND")</f>
        <v/>
      </c>
      <c r="K32">
        <f>IFERROR(INDEX(SessionLog!$L$2:$L$26,MATCH(I32,SessionLog!$N$2:$N$26,0)),"NOT FOUND")</f>
        <v/>
      </c>
      <c r="L32">
        <f>IF(K32="Yes",J32&amp;"|"&amp;B32,"DROP")</f>
        <v/>
      </c>
      <c r="M32">
        <f>LEN(A32)</f>
        <v/>
      </c>
    </row>
    <row r="33">
      <c r="A33" t="inlineStr">
        <is>
          <t>P06</t>
        </is>
      </c>
      <c r="B33" t="inlineStr">
        <is>
          <t>Questionnaire</t>
        </is>
      </c>
      <c r="C33" t="n">
        <v>59</v>
      </c>
      <c r="D33" t="n">
        <v>94</v>
      </c>
      <c r="E33" t="n">
        <v>29</v>
      </c>
      <c r="F33" t="n">
        <v>97</v>
      </c>
      <c r="G33" t="n">
        <v>127</v>
      </c>
      <c r="H33" t="n">
        <v>100</v>
      </c>
      <c r="I33">
        <f>UPPER(TRIM(A33))</f>
        <v/>
      </c>
      <c r="J33">
        <f>IFERROR(INDEX(SessionLog!$A$2:$A$26,MATCH(I33,SessionLog!$N$2:$N$26,0)),"NOT FOUND")</f>
        <v/>
      </c>
      <c r="K33">
        <f>IFERROR(INDEX(SessionLog!$L$2:$L$26,MATCH(I33,SessionLog!$N$2:$N$26,0)),"NOT FOUND")</f>
        <v/>
      </c>
      <c r="L33">
        <f>IF(K33="Yes",J33&amp;"|"&amp;B33,"DROP")</f>
        <v/>
      </c>
      <c r="M33">
        <f>LEN(A33)</f>
        <v/>
      </c>
    </row>
    <row r="34">
      <c r="A34" t="inlineStr">
        <is>
          <t xml:space="preserve">P07 </t>
        </is>
      </c>
      <c r="B34" t="inlineStr">
        <is>
          <t>Instructions</t>
        </is>
      </c>
      <c r="C34" t="n">
        <v>60</v>
      </c>
      <c r="D34" t="n">
        <v>97</v>
      </c>
      <c r="E34" t="n">
        <v>29</v>
      </c>
      <c r="F34" t="n">
        <v>92</v>
      </c>
      <c r="G34" t="n">
        <v>127</v>
      </c>
      <c r="H34" t="n">
        <v>100</v>
      </c>
      <c r="I34">
        <f>UPPER(TRIM(A34))</f>
        <v/>
      </c>
      <c r="J34">
        <f>IFERROR(INDEX(SessionLog!$A$2:$A$26,MATCH(I34,SessionLog!$N$2:$N$26,0)),"NOT FOUND")</f>
        <v/>
      </c>
      <c r="K34">
        <f>IFERROR(INDEX(SessionLog!$L$2:$L$26,MATCH(I34,SessionLog!$N$2:$N$26,0)),"NOT FOUND")</f>
        <v/>
      </c>
      <c r="L34">
        <f>IF(K34="Yes",J34&amp;"|"&amp;B34,"DROP")</f>
        <v/>
      </c>
      <c r="M34">
        <f>LEN(A34)</f>
        <v/>
      </c>
    </row>
    <row r="35">
      <c r="A35" t="inlineStr">
        <is>
          <t xml:space="preserve">P07 </t>
        </is>
      </c>
      <c r="B35" t="inlineStr">
        <is>
          <t>Baseline</t>
        </is>
      </c>
      <c r="C35" t="n">
        <v>60</v>
      </c>
      <c r="D35" t="n">
        <v>97</v>
      </c>
      <c r="E35" t="n">
        <v>30</v>
      </c>
      <c r="F35" t="n">
        <v>94</v>
      </c>
      <c r="G35" t="n">
        <v>127</v>
      </c>
      <c r="H35" t="n">
        <v>100</v>
      </c>
      <c r="I35">
        <f>UPPER(TRIM(A35))</f>
        <v/>
      </c>
      <c r="J35">
        <f>IFERROR(INDEX(SessionLog!$A$2:$A$26,MATCH(I35,SessionLog!$N$2:$N$26,0)),"NOT FOUND")</f>
        <v/>
      </c>
      <c r="K35">
        <f>IFERROR(INDEX(SessionLog!$L$2:$L$26,MATCH(I35,SessionLog!$N$2:$N$26,0)),"NOT FOUND")</f>
        <v/>
      </c>
      <c r="L35">
        <f>IF(K35="Yes",J35&amp;"|"&amp;B35,"DROP")</f>
        <v/>
      </c>
      <c r="M35">
        <f>LEN(A35)</f>
        <v/>
      </c>
    </row>
    <row r="36">
      <c r="A36" t="inlineStr">
        <is>
          <t xml:space="preserve">P07 </t>
        </is>
      </c>
      <c r="B36" t="inlineStr">
        <is>
          <t>Ad_A</t>
        </is>
      </c>
      <c r="C36" t="n">
        <v>60</v>
      </c>
      <c r="D36" t="n">
        <v>97</v>
      </c>
      <c r="E36" t="n">
        <v>30</v>
      </c>
      <c r="F36" t="n">
        <v>93</v>
      </c>
      <c r="G36" t="n">
        <v>128</v>
      </c>
      <c r="H36" t="n">
        <v>100</v>
      </c>
      <c r="I36">
        <f>UPPER(TRIM(A36))</f>
        <v/>
      </c>
      <c r="J36">
        <f>IFERROR(INDEX(SessionLog!$A$2:$A$26,MATCH(I36,SessionLog!$N$2:$N$26,0)),"NOT FOUND")</f>
        <v/>
      </c>
      <c r="K36">
        <f>IFERROR(INDEX(SessionLog!$L$2:$L$26,MATCH(I36,SessionLog!$N$2:$N$26,0)),"NOT FOUND")</f>
        <v/>
      </c>
      <c r="L36">
        <f>IF(K36="Yes",J36&amp;"|"&amp;B36,"DROP")</f>
        <v/>
      </c>
      <c r="M36">
        <f>LEN(A36)</f>
        <v/>
      </c>
    </row>
    <row r="37">
      <c r="A37" t="inlineStr">
        <is>
          <t xml:space="preserve">P07 </t>
        </is>
      </c>
      <c r="B37" t="inlineStr">
        <is>
          <t>Ad_B</t>
        </is>
      </c>
      <c r="C37" t="n">
        <v>60</v>
      </c>
      <c r="D37" t="n">
        <v>96</v>
      </c>
      <c r="E37" t="n">
        <v>30</v>
      </c>
      <c r="F37" t="n">
        <v>93</v>
      </c>
      <c r="G37" t="n">
        <v>127</v>
      </c>
      <c r="H37" t="n">
        <v>100</v>
      </c>
      <c r="I37">
        <f>UPPER(TRIM(A37))</f>
        <v/>
      </c>
      <c r="J37">
        <f>IFERROR(INDEX(SessionLog!$A$2:$A$26,MATCH(I37,SessionLog!$N$2:$N$26,0)),"NOT FOUND")</f>
        <v/>
      </c>
      <c r="K37">
        <f>IFERROR(INDEX(SessionLog!$L$2:$L$26,MATCH(I37,SessionLog!$N$2:$N$26,0)),"NOT FOUND")</f>
        <v/>
      </c>
      <c r="L37">
        <f>IF(K37="Yes",J37&amp;"|"&amp;B37,"DROP")</f>
        <v/>
      </c>
      <c r="M37">
        <f>LEN(A37)</f>
        <v/>
      </c>
    </row>
    <row r="38">
      <c r="A38" t="inlineStr">
        <is>
          <t xml:space="preserve">P07 </t>
        </is>
      </c>
      <c r="B38" t="inlineStr">
        <is>
          <t>Questionnaire</t>
        </is>
      </c>
      <c r="C38" t="n">
        <v>59</v>
      </c>
      <c r="D38" t="n">
        <v>97</v>
      </c>
      <c r="E38" t="n">
        <v>30</v>
      </c>
      <c r="F38" t="n">
        <v>94</v>
      </c>
      <c r="G38" t="n">
        <v>127</v>
      </c>
      <c r="H38" t="n">
        <v>100</v>
      </c>
      <c r="I38">
        <f>UPPER(TRIM(A38))</f>
        <v/>
      </c>
      <c r="J38">
        <f>IFERROR(INDEX(SessionLog!$A$2:$A$26,MATCH(I38,SessionLog!$N$2:$N$26,0)),"NOT FOUND")</f>
        <v/>
      </c>
      <c r="K38">
        <f>IFERROR(INDEX(SessionLog!$L$2:$L$26,MATCH(I38,SessionLog!$N$2:$N$26,0)),"NOT FOUND")</f>
        <v/>
      </c>
      <c r="L38">
        <f>IF(K38="Yes",J38&amp;"|"&amp;B38,"DROP")</f>
        <v/>
      </c>
      <c r="M38">
        <f>LEN(A38)</f>
        <v/>
      </c>
    </row>
    <row r="39">
      <c r="A39" t="inlineStr">
        <is>
          <t>P08</t>
        </is>
      </c>
      <c r="B39" t="inlineStr">
        <is>
          <t>Instructions</t>
        </is>
      </c>
      <c r="C39" t="n">
        <v>59</v>
      </c>
      <c r="D39" t="n">
        <v>96</v>
      </c>
      <c r="E39" t="n">
        <v>29</v>
      </c>
      <c r="F39" t="n">
        <v>95</v>
      </c>
      <c r="G39" t="n">
        <v>127</v>
      </c>
      <c r="H39" t="n">
        <v>100</v>
      </c>
      <c r="I39">
        <f>UPPER(TRIM(A39))</f>
        <v/>
      </c>
      <c r="J39">
        <f>IFERROR(INDEX(SessionLog!$A$2:$A$26,MATCH(I39,SessionLog!$N$2:$N$26,0)),"NOT FOUND")</f>
        <v/>
      </c>
      <c r="K39">
        <f>IFERROR(INDEX(SessionLog!$L$2:$L$26,MATCH(I39,SessionLog!$N$2:$N$26,0)),"NOT FOUND")</f>
        <v/>
      </c>
      <c r="L39">
        <f>IF(K39="Yes",J39&amp;"|"&amp;B39,"DROP")</f>
        <v/>
      </c>
      <c r="M39">
        <f>LEN(A39)</f>
        <v/>
      </c>
    </row>
    <row r="40">
      <c r="A40" t="inlineStr">
        <is>
          <t>P08</t>
        </is>
      </c>
      <c r="B40" t="inlineStr">
        <is>
          <t>Baseline</t>
        </is>
      </c>
      <c r="C40" t="n">
        <v>60</v>
      </c>
      <c r="D40" t="n">
        <v>96</v>
      </c>
      <c r="E40" t="n">
        <v>29</v>
      </c>
      <c r="F40" t="n">
        <v>95</v>
      </c>
      <c r="G40" t="n">
        <v>127</v>
      </c>
      <c r="H40" t="n">
        <v>100</v>
      </c>
      <c r="I40">
        <f>UPPER(TRIM(A40))</f>
        <v/>
      </c>
      <c r="J40">
        <f>IFERROR(INDEX(SessionLog!$A$2:$A$26,MATCH(I40,SessionLog!$N$2:$N$26,0)),"NOT FOUND")</f>
        <v/>
      </c>
      <c r="K40">
        <f>IFERROR(INDEX(SessionLog!$L$2:$L$26,MATCH(I40,SessionLog!$N$2:$N$26,0)),"NOT FOUND")</f>
        <v/>
      </c>
      <c r="L40">
        <f>IF(K40="Yes",J40&amp;"|"&amp;B40,"DROP")</f>
        <v/>
      </c>
      <c r="M40">
        <f>LEN(A40)</f>
        <v/>
      </c>
    </row>
    <row r="41">
      <c r="A41" t="inlineStr">
        <is>
          <t>P08</t>
        </is>
      </c>
      <c r="B41" t="inlineStr">
        <is>
          <t>Ad_B</t>
        </is>
      </c>
      <c r="C41" t="n">
        <v>60</v>
      </c>
      <c r="D41" t="n">
        <v>96</v>
      </c>
      <c r="E41" t="n">
        <v>29</v>
      </c>
      <c r="F41" t="n">
        <v>95</v>
      </c>
      <c r="G41" t="n">
        <v>127</v>
      </c>
      <c r="H41" t="n">
        <v>100</v>
      </c>
      <c r="I41">
        <f>UPPER(TRIM(A41))</f>
        <v/>
      </c>
      <c r="J41">
        <f>IFERROR(INDEX(SessionLog!$A$2:$A$26,MATCH(I41,SessionLog!$N$2:$N$26,0)),"NOT FOUND")</f>
        <v/>
      </c>
      <c r="K41">
        <f>IFERROR(INDEX(SessionLog!$L$2:$L$26,MATCH(I41,SessionLog!$N$2:$N$26,0)),"NOT FOUND")</f>
        <v/>
      </c>
      <c r="L41">
        <f>IF(K41="Yes",J41&amp;"|"&amp;B41,"DROP")</f>
        <v/>
      </c>
      <c r="M41">
        <f>LEN(A41)</f>
        <v/>
      </c>
    </row>
    <row r="42">
      <c r="A42" t="inlineStr">
        <is>
          <t>P08</t>
        </is>
      </c>
      <c r="B42" t="inlineStr">
        <is>
          <t>Ad_A</t>
        </is>
      </c>
      <c r="C42" t="n">
        <v>60</v>
      </c>
      <c r="D42" t="n">
        <v>96</v>
      </c>
      <c r="E42" t="n">
        <v>29</v>
      </c>
      <c r="F42" t="n">
        <v>96</v>
      </c>
      <c r="G42" t="n">
        <v>127</v>
      </c>
      <c r="H42" t="n">
        <v>100</v>
      </c>
      <c r="I42">
        <f>UPPER(TRIM(A42))</f>
        <v/>
      </c>
      <c r="J42">
        <f>IFERROR(INDEX(SessionLog!$A$2:$A$26,MATCH(I42,SessionLog!$N$2:$N$26,0)),"NOT FOUND")</f>
        <v/>
      </c>
      <c r="K42">
        <f>IFERROR(INDEX(SessionLog!$L$2:$L$26,MATCH(I42,SessionLog!$N$2:$N$26,0)),"NOT FOUND")</f>
        <v/>
      </c>
      <c r="L42">
        <f>IF(K42="Yes",J42&amp;"|"&amp;B42,"DROP")</f>
        <v/>
      </c>
      <c r="M42">
        <f>LEN(A42)</f>
        <v/>
      </c>
    </row>
    <row r="43">
      <c r="A43" t="inlineStr">
        <is>
          <t>P08</t>
        </is>
      </c>
      <c r="B43" t="inlineStr">
        <is>
          <t>Questionnaire</t>
        </is>
      </c>
      <c r="C43" t="n">
        <v>59</v>
      </c>
      <c r="D43" t="n">
        <v>96</v>
      </c>
      <c r="E43" t="n">
        <v>29</v>
      </c>
      <c r="F43" t="n">
        <v>96</v>
      </c>
      <c r="G43" t="n">
        <v>128</v>
      </c>
      <c r="H43" t="n">
        <v>100</v>
      </c>
      <c r="I43">
        <f>UPPER(TRIM(A43))</f>
        <v/>
      </c>
      <c r="J43">
        <f>IFERROR(INDEX(SessionLog!$A$2:$A$26,MATCH(I43,SessionLog!$N$2:$N$26,0)),"NOT FOUND")</f>
        <v/>
      </c>
      <c r="K43">
        <f>IFERROR(INDEX(SessionLog!$L$2:$L$26,MATCH(I43,SessionLog!$N$2:$N$26,0)),"NOT FOUND")</f>
        <v/>
      </c>
      <c r="L43">
        <f>IF(K43="Yes",J43&amp;"|"&amp;B43,"DROP")</f>
        <v/>
      </c>
      <c r="M43">
        <f>LEN(A43)</f>
        <v/>
      </c>
    </row>
    <row r="44">
      <c r="A44" t="inlineStr">
        <is>
          <t>P09</t>
        </is>
      </c>
      <c r="B44" t="inlineStr">
        <is>
          <t>Instructions</t>
        </is>
      </c>
      <c r="C44" t="n">
        <v>59</v>
      </c>
      <c r="D44" t="n">
        <v>98</v>
      </c>
      <c r="E44" t="n">
        <v>30</v>
      </c>
      <c r="F44" t="n">
        <v>93</v>
      </c>
      <c r="G44" t="n">
        <v>126</v>
      </c>
      <c r="H44" t="n">
        <v>99</v>
      </c>
      <c r="I44">
        <f>UPPER(TRIM(A44))</f>
        <v/>
      </c>
      <c r="J44">
        <f>IFERROR(INDEX(SessionLog!$A$2:$A$26,MATCH(I44,SessionLog!$N$2:$N$26,0)),"NOT FOUND")</f>
        <v/>
      </c>
      <c r="K44">
        <f>IFERROR(INDEX(SessionLog!$L$2:$L$26,MATCH(I44,SessionLog!$N$2:$N$26,0)),"NOT FOUND")</f>
        <v/>
      </c>
      <c r="L44">
        <f>IF(K44="Yes",J44&amp;"|"&amp;B44,"DROP")</f>
        <v/>
      </c>
      <c r="M44">
        <f>LEN(A44)</f>
        <v/>
      </c>
    </row>
    <row r="45">
      <c r="A45" t="inlineStr">
        <is>
          <t>P09</t>
        </is>
      </c>
      <c r="B45" t="inlineStr">
        <is>
          <t>Baseline</t>
        </is>
      </c>
      <c r="C45" t="n">
        <v>60</v>
      </c>
      <c r="D45" t="n">
        <v>95</v>
      </c>
      <c r="E45" t="n">
        <v>30</v>
      </c>
      <c r="F45" t="n">
        <v>93</v>
      </c>
      <c r="G45" t="n">
        <v>127</v>
      </c>
      <c r="H45" t="n">
        <v>100</v>
      </c>
      <c r="I45">
        <f>UPPER(TRIM(A45))</f>
        <v/>
      </c>
      <c r="J45">
        <f>IFERROR(INDEX(SessionLog!$A$2:$A$26,MATCH(I45,SessionLog!$N$2:$N$26,0)),"NOT FOUND")</f>
        <v/>
      </c>
      <c r="K45">
        <f>IFERROR(INDEX(SessionLog!$L$2:$L$26,MATCH(I45,SessionLog!$N$2:$N$26,0)),"NOT FOUND")</f>
        <v/>
      </c>
      <c r="L45">
        <f>IF(K45="Yes",J45&amp;"|"&amp;B45,"DROP")</f>
        <v/>
      </c>
      <c r="M45">
        <f>LEN(A45)</f>
        <v/>
      </c>
    </row>
    <row r="46">
      <c r="A46" t="inlineStr">
        <is>
          <t>P09</t>
        </is>
      </c>
      <c r="B46" t="inlineStr">
        <is>
          <t>Ad_A</t>
        </is>
      </c>
      <c r="C46" t="n">
        <v>60</v>
      </c>
      <c r="D46" t="n">
        <v>97</v>
      </c>
      <c r="E46" t="n">
        <v>29</v>
      </c>
      <c r="F46" t="n">
        <v>93</v>
      </c>
      <c r="G46" t="n">
        <v>127</v>
      </c>
      <c r="H46" t="n">
        <v>100</v>
      </c>
      <c r="I46">
        <f>UPPER(TRIM(A46))</f>
        <v/>
      </c>
      <c r="J46">
        <f>IFERROR(INDEX(SessionLog!$A$2:$A$26,MATCH(I46,SessionLog!$N$2:$N$26,0)),"NOT FOUND")</f>
        <v/>
      </c>
      <c r="K46">
        <f>IFERROR(INDEX(SessionLog!$L$2:$L$26,MATCH(I46,SessionLog!$N$2:$N$26,0)),"NOT FOUND")</f>
        <v/>
      </c>
      <c r="L46">
        <f>IF(K46="Yes",J46&amp;"|"&amp;B46,"DROP")</f>
        <v/>
      </c>
      <c r="M46">
        <f>LEN(A46)</f>
        <v/>
      </c>
    </row>
    <row r="47">
      <c r="A47" t="inlineStr">
        <is>
          <t>P09</t>
        </is>
      </c>
      <c r="B47" t="inlineStr">
        <is>
          <t>Ad_B</t>
        </is>
      </c>
      <c r="C47" t="n">
        <v>60</v>
      </c>
      <c r="D47" t="n">
        <v>95</v>
      </c>
      <c r="E47" t="n">
        <v>29</v>
      </c>
      <c r="F47" t="n">
        <v>92</v>
      </c>
      <c r="G47" t="n">
        <v>128</v>
      </c>
      <c r="H47" t="n">
        <v>100</v>
      </c>
      <c r="I47">
        <f>UPPER(TRIM(A47))</f>
        <v/>
      </c>
      <c r="J47">
        <f>IFERROR(INDEX(SessionLog!$A$2:$A$26,MATCH(I47,SessionLog!$N$2:$N$26,0)),"NOT FOUND")</f>
        <v/>
      </c>
      <c r="K47">
        <f>IFERROR(INDEX(SessionLog!$L$2:$L$26,MATCH(I47,SessionLog!$N$2:$N$26,0)),"NOT FOUND")</f>
        <v/>
      </c>
      <c r="L47">
        <f>IF(K47="Yes",J47&amp;"|"&amp;B47,"DROP")</f>
        <v/>
      </c>
      <c r="M47">
        <f>LEN(A47)</f>
        <v/>
      </c>
    </row>
    <row r="48">
      <c r="A48" t="inlineStr">
        <is>
          <t>P09</t>
        </is>
      </c>
      <c r="B48" t="inlineStr">
        <is>
          <t>Questionnaire</t>
        </is>
      </c>
      <c r="C48" t="n">
        <v>60</v>
      </c>
      <c r="D48" t="n">
        <v>98</v>
      </c>
      <c r="E48" t="n">
        <v>29</v>
      </c>
      <c r="F48" t="n">
        <v>93</v>
      </c>
      <c r="G48" t="n">
        <v>127</v>
      </c>
      <c r="H48" t="n">
        <v>100</v>
      </c>
      <c r="I48">
        <f>UPPER(TRIM(A48))</f>
        <v/>
      </c>
      <c r="J48">
        <f>IFERROR(INDEX(SessionLog!$A$2:$A$26,MATCH(I48,SessionLog!$N$2:$N$26,0)),"NOT FOUND")</f>
        <v/>
      </c>
      <c r="K48">
        <f>IFERROR(INDEX(SessionLog!$L$2:$L$26,MATCH(I48,SessionLog!$N$2:$N$26,0)),"NOT FOUND")</f>
        <v/>
      </c>
      <c r="L48">
        <f>IF(K48="Yes",J48&amp;"|"&amp;B48,"DROP")</f>
        <v/>
      </c>
      <c r="M48">
        <f>LEN(A48)</f>
        <v/>
      </c>
    </row>
    <row r="49">
      <c r="A49" t="inlineStr">
        <is>
          <t>P10</t>
        </is>
      </c>
      <c r="B49" t="inlineStr">
        <is>
          <t>Instructions</t>
        </is>
      </c>
      <c r="C49" t="n">
        <v>59</v>
      </c>
      <c r="D49" t="n">
        <v>95</v>
      </c>
      <c r="E49" t="n">
        <v>29</v>
      </c>
      <c r="F49" t="n">
        <v>96</v>
      </c>
      <c r="G49" t="n">
        <v>128</v>
      </c>
      <c r="H49" t="n">
        <v>100</v>
      </c>
      <c r="I49">
        <f>UPPER(TRIM(A49))</f>
        <v/>
      </c>
      <c r="J49">
        <f>IFERROR(INDEX(SessionLog!$A$2:$A$26,MATCH(I49,SessionLog!$N$2:$N$26,0)),"NOT FOUND")</f>
        <v/>
      </c>
      <c r="K49">
        <f>IFERROR(INDEX(SessionLog!$L$2:$L$26,MATCH(I49,SessionLog!$N$2:$N$26,0)),"NOT FOUND")</f>
        <v/>
      </c>
      <c r="L49">
        <f>IF(K49="Yes",J49&amp;"|"&amp;B49,"DROP")</f>
        <v/>
      </c>
      <c r="M49">
        <f>LEN(A49)</f>
        <v/>
      </c>
    </row>
    <row r="50">
      <c r="A50" t="inlineStr">
        <is>
          <t>P10</t>
        </is>
      </c>
      <c r="B50" t="inlineStr">
        <is>
          <t>Baseline</t>
        </is>
      </c>
      <c r="C50" t="n">
        <v>59</v>
      </c>
      <c r="D50" t="n">
        <v>96</v>
      </c>
      <c r="E50" t="n">
        <v>29</v>
      </c>
      <c r="F50" t="n">
        <v>97</v>
      </c>
      <c r="G50" t="n">
        <v>128</v>
      </c>
      <c r="H50" t="n">
        <v>100</v>
      </c>
      <c r="I50">
        <f>UPPER(TRIM(A50))</f>
        <v/>
      </c>
      <c r="J50">
        <f>IFERROR(INDEX(SessionLog!$A$2:$A$26,MATCH(I50,SessionLog!$N$2:$N$26,0)),"NOT FOUND")</f>
        <v/>
      </c>
      <c r="K50">
        <f>IFERROR(INDEX(SessionLog!$L$2:$L$26,MATCH(I50,SessionLog!$N$2:$N$26,0)),"NOT FOUND")</f>
        <v/>
      </c>
      <c r="L50">
        <f>IF(K50="Yes",J50&amp;"|"&amp;B50,"DROP")</f>
        <v/>
      </c>
      <c r="M50">
        <f>LEN(A50)</f>
        <v/>
      </c>
    </row>
    <row r="51">
      <c r="A51" t="inlineStr">
        <is>
          <t>P10</t>
        </is>
      </c>
      <c r="B51" t="inlineStr">
        <is>
          <t>Ad_B</t>
        </is>
      </c>
      <c r="C51" t="n">
        <v>59</v>
      </c>
      <c r="D51" t="n">
        <v>95</v>
      </c>
      <c r="E51" t="n">
        <v>29</v>
      </c>
      <c r="F51" t="n">
        <v>97</v>
      </c>
      <c r="G51" t="n">
        <v>128</v>
      </c>
      <c r="H51" t="n">
        <v>100</v>
      </c>
      <c r="I51">
        <f>UPPER(TRIM(A51))</f>
        <v/>
      </c>
      <c r="J51">
        <f>IFERROR(INDEX(SessionLog!$A$2:$A$26,MATCH(I51,SessionLog!$N$2:$N$26,0)),"NOT FOUND")</f>
        <v/>
      </c>
      <c r="K51">
        <f>IFERROR(INDEX(SessionLog!$L$2:$L$26,MATCH(I51,SessionLog!$N$2:$N$26,0)),"NOT FOUND")</f>
        <v/>
      </c>
      <c r="L51">
        <f>IF(K51="Yes",J51&amp;"|"&amp;B51,"DROP")</f>
        <v/>
      </c>
      <c r="M51">
        <f>LEN(A51)</f>
        <v/>
      </c>
    </row>
    <row r="52">
      <c r="A52" t="inlineStr">
        <is>
          <t>P10</t>
        </is>
      </c>
      <c r="B52" t="inlineStr">
        <is>
          <t>Ad_A</t>
        </is>
      </c>
      <c r="C52" t="n">
        <v>60</v>
      </c>
      <c r="D52" t="n">
        <v>95</v>
      </c>
      <c r="E52" t="n">
        <v>30</v>
      </c>
      <c r="F52" t="n">
        <v>98</v>
      </c>
      <c r="G52" t="n">
        <v>128</v>
      </c>
      <c r="H52" t="n">
        <v>100</v>
      </c>
      <c r="I52">
        <f>UPPER(TRIM(A52))</f>
        <v/>
      </c>
      <c r="J52">
        <f>IFERROR(INDEX(SessionLog!$A$2:$A$26,MATCH(I52,SessionLog!$N$2:$N$26,0)),"NOT FOUND")</f>
        <v/>
      </c>
      <c r="K52">
        <f>IFERROR(INDEX(SessionLog!$L$2:$L$26,MATCH(I52,SessionLog!$N$2:$N$26,0)),"NOT FOUND")</f>
        <v/>
      </c>
      <c r="L52">
        <f>IF(K52="Yes",J52&amp;"|"&amp;B52,"DROP")</f>
        <v/>
      </c>
      <c r="M52">
        <f>LEN(A52)</f>
        <v/>
      </c>
    </row>
    <row r="53">
      <c r="A53" t="inlineStr">
        <is>
          <t>P10</t>
        </is>
      </c>
      <c r="B53" t="inlineStr">
        <is>
          <t>Questionnaire</t>
        </is>
      </c>
      <c r="C53" t="n">
        <v>59</v>
      </c>
      <c r="D53" t="n">
        <v>95</v>
      </c>
      <c r="E53" t="n">
        <v>29</v>
      </c>
      <c r="F53" t="n">
        <v>98</v>
      </c>
      <c r="G53" t="n">
        <v>127</v>
      </c>
      <c r="H53" t="n">
        <v>100</v>
      </c>
      <c r="I53">
        <f>UPPER(TRIM(A53))</f>
        <v/>
      </c>
      <c r="J53">
        <f>IFERROR(INDEX(SessionLog!$A$2:$A$26,MATCH(I53,SessionLog!$N$2:$N$26,0)),"NOT FOUND")</f>
        <v/>
      </c>
      <c r="K53">
        <f>IFERROR(INDEX(SessionLog!$L$2:$L$26,MATCH(I53,SessionLog!$N$2:$N$26,0)),"NOT FOUND")</f>
        <v/>
      </c>
      <c r="L53">
        <f>IF(K53="Yes",J53&amp;"|"&amp;B53,"DROP")</f>
        <v/>
      </c>
      <c r="M53">
        <f>LEN(A53)</f>
        <v/>
      </c>
    </row>
    <row r="54">
      <c r="A54" t="inlineStr">
        <is>
          <t>P11</t>
        </is>
      </c>
      <c r="B54" t="inlineStr">
        <is>
          <t>Instructions</t>
        </is>
      </c>
      <c r="C54" t="n">
        <v>60</v>
      </c>
      <c r="D54" t="n">
        <v>98</v>
      </c>
      <c r="E54" t="n">
        <v>29</v>
      </c>
      <c r="F54" t="n">
        <v>95</v>
      </c>
      <c r="G54" t="n">
        <v>127</v>
      </c>
      <c r="H54" t="n">
        <v>100</v>
      </c>
      <c r="I54">
        <f>UPPER(TRIM(A54))</f>
        <v/>
      </c>
      <c r="J54">
        <f>IFERROR(INDEX(SessionLog!$A$2:$A$26,MATCH(I54,SessionLog!$N$2:$N$26,0)),"NOT FOUND")</f>
        <v/>
      </c>
      <c r="K54">
        <f>IFERROR(INDEX(SessionLog!$L$2:$L$26,MATCH(I54,SessionLog!$N$2:$N$26,0)),"NOT FOUND")</f>
        <v/>
      </c>
      <c r="L54">
        <f>IF(K54="Yes",J54&amp;"|"&amp;B54,"DROP")</f>
        <v/>
      </c>
      <c r="M54">
        <f>LEN(A54)</f>
        <v/>
      </c>
    </row>
    <row r="55">
      <c r="A55" t="inlineStr">
        <is>
          <t>P11</t>
        </is>
      </c>
      <c r="B55" t="inlineStr">
        <is>
          <t>Baseline</t>
        </is>
      </c>
      <c r="C55" t="n">
        <v>59</v>
      </c>
      <c r="D55" t="n">
        <v>96</v>
      </c>
      <c r="E55" t="n">
        <v>29</v>
      </c>
      <c r="F55" t="n">
        <v>98</v>
      </c>
      <c r="G55" t="n">
        <v>126</v>
      </c>
      <c r="H55" t="n">
        <v>100</v>
      </c>
      <c r="I55">
        <f>UPPER(TRIM(A55))</f>
        <v/>
      </c>
      <c r="J55">
        <f>IFERROR(INDEX(SessionLog!$A$2:$A$26,MATCH(I55,SessionLog!$N$2:$N$26,0)),"NOT FOUND")</f>
        <v/>
      </c>
      <c r="K55">
        <f>IFERROR(INDEX(SessionLog!$L$2:$L$26,MATCH(I55,SessionLog!$N$2:$N$26,0)),"NOT FOUND")</f>
        <v/>
      </c>
      <c r="L55">
        <f>IF(K55="Yes",J55&amp;"|"&amp;B55,"DROP")</f>
        <v/>
      </c>
      <c r="M55">
        <f>LEN(A55)</f>
        <v/>
      </c>
    </row>
    <row r="56">
      <c r="A56" t="inlineStr">
        <is>
          <t>P11</t>
        </is>
      </c>
      <c r="B56" t="inlineStr">
        <is>
          <t>Ad_A</t>
        </is>
      </c>
      <c r="C56" t="n">
        <v>59</v>
      </c>
      <c r="D56" t="n">
        <v>95</v>
      </c>
      <c r="E56" t="n">
        <v>29</v>
      </c>
      <c r="F56" t="n">
        <v>98</v>
      </c>
      <c r="G56" t="n">
        <v>128</v>
      </c>
      <c r="H56" t="n">
        <v>100</v>
      </c>
      <c r="I56">
        <f>UPPER(TRIM(A56))</f>
        <v/>
      </c>
      <c r="J56">
        <f>IFERROR(INDEX(SessionLog!$A$2:$A$26,MATCH(I56,SessionLog!$N$2:$N$26,0)),"NOT FOUND")</f>
        <v/>
      </c>
      <c r="K56">
        <f>IFERROR(INDEX(SessionLog!$L$2:$L$26,MATCH(I56,SessionLog!$N$2:$N$26,0)),"NOT FOUND")</f>
        <v/>
      </c>
      <c r="L56">
        <f>IF(K56="Yes",J56&amp;"|"&amp;B56,"DROP")</f>
        <v/>
      </c>
      <c r="M56">
        <f>LEN(A56)</f>
        <v/>
      </c>
    </row>
    <row r="57">
      <c r="A57" t="inlineStr">
        <is>
          <t>P11</t>
        </is>
      </c>
      <c r="B57" t="inlineStr">
        <is>
          <t>Ad_B</t>
        </is>
      </c>
      <c r="C57" t="n">
        <v>60</v>
      </c>
      <c r="D57" t="n">
        <v>96</v>
      </c>
      <c r="E57" t="n">
        <v>29</v>
      </c>
      <c r="F57" t="n">
        <v>98</v>
      </c>
      <c r="G57" t="n">
        <v>127</v>
      </c>
      <c r="H57" t="n">
        <v>100</v>
      </c>
      <c r="I57">
        <f>UPPER(TRIM(A57))</f>
        <v/>
      </c>
      <c r="J57">
        <f>IFERROR(INDEX(SessionLog!$A$2:$A$26,MATCH(I57,SessionLog!$N$2:$N$26,0)),"NOT FOUND")</f>
        <v/>
      </c>
      <c r="K57">
        <f>IFERROR(INDEX(SessionLog!$L$2:$L$26,MATCH(I57,SessionLog!$N$2:$N$26,0)),"NOT FOUND")</f>
        <v/>
      </c>
      <c r="L57">
        <f>IF(K57="Yes",J57&amp;"|"&amp;B57,"DROP")</f>
        <v/>
      </c>
      <c r="M57">
        <f>LEN(A57)</f>
        <v/>
      </c>
    </row>
    <row r="58">
      <c r="A58" t="inlineStr">
        <is>
          <t>P11</t>
        </is>
      </c>
      <c r="B58" t="inlineStr">
        <is>
          <t>Questionnaire</t>
        </is>
      </c>
      <c r="C58" t="n">
        <v>60</v>
      </c>
      <c r="D58" t="n">
        <v>98</v>
      </c>
      <c r="E58" t="n">
        <v>29</v>
      </c>
      <c r="F58" t="n">
        <v>99</v>
      </c>
      <c r="G58" t="n">
        <v>127</v>
      </c>
      <c r="H58" t="n">
        <v>100</v>
      </c>
      <c r="I58">
        <f>UPPER(TRIM(A58))</f>
        <v/>
      </c>
      <c r="J58">
        <f>IFERROR(INDEX(SessionLog!$A$2:$A$26,MATCH(I58,SessionLog!$N$2:$N$26,0)),"NOT FOUND")</f>
        <v/>
      </c>
      <c r="K58">
        <f>IFERROR(INDEX(SessionLog!$L$2:$L$26,MATCH(I58,SessionLog!$N$2:$N$26,0)),"NOT FOUND")</f>
        <v/>
      </c>
      <c r="L58">
        <f>IF(K58="Yes",J58&amp;"|"&amp;B58,"DROP")</f>
        <v/>
      </c>
      <c r="M58">
        <f>LEN(A58)</f>
        <v/>
      </c>
    </row>
    <row r="59">
      <c r="A59" t="inlineStr">
        <is>
          <t>P12</t>
        </is>
      </c>
      <c r="B59" t="inlineStr">
        <is>
          <t>Instructions</t>
        </is>
      </c>
      <c r="C59" t="n">
        <v>60</v>
      </c>
      <c r="D59" t="n">
        <v>97</v>
      </c>
      <c r="E59" t="n">
        <v>29</v>
      </c>
      <c r="F59" t="n">
        <v>96</v>
      </c>
      <c r="G59" t="n">
        <v>127</v>
      </c>
      <c r="H59" t="n">
        <v>100</v>
      </c>
      <c r="I59">
        <f>UPPER(TRIM(A59))</f>
        <v/>
      </c>
      <c r="J59">
        <f>IFERROR(INDEX(SessionLog!$A$2:$A$26,MATCH(I59,SessionLog!$N$2:$N$26,0)),"NOT FOUND")</f>
        <v/>
      </c>
      <c r="K59">
        <f>IFERROR(INDEX(SessionLog!$L$2:$L$26,MATCH(I59,SessionLog!$N$2:$N$26,0)),"NOT FOUND")</f>
        <v/>
      </c>
      <c r="L59">
        <f>IF(K59="Yes",J59&amp;"|"&amp;B59,"DROP")</f>
        <v/>
      </c>
      <c r="M59">
        <f>LEN(A59)</f>
        <v/>
      </c>
    </row>
    <row r="60">
      <c r="A60" t="inlineStr">
        <is>
          <t>P12</t>
        </is>
      </c>
      <c r="B60" t="inlineStr">
        <is>
          <t>Baseline</t>
        </is>
      </c>
      <c r="C60" t="n">
        <v>60</v>
      </c>
      <c r="D60" t="n">
        <v>95</v>
      </c>
      <c r="E60" t="n">
        <v>30</v>
      </c>
      <c r="F60" t="n">
        <v>96</v>
      </c>
      <c r="G60" t="n">
        <v>117</v>
      </c>
      <c r="H60" t="n">
        <v>91</v>
      </c>
      <c r="I60">
        <f>UPPER(TRIM(A60))</f>
        <v/>
      </c>
      <c r="J60">
        <f>IFERROR(INDEX(SessionLog!$A$2:$A$26,MATCH(I60,SessionLog!$N$2:$N$26,0)),"NOT FOUND")</f>
        <v/>
      </c>
      <c r="K60">
        <f>IFERROR(INDEX(SessionLog!$L$2:$L$26,MATCH(I60,SessionLog!$N$2:$N$26,0)),"NOT FOUND")</f>
        <v/>
      </c>
      <c r="L60">
        <f>IF(K60="Yes",J60&amp;"|"&amp;B60,"DROP")</f>
        <v/>
      </c>
      <c r="M60">
        <f>LEN(A60)</f>
        <v/>
      </c>
    </row>
    <row r="61">
      <c r="A61" t="inlineStr">
        <is>
          <t>P12</t>
        </is>
      </c>
      <c r="B61" t="inlineStr">
        <is>
          <t>Ad_B</t>
        </is>
      </c>
      <c r="C61" t="n">
        <v>60</v>
      </c>
      <c r="D61" t="n">
        <v>94</v>
      </c>
      <c r="E61" t="n">
        <v>30</v>
      </c>
      <c r="F61" t="n">
        <v>96</v>
      </c>
      <c r="G61" t="n">
        <v>128</v>
      </c>
      <c r="H61" t="n">
        <v>100</v>
      </c>
      <c r="I61">
        <f>UPPER(TRIM(A61))</f>
        <v/>
      </c>
      <c r="J61">
        <f>IFERROR(INDEX(SessionLog!$A$2:$A$26,MATCH(I61,SessionLog!$N$2:$N$26,0)),"NOT FOUND")</f>
        <v/>
      </c>
      <c r="K61">
        <f>IFERROR(INDEX(SessionLog!$L$2:$L$26,MATCH(I61,SessionLog!$N$2:$N$26,0)),"NOT FOUND")</f>
        <v/>
      </c>
      <c r="L61">
        <f>IF(K61="Yes",J61&amp;"|"&amp;B61,"DROP")</f>
        <v/>
      </c>
      <c r="M61">
        <f>LEN(A61)</f>
        <v/>
      </c>
    </row>
    <row r="62">
      <c r="A62" t="inlineStr">
        <is>
          <t>P12</t>
        </is>
      </c>
      <c r="B62" t="inlineStr">
        <is>
          <t>Ad_A</t>
        </is>
      </c>
      <c r="C62" t="n">
        <v>60</v>
      </c>
      <c r="D62" t="n">
        <v>97</v>
      </c>
      <c r="E62" t="n">
        <v>30</v>
      </c>
      <c r="F62" t="n">
        <v>96</v>
      </c>
      <c r="G62" t="n">
        <v>128</v>
      </c>
      <c r="H62" t="n">
        <v>100</v>
      </c>
      <c r="I62">
        <f>UPPER(TRIM(A62))</f>
        <v/>
      </c>
      <c r="J62">
        <f>IFERROR(INDEX(SessionLog!$A$2:$A$26,MATCH(I62,SessionLog!$N$2:$N$26,0)),"NOT FOUND")</f>
        <v/>
      </c>
      <c r="K62">
        <f>IFERROR(INDEX(SessionLog!$L$2:$L$26,MATCH(I62,SessionLog!$N$2:$N$26,0)),"NOT FOUND")</f>
        <v/>
      </c>
      <c r="L62">
        <f>IF(K62="Yes",J62&amp;"|"&amp;B62,"DROP")</f>
        <v/>
      </c>
      <c r="M62">
        <f>LEN(A62)</f>
        <v/>
      </c>
    </row>
    <row r="63">
      <c r="A63" t="inlineStr">
        <is>
          <t>P12</t>
        </is>
      </c>
      <c r="B63" t="inlineStr">
        <is>
          <t>Questionnaire</t>
        </is>
      </c>
      <c r="C63" t="n">
        <v>60</v>
      </c>
      <c r="D63" t="n">
        <v>98</v>
      </c>
      <c r="E63" t="n">
        <v>29</v>
      </c>
      <c r="F63" t="n">
        <v>96</v>
      </c>
      <c r="G63" t="n">
        <v>127</v>
      </c>
      <c r="H63" t="n">
        <v>100</v>
      </c>
      <c r="I63">
        <f>UPPER(TRIM(A63))</f>
        <v/>
      </c>
      <c r="J63">
        <f>IFERROR(INDEX(SessionLog!$A$2:$A$26,MATCH(I63,SessionLog!$N$2:$N$26,0)),"NOT FOUND")</f>
        <v/>
      </c>
      <c r="K63">
        <f>IFERROR(INDEX(SessionLog!$L$2:$L$26,MATCH(I63,SessionLog!$N$2:$N$26,0)),"NOT FOUND")</f>
        <v/>
      </c>
      <c r="L63">
        <f>IF(K63="Yes",J63&amp;"|"&amp;B63,"DROP")</f>
        <v/>
      </c>
      <c r="M63">
        <f>LEN(A63)</f>
        <v/>
      </c>
    </row>
    <row r="64">
      <c r="A64" t="inlineStr">
        <is>
          <t>P13</t>
        </is>
      </c>
      <c r="B64" t="inlineStr">
        <is>
          <t>Instructions</t>
        </is>
      </c>
      <c r="C64" t="n">
        <v>60</v>
      </c>
      <c r="D64" t="n">
        <v>98</v>
      </c>
      <c r="E64" t="n">
        <v>29</v>
      </c>
      <c r="F64" t="n">
        <v>93</v>
      </c>
      <c r="G64" t="n">
        <v>127</v>
      </c>
      <c r="H64" t="n">
        <v>100</v>
      </c>
      <c r="I64">
        <f>UPPER(TRIM(A64))</f>
        <v/>
      </c>
      <c r="J64">
        <f>IFERROR(INDEX(SessionLog!$A$2:$A$26,MATCH(I64,SessionLog!$N$2:$N$26,0)),"NOT FOUND")</f>
        <v/>
      </c>
      <c r="K64">
        <f>IFERROR(INDEX(SessionLog!$L$2:$L$26,MATCH(I64,SessionLog!$N$2:$N$26,0)),"NOT FOUND")</f>
        <v/>
      </c>
      <c r="L64">
        <f>IF(K64="Yes",J64&amp;"|"&amp;B64,"DROP")</f>
        <v/>
      </c>
      <c r="M64">
        <f>LEN(A64)</f>
        <v/>
      </c>
    </row>
    <row r="65">
      <c r="A65" t="inlineStr">
        <is>
          <t>P13</t>
        </is>
      </c>
      <c r="B65" t="inlineStr">
        <is>
          <t>Baseline</t>
        </is>
      </c>
      <c r="C65" t="n">
        <v>60</v>
      </c>
      <c r="D65" t="n">
        <v>97</v>
      </c>
      <c r="E65" t="n">
        <v>30</v>
      </c>
      <c r="F65" t="n">
        <v>94</v>
      </c>
      <c r="G65" t="n">
        <v>128</v>
      </c>
      <c r="H65" t="n">
        <v>100</v>
      </c>
      <c r="I65">
        <f>UPPER(TRIM(A65))</f>
        <v/>
      </c>
      <c r="J65">
        <f>IFERROR(INDEX(SessionLog!$A$2:$A$26,MATCH(I65,SessionLog!$N$2:$N$26,0)),"NOT FOUND")</f>
        <v/>
      </c>
      <c r="K65">
        <f>IFERROR(INDEX(SessionLog!$L$2:$L$26,MATCH(I65,SessionLog!$N$2:$N$26,0)),"NOT FOUND")</f>
        <v/>
      </c>
      <c r="L65">
        <f>IF(K65="Yes",J65&amp;"|"&amp;B65,"DROP")</f>
        <v/>
      </c>
      <c r="M65">
        <f>LEN(A65)</f>
        <v/>
      </c>
    </row>
    <row r="66">
      <c r="A66" t="inlineStr">
        <is>
          <t>P13</t>
        </is>
      </c>
      <c r="B66" t="inlineStr">
        <is>
          <t>Ad_A</t>
        </is>
      </c>
      <c r="C66" t="n">
        <v>60</v>
      </c>
      <c r="D66" t="n">
        <v>95</v>
      </c>
      <c r="E66" t="n">
        <v>29</v>
      </c>
      <c r="F66" t="n">
        <v>92</v>
      </c>
      <c r="G66" t="n">
        <v>127</v>
      </c>
      <c r="H66" t="n">
        <v>100</v>
      </c>
      <c r="I66">
        <f>UPPER(TRIM(A66))</f>
        <v/>
      </c>
      <c r="J66">
        <f>IFERROR(INDEX(SessionLog!$A$2:$A$26,MATCH(I66,SessionLog!$N$2:$N$26,0)),"NOT FOUND")</f>
        <v/>
      </c>
      <c r="K66">
        <f>IFERROR(INDEX(SessionLog!$L$2:$L$26,MATCH(I66,SessionLog!$N$2:$N$26,0)),"NOT FOUND")</f>
        <v/>
      </c>
      <c r="L66">
        <f>IF(K66="Yes",J66&amp;"|"&amp;B66,"DROP")</f>
        <v/>
      </c>
      <c r="M66">
        <f>LEN(A66)</f>
        <v/>
      </c>
    </row>
    <row r="67">
      <c r="A67" t="inlineStr">
        <is>
          <t>P13</t>
        </is>
      </c>
      <c r="B67" t="inlineStr">
        <is>
          <t>Ad_B</t>
        </is>
      </c>
      <c r="C67" t="n">
        <v>59</v>
      </c>
      <c r="D67" t="n">
        <v>97</v>
      </c>
      <c r="E67" t="n">
        <v>29</v>
      </c>
      <c r="F67" t="n">
        <v>93</v>
      </c>
      <c r="G67" t="n">
        <v>127</v>
      </c>
      <c r="H67" t="n">
        <v>100</v>
      </c>
      <c r="I67">
        <f>UPPER(TRIM(A67))</f>
        <v/>
      </c>
      <c r="J67">
        <f>IFERROR(INDEX(SessionLog!$A$2:$A$26,MATCH(I67,SessionLog!$N$2:$N$26,0)),"NOT FOUND")</f>
        <v/>
      </c>
      <c r="K67">
        <f>IFERROR(INDEX(SessionLog!$L$2:$L$26,MATCH(I67,SessionLog!$N$2:$N$26,0)),"NOT FOUND")</f>
        <v/>
      </c>
      <c r="L67">
        <f>IF(K67="Yes",J67&amp;"|"&amp;B67,"DROP")</f>
        <v/>
      </c>
      <c r="M67">
        <f>LEN(A67)</f>
        <v/>
      </c>
    </row>
    <row r="68">
      <c r="A68" t="inlineStr">
        <is>
          <t>P13</t>
        </is>
      </c>
      <c r="B68" t="inlineStr">
        <is>
          <t>Questionnaire</t>
        </is>
      </c>
      <c r="C68" t="n">
        <v>59</v>
      </c>
      <c r="D68" t="n">
        <v>97</v>
      </c>
      <c r="E68" t="n">
        <v>29</v>
      </c>
      <c r="F68" t="n">
        <v>94</v>
      </c>
      <c r="G68" t="n">
        <v>127</v>
      </c>
      <c r="H68" t="n">
        <v>100</v>
      </c>
      <c r="I68">
        <f>UPPER(TRIM(A68))</f>
        <v/>
      </c>
      <c r="J68">
        <f>IFERROR(INDEX(SessionLog!$A$2:$A$26,MATCH(I68,SessionLog!$N$2:$N$26,0)),"NOT FOUND")</f>
        <v/>
      </c>
      <c r="K68">
        <f>IFERROR(INDEX(SessionLog!$L$2:$L$26,MATCH(I68,SessionLog!$N$2:$N$26,0)),"NOT FOUND")</f>
        <v/>
      </c>
      <c r="L68">
        <f>IF(K68="Yes",J68&amp;"|"&amp;B68,"DROP")</f>
        <v/>
      </c>
      <c r="M68">
        <f>LEN(A68)</f>
        <v/>
      </c>
    </row>
    <row r="69">
      <c r="A69" t="inlineStr">
        <is>
          <t>P14</t>
        </is>
      </c>
      <c r="B69" t="inlineStr">
        <is>
          <t>Instructions</t>
        </is>
      </c>
      <c r="C69" t="n">
        <v>60</v>
      </c>
      <c r="D69" t="n">
        <v>96</v>
      </c>
      <c r="E69" t="n">
        <v>29</v>
      </c>
      <c r="F69" t="n">
        <v>91</v>
      </c>
      <c r="G69" t="n">
        <v>127</v>
      </c>
      <c r="H69" t="n">
        <v>100</v>
      </c>
      <c r="I69">
        <f>UPPER(TRIM(A69))</f>
        <v/>
      </c>
      <c r="J69">
        <f>IFERROR(INDEX(SessionLog!$A$2:$A$26,MATCH(I69,SessionLog!$N$2:$N$26,0)),"NOT FOUND")</f>
        <v/>
      </c>
      <c r="K69">
        <f>IFERROR(INDEX(SessionLog!$L$2:$L$26,MATCH(I69,SessionLog!$N$2:$N$26,0)),"NOT FOUND")</f>
        <v/>
      </c>
      <c r="L69">
        <f>IF(K69="Yes",J69&amp;"|"&amp;B69,"DROP")</f>
        <v/>
      </c>
      <c r="M69">
        <f>LEN(A69)</f>
        <v/>
      </c>
    </row>
    <row r="70">
      <c r="A70" t="inlineStr">
        <is>
          <t>P14</t>
        </is>
      </c>
      <c r="B70" t="inlineStr">
        <is>
          <t>Baseline</t>
        </is>
      </c>
      <c r="C70" t="n">
        <v>59</v>
      </c>
      <c r="D70" t="n">
        <v>95</v>
      </c>
      <c r="E70" t="n">
        <v>30</v>
      </c>
      <c r="F70" t="n">
        <v>92</v>
      </c>
      <c r="G70" t="n">
        <v>127</v>
      </c>
      <c r="H70" t="n">
        <v>100</v>
      </c>
      <c r="I70">
        <f>UPPER(TRIM(A70))</f>
        <v/>
      </c>
      <c r="J70">
        <f>IFERROR(INDEX(SessionLog!$A$2:$A$26,MATCH(I70,SessionLog!$N$2:$N$26,0)),"NOT FOUND")</f>
        <v/>
      </c>
      <c r="K70">
        <f>IFERROR(INDEX(SessionLog!$L$2:$L$26,MATCH(I70,SessionLog!$N$2:$N$26,0)),"NOT FOUND")</f>
        <v/>
      </c>
      <c r="L70">
        <f>IF(K70="Yes",J70&amp;"|"&amp;B70,"DROP")</f>
        <v/>
      </c>
      <c r="M70">
        <f>LEN(A70)</f>
        <v/>
      </c>
    </row>
    <row r="71">
      <c r="A71" t="inlineStr">
        <is>
          <t>P14</t>
        </is>
      </c>
      <c r="B71" t="inlineStr">
        <is>
          <t>Ad_B</t>
        </is>
      </c>
      <c r="C71" t="n">
        <v>60</v>
      </c>
      <c r="D71" t="n">
        <v>96</v>
      </c>
      <c r="E71" t="n">
        <v>30</v>
      </c>
      <c r="F71" t="n">
        <v>91</v>
      </c>
      <c r="G71" t="n">
        <v>128</v>
      </c>
      <c r="H71" t="n">
        <v>100</v>
      </c>
      <c r="I71">
        <f>UPPER(TRIM(A71))</f>
        <v/>
      </c>
      <c r="J71">
        <f>IFERROR(INDEX(SessionLog!$A$2:$A$26,MATCH(I71,SessionLog!$N$2:$N$26,0)),"NOT FOUND")</f>
        <v/>
      </c>
      <c r="K71">
        <f>IFERROR(INDEX(SessionLog!$L$2:$L$26,MATCH(I71,SessionLog!$N$2:$N$26,0)),"NOT FOUND")</f>
        <v/>
      </c>
      <c r="L71">
        <f>IF(K71="Yes",J71&amp;"|"&amp;B71,"DROP")</f>
        <v/>
      </c>
      <c r="M71">
        <f>LEN(A71)</f>
        <v/>
      </c>
    </row>
    <row r="72">
      <c r="A72" t="inlineStr">
        <is>
          <t>P14</t>
        </is>
      </c>
      <c r="B72" t="inlineStr">
        <is>
          <t>Ad_A</t>
        </is>
      </c>
      <c r="C72" t="n">
        <v>59</v>
      </c>
      <c r="D72" t="n">
        <v>95</v>
      </c>
      <c r="E72" t="n">
        <v>30</v>
      </c>
      <c r="F72" t="n">
        <v>92</v>
      </c>
      <c r="G72" t="n">
        <v>128</v>
      </c>
      <c r="H72" t="n">
        <v>100</v>
      </c>
      <c r="I72">
        <f>UPPER(TRIM(A72))</f>
        <v/>
      </c>
      <c r="J72">
        <f>IFERROR(INDEX(SessionLog!$A$2:$A$26,MATCH(I72,SessionLog!$N$2:$N$26,0)),"NOT FOUND")</f>
        <v/>
      </c>
      <c r="K72">
        <f>IFERROR(INDEX(SessionLog!$L$2:$L$26,MATCH(I72,SessionLog!$N$2:$N$26,0)),"NOT FOUND")</f>
        <v/>
      </c>
      <c r="L72">
        <f>IF(K72="Yes",J72&amp;"|"&amp;B72,"DROP")</f>
        <v/>
      </c>
      <c r="M72">
        <f>LEN(A72)</f>
        <v/>
      </c>
    </row>
    <row r="73">
      <c r="A73" t="inlineStr">
        <is>
          <t>P14</t>
        </is>
      </c>
      <c r="B73" t="inlineStr">
        <is>
          <t>Questionnaire</t>
        </is>
      </c>
      <c r="C73" t="n">
        <v>60</v>
      </c>
      <c r="D73" t="n">
        <v>96</v>
      </c>
      <c r="E73" t="n">
        <v>29</v>
      </c>
      <c r="F73" t="n">
        <v>92</v>
      </c>
      <c r="G73" t="n">
        <v>127</v>
      </c>
      <c r="H73" t="n">
        <v>100</v>
      </c>
      <c r="I73">
        <f>UPPER(TRIM(A73))</f>
        <v/>
      </c>
      <c r="J73">
        <f>IFERROR(INDEX(SessionLog!$A$2:$A$26,MATCH(I73,SessionLog!$N$2:$N$26,0)),"NOT FOUND")</f>
        <v/>
      </c>
      <c r="K73">
        <f>IFERROR(INDEX(SessionLog!$L$2:$L$26,MATCH(I73,SessionLog!$N$2:$N$26,0)),"NOT FOUND")</f>
        <v/>
      </c>
      <c r="L73">
        <f>IF(K73="Yes",J73&amp;"|"&amp;B73,"DROP")</f>
        <v/>
      </c>
      <c r="M73">
        <f>LEN(A73)</f>
        <v/>
      </c>
    </row>
    <row r="74">
      <c r="A74" t="inlineStr">
        <is>
          <t>P15</t>
        </is>
      </c>
      <c r="B74" t="inlineStr">
        <is>
          <t>Instructions</t>
        </is>
      </c>
      <c r="C74" t="n">
        <v>60</v>
      </c>
      <c r="D74" t="n">
        <v>97</v>
      </c>
      <c r="E74" t="n">
        <v>29</v>
      </c>
      <c r="F74" t="n">
        <v>94</v>
      </c>
      <c r="G74" t="n">
        <v>124</v>
      </c>
      <c r="H74" t="n">
        <v>98</v>
      </c>
      <c r="I74">
        <f>UPPER(TRIM(A74))</f>
        <v/>
      </c>
      <c r="J74">
        <f>IFERROR(INDEX(SessionLog!$A$2:$A$26,MATCH(I74,SessionLog!$N$2:$N$26,0)),"NOT FOUND")</f>
        <v/>
      </c>
      <c r="K74">
        <f>IFERROR(INDEX(SessionLog!$L$2:$L$26,MATCH(I74,SessionLog!$N$2:$N$26,0)),"NOT FOUND")</f>
        <v/>
      </c>
      <c r="L74">
        <f>IF(K74="Yes",J74&amp;"|"&amp;B74,"DROP")</f>
        <v/>
      </c>
      <c r="M74">
        <f>LEN(A74)</f>
        <v/>
      </c>
    </row>
    <row r="75">
      <c r="A75" t="inlineStr">
        <is>
          <t>P15</t>
        </is>
      </c>
      <c r="B75" t="inlineStr">
        <is>
          <t>Baseline</t>
        </is>
      </c>
      <c r="C75" t="n">
        <v>60</v>
      </c>
      <c r="D75" t="n">
        <v>96</v>
      </c>
      <c r="E75" t="n">
        <v>29</v>
      </c>
      <c r="F75" t="n">
        <v>94</v>
      </c>
      <c r="G75" t="n">
        <v>127</v>
      </c>
      <c r="H75" t="n">
        <v>100</v>
      </c>
      <c r="I75">
        <f>UPPER(TRIM(A75))</f>
        <v/>
      </c>
      <c r="J75">
        <f>IFERROR(INDEX(SessionLog!$A$2:$A$26,MATCH(I75,SessionLog!$N$2:$N$26,0)),"NOT FOUND")</f>
        <v/>
      </c>
      <c r="K75">
        <f>IFERROR(INDEX(SessionLog!$L$2:$L$26,MATCH(I75,SessionLog!$N$2:$N$26,0)),"NOT FOUND")</f>
        <v/>
      </c>
      <c r="L75">
        <f>IF(K75="Yes",J75&amp;"|"&amp;B75,"DROP")</f>
        <v/>
      </c>
      <c r="M75">
        <f>LEN(A75)</f>
        <v/>
      </c>
    </row>
    <row r="76">
      <c r="A76" t="inlineStr">
        <is>
          <t>P15</t>
        </is>
      </c>
      <c r="B76" t="inlineStr">
        <is>
          <t>Ad_A</t>
        </is>
      </c>
      <c r="C76" t="n">
        <v>59</v>
      </c>
      <c r="D76" t="n">
        <v>95</v>
      </c>
      <c r="E76" t="n">
        <v>29</v>
      </c>
      <c r="F76" t="n">
        <v>95</v>
      </c>
      <c r="G76" t="n">
        <v>127</v>
      </c>
      <c r="H76" t="n">
        <v>100</v>
      </c>
      <c r="I76">
        <f>UPPER(TRIM(A76))</f>
        <v/>
      </c>
      <c r="J76">
        <f>IFERROR(INDEX(SessionLog!$A$2:$A$26,MATCH(I76,SessionLog!$N$2:$N$26,0)),"NOT FOUND")</f>
        <v/>
      </c>
      <c r="K76">
        <f>IFERROR(INDEX(SessionLog!$L$2:$L$26,MATCH(I76,SessionLog!$N$2:$N$26,0)),"NOT FOUND")</f>
        <v/>
      </c>
      <c r="L76">
        <f>IF(K76="Yes",J76&amp;"|"&amp;B76,"DROP")</f>
        <v/>
      </c>
      <c r="M76">
        <f>LEN(A76)</f>
        <v/>
      </c>
    </row>
    <row r="77">
      <c r="A77" t="inlineStr">
        <is>
          <t>P15</t>
        </is>
      </c>
      <c r="B77" t="inlineStr">
        <is>
          <t>Ad_B</t>
        </is>
      </c>
      <c r="C77" t="n">
        <v>59</v>
      </c>
      <c r="D77" t="n">
        <v>95</v>
      </c>
      <c r="E77" t="n">
        <v>30</v>
      </c>
      <c r="F77" t="n">
        <v>94</v>
      </c>
      <c r="G77" t="n">
        <v>127</v>
      </c>
      <c r="H77" t="n">
        <v>100</v>
      </c>
      <c r="I77">
        <f>UPPER(TRIM(A77))</f>
        <v/>
      </c>
      <c r="J77">
        <f>IFERROR(INDEX(SessionLog!$A$2:$A$26,MATCH(I77,SessionLog!$N$2:$N$26,0)),"NOT FOUND")</f>
        <v/>
      </c>
      <c r="K77">
        <f>IFERROR(INDEX(SessionLog!$L$2:$L$26,MATCH(I77,SessionLog!$N$2:$N$26,0)),"NOT FOUND")</f>
        <v/>
      </c>
      <c r="L77">
        <f>IF(K77="Yes",J77&amp;"|"&amp;B77,"DROP")</f>
        <v/>
      </c>
      <c r="M77">
        <f>LEN(A77)</f>
        <v/>
      </c>
    </row>
    <row r="78">
      <c r="A78" t="inlineStr">
        <is>
          <t>P15</t>
        </is>
      </c>
      <c r="B78" t="inlineStr">
        <is>
          <t>Questionnaire</t>
        </is>
      </c>
      <c r="C78" t="n">
        <v>60</v>
      </c>
      <c r="D78" t="n">
        <v>96</v>
      </c>
      <c r="E78" t="n">
        <v>30</v>
      </c>
      <c r="F78" t="n">
        <v>95</v>
      </c>
      <c r="G78" t="n">
        <v>127</v>
      </c>
      <c r="H78" t="n">
        <v>100</v>
      </c>
      <c r="I78">
        <f>UPPER(TRIM(A78))</f>
        <v/>
      </c>
      <c r="J78">
        <f>IFERROR(INDEX(SessionLog!$A$2:$A$26,MATCH(I78,SessionLog!$N$2:$N$26,0)),"NOT FOUND")</f>
        <v/>
      </c>
      <c r="K78">
        <f>IFERROR(INDEX(SessionLog!$L$2:$L$26,MATCH(I78,SessionLog!$N$2:$N$26,0)),"NOT FOUND")</f>
        <v/>
      </c>
      <c r="L78">
        <f>IF(K78="Yes",J78&amp;"|"&amp;B78,"DROP")</f>
        <v/>
      </c>
      <c r="M78">
        <f>LEN(A78)</f>
        <v/>
      </c>
    </row>
    <row r="79">
      <c r="A79" t="inlineStr">
        <is>
          <t>P16</t>
        </is>
      </c>
      <c r="B79" t="inlineStr">
        <is>
          <t>Instructions</t>
        </is>
      </c>
      <c r="C79" t="n">
        <v>60</v>
      </c>
      <c r="D79" t="n">
        <v>97</v>
      </c>
      <c r="E79" t="n">
        <v>30</v>
      </c>
      <c r="F79" t="n">
        <v>89</v>
      </c>
      <c r="G79" t="n">
        <v>128</v>
      </c>
      <c r="H79" t="n">
        <v>100</v>
      </c>
      <c r="I79">
        <f>UPPER(TRIM(A79))</f>
        <v/>
      </c>
      <c r="J79">
        <f>IFERROR(INDEX(SessionLog!$A$2:$A$26,MATCH(I79,SessionLog!$N$2:$N$26,0)),"NOT FOUND")</f>
        <v/>
      </c>
      <c r="K79">
        <f>IFERROR(INDEX(SessionLog!$L$2:$L$26,MATCH(I79,SessionLog!$N$2:$N$26,0)),"NOT FOUND")</f>
        <v/>
      </c>
      <c r="L79">
        <f>IF(K79="Yes",J79&amp;"|"&amp;B79,"DROP")</f>
        <v/>
      </c>
      <c r="M79">
        <f>LEN(A79)</f>
        <v/>
      </c>
    </row>
    <row r="80">
      <c r="A80" t="inlineStr">
        <is>
          <t>P16</t>
        </is>
      </c>
      <c r="B80" t="inlineStr">
        <is>
          <t>Baseline</t>
        </is>
      </c>
      <c r="C80" t="n">
        <v>59</v>
      </c>
      <c r="D80" t="n">
        <v>96</v>
      </c>
      <c r="E80" t="n">
        <v>30</v>
      </c>
      <c r="F80" t="n">
        <v>91</v>
      </c>
      <c r="G80" t="n">
        <v>128</v>
      </c>
      <c r="H80" t="n">
        <v>100</v>
      </c>
      <c r="I80">
        <f>UPPER(TRIM(A80))</f>
        <v/>
      </c>
      <c r="J80">
        <f>IFERROR(INDEX(SessionLog!$A$2:$A$26,MATCH(I80,SessionLog!$N$2:$N$26,0)),"NOT FOUND")</f>
        <v/>
      </c>
      <c r="K80">
        <f>IFERROR(INDEX(SessionLog!$L$2:$L$26,MATCH(I80,SessionLog!$N$2:$N$26,0)),"NOT FOUND")</f>
        <v/>
      </c>
      <c r="L80">
        <f>IF(K80="Yes",J80&amp;"|"&amp;B80,"DROP")</f>
        <v/>
      </c>
      <c r="M80">
        <f>LEN(A80)</f>
        <v/>
      </c>
    </row>
    <row r="81">
      <c r="A81" t="inlineStr">
        <is>
          <t>P16</t>
        </is>
      </c>
      <c r="B81" t="inlineStr">
        <is>
          <t>Ad_B</t>
        </is>
      </c>
      <c r="C81" t="n">
        <v>59</v>
      </c>
      <c r="D81" t="n">
        <v>96</v>
      </c>
      <c r="E81" t="n">
        <v>30</v>
      </c>
      <c r="F81" t="n">
        <v>92</v>
      </c>
      <c r="G81" t="n">
        <v>127</v>
      </c>
      <c r="H81" t="n">
        <v>100</v>
      </c>
      <c r="I81">
        <f>UPPER(TRIM(A81))</f>
        <v/>
      </c>
      <c r="J81">
        <f>IFERROR(INDEX(SessionLog!$A$2:$A$26,MATCH(I81,SessionLog!$N$2:$N$26,0)),"NOT FOUND")</f>
        <v/>
      </c>
      <c r="K81">
        <f>IFERROR(INDEX(SessionLog!$L$2:$L$26,MATCH(I81,SessionLog!$N$2:$N$26,0)),"NOT FOUND")</f>
        <v/>
      </c>
      <c r="L81">
        <f>IF(K81="Yes",J81&amp;"|"&amp;B81,"DROP")</f>
        <v/>
      </c>
      <c r="M81">
        <f>LEN(A81)</f>
        <v/>
      </c>
    </row>
    <row r="82">
      <c r="A82" t="inlineStr">
        <is>
          <t>P16</t>
        </is>
      </c>
      <c r="B82" t="inlineStr">
        <is>
          <t>Ad_A</t>
        </is>
      </c>
      <c r="C82" t="n">
        <v>59</v>
      </c>
      <c r="D82" t="n">
        <v>95</v>
      </c>
      <c r="E82" t="n">
        <v>30</v>
      </c>
      <c r="F82" t="n">
        <v>90</v>
      </c>
      <c r="G82" t="n">
        <v>127</v>
      </c>
      <c r="H82" t="n">
        <v>100</v>
      </c>
      <c r="I82">
        <f>UPPER(TRIM(A82))</f>
        <v/>
      </c>
      <c r="J82">
        <f>IFERROR(INDEX(SessionLog!$A$2:$A$26,MATCH(I82,SessionLog!$N$2:$N$26,0)),"NOT FOUND")</f>
        <v/>
      </c>
      <c r="K82">
        <f>IFERROR(INDEX(SessionLog!$L$2:$L$26,MATCH(I82,SessionLog!$N$2:$N$26,0)),"NOT FOUND")</f>
        <v/>
      </c>
      <c r="L82">
        <f>IF(K82="Yes",J82&amp;"|"&amp;B82,"DROP")</f>
        <v/>
      </c>
      <c r="M82">
        <f>LEN(A82)</f>
        <v/>
      </c>
    </row>
    <row r="83">
      <c r="A83" t="inlineStr">
        <is>
          <t>P16</t>
        </is>
      </c>
      <c r="B83" t="inlineStr">
        <is>
          <t>Questionnaire</t>
        </is>
      </c>
      <c r="C83" t="n">
        <v>59</v>
      </c>
      <c r="D83" t="n">
        <v>96</v>
      </c>
      <c r="E83" t="n">
        <v>29</v>
      </c>
      <c r="F83" t="n">
        <v>91</v>
      </c>
      <c r="G83" t="n">
        <v>127</v>
      </c>
      <c r="H83" t="n">
        <v>100</v>
      </c>
      <c r="I83">
        <f>UPPER(TRIM(A83))</f>
        <v/>
      </c>
      <c r="J83">
        <f>IFERROR(INDEX(SessionLog!$A$2:$A$26,MATCH(I83,SessionLog!$N$2:$N$26,0)),"NOT FOUND")</f>
        <v/>
      </c>
      <c r="K83">
        <f>IFERROR(INDEX(SessionLog!$L$2:$L$26,MATCH(I83,SessionLog!$N$2:$N$26,0)),"NOT FOUND")</f>
        <v/>
      </c>
      <c r="L83">
        <f>IF(K83="Yes",J83&amp;"|"&amp;B83,"DROP")</f>
        <v/>
      </c>
      <c r="M83">
        <f>LEN(A83)</f>
        <v/>
      </c>
    </row>
    <row r="84">
      <c r="A84" t="inlineStr">
        <is>
          <t>P17</t>
        </is>
      </c>
      <c r="B84" t="inlineStr">
        <is>
          <t>Instructions</t>
        </is>
      </c>
      <c r="C84" t="n">
        <v>60</v>
      </c>
      <c r="D84" t="n">
        <v>98</v>
      </c>
      <c r="E84" t="n">
        <v>30</v>
      </c>
      <c r="F84" t="n">
        <v>96</v>
      </c>
      <c r="G84" t="n">
        <v>128</v>
      </c>
      <c r="H84" t="n">
        <v>100</v>
      </c>
      <c r="I84">
        <f>UPPER(TRIM(A84))</f>
        <v/>
      </c>
      <c r="J84">
        <f>IFERROR(INDEX(SessionLog!$A$2:$A$26,MATCH(I84,SessionLog!$N$2:$N$26,0)),"NOT FOUND")</f>
        <v/>
      </c>
      <c r="K84">
        <f>IFERROR(INDEX(SessionLog!$L$2:$L$26,MATCH(I84,SessionLog!$N$2:$N$26,0)),"NOT FOUND")</f>
        <v/>
      </c>
      <c r="L84">
        <f>IF(K84="Yes",J84&amp;"|"&amp;B84,"DROP")</f>
        <v/>
      </c>
      <c r="M84">
        <f>LEN(A84)</f>
        <v/>
      </c>
    </row>
    <row r="85">
      <c r="A85" t="inlineStr">
        <is>
          <t>P17</t>
        </is>
      </c>
      <c r="B85" t="inlineStr">
        <is>
          <t>Baseline</t>
        </is>
      </c>
      <c r="C85" t="n">
        <v>60</v>
      </c>
      <c r="D85" t="n">
        <v>97</v>
      </c>
      <c r="E85" t="n">
        <v>30</v>
      </c>
      <c r="F85" t="n">
        <v>95</v>
      </c>
      <c r="G85" t="n">
        <v>127</v>
      </c>
      <c r="H85" t="n">
        <v>100</v>
      </c>
      <c r="I85">
        <f>UPPER(TRIM(A85))</f>
        <v/>
      </c>
      <c r="J85">
        <f>IFERROR(INDEX(SessionLog!$A$2:$A$26,MATCH(I85,SessionLog!$N$2:$N$26,0)),"NOT FOUND")</f>
        <v/>
      </c>
      <c r="K85">
        <f>IFERROR(INDEX(SessionLog!$L$2:$L$26,MATCH(I85,SessionLog!$N$2:$N$26,0)),"NOT FOUND")</f>
        <v/>
      </c>
      <c r="L85">
        <f>IF(K85="Yes",J85&amp;"|"&amp;B85,"DROP")</f>
        <v/>
      </c>
      <c r="M85">
        <f>LEN(A85)</f>
        <v/>
      </c>
    </row>
    <row r="86">
      <c r="A86" t="inlineStr">
        <is>
          <t>P17</t>
        </is>
      </c>
      <c r="B86" t="inlineStr">
        <is>
          <t>Ad_A</t>
        </is>
      </c>
      <c r="C86" t="n">
        <v>59</v>
      </c>
      <c r="D86" t="n">
        <v>98</v>
      </c>
      <c r="E86" t="n">
        <v>29</v>
      </c>
      <c r="F86" t="n">
        <v>96</v>
      </c>
      <c r="G86" t="n">
        <v>126</v>
      </c>
      <c r="H86" t="n">
        <v>99</v>
      </c>
      <c r="I86">
        <f>UPPER(TRIM(A86))</f>
        <v/>
      </c>
      <c r="J86">
        <f>IFERROR(INDEX(SessionLog!$A$2:$A$26,MATCH(I86,SessionLog!$N$2:$N$26,0)),"NOT FOUND")</f>
        <v/>
      </c>
      <c r="K86">
        <f>IFERROR(INDEX(SessionLog!$L$2:$L$26,MATCH(I86,SessionLog!$N$2:$N$26,0)),"NOT FOUND")</f>
        <v/>
      </c>
      <c r="L86">
        <f>IF(K86="Yes",J86&amp;"|"&amp;B86,"DROP")</f>
        <v/>
      </c>
      <c r="M86">
        <f>LEN(A86)</f>
        <v/>
      </c>
    </row>
    <row r="87">
      <c r="A87" t="inlineStr">
        <is>
          <t>P17</t>
        </is>
      </c>
      <c r="B87" t="inlineStr">
        <is>
          <t>Ad_B</t>
        </is>
      </c>
      <c r="C87" t="n">
        <v>60</v>
      </c>
      <c r="D87" t="n">
        <v>96</v>
      </c>
      <c r="E87" t="n">
        <v>30</v>
      </c>
      <c r="F87" t="n">
        <v>95</v>
      </c>
      <c r="G87" t="n">
        <v>127</v>
      </c>
      <c r="H87" t="n">
        <v>100</v>
      </c>
      <c r="I87">
        <f>UPPER(TRIM(A87))</f>
        <v/>
      </c>
      <c r="J87">
        <f>IFERROR(INDEX(SessionLog!$A$2:$A$26,MATCH(I87,SessionLog!$N$2:$N$26,0)),"NOT FOUND")</f>
        <v/>
      </c>
      <c r="K87">
        <f>IFERROR(INDEX(SessionLog!$L$2:$L$26,MATCH(I87,SessionLog!$N$2:$N$26,0)),"NOT FOUND")</f>
        <v/>
      </c>
      <c r="L87">
        <f>IF(K87="Yes",J87&amp;"|"&amp;B87,"DROP")</f>
        <v/>
      </c>
      <c r="M87">
        <f>LEN(A87)</f>
        <v/>
      </c>
    </row>
    <row r="88">
      <c r="A88" t="inlineStr">
        <is>
          <t>P17</t>
        </is>
      </c>
      <c r="B88" t="inlineStr">
        <is>
          <t>Questionnaire</t>
        </is>
      </c>
      <c r="C88" t="n">
        <v>60</v>
      </c>
      <c r="D88" t="n">
        <v>97</v>
      </c>
      <c r="E88" t="n">
        <v>30</v>
      </c>
      <c r="F88" t="n">
        <v>96</v>
      </c>
      <c r="G88" t="n">
        <v>128</v>
      </c>
      <c r="H88" t="n">
        <v>100</v>
      </c>
      <c r="I88">
        <f>UPPER(TRIM(A88))</f>
        <v/>
      </c>
      <c r="J88">
        <f>IFERROR(INDEX(SessionLog!$A$2:$A$26,MATCH(I88,SessionLog!$N$2:$N$26,0)),"NOT FOUND")</f>
        <v/>
      </c>
      <c r="K88">
        <f>IFERROR(INDEX(SessionLog!$L$2:$L$26,MATCH(I88,SessionLog!$N$2:$N$26,0)),"NOT FOUND")</f>
        <v/>
      </c>
      <c r="L88">
        <f>IF(K88="Yes",J88&amp;"|"&amp;B88,"DROP")</f>
        <v/>
      </c>
      <c r="M88">
        <f>LEN(A88)</f>
        <v/>
      </c>
    </row>
    <row r="89">
      <c r="A89" t="inlineStr">
        <is>
          <t>P18</t>
        </is>
      </c>
      <c r="B89" t="inlineStr">
        <is>
          <t>Instructions</t>
        </is>
      </c>
      <c r="C89" t="n">
        <v>60</v>
      </c>
      <c r="D89" t="n">
        <v>94</v>
      </c>
      <c r="E89" t="n">
        <v>29</v>
      </c>
      <c r="F89" t="n">
        <v>97</v>
      </c>
      <c r="G89" t="n">
        <v>127</v>
      </c>
      <c r="H89" t="n">
        <v>100</v>
      </c>
      <c r="I89">
        <f>UPPER(TRIM(A89))</f>
        <v/>
      </c>
      <c r="J89">
        <f>IFERROR(INDEX(SessionLog!$A$2:$A$26,MATCH(I89,SessionLog!$N$2:$N$26,0)),"NOT FOUND")</f>
        <v/>
      </c>
      <c r="K89">
        <f>IFERROR(INDEX(SessionLog!$L$2:$L$26,MATCH(I89,SessionLog!$N$2:$N$26,0)),"NOT FOUND")</f>
        <v/>
      </c>
      <c r="L89">
        <f>IF(K89="Yes",J89&amp;"|"&amp;B89,"DROP")</f>
        <v/>
      </c>
      <c r="M89">
        <f>LEN(A89)</f>
        <v/>
      </c>
    </row>
    <row r="90">
      <c r="A90" t="inlineStr">
        <is>
          <t>P18</t>
        </is>
      </c>
      <c r="B90" t="inlineStr">
        <is>
          <t>Baseline</t>
        </is>
      </c>
      <c r="C90" t="n">
        <v>60</v>
      </c>
      <c r="D90" t="n">
        <v>94</v>
      </c>
      <c r="E90" t="n">
        <v>29</v>
      </c>
      <c r="F90" t="n">
        <v>98</v>
      </c>
      <c r="G90" t="n">
        <v>127</v>
      </c>
      <c r="H90" t="n">
        <v>100</v>
      </c>
      <c r="I90">
        <f>UPPER(TRIM(A90))</f>
        <v/>
      </c>
      <c r="J90">
        <f>IFERROR(INDEX(SessionLog!$A$2:$A$26,MATCH(I90,SessionLog!$N$2:$N$26,0)),"NOT FOUND")</f>
        <v/>
      </c>
      <c r="K90">
        <f>IFERROR(INDEX(SessionLog!$L$2:$L$26,MATCH(I90,SessionLog!$N$2:$N$26,0)),"NOT FOUND")</f>
        <v/>
      </c>
      <c r="L90">
        <f>IF(K90="Yes",J90&amp;"|"&amp;B90,"DROP")</f>
        <v/>
      </c>
      <c r="M90">
        <f>LEN(A90)</f>
        <v/>
      </c>
    </row>
    <row r="91">
      <c r="A91" t="inlineStr">
        <is>
          <t>P18</t>
        </is>
      </c>
      <c r="B91" t="inlineStr">
        <is>
          <t>Ad_B</t>
        </is>
      </c>
      <c r="C91" t="n">
        <v>60</v>
      </c>
      <c r="D91" t="n">
        <v>77</v>
      </c>
      <c r="E91" t="n">
        <v>30</v>
      </c>
      <c r="F91" t="n">
        <v>98</v>
      </c>
      <c r="G91" t="n">
        <v>128</v>
      </c>
      <c r="H91" t="n">
        <v>100</v>
      </c>
      <c r="I91">
        <f>UPPER(TRIM(A91))</f>
        <v/>
      </c>
      <c r="J91">
        <f>IFERROR(INDEX(SessionLog!$A$2:$A$26,MATCH(I91,SessionLog!$N$2:$N$26,0)),"NOT FOUND")</f>
        <v/>
      </c>
      <c r="K91">
        <f>IFERROR(INDEX(SessionLog!$L$2:$L$26,MATCH(I91,SessionLog!$N$2:$N$26,0)),"NOT FOUND")</f>
        <v/>
      </c>
      <c r="L91">
        <f>IF(K91="Yes",J91&amp;"|"&amp;B91,"DROP")</f>
        <v/>
      </c>
      <c r="M91">
        <f>LEN(A91)</f>
        <v/>
      </c>
    </row>
    <row r="92">
      <c r="A92" t="inlineStr">
        <is>
          <t>P18</t>
        </is>
      </c>
      <c r="B92" t="inlineStr">
        <is>
          <t>Ad_A</t>
        </is>
      </c>
      <c r="C92" t="n">
        <v>60</v>
      </c>
      <c r="D92" t="n">
        <v>90</v>
      </c>
      <c r="E92" t="n">
        <v>29</v>
      </c>
      <c r="F92" t="n">
        <v>97</v>
      </c>
      <c r="G92" t="n">
        <v>127</v>
      </c>
      <c r="H92" t="n">
        <v>100</v>
      </c>
      <c r="I92">
        <f>UPPER(TRIM(A92))</f>
        <v/>
      </c>
      <c r="J92">
        <f>IFERROR(INDEX(SessionLog!$A$2:$A$26,MATCH(I92,SessionLog!$N$2:$N$26,0)),"NOT FOUND")</f>
        <v/>
      </c>
      <c r="K92">
        <f>IFERROR(INDEX(SessionLog!$L$2:$L$26,MATCH(I92,SessionLog!$N$2:$N$26,0)),"NOT FOUND")</f>
        <v/>
      </c>
      <c r="L92">
        <f>IF(K92="Yes",J92&amp;"|"&amp;B92,"DROP")</f>
        <v/>
      </c>
      <c r="M92">
        <f>LEN(A92)</f>
        <v/>
      </c>
    </row>
    <row r="93">
      <c r="A93" t="inlineStr">
        <is>
          <t>P18</t>
        </is>
      </c>
      <c r="B93" t="inlineStr">
        <is>
          <t>Questionnaire</t>
        </is>
      </c>
      <c r="C93" t="n">
        <v>60</v>
      </c>
      <c r="D93" t="n">
        <v>80</v>
      </c>
      <c r="E93" t="n">
        <v>30</v>
      </c>
      <c r="F93" t="n">
        <v>98</v>
      </c>
      <c r="G93" t="n">
        <v>126</v>
      </c>
      <c r="H93" t="n">
        <v>100</v>
      </c>
      <c r="I93">
        <f>UPPER(TRIM(A93))</f>
        <v/>
      </c>
      <c r="J93">
        <f>IFERROR(INDEX(SessionLog!$A$2:$A$26,MATCH(I93,SessionLog!$N$2:$N$26,0)),"NOT FOUND")</f>
        <v/>
      </c>
      <c r="K93">
        <f>IFERROR(INDEX(SessionLog!$L$2:$L$26,MATCH(I93,SessionLog!$N$2:$N$26,0)),"NOT FOUND")</f>
        <v/>
      </c>
      <c r="L93">
        <f>IF(K93="Yes",J93&amp;"|"&amp;B93,"DROP")</f>
        <v/>
      </c>
      <c r="M93">
        <f>LEN(A93)</f>
        <v/>
      </c>
    </row>
    <row r="94">
      <c r="A94" t="inlineStr">
        <is>
          <t>P19</t>
        </is>
      </c>
      <c r="B94" t="inlineStr">
        <is>
          <t>Instructions</t>
        </is>
      </c>
      <c r="C94" t="n">
        <v>59</v>
      </c>
      <c r="D94" t="n">
        <v>98</v>
      </c>
      <c r="E94" t="n">
        <v>30</v>
      </c>
      <c r="F94" t="n">
        <v>93</v>
      </c>
      <c r="G94" t="n">
        <v>127</v>
      </c>
      <c r="H94" t="n">
        <v>100</v>
      </c>
      <c r="I94">
        <f>UPPER(TRIM(A94))</f>
        <v/>
      </c>
      <c r="J94">
        <f>IFERROR(INDEX(SessionLog!$A$2:$A$26,MATCH(I94,SessionLog!$N$2:$N$26,0)),"NOT FOUND")</f>
        <v/>
      </c>
      <c r="K94">
        <f>IFERROR(INDEX(SessionLog!$L$2:$L$26,MATCH(I94,SessionLog!$N$2:$N$26,0)),"NOT FOUND")</f>
        <v/>
      </c>
      <c r="L94">
        <f>IF(K94="Yes",J94&amp;"|"&amp;B94,"DROP")</f>
        <v/>
      </c>
      <c r="M94">
        <f>LEN(A94)</f>
        <v/>
      </c>
    </row>
    <row r="95">
      <c r="A95" t="inlineStr">
        <is>
          <t>P19</t>
        </is>
      </c>
      <c r="B95" t="inlineStr">
        <is>
          <t>Baseline</t>
        </is>
      </c>
      <c r="C95" t="n">
        <v>59</v>
      </c>
      <c r="D95" t="n">
        <v>95</v>
      </c>
      <c r="E95" t="n">
        <v>29</v>
      </c>
      <c r="F95" t="n">
        <v>96</v>
      </c>
      <c r="G95" t="n">
        <v>128</v>
      </c>
      <c r="H95" t="n">
        <v>100</v>
      </c>
      <c r="I95">
        <f>UPPER(TRIM(A95))</f>
        <v/>
      </c>
      <c r="J95">
        <f>IFERROR(INDEX(SessionLog!$A$2:$A$26,MATCH(I95,SessionLog!$N$2:$N$26,0)),"NOT FOUND")</f>
        <v/>
      </c>
      <c r="K95">
        <f>IFERROR(INDEX(SessionLog!$L$2:$L$26,MATCH(I95,SessionLog!$N$2:$N$26,0)),"NOT FOUND")</f>
        <v/>
      </c>
      <c r="L95">
        <f>IF(K95="Yes",J95&amp;"|"&amp;B95,"DROP")</f>
        <v/>
      </c>
      <c r="M95">
        <f>LEN(A95)</f>
        <v/>
      </c>
    </row>
    <row r="96">
      <c r="A96" t="inlineStr">
        <is>
          <t>P19</t>
        </is>
      </c>
      <c r="B96" t="inlineStr">
        <is>
          <t>Ad_A</t>
        </is>
      </c>
      <c r="C96" t="n">
        <v>60</v>
      </c>
      <c r="D96" t="n">
        <v>97</v>
      </c>
      <c r="E96" t="n">
        <v>30</v>
      </c>
      <c r="F96" t="n">
        <v>96</v>
      </c>
      <c r="G96" t="n">
        <v>127</v>
      </c>
      <c r="H96" t="n">
        <v>100</v>
      </c>
      <c r="I96">
        <f>UPPER(TRIM(A96))</f>
        <v/>
      </c>
      <c r="J96">
        <f>IFERROR(INDEX(SessionLog!$A$2:$A$26,MATCH(I96,SessionLog!$N$2:$N$26,0)),"NOT FOUND")</f>
        <v/>
      </c>
      <c r="K96">
        <f>IFERROR(INDEX(SessionLog!$L$2:$L$26,MATCH(I96,SessionLog!$N$2:$N$26,0)),"NOT FOUND")</f>
        <v/>
      </c>
      <c r="L96">
        <f>IF(K96="Yes",J96&amp;"|"&amp;B96,"DROP")</f>
        <v/>
      </c>
      <c r="M96">
        <f>LEN(A96)</f>
        <v/>
      </c>
    </row>
    <row r="97">
      <c r="A97" t="inlineStr">
        <is>
          <t>P19</t>
        </is>
      </c>
      <c r="B97" t="inlineStr">
        <is>
          <t>Ad_B</t>
        </is>
      </c>
      <c r="C97" t="n">
        <v>59</v>
      </c>
      <c r="D97" t="n">
        <v>95</v>
      </c>
      <c r="E97" t="n">
        <v>30</v>
      </c>
      <c r="F97" t="n">
        <v>94</v>
      </c>
      <c r="G97" t="n">
        <v>126</v>
      </c>
      <c r="H97" t="n">
        <v>100</v>
      </c>
      <c r="I97">
        <f>UPPER(TRIM(A97))</f>
        <v/>
      </c>
      <c r="J97">
        <f>IFERROR(INDEX(SessionLog!$A$2:$A$26,MATCH(I97,SessionLog!$N$2:$N$26,0)),"NOT FOUND")</f>
        <v/>
      </c>
      <c r="K97">
        <f>IFERROR(INDEX(SessionLog!$L$2:$L$26,MATCH(I97,SessionLog!$N$2:$N$26,0)),"NOT FOUND")</f>
        <v/>
      </c>
      <c r="L97">
        <f>IF(K97="Yes",J97&amp;"|"&amp;B97,"DROP")</f>
        <v/>
      </c>
      <c r="M97">
        <f>LEN(A97)</f>
        <v/>
      </c>
    </row>
    <row r="98">
      <c r="A98" t="inlineStr">
        <is>
          <t>P19</t>
        </is>
      </c>
      <c r="B98" t="inlineStr">
        <is>
          <t>Questionnaire</t>
        </is>
      </c>
      <c r="C98" t="n">
        <v>59</v>
      </c>
      <c r="D98" t="n">
        <v>97</v>
      </c>
      <c r="E98" t="n">
        <v>29</v>
      </c>
      <c r="F98" t="n">
        <v>96</v>
      </c>
      <c r="G98" t="n">
        <v>127</v>
      </c>
      <c r="H98" t="n">
        <v>100</v>
      </c>
      <c r="I98">
        <f>UPPER(TRIM(A98))</f>
        <v/>
      </c>
      <c r="J98">
        <f>IFERROR(INDEX(SessionLog!$A$2:$A$26,MATCH(I98,SessionLog!$N$2:$N$26,0)),"NOT FOUND")</f>
        <v/>
      </c>
      <c r="K98">
        <f>IFERROR(INDEX(SessionLog!$L$2:$L$26,MATCH(I98,SessionLog!$N$2:$N$26,0)),"NOT FOUND")</f>
        <v/>
      </c>
      <c r="L98">
        <f>IF(K98="Yes",J98&amp;"|"&amp;B98,"DROP")</f>
        <v/>
      </c>
      <c r="M98">
        <f>LEN(A98)</f>
        <v/>
      </c>
    </row>
    <row r="99">
      <c r="A99" t="inlineStr">
        <is>
          <t>P20</t>
        </is>
      </c>
      <c r="B99" t="inlineStr">
        <is>
          <t>Instructions</t>
        </is>
      </c>
      <c r="C99" t="n">
        <v>59</v>
      </c>
      <c r="D99" t="n">
        <v>95</v>
      </c>
      <c r="E99" t="n">
        <v>30</v>
      </c>
      <c r="F99" t="n">
        <v>96</v>
      </c>
      <c r="G99" t="n">
        <v>127</v>
      </c>
      <c r="H99" t="n">
        <v>100</v>
      </c>
      <c r="I99">
        <f>UPPER(TRIM(A99))</f>
        <v/>
      </c>
      <c r="J99">
        <f>IFERROR(INDEX(SessionLog!$A$2:$A$26,MATCH(I99,SessionLog!$N$2:$N$26,0)),"NOT FOUND")</f>
        <v/>
      </c>
      <c r="K99">
        <f>IFERROR(INDEX(SessionLog!$L$2:$L$26,MATCH(I99,SessionLog!$N$2:$N$26,0)),"NOT FOUND")</f>
        <v/>
      </c>
      <c r="L99">
        <f>IF(K99="Yes",J99&amp;"|"&amp;B99,"DROP")</f>
        <v/>
      </c>
      <c r="M99">
        <f>LEN(A99)</f>
        <v/>
      </c>
    </row>
    <row r="100">
      <c r="A100" t="inlineStr">
        <is>
          <t>P20</t>
        </is>
      </c>
      <c r="B100" t="inlineStr">
        <is>
          <t>Baseline</t>
        </is>
      </c>
      <c r="C100" t="n">
        <v>60</v>
      </c>
      <c r="D100" t="n">
        <v>96</v>
      </c>
      <c r="E100" t="n">
        <v>29</v>
      </c>
      <c r="F100" t="n">
        <v>99</v>
      </c>
      <c r="G100" t="n">
        <v>127</v>
      </c>
      <c r="H100" t="n">
        <v>100</v>
      </c>
      <c r="I100">
        <f>UPPER(TRIM(A100))</f>
        <v/>
      </c>
      <c r="J100">
        <f>IFERROR(INDEX(SessionLog!$A$2:$A$26,MATCH(I100,SessionLog!$N$2:$N$26,0)),"NOT FOUND")</f>
        <v/>
      </c>
      <c r="K100">
        <f>IFERROR(INDEX(SessionLog!$L$2:$L$26,MATCH(I100,SessionLog!$N$2:$N$26,0)),"NOT FOUND")</f>
        <v/>
      </c>
      <c r="L100">
        <f>IF(K100="Yes",J100&amp;"|"&amp;B100,"DROP")</f>
        <v/>
      </c>
      <c r="M100">
        <f>LEN(A100)</f>
        <v/>
      </c>
    </row>
    <row r="101">
      <c r="A101" t="inlineStr">
        <is>
          <t>P20</t>
        </is>
      </c>
      <c r="B101" t="inlineStr">
        <is>
          <t>Ad_B</t>
        </is>
      </c>
      <c r="C101" t="n">
        <v>60</v>
      </c>
      <c r="D101" t="n">
        <v>95</v>
      </c>
      <c r="E101" t="n">
        <v>29</v>
      </c>
      <c r="F101" t="n">
        <v>98</v>
      </c>
      <c r="G101" t="n">
        <v>127</v>
      </c>
      <c r="H101" t="n">
        <v>100</v>
      </c>
      <c r="I101">
        <f>UPPER(TRIM(A101))</f>
        <v/>
      </c>
      <c r="J101">
        <f>IFERROR(INDEX(SessionLog!$A$2:$A$26,MATCH(I101,SessionLog!$N$2:$N$26,0)),"NOT FOUND")</f>
        <v/>
      </c>
      <c r="K101">
        <f>IFERROR(INDEX(SessionLog!$L$2:$L$26,MATCH(I101,SessionLog!$N$2:$N$26,0)),"NOT FOUND")</f>
        <v/>
      </c>
      <c r="L101">
        <f>IF(K101="Yes",J101&amp;"|"&amp;B101,"DROP")</f>
        <v/>
      </c>
      <c r="M101">
        <f>LEN(A101)</f>
        <v/>
      </c>
    </row>
    <row r="102">
      <c r="A102" t="inlineStr">
        <is>
          <t>P20</t>
        </is>
      </c>
      <c r="B102" t="inlineStr">
        <is>
          <t>Ad_A</t>
        </is>
      </c>
      <c r="C102" t="n">
        <v>60</v>
      </c>
      <c r="D102" t="n">
        <v>94</v>
      </c>
      <c r="E102" t="n">
        <v>29</v>
      </c>
      <c r="F102" t="n">
        <v>97</v>
      </c>
      <c r="G102" t="n">
        <v>128</v>
      </c>
      <c r="H102" t="n">
        <v>100</v>
      </c>
      <c r="I102">
        <f>UPPER(TRIM(A102))</f>
        <v/>
      </c>
      <c r="J102">
        <f>IFERROR(INDEX(SessionLog!$A$2:$A$26,MATCH(I102,SessionLog!$N$2:$N$26,0)),"NOT FOUND")</f>
        <v/>
      </c>
      <c r="K102">
        <f>IFERROR(INDEX(SessionLog!$L$2:$L$26,MATCH(I102,SessionLog!$N$2:$N$26,0)),"NOT FOUND")</f>
        <v/>
      </c>
      <c r="L102">
        <f>IF(K102="Yes",J102&amp;"|"&amp;B102,"DROP")</f>
        <v/>
      </c>
      <c r="M102">
        <f>LEN(A102)</f>
        <v/>
      </c>
    </row>
    <row r="103">
      <c r="A103" t="inlineStr">
        <is>
          <t>P20</t>
        </is>
      </c>
      <c r="B103" t="inlineStr">
        <is>
          <t>Questionnaire</t>
        </is>
      </c>
      <c r="C103" t="n">
        <v>60</v>
      </c>
      <c r="D103" t="n">
        <v>95</v>
      </c>
      <c r="E103" t="n">
        <v>30</v>
      </c>
      <c r="F103" t="n">
        <v>99</v>
      </c>
      <c r="G103" t="n">
        <v>127</v>
      </c>
      <c r="H103" t="n">
        <v>100</v>
      </c>
      <c r="I103">
        <f>UPPER(TRIM(A103))</f>
        <v/>
      </c>
      <c r="J103">
        <f>IFERROR(INDEX(SessionLog!$A$2:$A$26,MATCH(I103,SessionLog!$N$2:$N$26,0)),"NOT FOUND")</f>
        <v/>
      </c>
      <c r="K103">
        <f>IFERROR(INDEX(SessionLog!$L$2:$L$26,MATCH(I103,SessionLog!$N$2:$N$26,0)),"NOT FOUND")</f>
        <v/>
      </c>
      <c r="L103">
        <f>IF(K103="Yes",J103&amp;"|"&amp;B103,"DROP")</f>
        <v/>
      </c>
      <c r="M103">
        <f>LEN(A103)</f>
        <v/>
      </c>
    </row>
    <row r="104">
      <c r="A104" t="inlineStr">
        <is>
          <t>P21</t>
        </is>
      </c>
      <c r="B104" t="inlineStr">
        <is>
          <t>Instructions</t>
        </is>
      </c>
      <c r="C104" t="n">
        <v>60</v>
      </c>
      <c r="D104" t="n">
        <v>97</v>
      </c>
      <c r="E104" t="n">
        <v>29</v>
      </c>
      <c r="F104" t="n">
        <v>96</v>
      </c>
      <c r="G104" t="n">
        <v>127</v>
      </c>
      <c r="H104" t="n">
        <v>100</v>
      </c>
      <c r="I104">
        <f>UPPER(TRIM(A104))</f>
        <v/>
      </c>
      <c r="J104">
        <f>IFERROR(INDEX(SessionLog!$A$2:$A$26,MATCH(I104,SessionLog!$N$2:$N$26,0)),"NOT FOUND")</f>
        <v/>
      </c>
      <c r="K104">
        <f>IFERROR(INDEX(SessionLog!$L$2:$L$26,MATCH(I104,SessionLog!$N$2:$N$26,0)),"NOT FOUND")</f>
        <v/>
      </c>
      <c r="L104">
        <f>IF(K104="Yes",J104&amp;"|"&amp;B104,"DROP")</f>
        <v/>
      </c>
      <c r="M104">
        <f>LEN(A104)</f>
        <v/>
      </c>
    </row>
    <row r="105">
      <c r="A105" t="inlineStr">
        <is>
          <t>P21</t>
        </is>
      </c>
      <c r="B105" t="inlineStr">
        <is>
          <t>Baseline</t>
        </is>
      </c>
      <c r="C105" t="n">
        <v>59</v>
      </c>
      <c r="D105" t="n">
        <v>95</v>
      </c>
      <c r="E105" t="n">
        <v>29</v>
      </c>
      <c r="F105" t="n">
        <v>98</v>
      </c>
      <c r="G105" t="n">
        <v>128</v>
      </c>
      <c r="H105" t="n">
        <v>100</v>
      </c>
      <c r="I105">
        <f>UPPER(TRIM(A105))</f>
        <v/>
      </c>
      <c r="J105">
        <f>IFERROR(INDEX(SessionLog!$A$2:$A$26,MATCH(I105,SessionLog!$N$2:$N$26,0)),"NOT FOUND")</f>
        <v/>
      </c>
      <c r="K105">
        <f>IFERROR(INDEX(SessionLog!$L$2:$L$26,MATCH(I105,SessionLog!$N$2:$N$26,0)),"NOT FOUND")</f>
        <v/>
      </c>
      <c r="L105">
        <f>IF(K105="Yes",J105&amp;"|"&amp;B105,"DROP")</f>
        <v/>
      </c>
      <c r="M105">
        <f>LEN(A105)</f>
        <v/>
      </c>
    </row>
    <row r="106">
      <c r="A106" t="inlineStr">
        <is>
          <t>P21</t>
        </is>
      </c>
      <c r="B106" t="inlineStr">
        <is>
          <t>Ad_A</t>
        </is>
      </c>
      <c r="C106" t="n">
        <v>59</v>
      </c>
      <c r="D106" t="n">
        <v>94</v>
      </c>
      <c r="E106" t="n">
        <v>29</v>
      </c>
      <c r="F106" t="n">
        <v>66</v>
      </c>
      <c r="G106" t="n">
        <v>127</v>
      </c>
      <c r="H106" t="n">
        <v>100</v>
      </c>
      <c r="I106">
        <f>UPPER(TRIM(A106))</f>
        <v/>
      </c>
      <c r="J106">
        <f>IFERROR(INDEX(SessionLog!$A$2:$A$26,MATCH(I106,SessionLog!$N$2:$N$26,0)),"NOT FOUND")</f>
        <v/>
      </c>
      <c r="K106">
        <f>IFERROR(INDEX(SessionLog!$L$2:$L$26,MATCH(I106,SessionLog!$N$2:$N$26,0)),"NOT FOUND")</f>
        <v/>
      </c>
      <c r="L106">
        <f>IF(K106="Yes",J106&amp;"|"&amp;B106,"DROP")</f>
        <v/>
      </c>
      <c r="M106">
        <f>LEN(A106)</f>
        <v/>
      </c>
    </row>
    <row r="107">
      <c r="A107" t="inlineStr">
        <is>
          <t>P21</t>
        </is>
      </c>
      <c r="B107" t="inlineStr">
        <is>
          <t>Ad_B</t>
        </is>
      </c>
      <c r="C107" t="n">
        <v>59</v>
      </c>
      <c r="D107" t="n">
        <v>96</v>
      </c>
      <c r="E107" t="n">
        <v>30</v>
      </c>
      <c r="F107" t="n">
        <v>65</v>
      </c>
      <c r="G107" t="n">
        <v>127</v>
      </c>
      <c r="H107" t="n">
        <v>100</v>
      </c>
      <c r="I107">
        <f>UPPER(TRIM(A107))</f>
        <v/>
      </c>
      <c r="J107">
        <f>IFERROR(INDEX(SessionLog!$A$2:$A$26,MATCH(I107,SessionLog!$N$2:$N$26,0)),"NOT FOUND")</f>
        <v/>
      </c>
      <c r="K107">
        <f>IFERROR(INDEX(SessionLog!$L$2:$L$26,MATCH(I107,SessionLog!$N$2:$N$26,0)),"NOT FOUND")</f>
        <v/>
      </c>
      <c r="L107">
        <f>IF(K107="Yes",J107&amp;"|"&amp;B107,"DROP")</f>
        <v/>
      </c>
      <c r="M107">
        <f>LEN(A107)</f>
        <v/>
      </c>
    </row>
    <row r="108">
      <c r="A108" t="inlineStr">
        <is>
          <t>P21</t>
        </is>
      </c>
      <c r="B108" t="inlineStr">
        <is>
          <t>Questionnaire</t>
        </is>
      </c>
      <c r="C108" t="n">
        <v>59</v>
      </c>
      <c r="D108" t="n">
        <v>97</v>
      </c>
      <c r="E108" t="n">
        <v>29</v>
      </c>
      <c r="F108" t="n">
        <v>98</v>
      </c>
      <c r="G108" t="n">
        <v>126</v>
      </c>
      <c r="H108" t="n">
        <v>99</v>
      </c>
      <c r="I108">
        <f>UPPER(TRIM(A108))</f>
        <v/>
      </c>
      <c r="J108">
        <f>IFERROR(INDEX(SessionLog!$A$2:$A$26,MATCH(I108,SessionLog!$N$2:$N$26,0)),"NOT FOUND")</f>
        <v/>
      </c>
      <c r="K108">
        <f>IFERROR(INDEX(SessionLog!$L$2:$L$26,MATCH(I108,SessionLog!$N$2:$N$26,0)),"NOT FOUND")</f>
        <v/>
      </c>
      <c r="L108">
        <f>IF(K108="Yes",J108&amp;"|"&amp;B108,"DROP")</f>
        <v/>
      </c>
      <c r="M108">
        <f>LEN(A108)</f>
        <v/>
      </c>
    </row>
    <row r="109">
      <c r="A109" t="inlineStr">
        <is>
          <t>P22</t>
        </is>
      </c>
      <c r="B109" t="inlineStr">
        <is>
          <t>Instructions</t>
        </is>
      </c>
      <c r="C109" t="n">
        <v>60</v>
      </c>
      <c r="D109" t="n">
        <v>95</v>
      </c>
      <c r="E109" t="n">
        <v>30</v>
      </c>
      <c r="F109" t="n">
        <v>95</v>
      </c>
      <c r="G109" t="n">
        <v>128</v>
      </c>
      <c r="H109" t="n">
        <v>100</v>
      </c>
      <c r="I109">
        <f>UPPER(TRIM(A109))</f>
        <v/>
      </c>
      <c r="J109">
        <f>IFERROR(INDEX(SessionLog!$A$2:$A$26,MATCH(I109,SessionLog!$N$2:$N$26,0)),"NOT FOUND")</f>
        <v/>
      </c>
      <c r="K109">
        <f>IFERROR(INDEX(SessionLog!$L$2:$L$26,MATCH(I109,SessionLog!$N$2:$N$26,0)),"NOT FOUND")</f>
        <v/>
      </c>
      <c r="L109">
        <f>IF(K109="Yes",J109&amp;"|"&amp;B109,"DROP")</f>
        <v/>
      </c>
      <c r="M109">
        <f>LEN(A109)</f>
        <v/>
      </c>
    </row>
    <row r="110">
      <c r="A110" t="inlineStr">
        <is>
          <t>P22</t>
        </is>
      </c>
      <c r="B110" t="inlineStr">
        <is>
          <t>Baseline</t>
        </is>
      </c>
      <c r="C110" t="n">
        <v>60</v>
      </c>
      <c r="D110" t="n">
        <v>95</v>
      </c>
      <c r="E110" t="n">
        <v>30</v>
      </c>
      <c r="F110" t="n">
        <v>96</v>
      </c>
      <c r="G110" t="n">
        <v>127</v>
      </c>
      <c r="H110" t="n">
        <v>100</v>
      </c>
      <c r="I110">
        <f>UPPER(TRIM(A110))</f>
        <v/>
      </c>
      <c r="J110">
        <f>IFERROR(INDEX(SessionLog!$A$2:$A$26,MATCH(I110,SessionLog!$N$2:$N$26,0)),"NOT FOUND")</f>
        <v/>
      </c>
      <c r="K110">
        <f>IFERROR(INDEX(SessionLog!$L$2:$L$26,MATCH(I110,SessionLog!$N$2:$N$26,0)),"NOT FOUND")</f>
        <v/>
      </c>
      <c r="L110">
        <f>IF(K110="Yes",J110&amp;"|"&amp;B110,"DROP")</f>
        <v/>
      </c>
      <c r="M110">
        <f>LEN(A110)</f>
        <v/>
      </c>
    </row>
    <row r="111">
      <c r="A111" t="inlineStr">
        <is>
          <t>P22</t>
        </is>
      </c>
      <c r="B111" t="inlineStr">
        <is>
          <t>Ad_B</t>
        </is>
      </c>
      <c r="C111" t="n">
        <v>60</v>
      </c>
      <c r="D111" t="n">
        <v>94</v>
      </c>
      <c r="E111" t="n">
        <v>29</v>
      </c>
      <c r="F111" t="n">
        <v>96</v>
      </c>
      <c r="G111" t="n">
        <v>127</v>
      </c>
      <c r="H111" t="n">
        <v>100</v>
      </c>
      <c r="I111">
        <f>UPPER(TRIM(A111))</f>
        <v/>
      </c>
      <c r="J111">
        <f>IFERROR(INDEX(SessionLog!$A$2:$A$26,MATCH(I111,SessionLog!$N$2:$N$26,0)),"NOT FOUND")</f>
        <v/>
      </c>
      <c r="K111">
        <f>IFERROR(INDEX(SessionLog!$L$2:$L$26,MATCH(I111,SessionLog!$N$2:$N$26,0)),"NOT FOUND")</f>
        <v/>
      </c>
      <c r="L111">
        <f>IF(K111="Yes",J111&amp;"|"&amp;B111,"DROP")</f>
        <v/>
      </c>
      <c r="M111">
        <f>LEN(A111)</f>
        <v/>
      </c>
    </row>
    <row r="112">
      <c r="A112" t="inlineStr">
        <is>
          <t>P22</t>
        </is>
      </c>
      <c r="B112" t="inlineStr">
        <is>
          <t>Ad_A</t>
        </is>
      </c>
      <c r="C112" t="n">
        <v>60</v>
      </c>
      <c r="D112" t="n">
        <v>93</v>
      </c>
      <c r="E112" t="n">
        <v>29</v>
      </c>
      <c r="F112" t="n">
        <v>96</v>
      </c>
      <c r="G112" t="n">
        <v>127</v>
      </c>
      <c r="H112" t="n">
        <v>100</v>
      </c>
      <c r="I112">
        <f>UPPER(TRIM(A112))</f>
        <v/>
      </c>
      <c r="J112">
        <f>IFERROR(INDEX(SessionLog!$A$2:$A$26,MATCH(I112,SessionLog!$N$2:$N$26,0)),"NOT FOUND")</f>
        <v/>
      </c>
      <c r="K112">
        <f>IFERROR(INDEX(SessionLog!$L$2:$L$26,MATCH(I112,SessionLog!$N$2:$N$26,0)),"NOT FOUND")</f>
        <v/>
      </c>
      <c r="L112">
        <f>IF(K112="Yes",J112&amp;"|"&amp;B112,"DROP")</f>
        <v/>
      </c>
      <c r="M112">
        <f>LEN(A112)</f>
        <v/>
      </c>
    </row>
    <row r="113">
      <c r="A113" t="inlineStr">
        <is>
          <t>P22</t>
        </is>
      </c>
      <c r="B113" t="inlineStr">
        <is>
          <t>Questionnaire</t>
        </is>
      </c>
      <c r="C113" t="n">
        <v>59</v>
      </c>
      <c r="D113" t="n">
        <v>94</v>
      </c>
      <c r="E113" t="n">
        <v>29</v>
      </c>
      <c r="F113" t="n">
        <v>97</v>
      </c>
      <c r="G113" t="n">
        <v>127</v>
      </c>
      <c r="H113" t="n">
        <v>100</v>
      </c>
      <c r="I113">
        <f>UPPER(TRIM(A113))</f>
        <v/>
      </c>
      <c r="J113">
        <f>IFERROR(INDEX(SessionLog!$A$2:$A$26,MATCH(I113,SessionLog!$N$2:$N$26,0)),"NOT FOUND")</f>
        <v/>
      </c>
      <c r="K113">
        <f>IFERROR(INDEX(SessionLog!$L$2:$L$26,MATCH(I113,SessionLog!$N$2:$N$26,0)),"NOT FOUND")</f>
        <v/>
      </c>
      <c r="L113">
        <f>IF(K113="Yes",J113&amp;"|"&amp;B113,"DROP")</f>
        <v/>
      </c>
      <c r="M113">
        <f>LEN(A113)</f>
        <v/>
      </c>
    </row>
    <row r="114">
      <c r="A114" t="inlineStr">
        <is>
          <t>P23</t>
        </is>
      </c>
      <c r="B114" t="inlineStr">
        <is>
          <t>Instructions</t>
        </is>
      </c>
      <c r="C114" t="n">
        <v>60</v>
      </c>
      <c r="D114" t="n">
        <v>96</v>
      </c>
      <c r="E114" t="n">
        <v>29</v>
      </c>
      <c r="F114" t="n">
        <v>91</v>
      </c>
      <c r="G114" t="n">
        <v>127</v>
      </c>
      <c r="H114" t="n">
        <v>100</v>
      </c>
      <c r="I114">
        <f>UPPER(TRIM(A114))</f>
        <v/>
      </c>
      <c r="J114">
        <f>IFERROR(INDEX(SessionLog!$A$2:$A$26,MATCH(I114,SessionLog!$N$2:$N$26,0)),"NOT FOUND")</f>
        <v/>
      </c>
      <c r="K114">
        <f>IFERROR(INDEX(SessionLog!$L$2:$L$26,MATCH(I114,SessionLog!$N$2:$N$26,0)),"NOT FOUND")</f>
        <v/>
      </c>
      <c r="L114">
        <f>IF(K114="Yes",J114&amp;"|"&amp;B114,"DROP")</f>
        <v/>
      </c>
      <c r="M114">
        <f>LEN(A114)</f>
        <v/>
      </c>
    </row>
    <row r="115">
      <c r="A115" t="inlineStr">
        <is>
          <t>P23</t>
        </is>
      </c>
      <c r="B115" t="inlineStr">
        <is>
          <t>Baseline</t>
        </is>
      </c>
      <c r="C115" t="n">
        <v>59</v>
      </c>
      <c r="D115" t="n">
        <v>96</v>
      </c>
      <c r="E115" t="n">
        <v>30</v>
      </c>
      <c r="F115" t="n">
        <v>93</v>
      </c>
      <c r="G115" t="n">
        <v>128</v>
      </c>
      <c r="H115" t="n">
        <v>100</v>
      </c>
      <c r="I115">
        <f>UPPER(TRIM(A115))</f>
        <v/>
      </c>
      <c r="J115">
        <f>IFERROR(INDEX(SessionLog!$A$2:$A$26,MATCH(I115,SessionLog!$N$2:$N$26,0)),"NOT FOUND")</f>
        <v/>
      </c>
      <c r="K115">
        <f>IFERROR(INDEX(SessionLog!$L$2:$L$26,MATCH(I115,SessionLog!$N$2:$N$26,0)),"NOT FOUND")</f>
        <v/>
      </c>
      <c r="L115">
        <f>IF(K115="Yes",J115&amp;"|"&amp;B115,"DROP")</f>
        <v/>
      </c>
      <c r="M115">
        <f>LEN(A115)</f>
        <v/>
      </c>
    </row>
    <row r="116">
      <c r="A116" t="inlineStr">
        <is>
          <t>P23</t>
        </is>
      </c>
      <c r="B116" t="inlineStr">
        <is>
          <t>Ad_A</t>
        </is>
      </c>
      <c r="C116" t="n">
        <v>60</v>
      </c>
      <c r="D116" t="n">
        <v>95</v>
      </c>
      <c r="E116" t="n">
        <v>30</v>
      </c>
      <c r="F116" t="n">
        <v>93</v>
      </c>
      <c r="G116" t="n">
        <v>128</v>
      </c>
      <c r="H116" t="n">
        <v>100</v>
      </c>
      <c r="I116">
        <f>UPPER(TRIM(A116))</f>
        <v/>
      </c>
      <c r="J116">
        <f>IFERROR(INDEX(SessionLog!$A$2:$A$26,MATCH(I116,SessionLog!$N$2:$N$26,0)),"NOT FOUND")</f>
        <v/>
      </c>
      <c r="K116">
        <f>IFERROR(INDEX(SessionLog!$L$2:$L$26,MATCH(I116,SessionLog!$N$2:$N$26,0)),"NOT FOUND")</f>
        <v/>
      </c>
      <c r="L116">
        <f>IF(K116="Yes",J116&amp;"|"&amp;B116,"DROP")</f>
        <v/>
      </c>
      <c r="M116">
        <f>LEN(A116)</f>
        <v/>
      </c>
    </row>
    <row r="117">
      <c r="A117" t="inlineStr">
        <is>
          <t>P23</t>
        </is>
      </c>
      <c r="B117" t="inlineStr">
        <is>
          <t>Ad_B</t>
        </is>
      </c>
      <c r="C117" t="n">
        <v>59</v>
      </c>
      <c r="D117" t="n">
        <v>96</v>
      </c>
      <c r="E117" t="n">
        <v>29</v>
      </c>
      <c r="F117" t="n">
        <v>93</v>
      </c>
      <c r="G117" t="n">
        <v>128</v>
      </c>
      <c r="H117" t="n">
        <v>100</v>
      </c>
      <c r="I117">
        <f>UPPER(TRIM(A117))</f>
        <v/>
      </c>
      <c r="J117">
        <f>IFERROR(INDEX(SessionLog!$A$2:$A$26,MATCH(I117,SessionLog!$N$2:$N$26,0)),"NOT FOUND")</f>
        <v/>
      </c>
      <c r="K117">
        <f>IFERROR(INDEX(SessionLog!$L$2:$L$26,MATCH(I117,SessionLog!$N$2:$N$26,0)),"NOT FOUND")</f>
        <v/>
      </c>
      <c r="L117">
        <f>IF(K117="Yes",J117&amp;"|"&amp;B117,"DROP")</f>
        <v/>
      </c>
      <c r="M117">
        <f>LEN(A117)</f>
        <v/>
      </c>
    </row>
    <row r="118">
      <c r="A118" t="inlineStr">
        <is>
          <t>P23</t>
        </is>
      </c>
      <c r="B118" t="inlineStr">
        <is>
          <t>Questionnaire</t>
        </is>
      </c>
      <c r="C118" t="n">
        <v>60</v>
      </c>
      <c r="D118" t="n">
        <v>95</v>
      </c>
      <c r="E118" t="n">
        <v>29</v>
      </c>
      <c r="F118" t="n">
        <v>93</v>
      </c>
      <c r="G118" t="n">
        <v>128</v>
      </c>
      <c r="H118" t="n">
        <v>100</v>
      </c>
      <c r="I118">
        <f>UPPER(TRIM(A118))</f>
        <v/>
      </c>
      <c r="J118">
        <f>IFERROR(INDEX(SessionLog!$A$2:$A$26,MATCH(I118,SessionLog!$N$2:$N$26,0)),"NOT FOUND")</f>
        <v/>
      </c>
      <c r="K118">
        <f>IFERROR(INDEX(SessionLog!$L$2:$L$26,MATCH(I118,SessionLog!$N$2:$N$26,0)),"NOT FOUND")</f>
        <v/>
      </c>
      <c r="L118">
        <f>IF(K118="Yes",J118&amp;"|"&amp;B118,"DROP")</f>
        <v/>
      </c>
      <c r="M118">
        <f>LEN(A118)</f>
        <v/>
      </c>
    </row>
    <row r="119">
      <c r="A119" t="inlineStr">
        <is>
          <t>P24</t>
        </is>
      </c>
      <c r="B119" t="inlineStr">
        <is>
          <t>Instructions</t>
        </is>
      </c>
      <c r="C119" t="n">
        <v>59</v>
      </c>
      <c r="D119" t="n">
        <v>96</v>
      </c>
      <c r="E119" t="n">
        <v>29</v>
      </c>
      <c r="F119" t="n">
        <v>93</v>
      </c>
      <c r="G119" t="n">
        <v>127</v>
      </c>
      <c r="H119" t="n">
        <v>100</v>
      </c>
      <c r="I119">
        <f>UPPER(TRIM(A119))</f>
        <v/>
      </c>
      <c r="J119">
        <f>IFERROR(INDEX(SessionLog!$A$2:$A$26,MATCH(I119,SessionLog!$N$2:$N$26,0)),"NOT FOUND")</f>
        <v/>
      </c>
      <c r="K119">
        <f>IFERROR(INDEX(SessionLog!$L$2:$L$26,MATCH(I119,SessionLog!$N$2:$N$26,0)),"NOT FOUND")</f>
        <v/>
      </c>
      <c r="L119">
        <f>IF(K119="Yes",J119&amp;"|"&amp;B119,"DROP")</f>
        <v/>
      </c>
      <c r="M119">
        <f>LEN(A119)</f>
        <v/>
      </c>
    </row>
    <row r="120">
      <c r="A120" t="inlineStr">
        <is>
          <t>P24</t>
        </is>
      </c>
      <c r="B120" t="inlineStr">
        <is>
          <t>Baseline</t>
        </is>
      </c>
      <c r="C120" t="n">
        <v>60</v>
      </c>
      <c r="D120" t="n">
        <v>95</v>
      </c>
      <c r="E120" t="n">
        <v>29</v>
      </c>
      <c r="F120" t="n">
        <v>93</v>
      </c>
      <c r="G120" t="n">
        <v>127</v>
      </c>
      <c r="H120" t="n">
        <v>100</v>
      </c>
      <c r="I120">
        <f>UPPER(TRIM(A120))</f>
        <v/>
      </c>
      <c r="J120">
        <f>IFERROR(INDEX(SessionLog!$A$2:$A$26,MATCH(I120,SessionLog!$N$2:$N$26,0)),"NOT FOUND")</f>
        <v/>
      </c>
      <c r="K120">
        <f>IFERROR(INDEX(SessionLog!$L$2:$L$26,MATCH(I120,SessionLog!$N$2:$N$26,0)),"NOT FOUND")</f>
        <v/>
      </c>
      <c r="L120">
        <f>IF(K120="Yes",J120&amp;"|"&amp;B120,"DROP")</f>
        <v/>
      </c>
      <c r="M120">
        <f>LEN(A120)</f>
        <v/>
      </c>
    </row>
    <row r="121">
      <c r="A121" t="inlineStr">
        <is>
          <t>P24</t>
        </is>
      </c>
      <c r="B121" t="inlineStr">
        <is>
          <t>Ad_B</t>
        </is>
      </c>
      <c r="C121" t="n">
        <v>59</v>
      </c>
      <c r="D121" t="n">
        <v>94</v>
      </c>
      <c r="E121" t="n">
        <v>29</v>
      </c>
      <c r="F121" t="n">
        <v>93</v>
      </c>
      <c r="G121" t="n">
        <v>128</v>
      </c>
      <c r="H121" t="n">
        <v>100</v>
      </c>
      <c r="I121">
        <f>UPPER(TRIM(A121))</f>
        <v/>
      </c>
      <c r="J121">
        <f>IFERROR(INDEX(SessionLog!$A$2:$A$26,MATCH(I121,SessionLog!$N$2:$N$26,0)),"NOT FOUND")</f>
        <v/>
      </c>
      <c r="K121">
        <f>IFERROR(INDEX(SessionLog!$L$2:$L$26,MATCH(I121,SessionLog!$N$2:$N$26,0)),"NOT FOUND")</f>
        <v/>
      </c>
      <c r="L121">
        <f>IF(K121="Yes",J121&amp;"|"&amp;B121,"DROP")</f>
        <v/>
      </c>
      <c r="M121">
        <f>LEN(A121)</f>
        <v/>
      </c>
    </row>
    <row r="122">
      <c r="A122" t="inlineStr">
        <is>
          <t>P24</t>
        </is>
      </c>
      <c r="B122" t="inlineStr">
        <is>
          <t>Ad_A</t>
        </is>
      </c>
      <c r="C122" t="n">
        <v>60</v>
      </c>
      <c r="D122" t="n">
        <v>95</v>
      </c>
      <c r="E122" t="n">
        <v>29</v>
      </c>
      <c r="F122" t="n">
        <v>93</v>
      </c>
      <c r="G122" t="n">
        <v>126</v>
      </c>
      <c r="H122" t="n">
        <v>100</v>
      </c>
      <c r="I122">
        <f>UPPER(TRIM(A122))</f>
        <v/>
      </c>
      <c r="J122">
        <f>IFERROR(INDEX(SessionLog!$A$2:$A$26,MATCH(I122,SessionLog!$N$2:$N$26,0)),"NOT FOUND")</f>
        <v/>
      </c>
      <c r="K122">
        <f>IFERROR(INDEX(SessionLog!$L$2:$L$26,MATCH(I122,SessionLog!$N$2:$N$26,0)),"NOT FOUND")</f>
        <v/>
      </c>
      <c r="L122">
        <f>IF(K122="Yes",J122&amp;"|"&amp;B122,"DROP")</f>
        <v/>
      </c>
      <c r="M122">
        <f>LEN(A122)</f>
        <v/>
      </c>
    </row>
    <row r="123">
      <c r="A123" t="inlineStr">
        <is>
          <t>P24</t>
        </is>
      </c>
      <c r="B123" t="inlineStr">
        <is>
          <t>Questionnaire</t>
        </is>
      </c>
      <c r="C123" t="n">
        <v>59</v>
      </c>
      <c r="D123" t="n">
        <v>96</v>
      </c>
      <c r="E123" t="n">
        <v>29</v>
      </c>
      <c r="F123" t="n">
        <v>93</v>
      </c>
      <c r="G123" t="n">
        <v>126</v>
      </c>
      <c r="H123" t="n">
        <v>100</v>
      </c>
      <c r="I123">
        <f>UPPER(TRIM(A123))</f>
        <v/>
      </c>
      <c r="J123">
        <f>IFERROR(INDEX(SessionLog!$A$2:$A$26,MATCH(I123,SessionLog!$N$2:$N$26,0)),"NOT FOUND")</f>
        <v/>
      </c>
      <c r="K123">
        <f>IFERROR(INDEX(SessionLog!$L$2:$L$26,MATCH(I123,SessionLog!$N$2:$N$26,0)),"NOT FOUND")</f>
        <v/>
      </c>
      <c r="L123">
        <f>IF(K123="Yes",J123&amp;"|"&amp;B123,"DROP")</f>
        <v/>
      </c>
      <c r="M123">
        <f>LEN(A123)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8" customWidth="1" min="3" max="3"/>
    <col width="12" customWidth="1" min="4" max="4"/>
    <col width="18" customWidth="1" min="5" max="5"/>
    <col width="18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The problem keys, made visible. Each raw key is a live reference to the cell where it sits in the imported data.</t>
        </is>
      </c>
    </row>
    <row r="3">
      <c r="A3" s="2" t="inlineStr">
        <is>
          <t>Where</t>
        </is>
      </c>
      <c r="B3" s="2" t="inlineStr">
        <is>
          <t>Raw key (reference)</t>
        </is>
      </c>
      <c r="C3" s="2" t="inlineStr">
        <is>
          <t>LEN</t>
        </is>
      </c>
      <c r="D3" s="2" t="inlineStr">
        <is>
          <t>CODE of the last character</t>
        </is>
      </c>
      <c r="E3" s="2" t="inlineStr">
        <is>
          <t>EXACT match in the session log</t>
        </is>
      </c>
      <c r="F3" s="2" t="inlineStr">
        <is>
          <t>MATCH finds it (ignores case)</t>
        </is>
      </c>
      <c r="G3" s="2" t="inlineStr">
        <is>
          <t>UPPER(TRIM())</t>
        </is>
      </c>
      <c r="H3" s="2" t="inlineStr">
        <is>
          <t>Participant</t>
        </is>
      </c>
      <c r="I3" s="2" t="inlineStr">
        <is>
          <t>Use recording</t>
        </is>
      </c>
    </row>
    <row r="4">
      <c r="A4" t="inlineStr">
        <is>
          <t>DataQuality, column A</t>
        </is>
      </c>
      <c r="B4">
        <f>DataQuality!A34</f>
        <v/>
      </c>
      <c r="C4">
        <f>LEN(B4)</f>
        <v/>
      </c>
      <c r="D4">
        <f>CODE(RIGHT(B4,1))</f>
        <v/>
      </c>
      <c r="E4">
        <f>SUMPRODUCT(--EXACT(B4,SessionLog!$B$2:$B$26))&gt;0</f>
        <v/>
      </c>
      <c r="F4">
        <f>ISNUMBER(MATCH(B4,SessionLog!$B$2:$B$26,0))</f>
        <v/>
      </c>
      <c r="G4">
        <f>UPPER(TRIM(B4))</f>
        <v/>
      </c>
      <c r="H4">
        <f>IFERROR(INDEX(SessionLog!$A$2:$A$26,MATCH(G4,SessionLog!$N$2:$N$26,0)),"NOT FOUND")</f>
        <v/>
      </c>
      <c r="I4">
        <f>IFERROR(INDEX(SessionLog!$L$2:$L$26,MATCH(G4,SessionLog!$N$2:$N$26,0)),"NOT FOUND")</f>
        <v/>
      </c>
    </row>
    <row r="5">
      <c r="A5" t="inlineStr">
        <is>
          <t>Survey, column B</t>
        </is>
      </c>
      <c r="B5">
        <f>Survey!B8</f>
        <v/>
      </c>
      <c r="C5">
        <f>LEN(B5)</f>
        <v/>
      </c>
      <c r="D5">
        <f>CODE(RIGHT(B5,1))</f>
        <v/>
      </c>
      <c r="E5">
        <f>SUMPRODUCT(--EXACT(B5,SessionLog!$B$2:$B$26))&gt;0</f>
        <v/>
      </c>
      <c r="F5">
        <f>ISNUMBER(MATCH(B5,SessionLog!$B$2:$B$26,0))</f>
        <v/>
      </c>
      <c r="G5">
        <f>UPPER(TRIM(B5))</f>
        <v/>
      </c>
      <c r="H5">
        <f>IFERROR(INDEX(SessionLog!$A$2:$A$26,MATCH(G5,SessionLog!$N$2:$N$26,0)),"NOT FOUND")</f>
        <v/>
      </c>
      <c r="I5">
        <f>IFERROR(INDEX(SessionLog!$L$2:$L$26,MATCH(G5,SessionLog!$N$2:$N$26,0)),"NOT FOUND")</f>
        <v/>
      </c>
    </row>
    <row r="6">
      <c r="A6" t="inlineStr">
        <is>
          <t>GSR_Import, column B</t>
        </is>
      </c>
      <c r="B6">
        <f>GSR_Import!B23</f>
        <v/>
      </c>
      <c r="C6">
        <f>LEN(B6)</f>
        <v/>
      </c>
      <c r="D6">
        <f>CODE(RIGHT(B6,1))</f>
        <v/>
      </c>
      <c r="E6">
        <f>SUMPRODUCT(--EXACT(B6,SessionLog!$B$2:$B$26))&gt;0</f>
        <v/>
      </c>
      <c r="F6">
        <f>ISNUMBER(MATCH(B6,SessionLog!$B$2:$B$26,0))</f>
        <v/>
      </c>
      <c r="G6">
        <f>UPPER(TRIM(B6))</f>
        <v/>
      </c>
      <c r="H6">
        <f>IFERROR(INDEX(SessionLog!$A$2:$A$26,MATCH(G6,SessionLog!$N$2:$N$26,0)),"NOT FOUND")</f>
        <v/>
      </c>
      <c r="I6">
        <f>IFERROR(INDEX(SessionLog!$L$2:$L$26,MATCH(G6,SessionLog!$N$2:$N$26,0)),"NOT FOUND")</f>
        <v/>
      </c>
    </row>
    <row r="7">
      <c r="A7" t="inlineStr">
        <is>
          <t>GSR_Import, column B</t>
        </is>
      </c>
      <c r="B7">
        <f>GSR_Import!B27</f>
        <v/>
      </c>
      <c r="C7">
        <f>LEN(B7)</f>
        <v/>
      </c>
      <c r="D7">
        <f>CODE(RIGHT(B7,1))</f>
        <v/>
      </c>
      <c r="E7">
        <f>SUMPRODUCT(--EXACT(B7,SessionLog!$B$2:$B$26))&gt;0</f>
        <v/>
      </c>
      <c r="F7">
        <f>ISNUMBER(MATCH(B7,SessionLog!$B$2:$B$26,0))</f>
        <v/>
      </c>
      <c r="G7">
        <f>UPPER(TRIM(B7))</f>
        <v/>
      </c>
      <c r="H7">
        <f>IFERROR(INDEX(SessionLog!$A$2:$A$26,MATCH(G7,SessionLog!$N$2:$N$26,0)),"NOT FOUND")</f>
        <v/>
      </c>
      <c r="I7">
        <f>IFERROR(INDEX(SessionLog!$L$2:$L$26,MATCH(G7,SessionLog!$N$2:$N$26,0)),"NOT FOUND")</f>
        <v/>
      </c>
    </row>
    <row r="8">
      <c r="A8" t="inlineStr">
        <is>
          <t>GSR_Import, column B (a normal key)</t>
        </is>
      </c>
      <c r="B8">
        <f>GSR_Import!B4</f>
        <v/>
      </c>
      <c r="C8">
        <f>LEN(B8)</f>
        <v/>
      </c>
      <c r="D8">
        <f>CODE(RIGHT(B8,1))</f>
        <v/>
      </c>
      <c r="E8">
        <f>SUMPRODUCT(--EXACT(B8,SessionLog!$B$2:$B$26))&gt;0</f>
        <v/>
      </c>
      <c r="F8">
        <f>ISNUMBER(MATCH(B8,SessionLog!$B$2:$B$26,0))</f>
        <v/>
      </c>
      <c r="G8">
        <f>UPPER(TRIM(B8))</f>
        <v/>
      </c>
      <c r="H8">
        <f>IFERROR(INDEX(SessionLog!$A$2:$A$26,MATCH(G8,SessionLog!$N$2:$N$26,0)),"NOT FOUND")</f>
        <v/>
      </c>
      <c r="I8">
        <f>IFERROR(INDEX(SessionLog!$L$2:$L$26,MATCH(G8,SessionLog!$N$2:$N$26,0)),"NOT FOUND")</f>
        <v/>
      </c>
    </row>
    <row r="10">
      <c r="A10" s="6" t="inlineStr">
        <is>
          <t>Read row by row: LEN 4 and CODE 32 reveal the trailing space; EXACT is FALSE for p07 although MATCH finds it, because Excel lookups ignore upper and lower case (R joins do not). TRIM and UPPER give every row a key that the session log knows; the Use recording column then says which recording of P04 to keep.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4" customWidth="1" min="4" max="4"/>
    <col width="9" customWidth="1" min="5" max="5"/>
    <col width="14" customWidth="1" min="6" max="6"/>
    <col width="14" customWidth="1" min="7" max="7"/>
    <col width="11" customWidth="1" min="8" max="8"/>
    <col width="11" customWidth="1" min="9" max="9"/>
    <col width="12" customWidth="1" min="10" max="10"/>
    <col width="12" customWidth="1" min="11" max="11"/>
    <col width="9" customWidth="1" min="12" max="12"/>
    <col width="8" customWidth="1" min="13" max="13"/>
    <col width="9" customWidth="1" min="14" max="14"/>
    <col width="40" customWidth="1" min="16" max="16"/>
    <col width="8" customWidth="1" min="17" max="17"/>
  </cols>
  <sheetData>
    <row r="1">
      <c r="A1" s="2" t="inlineStr">
        <is>
          <t>participant_id</t>
        </is>
      </c>
      <c r="B1" s="2" t="inlineStr">
        <is>
          <t>stimulus</t>
        </is>
      </c>
      <c r="C1" s="3" t="inlineStr">
        <is>
          <t>GSR lookup key</t>
        </is>
      </c>
      <c r="D1" s="3" t="inlineStr">
        <is>
          <t>GSR Peaks Per Minute (as exported)</t>
        </is>
      </c>
      <c r="E1" s="3" t="inlineStr">
        <is>
          <t>GSR valid (R3)</t>
        </is>
      </c>
      <c r="F1" s="3" t="inlineStr">
        <is>
          <t>GSR Peaks Per Minute (analysis)</t>
        </is>
      </c>
      <c r="G1" s="3" t="inlineStr">
        <is>
          <t>DQ lookup key</t>
        </is>
      </c>
      <c r="H1" s="3" t="inlineStr">
        <is>
          <t>Eye tracking quality (%)</t>
        </is>
      </c>
      <c r="I1" s="3" t="inlineStr">
        <is>
          <t>Face quality (%)</t>
        </is>
      </c>
      <c r="J1" s="3" t="inlineStr">
        <is>
          <t>Eye tracking minimum, ads</t>
        </is>
      </c>
      <c r="K1" s="3" t="inlineStr">
        <is>
          <t>Face minimum, ads</t>
        </is>
      </c>
      <c r="L1" s="3" t="inlineStr">
        <is>
          <t>include (R2)</t>
        </is>
      </c>
      <c r="M1" s="3" t="inlineStr">
        <is>
          <t>liking</t>
        </is>
      </c>
      <c r="N1" s="3" t="inlineStr">
        <is>
          <t>recall_correct</t>
        </is>
      </c>
    </row>
    <row r="2">
      <c r="A2" s="7" t="inlineStr">
        <is>
          <t>P01</t>
        </is>
      </c>
      <c r="B2" s="7" t="inlineStr">
        <is>
          <t>Baseline</t>
        </is>
      </c>
      <c r="C2">
        <f>A2&amp;"|Stimulus|"&amp;B2&amp;"|"&amp;B2</f>
        <v/>
      </c>
      <c r="D2">
        <f>INDEX(GSR_Import!$N$2:$N$171,MATCH(C2,GSR_Import!$S$2:$S$171,0))</f>
        <v/>
      </c>
      <c r="E2">
        <f>INDEX(GSR_Import!$U$2:$U$171,MATCH(C2,GSR_Import!$S$2:$S$171,0))</f>
        <v/>
      </c>
      <c r="F2">
        <f>IF(E2=1,D2,"")</f>
        <v/>
      </c>
      <c r="G2">
        <f>A2&amp;"|"&amp;B2</f>
        <v/>
      </c>
      <c r="H2">
        <f>INDEX(DataQuality!$D$2:$D$123,MATCH(G2,DataQuality!$L$2:$L$123,0))</f>
        <v/>
      </c>
      <c r="I2">
        <f>INDEX(DataQuality!$F$2:$F$123,MATCH(G2,DataQuality!$L$2:$L$123,0))</f>
        <v/>
      </c>
      <c r="J2">
        <f>MIN(INDEX(DataQuality!$D$2:$D$123,MATCH(A2&amp;"|Ad_A",DataQuality!$L$2:$L$123,0)),INDEX(DataQuality!$D$2:$D$123,MATCH(A2&amp;"|Ad_B",DataQuality!$L$2:$L$123,0)))</f>
        <v/>
      </c>
      <c r="K2">
        <f>MIN(INDEX(DataQuality!$F$2:$F$123,MATCH(A2&amp;"|Ad_A",DataQuality!$L$2:$L$123,0)),INDEX(DataQuality!$F$2:$F$123,MATCH(A2&amp;"|Ad_B",DataQuality!$L$2:$L$123,0)))</f>
        <v/>
      </c>
      <c r="L2">
        <f>IF(AND(J2&gt;=90,K2&gt;=80),1,0)</f>
        <v/>
      </c>
      <c r="M2">
        <f>IF(B2="Ad_A",INDEX(Survey!$G$2:$G$25,MATCH(A2,Survey!$W$2:$W$25,0)),IF(B2="Ad_B",INDEX(Survey!$I$2:$I$25,MATCH(A2,Survey!$W$2:$W$25,0)),""))</f>
        <v/>
      </c>
      <c r="N2">
        <f>IF(B2="Ad_A",INDEX(Survey!$X$2:$X$25,MATCH(A2,Survey!$W$2:$W$25,0)),IF(B2="Ad_B",INDEX(Survey!$Y$2:$Y$25,MATCH(A2,Survey!$W$2:$W$25,0)),""))</f>
        <v/>
      </c>
      <c r="P2" s="1" t="inlineStr">
        <is>
          <t>Checks</t>
        </is>
      </c>
    </row>
    <row r="3">
      <c r="A3" s="7" t="inlineStr">
        <is>
          <t>P01</t>
        </is>
      </c>
      <c r="B3" s="7" t="inlineStr">
        <is>
          <t>Ad_A</t>
        </is>
      </c>
      <c r="C3">
        <f>A3&amp;"|Stimulus|"&amp;B3&amp;"|"&amp;B3</f>
        <v/>
      </c>
      <c r="D3">
        <f>INDEX(GSR_Import!$N$2:$N$171,MATCH(C3,GSR_Import!$S$2:$S$171,0))</f>
        <v/>
      </c>
      <c r="E3">
        <f>INDEX(GSR_Import!$U$2:$U$171,MATCH(C3,GSR_Import!$S$2:$S$171,0))</f>
        <v/>
      </c>
      <c r="F3">
        <f>IF(E3=1,D3,"")</f>
        <v/>
      </c>
      <c r="G3">
        <f>A3&amp;"|"&amp;B3</f>
        <v/>
      </c>
      <c r="H3">
        <f>INDEX(DataQuality!$D$2:$D$123,MATCH(G3,DataQuality!$L$2:$L$123,0))</f>
        <v/>
      </c>
      <c r="I3">
        <f>INDEX(DataQuality!$F$2:$F$123,MATCH(G3,DataQuality!$L$2:$L$123,0))</f>
        <v/>
      </c>
      <c r="J3">
        <f>MIN(INDEX(DataQuality!$D$2:$D$123,MATCH(A3&amp;"|Ad_A",DataQuality!$L$2:$L$123,0)),INDEX(DataQuality!$D$2:$D$123,MATCH(A3&amp;"|Ad_B",DataQuality!$L$2:$L$123,0)))</f>
        <v/>
      </c>
      <c r="K3">
        <f>MIN(INDEX(DataQuality!$F$2:$F$123,MATCH(A3&amp;"|Ad_A",DataQuality!$L$2:$L$123,0)),INDEX(DataQuality!$F$2:$F$123,MATCH(A3&amp;"|Ad_B",DataQuality!$L$2:$L$123,0)))</f>
        <v/>
      </c>
      <c r="L3">
        <f>IF(AND(J3&gt;=90,K3&gt;=80),1,0)</f>
        <v/>
      </c>
      <c r="M3">
        <f>IF(B3="Ad_A",INDEX(Survey!$G$2:$G$25,MATCH(A3,Survey!$W$2:$W$25,0)),IF(B3="Ad_B",INDEX(Survey!$I$2:$I$25,MATCH(A3,Survey!$W$2:$W$25,0)),""))</f>
        <v/>
      </c>
      <c r="N3">
        <f>IF(B3="Ad_A",INDEX(Survey!$X$2:$X$25,MATCH(A3,Survey!$W$2:$W$25,0)),IF(B3="Ad_B",INDEX(Survey!$Y$2:$Y$25,MATCH(A3,Survey!$W$2:$W$25,0)),""))</f>
        <v/>
      </c>
      <c r="P3" t="inlineStr">
        <is>
          <t>Rows (participant x stimulus)</t>
        </is>
      </c>
      <c r="Q3" s="8">
        <f>COUNTA(A2:A73)</f>
        <v/>
      </c>
    </row>
    <row r="4">
      <c r="A4" s="7" t="inlineStr">
        <is>
          <t>P01</t>
        </is>
      </c>
      <c r="B4" s="7" t="inlineStr">
        <is>
          <t>Ad_B</t>
        </is>
      </c>
      <c r="C4">
        <f>A4&amp;"|Stimulus|"&amp;B4&amp;"|"&amp;B4</f>
        <v/>
      </c>
      <c r="D4">
        <f>INDEX(GSR_Import!$N$2:$N$171,MATCH(C4,GSR_Import!$S$2:$S$171,0))</f>
        <v/>
      </c>
      <c r="E4">
        <f>INDEX(GSR_Import!$U$2:$U$171,MATCH(C4,GSR_Import!$S$2:$S$171,0))</f>
        <v/>
      </c>
      <c r="F4">
        <f>IF(E4=1,D4,"")</f>
        <v/>
      </c>
      <c r="G4">
        <f>A4&amp;"|"&amp;B4</f>
        <v/>
      </c>
      <c r="H4">
        <f>INDEX(DataQuality!$D$2:$D$123,MATCH(G4,DataQuality!$L$2:$L$123,0))</f>
        <v/>
      </c>
      <c r="I4">
        <f>INDEX(DataQuality!$F$2:$F$123,MATCH(G4,DataQuality!$L$2:$L$123,0))</f>
        <v/>
      </c>
      <c r="J4">
        <f>MIN(INDEX(DataQuality!$D$2:$D$123,MATCH(A4&amp;"|Ad_A",DataQuality!$L$2:$L$123,0)),INDEX(DataQuality!$D$2:$D$123,MATCH(A4&amp;"|Ad_B",DataQuality!$L$2:$L$123,0)))</f>
        <v/>
      </c>
      <c r="K4">
        <f>MIN(INDEX(DataQuality!$F$2:$F$123,MATCH(A4&amp;"|Ad_A",DataQuality!$L$2:$L$123,0)),INDEX(DataQuality!$F$2:$F$123,MATCH(A4&amp;"|Ad_B",DataQuality!$L$2:$L$123,0)))</f>
        <v/>
      </c>
      <c r="L4">
        <f>IF(AND(J4&gt;=90,K4&gt;=80),1,0)</f>
        <v/>
      </c>
      <c r="M4">
        <f>IF(B4="Ad_A",INDEX(Survey!$G$2:$G$25,MATCH(A4,Survey!$W$2:$W$25,0)),IF(B4="Ad_B",INDEX(Survey!$I$2:$I$25,MATCH(A4,Survey!$W$2:$W$25,0)),""))</f>
        <v/>
      </c>
      <c r="N4">
        <f>IF(B4="Ad_A",INDEX(Survey!$X$2:$X$25,MATCH(A4,Survey!$W$2:$W$25,0)),IF(B4="Ad_B",INDEX(Survey!$Y$2:$Y$25,MATCH(A4,Survey!$W$2:$W$25,0)),""))</f>
        <v/>
      </c>
      <c r="P4" t="inlineStr">
        <is>
          <t>Lookups that failed (#N/A) in D, H, I</t>
        </is>
      </c>
      <c r="Q4" s="8">
        <f>SUMPRODUCT(--ISNA(D2:D73))+SUMPRODUCT(--ISNA(H2:H73))+SUMPRODUCT(--ISNA(I2:I73))</f>
        <v/>
      </c>
    </row>
    <row r="5">
      <c r="A5" s="7" t="inlineStr">
        <is>
          <t>P02</t>
        </is>
      </c>
      <c r="B5" s="7" t="inlineStr">
        <is>
          <t>Baseline</t>
        </is>
      </c>
      <c r="C5">
        <f>A5&amp;"|Stimulus|"&amp;B5&amp;"|"&amp;B5</f>
        <v/>
      </c>
      <c r="D5">
        <f>INDEX(GSR_Import!$N$2:$N$171,MATCH(C5,GSR_Import!$S$2:$S$171,0))</f>
        <v/>
      </c>
      <c r="E5">
        <f>INDEX(GSR_Import!$U$2:$U$171,MATCH(C5,GSR_Import!$S$2:$S$171,0))</f>
        <v/>
      </c>
      <c r="F5">
        <f>IF(E5=1,D5,"")</f>
        <v/>
      </c>
      <c r="G5">
        <f>A5&amp;"|"&amp;B5</f>
        <v/>
      </c>
      <c r="H5">
        <f>INDEX(DataQuality!$D$2:$D$123,MATCH(G5,DataQuality!$L$2:$L$123,0))</f>
        <v/>
      </c>
      <c r="I5">
        <f>INDEX(DataQuality!$F$2:$F$123,MATCH(G5,DataQuality!$L$2:$L$123,0))</f>
        <v/>
      </c>
      <c r="J5">
        <f>MIN(INDEX(DataQuality!$D$2:$D$123,MATCH(A5&amp;"|Ad_A",DataQuality!$L$2:$L$123,0)),INDEX(DataQuality!$D$2:$D$123,MATCH(A5&amp;"|Ad_B",DataQuality!$L$2:$L$123,0)))</f>
        <v/>
      </c>
      <c r="K5">
        <f>MIN(INDEX(DataQuality!$F$2:$F$123,MATCH(A5&amp;"|Ad_A",DataQuality!$L$2:$L$123,0)),INDEX(DataQuality!$F$2:$F$123,MATCH(A5&amp;"|Ad_B",DataQuality!$L$2:$L$123,0)))</f>
        <v/>
      </c>
      <c r="L5">
        <f>IF(AND(J5&gt;=90,K5&gt;=80),1,0)</f>
        <v/>
      </c>
      <c r="M5">
        <f>IF(B5="Ad_A",INDEX(Survey!$G$2:$G$25,MATCH(A5,Survey!$W$2:$W$25,0)),IF(B5="Ad_B",INDEX(Survey!$I$2:$I$25,MATCH(A5,Survey!$W$2:$W$25,0)),""))</f>
        <v/>
      </c>
      <c r="N5">
        <f>IF(B5="Ad_A",INDEX(Survey!$X$2:$X$25,MATCH(A5,Survey!$W$2:$W$25,0)),IF(B5="Ad_B",INDEX(Survey!$Y$2:$Y$25,MATCH(A5,Survey!$W$2:$W$25,0)),""))</f>
        <v/>
      </c>
      <c r="P5" t="inlineStr">
        <is>
          <t>Participants with include = 1</t>
        </is>
      </c>
      <c r="Q5" s="8">
        <f>COUNTIFS(B2:B73,"Baseline",L2:L73,1)</f>
        <v/>
      </c>
    </row>
    <row r="6">
      <c r="A6" s="7" t="inlineStr">
        <is>
          <t>P02</t>
        </is>
      </c>
      <c r="B6" s="7" t="inlineStr">
        <is>
          <t>Ad_A</t>
        </is>
      </c>
      <c r="C6">
        <f>A6&amp;"|Stimulus|"&amp;B6&amp;"|"&amp;B6</f>
        <v/>
      </c>
      <c r="D6">
        <f>INDEX(GSR_Import!$N$2:$N$171,MATCH(C6,GSR_Import!$S$2:$S$171,0))</f>
        <v/>
      </c>
      <c r="E6">
        <f>INDEX(GSR_Import!$U$2:$U$171,MATCH(C6,GSR_Import!$S$2:$S$171,0))</f>
        <v/>
      </c>
      <c r="F6">
        <f>IF(E6=1,D6,"")</f>
        <v/>
      </c>
      <c r="G6">
        <f>A6&amp;"|"&amp;B6</f>
        <v/>
      </c>
      <c r="H6">
        <f>INDEX(DataQuality!$D$2:$D$123,MATCH(G6,DataQuality!$L$2:$L$123,0))</f>
        <v/>
      </c>
      <c r="I6">
        <f>INDEX(DataQuality!$F$2:$F$123,MATCH(G6,DataQuality!$L$2:$L$123,0))</f>
        <v/>
      </c>
      <c r="J6">
        <f>MIN(INDEX(DataQuality!$D$2:$D$123,MATCH(A6&amp;"|Ad_A",DataQuality!$L$2:$L$123,0)),INDEX(DataQuality!$D$2:$D$123,MATCH(A6&amp;"|Ad_B",DataQuality!$L$2:$L$123,0)))</f>
        <v/>
      </c>
      <c r="K6">
        <f>MIN(INDEX(DataQuality!$F$2:$F$123,MATCH(A6&amp;"|Ad_A",DataQuality!$L$2:$L$123,0)),INDEX(DataQuality!$F$2:$F$123,MATCH(A6&amp;"|Ad_B",DataQuality!$L$2:$L$123,0)))</f>
        <v/>
      </c>
      <c r="L6">
        <f>IF(AND(J6&gt;=90,K6&gt;=80),1,0)</f>
        <v/>
      </c>
      <c r="M6">
        <f>IF(B6="Ad_A",INDEX(Survey!$G$2:$G$25,MATCH(A6,Survey!$W$2:$W$25,0)),IF(B6="Ad_B",INDEX(Survey!$I$2:$I$25,MATCH(A6,Survey!$W$2:$W$25,0)),""))</f>
        <v/>
      </c>
      <c r="N6">
        <f>IF(B6="Ad_A",INDEX(Survey!$X$2:$X$25,MATCH(A6,Survey!$W$2:$W$25,0)),IF(B6="Ad_B",INDEX(Survey!$Y$2:$Y$25,MATCH(A6,Survey!$W$2:$W$25,0)),""))</f>
        <v/>
      </c>
      <c r="P6" t="inlineStr">
        <is>
          <t>Stimulus rows with GSR not valid</t>
        </is>
      </c>
      <c r="Q6" s="8">
        <f>COUNTIF(E2:E73,0)</f>
        <v/>
      </c>
    </row>
    <row r="7">
      <c r="A7" s="7" t="inlineStr">
        <is>
          <t>P02</t>
        </is>
      </c>
      <c r="B7" s="7" t="inlineStr">
        <is>
          <t>Ad_B</t>
        </is>
      </c>
      <c r="C7">
        <f>A7&amp;"|Stimulus|"&amp;B7&amp;"|"&amp;B7</f>
        <v/>
      </c>
      <c r="D7">
        <f>INDEX(GSR_Import!$N$2:$N$171,MATCH(C7,GSR_Import!$S$2:$S$171,0))</f>
        <v/>
      </c>
      <c r="E7">
        <f>INDEX(GSR_Import!$U$2:$U$171,MATCH(C7,GSR_Import!$S$2:$S$171,0))</f>
        <v/>
      </c>
      <c r="F7">
        <f>IF(E7=1,D7,"")</f>
        <v/>
      </c>
      <c r="G7">
        <f>A7&amp;"|"&amp;B7</f>
        <v/>
      </c>
      <c r="H7">
        <f>INDEX(DataQuality!$D$2:$D$123,MATCH(G7,DataQuality!$L$2:$L$123,0))</f>
        <v/>
      </c>
      <c r="I7">
        <f>INDEX(DataQuality!$F$2:$F$123,MATCH(G7,DataQuality!$L$2:$L$123,0))</f>
        <v/>
      </c>
      <c r="J7">
        <f>MIN(INDEX(DataQuality!$D$2:$D$123,MATCH(A7&amp;"|Ad_A",DataQuality!$L$2:$L$123,0)),INDEX(DataQuality!$D$2:$D$123,MATCH(A7&amp;"|Ad_B",DataQuality!$L$2:$L$123,0)))</f>
        <v/>
      </c>
      <c r="K7">
        <f>MIN(INDEX(DataQuality!$F$2:$F$123,MATCH(A7&amp;"|Ad_A",DataQuality!$L$2:$L$123,0)),INDEX(DataQuality!$F$2:$F$123,MATCH(A7&amp;"|Ad_B",DataQuality!$L$2:$L$123,0)))</f>
        <v/>
      </c>
      <c r="L7">
        <f>IF(AND(J7&gt;=90,K7&gt;=80),1,0)</f>
        <v/>
      </c>
      <c r="M7">
        <f>IF(B7="Ad_A",INDEX(Survey!$G$2:$G$25,MATCH(A7,Survey!$W$2:$W$25,0)),IF(B7="Ad_B",INDEX(Survey!$I$2:$I$25,MATCH(A7,Survey!$W$2:$W$25,0)),""))</f>
        <v/>
      </c>
      <c r="N7">
        <f>IF(B7="Ad_A",INDEX(Survey!$X$2:$X$25,MATCH(A7,Survey!$W$2:$W$25,0)),IF(B7="Ad_B",INDEX(Survey!$Y$2:$Y$25,MATCH(A7,Survey!$W$2:$W$25,0)),""))</f>
        <v/>
      </c>
    </row>
    <row r="8">
      <c r="A8" s="7" t="inlineStr">
        <is>
          <t>P03</t>
        </is>
      </c>
      <c r="B8" s="7" t="inlineStr">
        <is>
          <t>Baseline</t>
        </is>
      </c>
      <c r="C8">
        <f>A8&amp;"|Stimulus|"&amp;B8&amp;"|"&amp;B8</f>
        <v/>
      </c>
      <c r="D8">
        <f>INDEX(GSR_Import!$N$2:$N$171,MATCH(C8,GSR_Import!$S$2:$S$171,0))</f>
        <v/>
      </c>
      <c r="E8">
        <f>INDEX(GSR_Import!$U$2:$U$171,MATCH(C8,GSR_Import!$S$2:$S$171,0))</f>
        <v/>
      </c>
      <c r="F8">
        <f>IF(E8=1,D8,"")</f>
        <v/>
      </c>
      <c r="G8">
        <f>A8&amp;"|"&amp;B8</f>
        <v/>
      </c>
      <c r="H8">
        <f>INDEX(DataQuality!$D$2:$D$123,MATCH(G8,DataQuality!$L$2:$L$123,0))</f>
        <v/>
      </c>
      <c r="I8">
        <f>INDEX(DataQuality!$F$2:$F$123,MATCH(G8,DataQuality!$L$2:$L$123,0))</f>
        <v/>
      </c>
      <c r="J8">
        <f>MIN(INDEX(DataQuality!$D$2:$D$123,MATCH(A8&amp;"|Ad_A",DataQuality!$L$2:$L$123,0)),INDEX(DataQuality!$D$2:$D$123,MATCH(A8&amp;"|Ad_B",DataQuality!$L$2:$L$123,0)))</f>
        <v/>
      </c>
      <c r="K8">
        <f>MIN(INDEX(DataQuality!$F$2:$F$123,MATCH(A8&amp;"|Ad_A",DataQuality!$L$2:$L$123,0)),INDEX(DataQuality!$F$2:$F$123,MATCH(A8&amp;"|Ad_B",DataQuality!$L$2:$L$123,0)))</f>
        <v/>
      </c>
      <c r="L8">
        <f>IF(AND(J8&gt;=90,K8&gt;=80),1,0)</f>
        <v/>
      </c>
      <c r="M8">
        <f>IF(B8="Ad_A",INDEX(Survey!$G$2:$G$25,MATCH(A8,Survey!$W$2:$W$25,0)),IF(B8="Ad_B",INDEX(Survey!$I$2:$I$25,MATCH(A8,Survey!$W$2:$W$25,0)),""))</f>
        <v/>
      </c>
      <c r="N8">
        <f>IF(B8="Ad_A",INDEX(Survey!$X$2:$X$25,MATCH(A8,Survey!$W$2:$W$25,0)),IF(B8="Ad_B",INDEX(Survey!$Y$2:$Y$25,MATCH(A8,Survey!$W$2:$W$25,0)),""))</f>
        <v/>
      </c>
    </row>
    <row r="9">
      <c r="A9" s="7" t="inlineStr">
        <is>
          <t>P03</t>
        </is>
      </c>
      <c r="B9" s="7" t="inlineStr">
        <is>
          <t>Ad_A</t>
        </is>
      </c>
      <c r="C9">
        <f>A9&amp;"|Stimulus|"&amp;B9&amp;"|"&amp;B9</f>
        <v/>
      </c>
      <c r="D9">
        <f>INDEX(GSR_Import!$N$2:$N$171,MATCH(C9,GSR_Import!$S$2:$S$171,0))</f>
        <v/>
      </c>
      <c r="E9">
        <f>INDEX(GSR_Import!$U$2:$U$171,MATCH(C9,GSR_Import!$S$2:$S$171,0))</f>
        <v/>
      </c>
      <c r="F9">
        <f>IF(E9=1,D9,"")</f>
        <v/>
      </c>
      <c r="G9">
        <f>A9&amp;"|"&amp;B9</f>
        <v/>
      </c>
      <c r="H9">
        <f>INDEX(DataQuality!$D$2:$D$123,MATCH(G9,DataQuality!$L$2:$L$123,0))</f>
        <v/>
      </c>
      <c r="I9">
        <f>INDEX(DataQuality!$F$2:$F$123,MATCH(G9,DataQuality!$L$2:$L$123,0))</f>
        <v/>
      </c>
      <c r="J9">
        <f>MIN(INDEX(DataQuality!$D$2:$D$123,MATCH(A9&amp;"|Ad_A",DataQuality!$L$2:$L$123,0)),INDEX(DataQuality!$D$2:$D$123,MATCH(A9&amp;"|Ad_B",DataQuality!$L$2:$L$123,0)))</f>
        <v/>
      </c>
      <c r="K9">
        <f>MIN(INDEX(DataQuality!$F$2:$F$123,MATCH(A9&amp;"|Ad_A",DataQuality!$L$2:$L$123,0)),INDEX(DataQuality!$F$2:$F$123,MATCH(A9&amp;"|Ad_B",DataQuality!$L$2:$L$123,0)))</f>
        <v/>
      </c>
      <c r="L9">
        <f>IF(AND(J9&gt;=90,K9&gt;=80),1,0)</f>
        <v/>
      </c>
      <c r="M9">
        <f>IF(B9="Ad_A",INDEX(Survey!$G$2:$G$25,MATCH(A9,Survey!$W$2:$W$25,0)),IF(B9="Ad_B",INDEX(Survey!$I$2:$I$25,MATCH(A9,Survey!$W$2:$W$25,0)),""))</f>
        <v/>
      </c>
      <c r="N9">
        <f>IF(B9="Ad_A",INDEX(Survey!$X$2:$X$25,MATCH(A9,Survey!$W$2:$W$25,0)),IF(B9="Ad_B",INDEX(Survey!$Y$2:$Y$25,MATCH(A9,Survey!$W$2:$W$25,0)),""))</f>
        <v/>
      </c>
    </row>
    <row r="10">
      <c r="A10" s="7" t="inlineStr">
        <is>
          <t>P03</t>
        </is>
      </c>
      <c r="B10" s="7" t="inlineStr">
        <is>
          <t>Ad_B</t>
        </is>
      </c>
      <c r="C10">
        <f>A10&amp;"|Stimulus|"&amp;B10&amp;"|"&amp;B10</f>
        <v/>
      </c>
      <c r="D10">
        <f>INDEX(GSR_Import!$N$2:$N$171,MATCH(C10,GSR_Import!$S$2:$S$171,0))</f>
        <v/>
      </c>
      <c r="E10">
        <f>INDEX(GSR_Import!$U$2:$U$171,MATCH(C10,GSR_Import!$S$2:$S$171,0))</f>
        <v/>
      </c>
      <c r="F10">
        <f>IF(E10=1,D10,"")</f>
        <v/>
      </c>
      <c r="G10">
        <f>A10&amp;"|"&amp;B10</f>
        <v/>
      </c>
      <c r="H10">
        <f>INDEX(DataQuality!$D$2:$D$123,MATCH(G10,DataQuality!$L$2:$L$123,0))</f>
        <v/>
      </c>
      <c r="I10">
        <f>INDEX(DataQuality!$F$2:$F$123,MATCH(G10,DataQuality!$L$2:$L$123,0))</f>
        <v/>
      </c>
      <c r="J10">
        <f>MIN(INDEX(DataQuality!$D$2:$D$123,MATCH(A10&amp;"|Ad_A",DataQuality!$L$2:$L$123,0)),INDEX(DataQuality!$D$2:$D$123,MATCH(A10&amp;"|Ad_B",DataQuality!$L$2:$L$123,0)))</f>
        <v/>
      </c>
      <c r="K10">
        <f>MIN(INDEX(DataQuality!$F$2:$F$123,MATCH(A10&amp;"|Ad_A",DataQuality!$L$2:$L$123,0)),INDEX(DataQuality!$F$2:$F$123,MATCH(A10&amp;"|Ad_B",DataQuality!$L$2:$L$123,0)))</f>
        <v/>
      </c>
      <c r="L10">
        <f>IF(AND(J10&gt;=90,K10&gt;=80),1,0)</f>
        <v/>
      </c>
      <c r="M10">
        <f>IF(B10="Ad_A",INDEX(Survey!$G$2:$G$25,MATCH(A10,Survey!$W$2:$W$25,0)),IF(B10="Ad_B",INDEX(Survey!$I$2:$I$25,MATCH(A10,Survey!$W$2:$W$25,0)),""))</f>
        <v/>
      </c>
      <c r="N10">
        <f>IF(B10="Ad_A",INDEX(Survey!$X$2:$X$25,MATCH(A10,Survey!$W$2:$W$25,0)),IF(B10="Ad_B",INDEX(Survey!$Y$2:$Y$25,MATCH(A10,Survey!$W$2:$W$25,0)),""))</f>
        <v/>
      </c>
    </row>
    <row r="11">
      <c r="A11" s="7" t="inlineStr">
        <is>
          <t>P04</t>
        </is>
      </c>
      <c r="B11" s="7" t="inlineStr">
        <is>
          <t>Baseline</t>
        </is>
      </c>
      <c r="C11">
        <f>A11&amp;"|Stimulus|"&amp;B11&amp;"|"&amp;B11</f>
        <v/>
      </c>
      <c r="D11">
        <f>INDEX(GSR_Import!$N$2:$N$171,MATCH(C11,GSR_Import!$S$2:$S$171,0))</f>
        <v/>
      </c>
      <c r="E11">
        <f>INDEX(GSR_Import!$U$2:$U$171,MATCH(C11,GSR_Import!$S$2:$S$171,0))</f>
        <v/>
      </c>
      <c r="F11">
        <f>IF(E11=1,D11,"")</f>
        <v/>
      </c>
      <c r="G11">
        <f>A11&amp;"|"&amp;B11</f>
        <v/>
      </c>
      <c r="H11">
        <f>INDEX(DataQuality!$D$2:$D$123,MATCH(G11,DataQuality!$L$2:$L$123,0))</f>
        <v/>
      </c>
      <c r="I11">
        <f>INDEX(DataQuality!$F$2:$F$123,MATCH(G11,DataQuality!$L$2:$L$123,0))</f>
        <v/>
      </c>
      <c r="J11">
        <f>MIN(INDEX(DataQuality!$D$2:$D$123,MATCH(A11&amp;"|Ad_A",DataQuality!$L$2:$L$123,0)),INDEX(DataQuality!$D$2:$D$123,MATCH(A11&amp;"|Ad_B",DataQuality!$L$2:$L$123,0)))</f>
        <v/>
      </c>
      <c r="K11">
        <f>MIN(INDEX(DataQuality!$F$2:$F$123,MATCH(A11&amp;"|Ad_A",DataQuality!$L$2:$L$123,0)),INDEX(DataQuality!$F$2:$F$123,MATCH(A11&amp;"|Ad_B",DataQuality!$L$2:$L$123,0)))</f>
        <v/>
      </c>
      <c r="L11">
        <f>IF(AND(J11&gt;=90,K11&gt;=80),1,0)</f>
        <v/>
      </c>
      <c r="M11">
        <f>IF(B11="Ad_A",INDEX(Survey!$G$2:$G$25,MATCH(A11,Survey!$W$2:$W$25,0)),IF(B11="Ad_B",INDEX(Survey!$I$2:$I$25,MATCH(A11,Survey!$W$2:$W$25,0)),""))</f>
        <v/>
      </c>
      <c r="N11">
        <f>IF(B11="Ad_A",INDEX(Survey!$X$2:$X$25,MATCH(A11,Survey!$W$2:$W$25,0)),IF(B11="Ad_B",INDEX(Survey!$Y$2:$Y$25,MATCH(A11,Survey!$W$2:$W$25,0)),""))</f>
        <v/>
      </c>
    </row>
    <row r="12">
      <c r="A12" s="7" t="inlineStr">
        <is>
          <t>P04</t>
        </is>
      </c>
      <c r="B12" s="7" t="inlineStr">
        <is>
          <t>Ad_A</t>
        </is>
      </c>
      <c r="C12">
        <f>A12&amp;"|Stimulus|"&amp;B12&amp;"|"&amp;B12</f>
        <v/>
      </c>
      <c r="D12">
        <f>INDEX(GSR_Import!$N$2:$N$171,MATCH(C12,GSR_Import!$S$2:$S$171,0))</f>
        <v/>
      </c>
      <c r="E12">
        <f>INDEX(GSR_Import!$U$2:$U$171,MATCH(C12,GSR_Import!$S$2:$S$171,0))</f>
        <v/>
      </c>
      <c r="F12">
        <f>IF(E12=1,D12,"")</f>
        <v/>
      </c>
      <c r="G12">
        <f>A12&amp;"|"&amp;B12</f>
        <v/>
      </c>
      <c r="H12">
        <f>INDEX(DataQuality!$D$2:$D$123,MATCH(G12,DataQuality!$L$2:$L$123,0))</f>
        <v/>
      </c>
      <c r="I12">
        <f>INDEX(DataQuality!$F$2:$F$123,MATCH(G12,DataQuality!$L$2:$L$123,0))</f>
        <v/>
      </c>
      <c r="J12">
        <f>MIN(INDEX(DataQuality!$D$2:$D$123,MATCH(A12&amp;"|Ad_A",DataQuality!$L$2:$L$123,0)),INDEX(DataQuality!$D$2:$D$123,MATCH(A12&amp;"|Ad_B",DataQuality!$L$2:$L$123,0)))</f>
        <v/>
      </c>
      <c r="K12">
        <f>MIN(INDEX(DataQuality!$F$2:$F$123,MATCH(A12&amp;"|Ad_A",DataQuality!$L$2:$L$123,0)),INDEX(DataQuality!$F$2:$F$123,MATCH(A12&amp;"|Ad_B",DataQuality!$L$2:$L$123,0)))</f>
        <v/>
      </c>
      <c r="L12">
        <f>IF(AND(J12&gt;=90,K12&gt;=80),1,0)</f>
        <v/>
      </c>
      <c r="M12">
        <f>IF(B12="Ad_A",INDEX(Survey!$G$2:$G$25,MATCH(A12,Survey!$W$2:$W$25,0)),IF(B12="Ad_B",INDEX(Survey!$I$2:$I$25,MATCH(A12,Survey!$W$2:$W$25,0)),""))</f>
        <v/>
      </c>
      <c r="N12">
        <f>IF(B12="Ad_A",INDEX(Survey!$X$2:$X$25,MATCH(A12,Survey!$W$2:$W$25,0)),IF(B12="Ad_B",INDEX(Survey!$Y$2:$Y$25,MATCH(A12,Survey!$W$2:$W$25,0)),""))</f>
        <v/>
      </c>
    </row>
    <row r="13">
      <c r="A13" s="7" t="inlineStr">
        <is>
          <t>P04</t>
        </is>
      </c>
      <c r="B13" s="7" t="inlineStr">
        <is>
          <t>Ad_B</t>
        </is>
      </c>
      <c r="C13">
        <f>A13&amp;"|Stimulus|"&amp;B13&amp;"|"&amp;B13</f>
        <v/>
      </c>
      <c r="D13">
        <f>INDEX(GSR_Import!$N$2:$N$171,MATCH(C13,GSR_Import!$S$2:$S$171,0))</f>
        <v/>
      </c>
      <c r="E13">
        <f>INDEX(GSR_Import!$U$2:$U$171,MATCH(C13,GSR_Import!$S$2:$S$171,0))</f>
        <v/>
      </c>
      <c r="F13">
        <f>IF(E13=1,D13,"")</f>
        <v/>
      </c>
      <c r="G13">
        <f>A13&amp;"|"&amp;B13</f>
        <v/>
      </c>
      <c r="H13">
        <f>INDEX(DataQuality!$D$2:$D$123,MATCH(G13,DataQuality!$L$2:$L$123,0))</f>
        <v/>
      </c>
      <c r="I13">
        <f>INDEX(DataQuality!$F$2:$F$123,MATCH(G13,DataQuality!$L$2:$L$123,0))</f>
        <v/>
      </c>
      <c r="J13">
        <f>MIN(INDEX(DataQuality!$D$2:$D$123,MATCH(A13&amp;"|Ad_A",DataQuality!$L$2:$L$123,0)),INDEX(DataQuality!$D$2:$D$123,MATCH(A13&amp;"|Ad_B",DataQuality!$L$2:$L$123,0)))</f>
        <v/>
      </c>
      <c r="K13">
        <f>MIN(INDEX(DataQuality!$F$2:$F$123,MATCH(A13&amp;"|Ad_A",DataQuality!$L$2:$L$123,0)),INDEX(DataQuality!$F$2:$F$123,MATCH(A13&amp;"|Ad_B",DataQuality!$L$2:$L$123,0)))</f>
        <v/>
      </c>
      <c r="L13">
        <f>IF(AND(J13&gt;=90,K13&gt;=80),1,0)</f>
        <v/>
      </c>
      <c r="M13">
        <f>IF(B13="Ad_A",INDEX(Survey!$G$2:$G$25,MATCH(A13,Survey!$W$2:$W$25,0)),IF(B13="Ad_B",INDEX(Survey!$I$2:$I$25,MATCH(A13,Survey!$W$2:$W$25,0)),""))</f>
        <v/>
      </c>
      <c r="N13">
        <f>IF(B13="Ad_A",INDEX(Survey!$X$2:$X$25,MATCH(A13,Survey!$W$2:$W$25,0)),IF(B13="Ad_B",INDEX(Survey!$Y$2:$Y$25,MATCH(A13,Survey!$W$2:$W$25,0)),""))</f>
        <v/>
      </c>
    </row>
    <row r="14">
      <c r="A14" s="7" t="inlineStr">
        <is>
          <t>P05</t>
        </is>
      </c>
      <c r="B14" s="7" t="inlineStr">
        <is>
          <t>Baseline</t>
        </is>
      </c>
      <c r="C14">
        <f>A14&amp;"|Stimulus|"&amp;B14&amp;"|"&amp;B14</f>
        <v/>
      </c>
      <c r="D14">
        <f>INDEX(GSR_Import!$N$2:$N$171,MATCH(C14,GSR_Import!$S$2:$S$171,0))</f>
        <v/>
      </c>
      <c r="E14">
        <f>INDEX(GSR_Import!$U$2:$U$171,MATCH(C14,GSR_Import!$S$2:$S$171,0))</f>
        <v/>
      </c>
      <c r="F14">
        <f>IF(E14=1,D14,"")</f>
        <v/>
      </c>
      <c r="G14">
        <f>A14&amp;"|"&amp;B14</f>
        <v/>
      </c>
      <c r="H14">
        <f>INDEX(DataQuality!$D$2:$D$123,MATCH(G14,DataQuality!$L$2:$L$123,0))</f>
        <v/>
      </c>
      <c r="I14">
        <f>INDEX(DataQuality!$F$2:$F$123,MATCH(G14,DataQuality!$L$2:$L$123,0))</f>
        <v/>
      </c>
      <c r="J14">
        <f>MIN(INDEX(DataQuality!$D$2:$D$123,MATCH(A14&amp;"|Ad_A",DataQuality!$L$2:$L$123,0)),INDEX(DataQuality!$D$2:$D$123,MATCH(A14&amp;"|Ad_B",DataQuality!$L$2:$L$123,0)))</f>
        <v/>
      </c>
      <c r="K14">
        <f>MIN(INDEX(DataQuality!$F$2:$F$123,MATCH(A14&amp;"|Ad_A",DataQuality!$L$2:$L$123,0)),INDEX(DataQuality!$F$2:$F$123,MATCH(A14&amp;"|Ad_B",DataQuality!$L$2:$L$123,0)))</f>
        <v/>
      </c>
      <c r="L14">
        <f>IF(AND(J14&gt;=90,K14&gt;=80),1,0)</f>
        <v/>
      </c>
      <c r="M14">
        <f>IF(B14="Ad_A",INDEX(Survey!$G$2:$G$25,MATCH(A14,Survey!$W$2:$W$25,0)),IF(B14="Ad_B",INDEX(Survey!$I$2:$I$25,MATCH(A14,Survey!$W$2:$W$25,0)),""))</f>
        <v/>
      </c>
      <c r="N14">
        <f>IF(B14="Ad_A",INDEX(Survey!$X$2:$X$25,MATCH(A14,Survey!$W$2:$W$25,0)),IF(B14="Ad_B",INDEX(Survey!$Y$2:$Y$25,MATCH(A14,Survey!$W$2:$W$25,0)),""))</f>
        <v/>
      </c>
    </row>
    <row r="15">
      <c r="A15" s="7" t="inlineStr">
        <is>
          <t>P05</t>
        </is>
      </c>
      <c r="B15" s="7" t="inlineStr">
        <is>
          <t>Ad_A</t>
        </is>
      </c>
      <c r="C15">
        <f>A15&amp;"|Stimulus|"&amp;B15&amp;"|"&amp;B15</f>
        <v/>
      </c>
      <c r="D15">
        <f>INDEX(GSR_Import!$N$2:$N$171,MATCH(C15,GSR_Import!$S$2:$S$171,0))</f>
        <v/>
      </c>
      <c r="E15">
        <f>INDEX(GSR_Import!$U$2:$U$171,MATCH(C15,GSR_Import!$S$2:$S$171,0))</f>
        <v/>
      </c>
      <c r="F15">
        <f>IF(E15=1,D15,"")</f>
        <v/>
      </c>
      <c r="G15">
        <f>A15&amp;"|"&amp;B15</f>
        <v/>
      </c>
      <c r="H15">
        <f>INDEX(DataQuality!$D$2:$D$123,MATCH(G15,DataQuality!$L$2:$L$123,0))</f>
        <v/>
      </c>
      <c r="I15">
        <f>INDEX(DataQuality!$F$2:$F$123,MATCH(G15,DataQuality!$L$2:$L$123,0))</f>
        <v/>
      </c>
      <c r="J15">
        <f>MIN(INDEX(DataQuality!$D$2:$D$123,MATCH(A15&amp;"|Ad_A",DataQuality!$L$2:$L$123,0)),INDEX(DataQuality!$D$2:$D$123,MATCH(A15&amp;"|Ad_B",DataQuality!$L$2:$L$123,0)))</f>
        <v/>
      </c>
      <c r="K15">
        <f>MIN(INDEX(DataQuality!$F$2:$F$123,MATCH(A15&amp;"|Ad_A",DataQuality!$L$2:$L$123,0)),INDEX(DataQuality!$F$2:$F$123,MATCH(A15&amp;"|Ad_B",DataQuality!$L$2:$L$123,0)))</f>
        <v/>
      </c>
      <c r="L15">
        <f>IF(AND(J15&gt;=90,K15&gt;=80),1,0)</f>
        <v/>
      </c>
      <c r="M15">
        <f>IF(B15="Ad_A",INDEX(Survey!$G$2:$G$25,MATCH(A15,Survey!$W$2:$W$25,0)),IF(B15="Ad_B",INDEX(Survey!$I$2:$I$25,MATCH(A15,Survey!$W$2:$W$25,0)),""))</f>
        <v/>
      </c>
      <c r="N15">
        <f>IF(B15="Ad_A",INDEX(Survey!$X$2:$X$25,MATCH(A15,Survey!$W$2:$W$25,0)),IF(B15="Ad_B",INDEX(Survey!$Y$2:$Y$25,MATCH(A15,Survey!$W$2:$W$25,0)),""))</f>
        <v/>
      </c>
    </row>
    <row r="16">
      <c r="A16" s="7" t="inlineStr">
        <is>
          <t>P05</t>
        </is>
      </c>
      <c r="B16" s="7" t="inlineStr">
        <is>
          <t>Ad_B</t>
        </is>
      </c>
      <c r="C16">
        <f>A16&amp;"|Stimulus|"&amp;B16&amp;"|"&amp;B16</f>
        <v/>
      </c>
      <c r="D16">
        <f>INDEX(GSR_Import!$N$2:$N$171,MATCH(C16,GSR_Import!$S$2:$S$171,0))</f>
        <v/>
      </c>
      <c r="E16">
        <f>INDEX(GSR_Import!$U$2:$U$171,MATCH(C16,GSR_Import!$S$2:$S$171,0))</f>
        <v/>
      </c>
      <c r="F16">
        <f>IF(E16=1,D16,"")</f>
        <v/>
      </c>
      <c r="G16">
        <f>A16&amp;"|"&amp;B16</f>
        <v/>
      </c>
      <c r="H16">
        <f>INDEX(DataQuality!$D$2:$D$123,MATCH(G16,DataQuality!$L$2:$L$123,0))</f>
        <v/>
      </c>
      <c r="I16">
        <f>INDEX(DataQuality!$F$2:$F$123,MATCH(G16,DataQuality!$L$2:$L$123,0))</f>
        <v/>
      </c>
      <c r="J16">
        <f>MIN(INDEX(DataQuality!$D$2:$D$123,MATCH(A16&amp;"|Ad_A",DataQuality!$L$2:$L$123,0)),INDEX(DataQuality!$D$2:$D$123,MATCH(A16&amp;"|Ad_B",DataQuality!$L$2:$L$123,0)))</f>
        <v/>
      </c>
      <c r="K16">
        <f>MIN(INDEX(DataQuality!$F$2:$F$123,MATCH(A16&amp;"|Ad_A",DataQuality!$L$2:$L$123,0)),INDEX(DataQuality!$F$2:$F$123,MATCH(A16&amp;"|Ad_B",DataQuality!$L$2:$L$123,0)))</f>
        <v/>
      </c>
      <c r="L16">
        <f>IF(AND(J16&gt;=90,K16&gt;=80),1,0)</f>
        <v/>
      </c>
      <c r="M16">
        <f>IF(B16="Ad_A",INDEX(Survey!$G$2:$G$25,MATCH(A16,Survey!$W$2:$W$25,0)),IF(B16="Ad_B",INDEX(Survey!$I$2:$I$25,MATCH(A16,Survey!$W$2:$W$25,0)),""))</f>
        <v/>
      </c>
      <c r="N16">
        <f>IF(B16="Ad_A",INDEX(Survey!$X$2:$X$25,MATCH(A16,Survey!$W$2:$W$25,0)),IF(B16="Ad_B",INDEX(Survey!$Y$2:$Y$25,MATCH(A16,Survey!$W$2:$W$25,0)),""))</f>
        <v/>
      </c>
    </row>
    <row r="17">
      <c r="A17" s="7" t="inlineStr">
        <is>
          <t>P06</t>
        </is>
      </c>
      <c r="B17" s="7" t="inlineStr">
        <is>
          <t>Baseline</t>
        </is>
      </c>
      <c r="C17">
        <f>A17&amp;"|Stimulus|"&amp;B17&amp;"|"&amp;B17</f>
        <v/>
      </c>
      <c r="D17">
        <f>INDEX(GSR_Import!$N$2:$N$171,MATCH(C17,GSR_Import!$S$2:$S$171,0))</f>
        <v/>
      </c>
      <c r="E17">
        <f>INDEX(GSR_Import!$U$2:$U$171,MATCH(C17,GSR_Import!$S$2:$S$171,0))</f>
        <v/>
      </c>
      <c r="F17">
        <f>IF(E17=1,D17,"")</f>
        <v/>
      </c>
      <c r="G17">
        <f>A17&amp;"|"&amp;B17</f>
        <v/>
      </c>
      <c r="H17">
        <f>INDEX(DataQuality!$D$2:$D$123,MATCH(G17,DataQuality!$L$2:$L$123,0))</f>
        <v/>
      </c>
      <c r="I17">
        <f>INDEX(DataQuality!$F$2:$F$123,MATCH(G17,DataQuality!$L$2:$L$123,0))</f>
        <v/>
      </c>
      <c r="J17">
        <f>MIN(INDEX(DataQuality!$D$2:$D$123,MATCH(A17&amp;"|Ad_A",DataQuality!$L$2:$L$123,0)),INDEX(DataQuality!$D$2:$D$123,MATCH(A17&amp;"|Ad_B",DataQuality!$L$2:$L$123,0)))</f>
        <v/>
      </c>
      <c r="K17">
        <f>MIN(INDEX(DataQuality!$F$2:$F$123,MATCH(A17&amp;"|Ad_A",DataQuality!$L$2:$L$123,0)),INDEX(DataQuality!$F$2:$F$123,MATCH(A17&amp;"|Ad_B",DataQuality!$L$2:$L$123,0)))</f>
        <v/>
      </c>
      <c r="L17">
        <f>IF(AND(J17&gt;=90,K17&gt;=80),1,0)</f>
        <v/>
      </c>
      <c r="M17">
        <f>IF(B17="Ad_A",INDEX(Survey!$G$2:$G$25,MATCH(A17,Survey!$W$2:$W$25,0)),IF(B17="Ad_B",INDEX(Survey!$I$2:$I$25,MATCH(A17,Survey!$W$2:$W$25,0)),""))</f>
        <v/>
      </c>
      <c r="N17">
        <f>IF(B17="Ad_A",INDEX(Survey!$X$2:$X$25,MATCH(A17,Survey!$W$2:$W$25,0)),IF(B17="Ad_B",INDEX(Survey!$Y$2:$Y$25,MATCH(A17,Survey!$W$2:$W$25,0)),""))</f>
        <v/>
      </c>
    </row>
    <row r="18">
      <c r="A18" s="7" t="inlineStr">
        <is>
          <t>P06</t>
        </is>
      </c>
      <c r="B18" s="7" t="inlineStr">
        <is>
          <t>Ad_A</t>
        </is>
      </c>
      <c r="C18">
        <f>A18&amp;"|Stimulus|"&amp;B18&amp;"|"&amp;B18</f>
        <v/>
      </c>
      <c r="D18">
        <f>INDEX(GSR_Import!$N$2:$N$171,MATCH(C18,GSR_Import!$S$2:$S$171,0))</f>
        <v/>
      </c>
      <c r="E18">
        <f>INDEX(GSR_Import!$U$2:$U$171,MATCH(C18,GSR_Import!$S$2:$S$171,0))</f>
        <v/>
      </c>
      <c r="F18">
        <f>IF(E18=1,D18,"")</f>
        <v/>
      </c>
      <c r="G18">
        <f>A18&amp;"|"&amp;B18</f>
        <v/>
      </c>
      <c r="H18">
        <f>INDEX(DataQuality!$D$2:$D$123,MATCH(G18,DataQuality!$L$2:$L$123,0))</f>
        <v/>
      </c>
      <c r="I18">
        <f>INDEX(DataQuality!$F$2:$F$123,MATCH(G18,DataQuality!$L$2:$L$123,0))</f>
        <v/>
      </c>
      <c r="J18">
        <f>MIN(INDEX(DataQuality!$D$2:$D$123,MATCH(A18&amp;"|Ad_A",DataQuality!$L$2:$L$123,0)),INDEX(DataQuality!$D$2:$D$123,MATCH(A18&amp;"|Ad_B",DataQuality!$L$2:$L$123,0)))</f>
        <v/>
      </c>
      <c r="K18">
        <f>MIN(INDEX(DataQuality!$F$2:$F$123,MATCH(A18&amp;"|Ad_A",DataQuality!$L$2:$L$123,0)),INDEX(DataQuality!$F$2:$F$123,MATCH(A18&amp;"|Ad_B",DataQuality!$L$2:$L$123,0)))</f>
        <v/>
      </c>
      <c r="L18">
        <f>IF(AND(J18&gt;=90,K18&gt;=80),1,0)</f>
        <v/>
      </c>
      <c r="M18">
        <f>IF(B18="Ad_A",INDEX(Survey!$G$2:$G$25,MATCH(A18,Survey!$W$2:$W$25,0)),IF(B18="Ad_B",INDEX(Survey!$I$2:$I$25,MATCH(A18,Survey!$W$2:$W$25,0)),""))</f>
        <v/>
      </c>
      <c r="N18">
        <f>IF(B18="Ad_A",INDEX(Survey!$X$2:$X$25,MATCH(A18,Survey!$W$2:$W$25,0)),IF(B18="Ad_B",INDEX(Survey!$Y$2:$Y$25,MATCH(A18,Survey!$W$2:$W$25,0)),""))</f>
        <v/>
      </c>
    </row>
    <row r="19">
      <c r="A19" s="7" t="inlineStr">
        <is>
          <t>P06</t>
        </is>
      </c>
      <c r="B19" s="7" t="inlineStr">
        <is>
          <t>Ad_B</t>
        </is>
      </c>
      <c r="C19">
        <f>A19&amp;"|Stimulus|"&amp;B19&amp;"|"&amp;B19</f>
        <v/>
      </c>
      <c r="D19">
        <f>INDEX(GSR_Import!$N$2:$N$171,MATCH(C19,GSR_Import!$S$2:$S$171,0))</f>
        <v/>
      </c>
      <c r="E19">
        <f>INDEX(GSR_Import!$U$2:$U$171,MATCH(C19,GSR_Import!$S$2:$S$171,0))</f>
        <v/>
      </c>
      <c r="F19">
        <f>IF(E19=1,D19,"")</f>
        <v/>
      </c>
      <c r="G19">
        <f>A19&amp;"|"&amp;B19</f>
        <v/>
      </c>
      <c r="H19">
        <f>INDEX(DataQuality!$D$2:$D$123,MATCH(G19,DataQuality!$L$2:$L$123,0))</f>
        <v/>
      </c>
      <c r="I19">
        <f>INDEX(DataQuality!$F$2:$F$123,MATCH(G19,DataQuality!$L$2:$L$123,0))</f>
        <v/>
      </c>
      <c r="J19">
        <f>MIN(INDEX(DataQuality!$D$2:$D$123,MATCH(A19&amp;"|Ad_A",DataQuality!$L$2:$L$123,0)),INDEX(DataQuality!$D$2:$D$123,MATCH(A19&amp;"|Ad_B",DataQuality!$L$2:$L$123,0)))</f>
        <v/>
      </c>
      <c r="K19">
        <f>MIN(INDEX(DataQuality!$F$2:$F$123,MATCH(A19&amp;"|Ad_A",DataQuality!$L$2:$L$123,0)),INDEX(DataQuality!$F$2:$F$123,MATCH(A19&amp;"|Ad_B",DataQuality!$L$2:$L$123,0)))</f>
        <v/>
      </c>
      <c r="L19">
        <f>IF(AND(J19&gt;=90,K19&gt;=80),1,0)</f>
        <v/>
      </c>
      <c r="M19">
        <f>IF(B19="Ad_A",INDEX(Survey!$G$2:$G$25,MATCH(A19,Survey!$W$2:$W$25,0)),IF(B19="Ad_B",INDEX(Survey!$I$2:$I$25,MATCH(A19,Survey!$W$2:$W$25,0)),""))</f>
        <v/>
      </c>
      <c r="N19">
        <f>IF(B19="Ad_A",INDEX(Survey!$X$2:$X$25,MATCH(A19,Survey!$W$2:$W$25,0)),IF(B19="Ad_B",INDEX(Survey!$Y$2:$Y$25,MATCH(A19,Survey!$W$2:$W$25,0)),""))</f>
        <v/>
      </c>
    </row>
    <row r="20">
      <c r="A20" s="7" t="inlineStr">
        <is>
          <t>P07</t>
        </is>
      </c>
      <c r="B20" s="7" t="inlineStr">
        <is>
          <t>Baseline</t>
        </is>
      </c>
      <c r="C20">
        <f>A20&amp;"|Stimulus|"&amp;B20&amp;"|"&amp;B20</f>
        <v/>
      </c>
      <c r="D20">
        <f>INDEX(GSR_Import!$N$2:$N$171,MATCH(C20,GSR_Import!$S$2:$S$171,0))</f>
        <v/>
      </c>
      <c r="E20">
        <f>INDEX(GSR_Import!$U$2:$U$171,MATCH(C20,GSR_Import!$S$2:$S$171,0))</f>
        <v/>
      </c>
      <c r="F20">
        <f>IF(E20=1,D20,"")</f>
        <v/>
      </c>
      <c r="G20">
        <f>A20&amp;"|"&amp;B20</f>
        <v/>
      </c>
      <c r="H20">
        <f>INDEX(DataQuality!$D$2:$D$123,MATCH(G20,DataQuality!$L$2:$L$123,0))</f>
        <v/>
      </c>
      <c r="I20">
        <f>INDEX(DataQuality!$F$2:$F$123,MATCH(G20,DataQuality!$L$2:$L$123,0))</f>
        <v/>
      </c>
      <c r="J20">
        <f>MIN(INDEX(DataQuality!$D$2:$D$123,MATCH(A20&amp;"|Ad_A",DataQuality!$L$2:$L$123,0)),INDEX(DataQuality!$D$2:$D$123,MATCH(A20&amp;"|Ad_B",DataQuality!$L$2:$L$123,0)))</f>
        <v/>
      </c>
      <c r="K20">
        <f>MIN(INDEX(DataQuality!$F$2:$F$123,MATCH(A20&amp;"|Ad_A",DataQuality!$L$2:$L$123,0)),INDEX(DataQuality!$F$2:$F$123,MATCH(A20&amp;"|Ad_B",DataQuality!$L$2:$L$123,0)))</f>
        <v/>
      </c>
      <c r="L20">
        <f>IF(AND(J20&gt;=90,K20&gt;=80),1,0)</f>
        <v/>
      </c>
      <c r="M20">
        <f>IF(B20="Ad_A",INDEX(Survey!$G$2:$G$25,MATCH(A20,Survey!$W$2:$W$25,0)),IF(B20="Ad_B",INDEX(Survey!$I$2:$I$25,MATCH(A20,Survey!$W$2:$W$25,0)),""))</f>
        <v/>
      </c>
      <c r="N20">
        <f>IF(B20="Ad_A",INDEX(Survey!$X$2:$X$25,MATCH(A20,Survey!$W$2:$W$25,0)),IF(B20="Ad_B",INDEX(Survey!$Y$2:$Y$25,MATCH(A20,Survey!$W$2:$W$25,0)),""))</f>
        <v/>
      </c>
    </row>
    <row r="21">
      <c r="A21" s="7" t="inlineStr">
        <is>
          <t>P07</t>
        </is>
      </c>
      <c r="B21" s="7" t="inlineStr">
        <is>
          <t>Ad_A</t>
        </is>
      </c>
      <c r="C21">
        <f>A21&amp;"|Stimulus|"&amp;B21&amp;"|"&amp;B21</f>
        <v/>
      </c>
      <c r="D21">
        <f>INDEX(GSR_Import!$N$2:$N$171,MATCH(C21,GSR_Import!$S$2:$S$171,0))</f>
        <v/>
      </c>
      <c r="E21">
        <f>INDEX(GSR_Import!$U$2:$U$171,MATCH(C21,GSR_Import!$S$2:$S$171,0))</f>
        <v/>
      </c>
      <c r="F21">
        <f>IF(E21=1,D21,"")</f>
        <v/>
      </c>
      <c r="G21">
        <f>A21&amp;"|"&amp;B21</f>
        <v/>
      </c>
      <c r="H21">
        <f>INDEX(DataQuality!$D$2:$D$123,MATCH(G21,DataQuality!$L$2:$L$123,0))</f>
        <v/>
      </c>
      <c r="I21">
        <f>INDEX(DataQuality!$F$2:$F$123,MATCH(G21,DataQuality!$L$2:$L$123,0))</f>
        <v/>
      </c>
      <c r="J21">
        <f>MIN(INDEX(DataQuality!$D$2:$D$123,MATCH(A21&amp;"|Ad_A",DataQuality!$L$2:$L$123,0)),INDEX(DataQuality!$D$2:$D$123,MATCH(A21&amp;"|Ad_B",DataQuality!$L$2:$L$123,0)))</f>
        <v/>
      </c>
      <c r="K21">
        <f>MIN(INDEX(DataQuality!$F$2:$F$123,MATCH(A21&amp;"|Ad_A",DataQuality!$L$2:$L$123,0)),INDEX(DataQuality!$F$2:$F$123,MATCH(A21&amp;"|Ad_B",DataQuality!$L$2:$L$123,0)))</f>
        <v/>
      </c>
      <c r="L21">
        <f>IF(AND(J21&gt;=90,K21&gt;=80),1,0)</f>
        <v/>
      </c>
      <c r="M21">
        <f>IF(B21="Ad_A",INDEX(Survey!$G$2:$G$25,MATCH(A21,Survey!$W$2:$W$25,0)),IF(B21="Ad_B",INDEX(Survey!$I$2:$I$25,MATCH(A21,Survey!$W$2:$W$25,0)),""))</f>
        <v/>
      </c>
      <c r="N21">
        <f>IF(B21="Ad_A",INDEX(Survey!$X$2:$X$25,MATCH(A21,Survey!$W$2:$W$25,0)),IF(B21="Ad_B",INDEX(Survey!$Y$2:$Y$25,MATCH(A21,Survey!$W$2:$W$25,0)),""))</f>
        <v/>
      </c>
    </row>
    <row r="22">
      <c r="A22" s="7" t="inlineStr">
        <is>
          <t>P07</t>
        </is>
      </c>
      <c r="B22" s="7" t="inlineStr">
        <is>
          <t>Ad_B</t>
        </is>
      </c>
      <c r="C22">
        <f>A22&amp;"|Stimulus|"&amp;B22&amp;"|"&amp;B22</f>
        <v/>
      </c>
      <c r="D22">
        <f>INDEX(GSR_Import!$N$2:$N$171,MATCH(C22,GSR_Import!$S$2:$S$171,0))</f>
        <v/>
      </c>
      <c r="E22">
        <f>INDEX(GSR_Import!$U$2:$U$171,MATCH(C22,GSR_Import!$S$2:$S$171,0))</f>
        <v/>
      </c>
      <c r="F22">
        <f>IF(E22=1,D22,"")</f>
        <v/>
      </c>
      <c r="G22">
        <f>A22&amp;"|"&amp;B22</f>
        <v/>
      </c>
      <c r="H22">
        <f>INDEX(DataQuality!$D$2:$D$123,MATCH(G22,DataQuality!$L$2:$L$123,0))</f>
        <v/>
      </c>
      <c r="I22">
        <f>INDEX(DataQuality!$F$2:$F$123,MATCH(G22,DataQuality!$L$2:$L$123,0))</f>
        <v/>
      </c>
      <c r="J22">
        <f>MIN(INDEX(DataQuality!$D$2:$D$123,MATCH(A22&amp;"|Ad_A",DataQuality!$L$2:$L$123,0)),INDEX(DataQuality!$D$2:$D$123,MATCH(A22&amp;"|Ad_B",DataQuality!$L$2:$L$123,0)))</f>
        <v/>
      </c>
      <c r="K22">
        <f>MIN(INDEX(DataQuality!$F$2:$F$123,MATCH(A22&amp;"|Ad_A",DataQuality!$L$2:$L$123,0)),INDEX(DataQuality!$F$2:$F$123,MATCH(A22&amp;"|Ad_B",DataQuality!$L$2:$L$123,0)))</f>
        <v/>
      </c>
      <c r="L22">
        <f>IF(AND(J22&gt;=90,K22&gt;=80),1,0)</f>
        <v/>
      </c>
      <c r="M22">
        <f>IF(B22="Ad_A",INDEX(Survey!$G$2:$G$25,MATCH(A22,Survey!$W$2:$W$25,0)),IF(B22="Ad_B",INDEX(Survey!$I$2:$I$25,MATCH(A22,Survey!$W$2:$W$25,0)),""))</f>
        <v/>
      </c>
      <c r="N22">
        <f>IF(B22="Ad_A",INDEX(Survey!$X$2:$X$25,MATCH(A22,Survey!$W$2:$W$25,0)),IF(B22="Ad_B",INDEX(Survey!$Y$2:$Y$25,MATCH(A22,Survey!$W$2:$W$25,0)),""))</f>
        <v/>
      </c>
    </row>
    <row r="23">
      <c r="A23" s="7" t="inlineStr">
        <is>
          <t>P08</t>
        </is>
      </c>
      <c r="B23" s="7" t="inlineStr">
        <is>
          <t>Baseline</t>
        </is>
      </c>
      <c r="C23">
        <f>A23&amp;"|Stimulus|"&amp;B23&amp;"|"&amp;B23</f>
        <v/>
      </c>
      <c r="D23">
        <f>INDEX(GSR_Import!$N$2:$N$171,MATCH(C23,GSR_Import!$S$2:$S$171,0))</f>
        <v/>
      </c>
      <c r="E23">
        <f>INDEX(GSR_Import!$U$2:$U$171,MATCH(C23,GSR_Import!$S$2:$S$171,0))</f>
        <v/>
      </c>
      <c r="F23">
        <f>IF(E23=1,D23,"")</f>
        <v/>
      </c>
      <c r="G23">
        <f>A23&amp;"|"&amp;B23</f>
        <v/>
      </c>
      <c r="H23">
        <f>INDEX(DataQuality!$D$2:$D$123,MATCH(G23,DataQuality!$L$2:$L$123,0))</f>
        <v/>
      </c>
      <c r="I23">
        <f>INDEX(DataQuality!$F$2:$F$123,MATCH(G23,DataQuality!$L$2:$L$123,0))</f>
        <v/>
      </c>
      <c r="J23">
        <f>MIN(INDEX(DataQuality!$D$2:$D$123,MATCH(A23&amp;"|Ad_A",DataQuality!$L$2:$L$123,0)),INDEX(DataQuality!$D$2:$D$123,MATCH(A23&amp;"|Ad_B",DataQuality!$L$2:$L$123,0)))</f>
        <v/>
      </c>
      <c r="K23">
        <f>MIN(INDEX(DataQuality!$F$2:$F$123,MATCH(A23&amp;"|Ad_A",DataQuality!$L$2:$L$123,0)),INDEX(DataQuality!$F$2:$F$123,MATCH(A23&amp;"|Ad_B",DataQuality!$L$2:$L$123,0)))</f>
        <v/>
      </c>
      <c r="L23">
        <f>IF(AND(J23&gt;=90,K23&gt;=80),1,0)</f>
        <v/>
      </c>
      <c r="M23">
        <f>IF(B23="Ad_A",INDEX(Survey!$G$2:$G$25,MATCH(A23,Survey!$W$2:$W$25,0)),IF(B23="Ad_B",INDEX(Survey!$I$2:$I$25,MATCH(A23,Survey!$W$2:$W$25,0)),""))</f>
        <v/>
      </c>
      <c r="N23">
        <f>IF(B23="Ad_A",INDEX(Survey!$X$2:$X$25,MATCH(A23,Survey!$W$2:$W$25,0)),IF(B23="Ad_B",INDEX(Survey!$Y$2:$Y$25,MATCH(A23,Survey!$W$2:$W$25,0)),""))</f>
        <v/>
      </c>
    </row>
    <row r="24">
      <c r="A24" s="7" t="inlineStr">
        <is>
          <t>P08</t>
        </is>
      </c>
      <c r="B24" s="7" t="inlineStr">
        <is>
          <t>Ad_A</t>
        </is>
      </c>
      <c r="C24">
        <f>A24&amp;"|Stimulus|"&amp;B24&amp;"|"&amp;B24</f>
        <v/>
      </c>
      <c r="D24">
        <f>INDEX(GSR_Import!$N$2:$N$171,MATCH(C24,GSR_Import!$S$2:$S$171,0))</f>
        <v/>
      </c>
      <c r="E24">
        <f>INDEX(GSR_Import!$U$2:$U$171,MATCH(C24,GSR_Import!$S$2:$S$171,0))</f>
        <v/>
      </c>
      <c r="F24">
        <f>IF(E24=1,D24,"")</f>
        <v/>
      </c>
      <c r="G24">
        <f>A24&amp;"|"&amp;B24</f>
        <v/>
      </c>
      <c r="H24">
        <f>INDEX(DataQuality!$D$2:$D$123,MATCH(G24,DataQuality!$L$2:$L$123,0))</f>
        <v/>
      </c>
      <c r="I24">
        <f>INDEX(DataQuality!$F$2:$F$123,MATCH(G24,DataQuality!$L$2:$L$123,0))</f>
        <v/>
      </c>
      <c r="J24">
        <f>MIN(INDEX(DataQuality!$D$2:$D$123,MATCH(A24&amp;"|Ad_A",DataQuality!$L$2:$L$123,0)),INDEX(DataQuality!$D$2:$D$123,MATCH(A24&amp;"|Ad_B",DataQuality!$L$2:$L$123,0)))</f>
        <v/>
      </c>
      <c r="K24">
        <f>MIN(INDEX(DataQuality!$F$2:$F$123,MATCH(A24&amp;"|Ad_A",DataQuality!$L$2:$L$123,0)),INDEX(DataQuality!$F$2:$F$123,MATCH(A24&amp;"|Ad_B",DataQuality!$L$2:$L$123,0)))</f>
        <v/>
      </c>
      <c r="L24">
        <f>IF(AND(J24&gt;=90,K24&gt;=80),1,0)</f>
        <v/>
      </c>
      <c r="M24">
        <f>IF(B24="Ad_A",INDEX(Survey!$G$2:$G$25,MATCH(A24,Survey!$W$2:$W$25,0)),IF(B24="Ad_B",INDEX(Survey!$I$2:$I$25,MATCH(A24,Survey!$W$2:$W$25,0)),""))</f>
        <v/>
      </c>
      <c r="N24">
        <f>IF(B24="Ad_A",INDEX(Survey!$X$2:$X$25,MATCH(A24,Survey!$W$2:$W$25,0)),IF(B24="Ad_B",INDEX(Survey!$Y$2:$Y$25,MATCH(A24,Survey!$W$2:$W$25,0)),""))</f>
        <v/>
      </c>
    </row>
    <row r="25">
      <c r="A25" s="7" t="inlineStr">
        <is>
          <t>P08</t>
        </is>
      </c>
      <c r="B25" s="7" t="inlineStr">
        <is>
          <t>Ad_B</t>
        </is>
      </c>
      <c r="C25">
        <f>A25&amp;"|Stimulus|"&amp;B25&amp;"|"&amp;B25</f>
        <v/>
      </c>
      <c r="D25">
        <f>INDEX(GSR_Import!$N$2:$N$171,MATCH(C25,GSR_Import!$S$2:$S$171,0))</f>
        <v/>
      </c>
      <c r="E25">
        <f>INDEX(GSR_Import!$U$2:$U$171,MATCH(C25,GSR_Import!$S$2:$S$171,0))</f>
        <v/>
      </c>
      <c r="F25">
        <f>IF(E25=1,D25,"")</f>
        <v/>
      </c>
      <c r="G25">
        <f>A25&amp;"|"&amp;B25</f>
        <v/>
      </c>
      <c r="H25">
        <f>INDEX(DataQuality!$D$2:$D$123,MATCH(G25,DataQuality!$L$2:$L$123,0))</f>
        <v/>
      </c>
      <c r="I25">
        <f>INDEX(DataQuality!$F$2:$F$123,MATCH(G25,DataQuality!$L$2:$L$123,0))</f>
        <v/>
      </c>
      <c r="J25">
        <f>MIN(INDEX(DataQuality!$D$2:$D$123,MATCH(A25&amp;"|Ad_A",DataQuality!$L$2:$L$123,0)),INDEX(DataQuality!$D$2:$D$123,MATCH(A25&amp;"|Ad_B",DataQuality!$L$2:$L$123,0)))</f>
        <v/>
      </c>
      <c r="K25">
        <f>MIN(INDEX(DataQuality!$F$2:$F$123,MATCH(A25&amp;"|Ad_A",DataQuality!$L$2:$L$123,0)),INDEX(DataQuality!$F$2:$F$123,MATCH(A25&amp;"|Ad_B",DataQuality!$L$2:$L$123,0)))</f>
        <v/>
      </c>
      <c r="L25">
        <f>IF(AND(J25&gt;=90,K25&gt;=80),1,0)</f>
        <v/>
      </c>
      <c r="M25">
        <f>IF(B25="Ad_A",INDEX(Survey!$G$2:$G$25,MATCH(A25,Survey!$W$2:$W$25,0)),IF(B25="Ad_B",INDEX(Survey!$I$2:$I$25,MATCH(A25,Survey!$W$2:$W$25,0)),""))</f>
        <v/>
      </c>
      <c r="N25">
        <f>IF(B25="Ad_A",INDEX(Survey!$X$2:$X$25,MATCH(A25,Survey!$W$2:$W$25,0)),IF(B25="Ad_B",INDEX(Survey!$Y$2:$Y$25,MATCH(A25,Survey!$W$2:$W$25,0)),""))</f>
        <v/>
      </c>
    </row>
    <row r="26">
      <c r="A26" s="7" t="inlineStr">
        <is>
          <t>P09</t>
        </is>
      </c>
      <c r="B26" s="7" t="inlineStr">
        <is>
          <t>Baseline</t>
        </is>
      </c>
      <c r="C26">
        <f>A26&amp;"|Stimulus|"&amp;B26&amp;"|"&amp;B26</f>
        <v/>
      </c>
      <c r="D26">
        <f>INDEX(GSR_Import!$N$2:$N$171,MATCH(C26,GSR_Import!$S$2:$S$171,0))</f>
        <v/>
      </c>
      <c r="E26">
        <f>INDEX(GSR_Import!$U$2:$U$171,MATCH(C26,GSR_Import!$S$2:$S$171,0))</f>
        <v/>
      </c>
      <c r="F26">
        <f>IF(E26=1,D26,"")</f>
        <v/>
      </c>
      <c r="G26">
        <f>A26&amp;"|"&amp;B26</f>
        <v/>
      </c>
      <c r="H26">
        <f>INDEX(DataQuality!$D$2:$D$123,MATCH(G26,DataQuality!$L$2:$L$123,0))</f>
        <v/>
      </c>
      <c r="I26">
        <f>INDEX(DataQuality!$F$2:$F$123,MATCH(G26,DataQuality!$L$2:$L$123,0))</f>
        <v/>
      </c>
      <c r="J26">
        <f>MIN(INDEX(DataQuality!$D$2:$D$123,MATCH(A26&amp;"|Ad_A",DataQuality!$L$2:$L$123,0)),INDEX(DataQuality!$D$2:$D$123,MATCH(A26&amp;"|Ad_B",DataQuality!$L$2:$L$123,0)))</f>
        <v/>
      </c>
      <c r="K26">
        <f>MIN(INDEX(DataQuality!$F$2:$F$123,MATCH(A26&amp;"|Ad_A",DataQuality!$L$2:$L$123,0)),INDEX(DataQuality!$F$2:$F$123,MATCH(A26&amp;"|Ad_B",DataQuality!$L$2:$L$123,0)))</f>
        <v/>
      </c>
      <c r="L26">
        <f>IF(AND(J26&gt;=90,K26&gt;=80),1,0)</f>
        <v/>
      </c>
      <c r="M26">
        <f>IF(B26="Ad_A",INDEX(Survey!$G$2:$G$25,MATCH(A26,Survey!$W$2:$W$25,0)),IF(B26="Ad_B",INDEX(Survey!$I$2:$I$25,MATCH(A26,Survey!$W$2:$W$25,0)),""))</f>
        <v/>
      </c>
      <c r="N26">
        <f>IF(B26="Ad_A",INDEX(Survey!$X$2:$X$25,MATCH(A26,Survey!$W$2:$W$25,0)),IF(B26="Ad_B",INDEX(Survey!$Y$2:$Y$25,MATCH(A26,Survey!$W$2:$W$25,0)),""))</f>
        <v/>
      </c>
    </row>
    <row r="27">
      <c r="A27" s="7" t="inlineStr">
        <is>
          <t>P09</t>
        </is>
      </c>
      <c r="B27" s="7" t="inlineStr">
        <is>
          <t>Ad_A</t>
        </is>
      </c>
      <c r="C27">
        <f>A27&amp;"|Stimulus|"&amp;B27&amp;"|"&amp;B27</f>
        <v/>
      </c>
      <c r="D27">
        <f>INDEX(GSR_Import!$N$2:$N$171,MATCH(C27,GSR_Import!$S$2:$S$171,0))</f>
        <v/>
      </c>
      <c r="E27">
        <f>INDEX(GSR_Import!$U$2:$U$171,MATCH(C27,GSR_Import!$S$2:$S$171,0))</f>
        <v/>
      </c>
      <c r="F27">
        <f>IF(E27=1,D27,"")</f>
        <v/>
      </c>
      <c r="G27">
        <f>A27&amp;"|"&amp;B27</f>
        <v/>
      </c>
      <c r="H27">
        <f>INDEX(DataQuality!$D$2:$D$123,MATCH(G27,DataQuality!$L$2:$L$123,0))</f>
        <v/>
      </c>
      <c r="I27">
        <f>INDEX(DataQuality!$F$2:$F$123,MATCH(G27,DataQuality!$L$2:$L$123,0))</f>
        <v/>
      </c>
      <c r="J27">
        <f>MIN(INDEX(DataQuality!$D$2:$D$123,MATCH(A27&amp;"|Ad_A",DataQuality!$L$2:$L$123,0)),INDEX(DataQuality!$D$2:$D$123,MATCH(A27&amp;"|Ad_B",DataQuality!$L$2:$L$123,0)))</f>
        <v/>
      </c>
      <c r="K27">
        <f>MIN(INDEX(DataQuality!$F$2:$F$123,MATCH(A27&amp;"|Ad_A",DataQuality!$L$2:$L$123,0)),INDEX(DataQuality!$F$2:$F$123,MATCH(A27&amp;"|Ad_B",DataQuality!$L$2:$L$123,0)))</f>
        <v/>
      </c>
      <c r="L27">
        <f>IF(AND(J27&gt;=90,K27&gt;=80),1,0)</f>
        <v/>
      </c>
      <c r="M27">
        <f>IF(B27="Ad_A",INDEX(Survey!$G$2:$G$25,MATCH(A27,Survey!$W$2:$W$25,0)),IF(B27="Ad_B",INDEX(Survey!$I$2:$I$25,MATCH(A27,Survey!$W$2:$W$25,0)),""))</f>
        <v/>
      </c>
      <c r="N27">
        <f>IF(B27="Ad_A",INDEX(Survey!$X$2:$X$25,MATCH(A27,Survey!$W$2:$W$25,0)),IF(B27="Ad_B",INDEX(Survey!$Y$2:$Y$25,MATCH(A27,Survey!$W$2:$W$25,0)),""))</f>
        <v/>
      </c>
    </row>
    <row r="28">
      <c r="A28" s="7" t="inlineStr">
        <is>
          <t>P09</t>
        </is>
      </c>
      <c r="B28" s="7" t="inlineStr">
        <is>
          <t>Ad_B</t>
        </is>
      </c>
      <c r="C28">
        <f>A28&amp;"|Stimulus|"&amp;B28&amp;"|"&amp;B28</f>
        <v/>
      </c>
      <c r="D28">
        <f>INDEX(GSR_Import!$N$2:$N$171,MATCH(C28,GSR_Import!$S$2:$S$171,0))</f>
        <v/>
      </c>
      <c r="E28">
        <f>INDEX(GSR_Import!$U$2:$U$171,MATCH(C28,GSR_Import!$S$2:$S$171,0))</f>
        <v/>
      </c>
      <c r="F28">
        <f>IF(E28=1,D28,"")</f>
        <v/>
      </c>
      <c r="G28">
        <f>A28&amp;"|"&amp;B28</f>
        <v/>
      </c>
      <c r="H28">
        <f>INDEX(DataQuality!$D$2:$D$123,MATCH(G28,DataQuality!$L$2:$L$123,0))</f>
        <v/>
      </c>
      <c r="I28">
        <f>INDEX(DataQuality!$F$2:$F$123,MATCH(G28,DataQuality!$L$2:$L$123,0))</f>
        <v/>
      </c>
      <c r="J28">
        <f>MIN(INDEX(DataQuality!$D$2:$D$123,MATCH(A28&amp;"|Ad_A",DataQuality!$L$2:$L$123,0)),INDEX(DataQuality!$D$2:$D$123,MATCH(A28&amp;"|Ad_B",DataQuality!$L$2:$L$123,0)))</f>
        <v/>
      </c>
      <c r="K28">
        <f>MIN(INDEX(DataQuality!$F$2:$F$123,MATCH(A28&amp;"|Ad_A",DataQuality!$L$2:$L$123,0)),INDEX(DataQuality!$F$2:$F$123,MATCH(A28&amp;"|Ad_B",DataQuality!$L$2:$L$123,0)))</f>
        <v/>
      </c>
      <c r="L28">
        <f>IF(AND(J28&gt;=90,K28&gt;=80),1,0)</f>
        <v/>
      </c>
      <c r="M28">
        <f>IF(B28="Ad_A",INDEX(Survey!$G$2:$G$25,MATCH(A28,Survey!$W$2:$W$25,0)),IF(B28="Ad_B",INDEX(Survey!$I$2:$I$25,MATCH(A28,Survey!$W$2:$W$25,0)),""))</f>
        <v/>
      </c>
      <c r="N28">
        <f>IF(B28="Ad_A",INDEX(Survey!$X$2:$X$25,MATCH(A28,Survey!$W$2:$W$25,0)),IF(B28="Ad_B",INDEX(Survey!$Y$2:$Y$25,MATCH(A28,Survey!$W$2:$W$25,0)),""))</f>
        <v/>
      </c>
    </row>
    <row r="29">
      <c r="A29" s="7" t="inlineStr">
        <is>
          <t>P10</t>
        </is>
      </c>
      <c r="B29" s="7" t="inlineStr">
        <is>
          <t>Baseline</t>
        </is>
      </c>
      <c r="C29">
        <f>A29&amp;"|Stimulus|"&amp;B29&amp;"|"&amp;B29</f>
        <v/>
      </c>
      <c r="D29">
        <f>INDEX(GSR_Import!$N$2:$N$171,MATCH(C29,GSR_Import!$S$2:$S$171,0))</f>
        <v/>
      </c>
      <c r="E29">
        <f>INDEX(GSR_Import!$U$2:$U$171,MATCH(C29,GSR_Import!$S$2:$S$171,0))</f>
        <v/>
      </c>
      <c r="F29">
        <f>IF(E29=1,D29,"")</f>
        <v/>
      </c>
      <c r="G29">
        <f>A29&amp;"|"&amp;B29</f>
        <v/>
      </c>
      <c r="H29">
        <f>INDEX(DataQuality!$D$2:$D$123,MATCH(G29,DataQuality!$L$2:$L$123,0))</f>
        <v/>
      </c>
      <c r="I29">
        <f>INDEX(DataQuality!$F$2:$F$123,MATCH(G29,DataQuality!$L$2:$L$123,0))</f>
        <v/>
      </c>
      <c r="J29">
        <f>MIN(INDEX(DataQuality!$D$2:$D$123,MATCH(A29&amp;"|Ad_A",DataQuality!$L$2:$L$123,0)),INDEX(DataQuality!$D$2:$D$123,MATCH(A29&amp;"|Ad_B",DataQuality!$L$2:$L$123,0)))</f>
        <v/>
      </c>
      <c r="K29">
        <f>MIN(INDEX(DataQuality!$F$2:$F$123,MATCH(A29&amp;"|Ad_A",DataQuality!$L$2:$L$123,0)),INDEX(DataQuality!$F$2:$F$123,MATCH(A29&amp;"|Ad_B",DataQuality!$L$2:$L$123,0)))</f>
        <v/>
      </c>
      <c r="L29">
        <f>IF(AND(J29&gt;=90,K29&gt;=80),1,0)</f>
        <v/>
      </c>
      <c r="M29">
        <f>IF(B29="Ad_A",INDEX(Survey!$G$2:$G$25,MATCH(A29,Survey!$W$2:$W$25,0)),IF(B29="Ad_B",INDEX(Survey!$I$2:$I$25,MATCH(A29,Survey!$W$2:$W$25,0)),""))</f>
        <v/>
      </c>
      <c r="N29">
        <f>IF(B29="Ad_A",INDEX(Survey!$X$2:$X$25,MATCH(A29,Survey!$W$2:$W$25,0)),IF(B29="Ad_B",INDEX(Survey!$Y$2:$Y$25,MATCH(A29,Survey!$W$2:$W$25,0)),""))</f>
        <v/>
      </c>
    </row>
    <row r="30">
      <c r="A30" s="7" t="inlineStr">
        <is>
          <t>P10</t>
        </is>
      </c>
      <c r="B30" s="7" t="inlineStr">
        <is>
          <t>Ad_A</t>
        </is>
      </c>
      <c r="C30">
        <f>A30&amp;"|Stimulus|"&amp;B30&amp;"|"&amp;B30</f>
        <v/>
      </c>
      <c r="D30">
        <f>INDEX(GSR_Import!$N$2:$N$171,MATCH(C30,GSR_Import!$S$2:$S$171,0))</f>
        <v/>
      </c>
      <c r="E30">
        <f>INDEX(GSR_Import!$U$2:$U$171,MATCH(C30,GSR_Import!$S$2:$S$171,0))</f>
        <v/>
      </c>
      <c r="F30">
        <f>IF(E30=1,D30,"")</f>
        <v/>
      </c>
      <c r="G30">
        <f>A30&amp;"|"&amp;B30</f>
        <v/>
      </c>
      <c r="H30">
        <f>INDEX(DataQuality!$D$2:$D$123,MATCH(G30,DataQuality!$L$2:$L$123,0))</f>
        <v/>
      </c>
      <c r="I30">
        <f>INDEX(DataQuality!$F$2:$F$123,MATCH(G30,DataQuality!$L$2:$L$123,0))</f>
        <v/>
      </c>
      <c r="J30">
        <f>MIN(INDEX(DataQuality!$D$2:$D$123,MATCH(A30&amp;"|Ad_A",DataQuality!$L$2:$L$123,0)),INDEX(DataQuality!$D$2:$D$123,MATCH(A30&amp;"|Ad_B",DataQuality!$L$2:$L$123,0)))</f>
        <v/>
      </c>
      <c r="K30">
        <f>MIN(INDEX(DataQuality!$F$2:$F$123,MATCH(A30&amp;"|Ad_A",DataQuality!$L$2:$L$123,0)),INDEX(DataQuality!$F$2:$F$123,MATCH(A30&amp;"|Ad_B",DataQuality!$L$2:$L$123,0)))</f>
        <v/>
      </c>
      <c r="L30">
        <f>IF(AND(J30&gt;=90,K30&gt;=80),1,0)</f>
        <v/>
      </c>
      <c r="M30">
        <f>IF(B30="Ad_A",INDEX(Survey!$G$2:$G$25,MATCH(A30,Survey!$W$2:$W$25,0)),IF(B30="Ad_B",INDEX(Survey!$I$2:$I$25,MATCH(A30,Survey!$W$2:$W$25,0)),""))</f>
        <v/>
      </c>
      <c r="N30">
        <f>IF(B30="Ad_A",INDEX(Survey!$X$2:$X$25,MATCH(A30,Survey!$W$2:$W$25,0)),IF(B30="Ad_B",INDEX(Survey!$Y$2:$Y$25,MATCH(A30,Survey!$W$2:$W$25,0)),""))</f>
        <v/>
      </c>
    </row>
    <row r="31">
      <c r="A31" s="7" t="inlineStr">
        <is>
          <t>P10</t>
        </is>
      </c>
      <c r="B31" s="7" t="inlineStr">
        <is>
          <t>Ad_B</t>
        </is>
      </c>
      <c r="C31">
        <f>A31&amp;"|Stimulus|"&amp;B31&amp;"|"&amp;B31</f>
        <v/>
      </c>
      <c r="D31">
        <f>INDEX(GSR_Import!$N$2:$N$171,MATCH(C31,GSR_Import!$S$2:$S$171,0))</f>
        <v/>
      </c>
      <c r="E31">
        <f>INDEX(GSR_Import!$U$2:$U$171,MATCH(C31,GSR_Import!$S$2:$S$171,0))</f>
        <v/>
      </c>
      <c r="F31">
        <f>IF(E31=1,D31,"")</f>
        <v/>
      </c>
      <c r="G31">
        <f>A31&amp;"|"&amp;B31</f>
        <v/>
      </c>
      <c r="H31">
        <f>INDEX(DataQuality!$D$2:$D$123,MATCH(G31,DataQuality!$L$2:$L$123,0))</f>
        <v/>
      </c>
      <c r="I31">
        <f>INDEX(DataQuality!$F$2:$F$123,MATCH(G31,DataQuality!$L$2:$L$123,0))</f>
        <v/>
      </c>
      <c r="J31">
        <f>MIN(INDEX(DataQuality!$D$2:$D$123,MATCH(A31&amp;"|Ad_A",DataQuality!$L$2:$L$123,0)),INDEX(DataQuality!$D$2:$D$123,MATCH(A31&amp;"|Ad_B",DataQuality!$L$2:$L$123,0)))</f>
        <v/>
      </c>
      <c r="K31">
        <f>MIN(INDEX(DataQuality!$F$2:$F$123,MATCH(A31&amp;"|Ad_A",DataQuality!$L$2:$L$123,0)),INDEX(DataQuality!$F$2:$F$123,MATCH(A31&amp;"|Ad_B",DataQuality!$L$2:$L$123,0)))</f>
        <v/>
      </c>
      <c r="L31">
        <f>IF(AND(J31&gt;=90,K31&gt;=80),1,0)</f>
        <v/>
      </c>
      <c r="M31">
        <f>IF(B31="Ad_A",INDEX(Survey!$G$2:$G$25,MATCH(A31,Survey!$W$2:$W$25,0)),IF(B31="Ad_B",INDEX(Survey!$I$2:$I$25,MATCH(A31,Survey!$W$2:$W$25,0)),""))</f>
        <v/>
      </c>
      <c r="N31">
        <f>IF(B31="Ad_A",INDEX(Survey!$X$2:$X$25,MATCH(A31,Survey!$W$2:$W$25,0)),IF(B31="Ad_B",INDEX(Survey!$Y$2:$Y$25,MATCH(A31,Survey!$W$2:$W$25,0)),""))</f>
        <v/>
      </c>
    </row>
    <row r="32">
      <c r="A32" s="7" t="inlineStr">
        <is>
          <t>P11</t>
        </is>
      </c>
      <c r="B32" s="7" t="inlineStr">
        <is>
          <t>Baseline</t>
        </is>
      </c>
      <c r="C32">
        <f>A32&amp;"|Stimulus|"&amp;B32&amp;"|"&amp;B32</f>
        <v/>
      </c>
      <c r="D32">
        <f>INDEX(GSR_Import!$N$2:$N$171,MATCH(C32,GSR_Import!$S$2:$S$171,0))</f>
        <v/>
      </c>
      <c r="E32">
        <f>INDEX(GSR_Import!$U$2:$U$171,MATCH(C32,GSR_Import!$S$2:$S$171,0))</f>
        <v/>
      </c>
      <c r="F32">
        <f>IF(E32=1,D32,"")</f>
        <v/>
      </c>
      <c r="G32">
        <f>A32&amp;"|"&amp;B32</f>
        <v/>
      </c>
      <c r="H32">
        <f>INDEX(DataQuality!$D$2:$D$123,MATCH(G32,DataQuality!$L$2:$L$123,0))</f>
        <v/>
      </c>
      <c r="I32">
        <f>INDEX(DataQuality!$F$2:$F$123,MATCH(G32,DataQuality!$L$2:$L$123,0))</f>
        <v/>
      </c>
      <c r="J32">
        <f>MIN(INDEX(DataQuality!$D$2:$D$123,MATCH(A32&amp;"|Ad_A",DataQuality!$L$2:$L$123,0)),INDEX(DataQuality!$D$2:$D$123,MATCH(A32&amp;"|Ad_B",DataQuality!$L$2:$L$123,0)))</f>
        <v/>
      </c>
      <c r="K32">
        <f>MIN(INDEX(DataQuality!$F$2:$F$123,MATCH(A32&amp;"|Ad_A",DataQuality!$L$2:$L$123,0)),INDEX(DataQuality!$F$2:$F$123,MATCH(A32&amp;"|Ad_B",DataQuality!$L$2:$L$123,0)))</f>
        <v/>
      </c>
      <c r="L32">
        <f>IF(AND(J32&gt;=90,K32&gt;=80),1,0)</f>
        <v/>
      </c>
      <c r="M32">
        <f>IF(B32="Ad_A",INDEX(Survey!$G$2:$G$25,MATCH(A32,Survey!$W$2:$W$25,0)),IF(B32="Ad_B",INDEX(Survey!$I$2:$I$25,MATCH(A32,Survey!$W$2:$W$25,0)),""))</f>
        <v/>
      </c>
      <c r="N32">
        <f>IF(B32="Ad_A",INDEX(Survey!$X$2:$X$25,MATCH(A32,Survey!$W$2:$W$25,0)),IF(B32="Ad_B",INDEX(Survey!$Y$2:$Y$25,MATCH(A32,Survey!$W$2:$W$25,0)),""))</f>
        <v/>
      </c>
    </row>
    <row r="33">
      <c r="A33" s="7" t="inlineStr">
        <is>
          <t>P11</t>
        </is>
      </c>
      <c r="B33" s="7" t="inlineStr">
        <is>
          <t>Ad_A</t>
        </is>
      </c>
      <c r="C33">
        <f>A33&amp;"|Stimulus|"&amp;B33&amp;"|"&amp;B33</f>
        <v/>
      </c>
      <c r="D33">
        <f>INDEX(GSR_Import!$N$2:$N$171,MATCH(C33,GSR_Import!$S$2:$S$171,0))</f>
        <v/>
      </c>
      <c r="E33">
        <f>INDEX(GSR_Import!$U$2:$U$171,MATCH(C33,GSR_Import!$S$2:$S$171,0))</f>
        <v/>
      </c>
      <c r="F33">
        <f>IF(E33=1,D33,"")</f>
        <v/>
      </c>
      <c r="G33">
        <f>A33&amp;"|"&amp;B33</f>
        <v/>
      </c>
      <c r="H33">
        <f>INDEX(DataQuality!$D$2:$D$123,MATCH(G33,DataQuality!$L$2:$L$123,0))</f>
        <v/>
      </c>
      <c r="I33">
        <f>INDEX(DataQuality!$F$2:$F$123,MATCH(G33,DataQuality!$L$2:$L$123,0))</f>
        <v/>
      </c>
      <c r="J33">
        <f>MIN(INDEX(DataQuality!$D$2:$D$123,MATCH(A33&amp;"|Ad_A",DataQuality!$L$2:$L$123,0)),INDEX(DataQuality!$D$2:$D$123,MATCH(A33&amp;"|Ad_B",DataQuality!$L$2:$L$123,0)))</f>
        <v/>
      </c>
      <c r="K33">
        <f>MIN(INDEX(DataQuality!$F$2:$F$123,MATCH(A33&amp;"|Ad_A",DataQuality!$L$2:$L$123,0)),INDEX(DataQuality!$F$2:$F$123,MATCH(A33&amp;"|Ad_B",DataQuality!$L$2:$L$123,0)))</f>
        <v/>
      </c>
      <c r="L33">
        <f>IF(AND(J33&gt;=90,K33&gt;=80),1,0)</f>
        <v/>
      </c>
      <c r="M33">
        <f>IF(B33="Ad_A",INDEX(Survey!$G$2:$G$25,MATCH(A33,Survey!$W$2:$W$25,0)),IF(B33="Ad_B",INDEX(Survey!$I$2:$I$25,MATCH(A33,Survey!$W$2:$W$25,0)),""))</f>
        <v/>
      </c>
      <c r="N33">
        <f>IF(B33="Ad_A",INDEX(Survey!$X$2:$X$25,MATCH(A33,Survey!$W$2:$W$25,0)),IF(B33="Ad_B",INDEX(Survey!$Y$2:$Y$25,MATCH(A33,Survey!$W$2:$W$25,0)),""))</f>
        <v/>
      </c>
    </row>
    <row r="34">
      <c r="A34" s="7" t="inlineStr">
        <is>
          <t>P11</t>
        </is>
      </c>
      <c r="B34" s="7" t="inlineStr">
        <is>
          <t>Ad_B</t>
        </is>
      </c>
      <c r="C34">
        <f>A34&amp;"|Stimulus|"&amp;B34&amp;"|"&amp;B34</f>
        <v/>
      </c>
      <c r="D34">
        <f>INDEX(GSR_Import!$N$2:$N$171,MATCH(C34,GSR_Import!$S$2:$S$171,0))</f>
        <v/>
      </c>
      <c r="E34">
        <f>INDEX(GSR_Import!$U$2:$U$171,MATCH(C34,GSR_Import!$S$2:$S$171,0))</f>
        <v/>
      </c>
      <c r="F34">
        <f>IF(E34=1,D34,"")</f>
        <v/>
      </c>
      <c r="G34">
        <f>A34&amp;"|"&amp;B34</f>
        <v/>
      </c>
      <c r="H34">
        <f>INDEX(DataQuality!$D$2:$D$123,MATCH(G34,DataQuality!$L$2:$L$123,0))</f>
        <v/>
      </c>
      <c r="I34">
        <f>INDEX(DataQuality!$F$2:$F$123,MATCH(G34,DataQuality!$L$2:$L$123,0))</f>
        <v/>
      </c>
      <c r="J34">
        <f>MIN(INDEX(DataQuality!$D$2:$D$123,MATCH(A34&amp;"|Ad_A",DataQuality!$L$2:$L$123,0)),INDEX(DataQuality!$D$2:$D$123,MATCH(A34&amp;"|Ad_B",DataQuality!$L$2:$L$123,0)))</f>
        <v/>
      </c>
      <c r="K34">
        <f>MIN(INDEX(DataQuality!$F$2:$F$123,MATCH(A34&amp;"|Ad_A",DataQuality!$L$2:$L$123,0)),INDEX(DataQuality!$F$2:$F$123,MATCH(A34&amp;"|Ad_B",DataQuality!$L$2:$L$123,0)))</f>
        <v/>
      </c>
      <c r="L34">
        <f>IF(AND(J34&gt;=90,K34&gt;=80),1,0)</f>
        <v/>
      </c>
      <c r="M34">
        <f>IF(B34="Ad_A",INDEX(Survey!$G$2:$G$25,MATCH(A34,Survey!$W$2:$W$25,0)),IF(B34="Ad_B",INDEX(Survey!$I$2:$I$25,MATCH(A34,Survey!$W$2:$W$25,0)),""))</f>
        <v/>
      </c>
      <c r="N34">
        <f>IF(B34="Ad_A",INDEX(Survey!$X$2:$X$25,MATCH(A34,Survey!$W$2:$W$25,0)),IF(B34="Ad_B",INDEX(Survey!$Y$2:$Y$25,MATCH(A34,Survey!$W$2:$W$25,0)),""))</f>
        <v/>
      </c>
    </row>
    <row r="35">
      <c r="A35" s="7" t="inlineStr">
        <is>
          <t>P12</t>
        </is>
      </c>
      <c r="B35" s="7" t="inlineStr">
        <is>
          <t>Baseline</t>
        </is>
      </c>
      <c r="C35">
        <f>A35&amp;"|Stimulus|"&amp;B35&amp;"|"&amp;B35</f>
        <v/>
      </c>
      <c r="D35">
        <f>INDEX(GSR_Import!$N$2:$N$171,MATCH(C35,GSR_Import!$S$2:$S$171,0))</f>
        <v/>
      </c>
      <c r="E35">
        <f>INDEX(GSR_Import!$U$2:$U$171,MATCH(C35,GSR_Import!$S$2:$S$171,0))</f>
        <v/>
      </c>
      <c r="F35">
        <f>IF(E35=1,D35,"")</f>
        <v/>
      </c>
      <c r="G35">
        <f>A35&amp;"|"&amp;B35</f>
        <v/>
      </c>
      <c r="H35">
        <f>INDEX(DataQuality!$D$2:$D$123,MATCH(G35,DataQuality!$L$2:$L$123,0))</f>
        <v/>
      </c>
      <c r="I35">
        <f>INDEX(DataQuality!$F$2:$F$123,MATCH(G35,DataQuality!$L$2:$L$123,0))</f>
        <v/>
      </c>
      <c r="J35">
        <f>MIN(INDEX(DataQuality!$D$2:$D$123,MATCH(A35&amp;"|Ad_A",DataQuality!$L$2:$L$123,0)),INDEX(DataQuality!$D$2:$D$123,MATCH(A35&amp;"|Ad_B",DataQuality!$L$2:$L$123,0)))</f>
        <v/>
      </c>
      <c r="K35">
        <f>MIN(INDEX(DataQuality!$F$2:$F$123,MATCH(A35&amp;"|Ad_A",DataQuality!$L$2:$L$123,0)),INDEX(DataQuality!$F$2:$F$123,MATCH(A35&amp;"|Ad_B",DataQuality!$L$2:$L$123,0)))</f>
        <v/>
      </c>
      <c r="L35">
        <f>IF(AND(J35&gt;=90,K35&gt;=80),1,0)</f>
        <v/>
      </c>
      <c r="M35">
        <f>IF(B35="Ad_A",INDEX(Survey!$G$2:$G$25,MATCH(A35,Survey!$W$2:$W$25,0)),IF(B35="Ad_B",INDEX(Survey!$I$2:$I$25,MATCH(A35,Survey!$W$2:$W$25,0)),""))</f>
        <v/>
      </c>
      <c r="N35">
        <f>IF(B35="Ad_A",INDEX(Survey!$X$2:$X$25,MATCH(A35,Survey!$W$2:$W$25,0)),IF(B35="Ad_B",INDEX(Survey!$Y$2:$Y$25,MATCH(A35,Survey!$W$2:$W$25,0)),""))</f>
        <v/>
      </c>
    </row>
    <row r="36">
      <c r="A36" s="7" t="inlineStr">
        <is>
          <t>P12</t>
        </is>
      </c>
      <c r="B36" s="7" t="inlineStr">
        <is>
          <t>Ad_A</t>
        </is>
      </c>
      <c r="C36">
        <f>A36&amp;"|Stimulus|"&amp;B36&amp;"|"&amp;B36</f>
        <v/>
      </c>
      <c r="D36">
        <f>INDEX(GSR_Import!$N$2:$N$171,MATCH(C36,GSR_Import!$S$2:$S$171,0))</f>
        <v/>
      </c>
      <c r="E36">
        <f>INDEX(GSR_Import!$U$2:$U$171,MATCH(C36,GSR_Import!$S$2:$S$171,0))</f>
        <v/>
      </c>
      <c r="F36">
        <f>IF(E36=1,D36,"")</f>
        <v/>
      </c>
      <c r="G36">
        <f>A36&amp;"|"&amp;B36</f>
        <v/>
      </c>
      <c r="H36">
        <f>INDEX(DataQuality!$D$2:$D$123,MATCH(G36,DataQuality!$L$2:$L$123,0))</f>
        <v/>
      </c>
      <c r="I36">
        <f>INDEX(DataQuality!$F$2:$F$123,MATCH(G36,DataQuality!$L$2:$L$123,0))</f>
        <v/>
      </c>
      <c r="J36">
        <f>MIN(INDEX(DataQuality!$D$2:$D$123,MATCH(A36&amp;"|Ad_A",DataQuality!$L$2:$L$123,0)),INDEX(DataQuality!$D$2:$D$123,MATCH(A36&amp;"|Ad_B",DataQuality!$L$2:$L$123,0)))</f>
        <v/>
      </c>
      <c r="K36">
        <f>MIN(INDEX(DataQuality!$F$2:$F$123,MATCH(A36&amp;"|Ad_A",DataQuality!$L$2:$L$123,0)),INDEX(DataQuality!$F$2:$F$123,MATCH(A36&amp;"|Ad_B",DataQuality!$L$2:$L$123,0)))</f>
        <v/>
      </c>
      <c r="L36">
        <f>IF(AND(J36&gt;=90,K36&gt;=80),1,0)</f>
        <v/>
      </c>
      <c r="M36">
        <f>IF(B36="Ad_A",INDEX(Survey!$G$2:$G$25,MATCH(A36,Survey!$W$2:$W$25,0)),IF(B36="Ad_B",INDEX(Survey!$I$2:$I$25,MATCH(A36,Survey!$W$2:$W$25,0)),""))</f>
        <v/>
      </c>
      <c r="N36">
        <f>IF(B36="Ad_A",INDEX(Survey!$X$2:$X$25,MATCH(A36,Survey!$W$2:$W$25,0)),IF(B36="Ad_B",INDEX(Survey!$Y$2:$Y$25,MATCH(A36,Survey!$W$2:$W$25,0)),""))</f>
        <v/>
      </c>
    </row>
    <row r="37">
      <c r="A37" s="7" t="inlineStr">
        <is>
          <t>P12</t>
        </is>
      </c>
      <c r="B37" s="7" t="inlineStr">
        <is>
          <t>Ad_B</t>
        </is>
      </c>
      <c r="C37">
        <f>A37&amp;"|Stimulus|"&amp;B37&amp;"|"&amp;B37</f>
        <v/>
      </c>
      <c r="D37">
        <f>INDEX(GSR_Import!$N$2:$N$171,MATCH(C37,GSR_Import!$S$2:$S$171,0))</f>
        <v/>
      </c>
      <c r="E37">
        <f>INDEX(GSR_Import!$U$2:$U$171,MATCH(C37,GSR_Import!$S$2:$S$171,0))</f>
        <v/>
      </c>
      <c r="F37">
        <f>IF(E37=1,D37,"")</f>
        <v/>
      </c>
      <c r="G37">
        <f>A37&amp;"|"&amp;B37</f>
        <v/>
      </c>
      <c r="H37">
        <f>INDEX(DataQuality!$D$2:$D$123,MATCH(G37,DataQuality!$L$2:$L$123,0))</f>
        <v/>
      </c>
      <c r="I37">
        <f>INDEX(DataQuality!$F$2:$F$123,MATCH(G37,DataQuality!$L$2:$L$123,0))</f>
        <v/>
      </c>
      <c r="J37">
        <f>MIN(INDEX(DataQuality!$D$2:$D$123,MATCH(A37&amp;"|Ad_A",DataQuality!$L$2:$L$123,0)),INDEX(DataQuality!$D$2:$D$123,MATCH(A37&amp;"|Ad_B",DataQuality!$L$2:$L$123,0)))</f>
        <v/>
      </c>
      <c r="K37">
        <f>MIN(INDEX(DataQuality!$F$2:$F$123,MATCH(A37&amp;"|Ad_A",DataQuality!$L$2:$L$123,0)),INDEX(DataQuality!$F$2:$F$123,MATCH(A37&amp;"|Ad_B",DataQuality!$L$2:$L$123,0)))</f>
        <v/>
      </c>
      <c r="L37">
        <f>IF(AND(J37&gt;=90,K37&gt;=80),1,0)</f>
        <v/>
      </c>
      <c r="M37">
        <f>IF(B37="Ad_A",INDEX(Survey!$G$2:$G$25,MATCH(A37,Survey!$W$2:$W$25,0)),IF(B37="Ad_B",INDEX(Survey!$I$2:$I$25,MATCH(A37,Survey!$W$2:$W$25,0)),""))</f>
        <v/>
      </c>
      <c r="N37">
        <f>IF(B37="Ad_A",INDEX(Survey!$X$2:$X$25,MATCH(A37,Survey!$W$2:$W$25,0)),IF(B37="Ad_B",INDEX(Survey!$Y$2:$Y$25,MATCH(A37,Survey!$W$2:$W$25,0)),""))</f>
        <v/>
      </c>
    </row>
    <row r="38">
      <c r="A38" s="7" t="inlineStr">
        <is>
          <t>P13</t>
        </is>
      </c>
      <c r="B38" s="7" t="inlineStr">
        <is>
          <t>Baseline</t>
        </is>
      </c>
      <c r="C38">
        <f>A38&amp;"|Stimulus|"&amp;B38&amp;"|"&amp;B38</f>
        <v/>
      </c>
      <c r="D38">
        <f>INDEX(GSR_Import!$N$2:$N$171,MATCH(C38,GSR_Import!$S$2:$S$171,0))</f>
        <v/>
      </c>
      <c r="E38">
        <f>INDEX(GSR_Import!$U$2:$U$171,MATCH(C38,GSR_Import!$S$2:$S$171,0))</f>
        <v/>
      </c>
      <c r="F38">
        <f>IF(E38=1,D38,"")</f>
        <v/>
      </c>
      <c r="G38">
        <f>A38&amp;"|"&amp;B38</f>
        <v/>
      </c>
      <c r="H38">
        <f>INDEX(DataQuality!$D$2:$D$123,MATCH(G38,DataQuality!$L$2:$L$123,0))</f>
        <v/>
      </c>
      <c r="I38">
        <f>INDEX(DataQuality!$F$2:$F$123,MATCH(G38,DataQuality!$L$2:$L$123,0))</f>
        <v/>
      </c>
      <c r="J38">
        <f>MIN(INDEX(DataQuality!$D$2:$D$123,MATCH(A38&amp;"|Ad_A",DataQuality!$L$2:$L$123,0)),INDEX(DataQuality!$D$2:$D$123,MATCH(A38&amp;"|Ad_B",DataQuality!$L$2:$L$123,0)))</f>
        <v/>
      </c>
      <c r="K38">
        <f>MIN(INDEX(DataQuality!$F$2:$F$123,MATCH(A38&amp;"|Ad_A",DataQuality!$L$2:$L$123,0)),INDEX(DataQuality!$F$2:$F$123,MATCH(A38&amp;"|Ad_B",DataQuality!$L$2:$L$123,0)))</f>
        <v/>
      </c>
      <c r="L38">
        <f>IF(AND(J38&gt;=90,K38&gt;=80),1,0)</f>
        <v/>
      </c>
      <c r="M38">
        <f>IF(B38="Ad_A",INDEX(Survey!$G$2:$G$25,MATCH(A38,Survey!$W$2:$W$25,0)),IF(B38="Ad_B",INDEX(Survey!$I$2:$I$25,MATCH(A38,Survey!$W$2:$W$25,0)),""))</f>
        <v/>
      </c>
      <c r="N38">
        <f>IF(B38="Ad_A",INDEX(Survey!$X$2:$X$25,MATCH(A38,Survey!$W$2:$W$25,0)),IF(B38="Ad_B",INDEX(Survey!$Y$2:$Y$25,MATCH(A38,Survey!$W$2:$W$25,0)),""))</f>
        <v/>
      </c>
    </row>
    <row r="39">
      <c r="A39" s="7" t="inlineStr">
        <is>
          <t>P13</t>
        </is>
      </c>
      <c r="B39" s="7" t="inlineStr">
        <is>
          <t>Ad_A</t>
        </is>
      </c>
      <c r="C39">
        <f>A39&amp;"|Stimulus|"&amp;B39&amp;"|"&amp;B39</f>
        <v/>
      </c>
      <c r="D39">
        <f>INDEX(GSR_Import!$N$2:$N$171,MATCH(C39,GSR_Import!$S$2:$S$171,0))</f>
        <v/>
      </c>
      <c r="E39">
        <f>INDEX(GSR_Import!$U$2:$U$171,MATCH(C39,GSR_Import!$S$2:$S$171,0))</f>
        <v/>
      </c>
      <c r="F39">
        <f>IF(E39=1,D39,"")</f>
        <v/>
      </c>
      <c r="G39">
        <f>A39&amp;"|"&amp;B39</f>
        <v/>
      </c>
      <c r="H39">
        <f>INDEX(DataQuality!$D$2:$D$123,MATCH(G39,DataQuality!$L$2:$L$123,0))</f>
        <v/>
      </c>
      <c r="I39">
        <f>INDEX(DataQuality!$F$2:$F$123,MATCH(G39,DataQuality!$L$2:$L$123,0))</f>
        <v/>
      </c>
      <c r="J39">
        <f>MIN(INDEX(DataQuality!$D$2:$D$123,MATCH(A39&amp;"|Ad_A",DataQuality!$L$2:$L$123,0)),INDEX(DataQuality!$D$2:$D$123,MATCH(A39&amp;"|Ad_B",DataQuality!$L$2:$L$123,0)))</f>
        <v/>
      </c>
      <c r="K39">
        <f>MIN(INDEX(DataQuality!$F$2:$F$123,MATCH(A39&amp;"|Ad_A",DataQuality!$L$2:$L$123,0)),INDEX(DataQuality!$F$2:$F$123,MATCH(A39&amp;"|Ad_B",DataQuality!$L$2:$L$123,0)))</f>
        <v/>
      </c>
      <c r="L39">
        <f>IF(AND(J39&gt;=90,K39&gt;=80),1,0)</f>
        <v/>
      </c>
      <c r="M39">
        <f>IF(B39="Ad_A",INDEX(Survey!$G$2:$G$25,MATCH(A39,Survey!$W$2:$W$25,0)),IF(B39="Ad_B",INDEX(Survey!$I$2:$I$25,MATCH(A39,Survey!$W$2:$W$25,0)),""))</f>
        <v/>
      </c>
      <c r="N39">
        <f>IF(B39="Ad_A",INDEX(Survey!$X$2:$X$25,MATCH(A39,Survey!$W$2:$W$25,0)),IF(B39="Ad_B",INDEX(Survey!$Y$2:$Y$25,MATCH(A39,Survey!$W$2:$W$25,0)),""))</f>
        <v/>
      </c>
    </row>
    <row r="40">
      <c r="A40" s="7" t="inlineStr">
        <is>
          <t>P13</t>
        </is>
      </c>
      <c r="B40" s="7" t="inlineStr">
        <is>
          <t>Ad_B</t>
        </is>
      </c>
      <c r="C40">
        <f>A40&amp;"|Stimulus|"&amp;B40&amp;"|"&amp;B40</f>
        <v/>
      </c>
      <c r="D40">
        <f>INDEX(GSR_Import!$N$2:$N$171,MATCH(C40,GSR_Import!$S$2:$S$171,0))</f>
        <v/>
      </c>
      <c r="E40">
        <f>INDEX(GSR_Import!$U$2:$U$171,MATCH(C40,GSR_Import!$S$2:$S$171,0))</f>
        <v/>
      </c>
      <c r="F40">
        <f>IF(E40=1,D40,"")</f>
        <v/>
      </c>
      <c r="G40">
        <f>A40&amp;"|"&amp;B40</f>
        <v/>
      </c>
      <c r="H40">
        <f>INDEX(DataQuality!$D$2:$D$123,MATCH(G40,DataQuality!$L$2:$L$123,0))</f>
        <v/>
      </c>
      <c r="I40">
        <f>INDEX(DataQuality!$F$2:$F$123,MATCH(G40,DataQuality!$L$2:$L$123,0))</f>
        <v/>
      </c>
      <c r="J40">
        <f>MIN(INDEX(DataQuality!$D$2:$D$123,MATCH(A40&amp;"|Ad_A",DataQuality!$L$2:$L$123,0)),INDEX(DataQuality!$D$2:$D$123,MATCH(A40&amp;"|Ad_B",DataQuality!$L$2:$L$123,0)))</f>
        <v/>
      </c>
      <c r="K40">
        <f>MIN(INDEX(DataQuality!$F$2:$F$123,MATCH(A40&amp;"|Ad_A",DataQuality!$L$2:$L$123,0)),INDEX(DataQuality!$F$2:$F$123,MATCH(A40&amp;"|Ad_B",DataQuality!$L$2:$L$123,0)))</f>
        <v/>
      </c>
      <c r="L40">
        <f>IF(AND(J40&gt;=90,K40&gt;=80),1,0)</f>
        <v/>
      </c>
      <c r="M40">
        <f>IF(B40="Ad_A",INDEX(Survey!$G$2:$G$25,MATCH(A40,Survey!$W$2:$W$25,0)),IF(B40="Ad_B",INDEX(Survey!$I$2:$I$25,MATCH(A40,Survey!$W$2:$W$25,0)),""))</f>
        <v/>
      </c>
      <c r="N40">
        <f>IF(B40="Ad_A",INDEX(Survey!$X$2:$X$25,MATCH(A40,Survey!$W$2:$W$25,0)),IF(B40="Ad_B",INDEX(Survey!$Y$2:$Y$25,MATCH(A40,Survey!$W$2:$W$25,0)),""))</f>
        <v/>
      </c>
    </row>
    <row r="41">
      <c r="A41" s="7" t="inlineStr">
        <is>
          <t>P14</t>
        </is>
      </c>
      <c r="B41" s="7" t="inlineStr">
        <is>
          <t>Baseline</t>
        </is>
      </c>
      <c r="C41">
        <f>A41&amp;"|Stimulus|"&amp;B41&amp;"|"&amp;B41</f>
        <v/>
      </c>
      <c r="D41">
        <f>INDEX(GSR_Import!$N$2:$N$171,MATCH(C41,GSR_Import!$S$2:$S$171,0))</f>
        <v/>
      </c>
      <c r="E41">
        <f>INDEX(GSR_Import!$U$2:$U$171,MATCH(C41,GSR_Import!$S$2:$S$171,0))</f>
        <v/>
      </c>
      <c r="F41">
        <f>IF(E41=1,D41,"")</f>
        <v/>
      </c>
      <c r="G41">
        <f>A41&amp;"|"&amp;B41</f>
        <v/>
      </c>
      <c r="H41">
        <f>INDEX(DataQuality!$D$2:$D$123,MATCH(G41,DataQuality!$L$2:$L$123,0))</f>
        <v/>
      </c>
      <c r="I41">
        <f>INDEX(DataQuality!$F$2:$F$123,MATCH(G41,DataQuality!$L$2:$L$123,0))</f>
        <v/>
      </c>
      <c r="J41">
        <f>MIN(INDEX(DataQuality!$D$2:$D$123,MATCH(A41&amp;"|Ad_A",DataQuality!$L$2:$L$123,0)),INDEX(DataQuality!$D$2:$D$123,MATCH(A41&amp;"|Ad_B",DataQuality!$L$2:$L$123,0)))</f>
        <v/>
      </c>
      <c r="K41">
        <f>MIN(INDEX(DataQuality!$F$2:$F$123,MATCH(A41&amp;"|Ad_A",DataQuality!$L$2:$L$123,0)),INDEX(DataQuality!$F$2:$F$123,MATCH(A41&amp;"|Ad_B",DataQuality!$L$2:$L$123,0)))</f>
        <v/>
      </c>
      <c r="L41">
        <f>IF(AND(J41&gt;=90,K41&gt;=80),1,0)</f>
        <v/>
      </c>
      <c r="M41">
        <f>IF(B41="Ad_A",INDEX(Survey!$G$2:$G$25,MATCH(A41,Survey!$W$2:$W$25,0)),IF(B41="Ad_B",INDEX(Survey!$I$2:$I$25,MATCH(A41,Survey!$W$2:$W$25,0)),""))</f>
        <v/>
      </c>
      <c r="N41">
        <f>IF(B41="Ad_A",INDEX(Survey!$X$2:$X$25,MATCH(A41,Survey!$W$2:$W$25,0)),IF(B41="Ad_B",INDEX(Survey!$Y$2:$Y$25,MATCH(A41,Survey!$W$2:$W$25,0)),""))</f>
        <v/>
      </c>
    </row>
    <row r="42">
      <c r="A42" s="7" t="inlineStr">
        <is>
          <t>P14</t>
        </is>
      </c>
      <c r="B42" s="7" t="inlineStr">
        <is>
          <t>Ad_A</t>
        </is>
      </c>
      <c r="C42">
        <f>A42&amp;"|Stimulus|"&amp;B42&amp;"|"&amp;B42</f>
        <v/>
      </c>
      <c r="D42">
        <f>INDEX(GSR_Import!$N$2:$N$171,MATCH(C42,GSR_Import!$S$2:$S$171,0))</f>
        <v/>
      </c>
      <c r="E42">
        <f>INDEX(GSR_Import!$U$2:$U$171,MATCH(C42,GSR_Import!$S$2:$S$171,0))</f>
        <v/>
      </c>
      <c r="F42">
        <f>IF(E42=1,D42,"")</f>
        <v/>
      </c>
      <c r="G42">
        <f>A42&amp;"|"&amp;B42</f>
        <v/>
      </c>
      <c r="H42">
        <f>INDEX(DataQuality!$D$2:$D$123,MATCH(G42,DataQuality!$L$2:$L$123,0))</f>
        <v/>
      </c>
      <c r="I42">
        <f>INDEX(DataQuality!$F$2:$F$123,MATCH(G42,DataQuality!$L$2:$L$123,0))</f>
        <v/>
      </c>
      <c r="J42">
        <f>MIN(INDEX(DataQuality!$D$2:$D$123,MATCH(A42&amp;"|Ad_A",DataQuality!$L$2:$L$123,0)),INDEX(DataQuality!$D$2:$D$123,MATCH(A42&amp;"|Ad_B",DataQuality!$L$2:$L$123,0)))</f>
        <v/>
      </c>
      <c r="K42">
        <f>MIN(INDEX(DataQuality!$F$2:$F$123,MATCH(A42&amp;"|Ad_A",DataQuality!$L$2:$L$123,0)),INDEX(DataQuality!$F$2:$F$123,MATCH(A42&amp;"|Ad_B",DataQuality!$L$2:$L$123,0)))</f>
        <v/>
      </c>
      <c r="L42">
        <f>IF(AND(J42&gt;=90,K42&gt;=80),1,0)</f>
        <v/>
      </c>
      <c r="M42">
        <f>IF(B42="Ad_A",INDEX(Survey!$G$2:$G$25,MATCH(A42,Survey!$W$2:$W$25,0)),IF(B42="Ad_B",INDEX(Survey!$I$2:$I$25,MATCH(A42,Survey!$W$2:$W$25,0)),""))</f>
        <v/>
      </c>
      <c r="N42">
        <f>IF(B42="Ad_A",INDEX(Survey!$X$2:$X$25,MATCH(A42,Survey!$W$2:$W$25,0)),IF(B42="Ad_B",INDEX(Survey!$Y$2:$Y$25,MATCH(A42,Survey!$W$2:$W$25,0)),""))</f>
        <v/>
      </c>
    </row>
    <row r="43">
      <c r="A43" s="7" t="inlineStr">
        <is>
          <t>P14</t>
        </is>
      </c>
      <c r="B43" s="7" t="inlineStr">
        <is>
          <t>Ad_B</t>
        </is>
      </c>
      <c r="C43">
        <f>A43&amp;"|Stimulus|"&amp;B43&amp;"|"&amp;B43</f>
        <v/>
      </c>
      <c r="D43">
        <f>INDEX(GSR_Import!$N$2:$N$171,MATCH(C43,GSR_Import!$S$2:$S$171,0))</f>
        <v/>
      </c>
      <c r="E43">
        <f>INDEX(GSR_Import!$U$2:$U$171,MATCH(C43,GSR_Import!$S$2:$S$171,0))</f>
        <v/>
      </c>
      <c r="F43">
        <f>IF(E43=1,D43,"")</f>
        <v/>
      </c>
      <c r="G43">
        <f>A43&amp;"|"&amp;B43</f>
        <v/>
      </c>
      <c r="H43">
        <f>INDEX(DataQuality!$D$2:$D$123,MATCH(G43,DataQuality!$L$2:$L$123,0))</f>
        <v/>
      </c>
      <c r="I43">
        <f>INDEX(DataQuality!$F$2:$F$123,MATCH(G43,DataQuality!$L$2:$L$123,0))</f>
        <v/>
      </c>
      <c r="J43">
        <f>MIN(INDEX(DataQuality!$D$2:$D$123,MATCH(A43&amp;"|Ad_A",DataQuality!$L$2:$L$123,0)),INDEX(DataQuality!$D$2:$D$123,MATCH(A43&amp;"|Ad_B",DataQuality!$L$2:$L$123,0)))</f>
        <v/>
      </c>
      <c r="K43">
        <f>MIN(INDEX(DataQuality!$F$2:$F$123,MATCH(A43&amp;"|Ad_A",DataQuality!$L$2:$L$123,0)),INDEX(DataQuality!$F$2:$F$123,MATCH(A43&amp;"|Ad_B",DataQuality!$L$2:$L$123,0)))</f>
        <v/>
      </c>
      <c r="L43">
        <f>IF(AND(J43&gt;=90,K43&gt;=80),1,0)</f>
        <v/>
      </c>
      <c r="M43">
        <f>IF(B43="Ad_A",INDEX(Survey!$G$2:$G$25,MATCH(A43,Survey!$W$2:$W$25,0)),IF(B43="Ad_B",INDEX(Survey!$I$2:$I$25,MATCH(A43,Survey!$W$2:$W$25,0)),""))</f>
        <v/>
      </c>
      <c r="N43">
        <f>IF(B43="Ad_A",INDEX(Survey!$X$2:$X$25,MATCH(A43,Survey!$W$2:$W$25,0)),IF(B43="Ad_B",INDEX(Survey!$Y$2:$Y$25,MATCH(A43,Survey!$W$2:$W$25,0)),""))</f>
        <v/>
      </c>
    </row>
    <row r="44">
      <c r="A44" s="7" t="inlineStr">
        <is>
          <t>P15</t>
        </is>
      </c>
      <c r="B44" s="7" t="inlineStr">
        <is>
          <t>Baseline</t>
        </is>
      </c>
      <c r="C44">
        <f>A44&amp;"|Stimulus|"&amp;B44&amp;"|"&amp;B44</f>
        <v/>
      </c>
      <c r="D44">
        <f>INDEX(GSR_Import!$N$2:$N$171,MATCH(C44,GSR_Import!$S$2:$S$171,0))</f>
        <v/>
      </c>
      <c r="E44">
        <f>INDEX(GSR_Import!$U$2:$U$171,MATCH(C44,GSR_Import!$S$2:$S$171,0))</f>
        <v/>
      </c>
      <c r="F44">
        <f>IF(E44=1,D44,"")</f>
        <v/>
      </c>
      <c r="G44">
        <f>A44&amp;"|"&amp;B44</f>
        <v/>
      </c>
      <c r="H44">
        <f>INDEX(DataQuality!$D$2:$D$123,MATCH(G44,DataQuality!$L$2:$L$123,0))</f>
        <v/>
      </c>
      <c r="I44">
        <f>INDEX(DataQuality!$F$2:$F$123,MATCH(G44,DataQuality!$L$2:$L$123,0))</f>
        <v/>
      </c>
      <c r="J44">
        <f>MIN(INDEX(DataQuality!$D$2:$D$123,MATCH(A44&amp;"|Ad_A",DataQuality!$L$2:$L$123,0)),INDEX(DataQuality!$D$2:$D$123,MATCH(A44&amp;"|Ad_B",DataQuality!$L$2:$L$123,0)))</f>
        <v/>
      </c>
      <c r="K44">
        <f>MIN(INDEX(DataQuality!$F$2:$F$123,MATCH(A44&amp;"|Ad_A",DataQuality!$L$2:$L$123,0)),INDEX(DataQuality!$F$2:$F$123,MATCH(A44&amp;"|Ad_B",DataQuality!$L$2:$L$123,0)))</f>
        <v/>
      </c>
      <c r="L44">
        <f>IF(AND(J44&gt;=90,K44&gt;=80),1,0)</f>
        <v/>
      </c>
      <c r="M44">
        <f>IF(B44="Ad_A",INDEX(Survey!$G$2:$G$25,MATCH(A44,Survey!$W$2:$W$25,0)),IF(B44="Ad_B",INDEX(Survey!$I$2:$I$25,MATCH(A44,Survey!$W$2:$W$25,0)),""))</f>
        <v/>
      </c>
      <c r="N44">
        <f>IF(B44="Ad_A",INDEX(Survey!$X$2:$X$25,MATCH(A44,Survey!$W$2:$W$25,0)),IF(B44="Ad_B",INDEX(Survey!$Y$2:$Y$25,MATCH(A44,Survey!$W$2:$W$25,0)),""))</f>
        <v/>
      </c>
    </row>
    <row r="45">
      <c r="A45" s="7" t="inlineStr">
        <is>
          <t>P15</t>
        </is>
      </c>
      <c r="B45" s="7" t="inlineStr">
        <is>
          <t>Ad_A</t>
        </is>
      </c>
      <c r="C45">
        <f>A45&amp;"|Stimulus|"&amp;B45&amp;"|"&amp;B45</f>
        <v/>
      </c>
      <c r="D45">
        <f>INDEX(GSR_Import!$N$2:$N$171,MATCH(C45,GSR_Import!$S$2:$S$171,0))</f>
        <v/>
      </c>
      <c r="E45">
        <f>INDEX(GSR_Import!$U$2:$U$171,MATCH(C45,GSR_Import!$S$2:$S$171,0))</f>
        <v/>
      </c>
      <c r="F45">
        <f>IF(E45=1,D45,"")</f>
        <v/>
      </c>
      <c r="G45">
        <f>A45&amp;"|"&amp;B45</f>
        <v/>
      </c>
      <c r="H45">
        <f>INDEX(DataQuality!$D$2:$D$123,MATCH(G45,DataQuality!$L$2:$L$123,0))</f>
        <v/>
      </c>
      <c r="I45">
        <f>INDEX(DataQuality!$F$2:$F$123,MATCH(G45,DataQuality!$L$2:$L$123,0))</f>
        <v/>
      </c>
      <c r="J45">
        <f>MIN(INDEX(DataQuality!$D$2:$D$123,MATCH(A45&amp;"|Ad_A",DataQuality!$L$2:$L$123,0)),INDEX(DataQuality!$D$2:$D$123,MATCH(A45&amp;"|Ad_B",DataQuality!$L$2:$L$123,0)))</f>
        <v/>
      </c>
      <c r="K45">
        <f>MIN(INDEX(DataQuality!$F$2:$F$123,MATCH(A45&amp;"|Ad_A",DataQuality!$L$2:$L$123,0)),INDEX(DataQuality!$F$2:$F$123,MATCH(A45&amp;"|Ad_B",DataQuality!$L$2:$L$123,0)))</f>
        <v/>
      </c>
      <c r="L45">
        <f>IF(AND(J45&gt;=90,K45&gt;=80),1,0)</f>
        <v/>
      </c>
      <c r="M45">
        <f>IF(B45="Ad_A",INDEX(Survey!$G$2:$G$25,MATCH(A45,Survey!$W$2:$W$25,0)),IF(B45="Ad_B",INDEX(Survey!$I$2:$I$25,MATCH(A45,Survey!$W$2:$W$25,0)),""))</f>
        <v/>
      </c>
      <c r="N45">
        <f>IF(B45="Ad_A",INDEX(Survey!$X$2:$X$25,MATCH(A45,Survey!$W$2:$W$25,0)),IF(B45="Ad_B",INDEX(Survey!$Y$2:$Y$25,MATCH(A45,Survey!$W$2:$W$25,0)),""))</f>
        <v/>
      </c>
    </row>
    <row r="46">
      <c r="A46" s="7" t="inlineStr">
        <is>
          <t>P15</t>
        </is>
      </c>
      <c r="B46" s="7" t="inlineStr">
        <is>
          <t>Ad_B</t>
        </is>
      </c>
      <c r="C46">
        <f>A46&amp;"|Stimulus|"&amp;B46&amp;"|"&amp;B46</f>
        <v/>
      </c>
      <c r="D46">
        <f>INDEX(GSR_Import!$N$2:$N$171,MATCH(C46,GSR_Import!$S$2:$S$171,0))</f>
        <v/>
      </c>
      <c r="E46">
        <f>INDEX(GSR_Import!$U$2:$U$171,MATCH(C46,GSR_Import!$S$2:$S$171,0))</f>
        <v/>
      </c>
      <c r="F46">
        <f>IF(E46=1,D46,"")</f>
        <v/>
      </c>
      <c r="G46">
        <f>A46&amp;"|"&amp;B46</f>
        <v/>
      </c>
      <c r="H46">
        <f>INDEX(DataQuality!$D$2:$D$123,MATCH(G46,DataQuality!$L$2:$L$123,0))</f>
        <v/>
      </c>
      <c r="I46">
        <f>INDEX(DataQuality!$F$2:$F$123,MATCH(G46,DataQuality!$L$2:$L$123,0))</f>
        <v/>
      </c>
      <c r="J46">
        <f>MIN(INDEX(DataQuality!$D$2:$D$123,MATCH(A46&amp;"|Ad_A",DataQuality!$L$2:$L$123,0)),INDEX(DataQuality!$D$2:$D$123,MATCH(A46&amp;"|Ad_B",DataQuality!$L$2:$L$123,0)))</f>
        <v/>
      </c>
      <c r="K46">
        <f>MIN(INDEX(DataQuality!$F$2:$F$123,MATCH(A46&amp;"|Ad_A",DataQuality!$L$2:$L$123,0)),INDEX(DataQuality!$F$2:$F$123,MATCH(A46&amp;"|Ad_B",DataQuality!$L$2:$L$123,0)))</f>
        <v/>
      </c>
      <c r="L46">
        <f>IF(AND(J46&gt;=90,K46&gt;=80),1,0)</f>
        <v/>
      </c>
      <c r="M46">
        <f>IF(B46="Ad_A",INDEX(Survey!$G$2:$G$25,MATCH(A46,Survey!$W$2:$W$25,0)),IF(B46="Ad_B",INDEX(Survey!$I$2:$I$25,MATCH(A46,Survey!$W$2:$W$25,0)),""))</f>
        <v/>
      </c>
      <c r="N46">
        <f>IF(B46="Ad_A",INDEX(Survey!$X$2:$X$25,MATCH(A46,Survey!$W$2:$W$25,0)),IF(B46="Ad_B",INDEX(Survey!$Y$2:$Y$25,MATCH(A46,Survey!$W$2:$W$25,0)),""))</f>
        <v/>
      </c>
    </row>
    <row r="47">
      <c r="A47" s="7" t="inlineStr">
        <is>
          <t>P16</t>
        </is>
      </c>
      <c r="B47" s="7" t="inlineStr">
        <is>
          <t>Baseline</t>
        </is>
      </c>
      <c r="C47">
        <f>A47&amp;"|Stimulus|"&amp;B47&amp;"|"&amp;B47</f>
        <v/>
      </c>
      <c r="D47">
        <f>INDEX(GSR_Import!$N$2:$N$171,MATCH(C47,GSR_Import!$S$2:$S$171,0))</f>
        <v/>
      </c>
      <c r="E47">
        <f>INDEX(GSR_Import!$U$2:$U$171,MATCH(C47,GSR_Import!$S$2:$S$171,0))</f>
        <v/>
      </c>
      <c r="F47">
        <f>IF(E47=1,D47,"")</f>
        <v/>
      </c>
      <c r="G47">
        <f>A47&amp;"|"&amp;B47</f>
        <v/>
      </c>
      <c r="H47">
        <f>INDEX(DataQuality!$D$2:$D$123,MATCH(G47,DataQuality!$L$2:$L$123,0))</f>
        <v/>
      </c>
      <c r="I47">
        <f>INDEX(DataQuality!$F$2:$F$123,MATCH(G47,DataQuality!$L$2:$L$123,0))</f>
        <v/>
      </c>
      <c r="J47">
        <f>MIN(INDEX(DataQuality!$D$2:$D$123,MATCH(A47&amp;"|Ad_A",DataQuality!$L$2:$L$123,0)),INDEX(DataQuality!$D$2:$D$123,MATCH(A47&amp;"|Ad_B",DataQuality!$L$2:$L$123,0)))</f>
        <v/>
      </c>
      <c r="K47">
        <f>MIN(INDEX(DataQuality!$F$2:$F$123,MATCH(A47&amp;"|Ad_A",DataQuality!$L$2:$L$123,0)),INDEX(DataQuality!$F$2:$F$123,MATCH(A47&amp;"|Ad_B",DataQuality!$L$2:$L$123,0)))</f>
        <v/>
      </c>
      <c r="L47">
        <f>IF(AND(J47&gt;=90,K47&gt;=80),1,0)</f>
        <v/>
      </c>
      <c r="M47">
        <f>IF(B47="Ad_A",INDEX(Survey!$G$2:$G$25,MATCH(A47,Survey!$W$2:$W$25,0)),IF(B47="Ad_B",INDEX(Survey!$I$2:$I$25,MATCH(A47,Survey!$W$2:$W$25,0)),""))</f>
        <v/>
      </c>
      <c r="N47">
        <f>IF(B47="Ad_A",INDEX(Survey!$X$2:$X$25,MATCH(A47,Survey!$W$2:$W$25,0)),IF(B47="Ad_B",INDEX(Survey!$Y$2:$Y$25,MATCH(A47,Survey!$W$2:$W$25,0)),""))</f>
        <v/>
      </c>
    </row>
    <row r="48">
      <c r="A48" s="7" t="inlineStr">
        <is>
          <t>P16</t>
        </is>
      </c>
      <c r="B48" s="7" t="inlineStr">
        <is>
          <t>Ad_A</t>
        </is>
      </c>
      <c r="C48">
        <f>A48&amp;"|Stimulus|"&amp;B48&amp;"|"&amp;B48</f>
        <v/>
      </c>
      <c r="D48">
        <f>INDEX(GSR_Import!$N$2:$N$171,MATCH(C48,GSR_Import!$S$2:$S$171,0))</f>
        <v/>
      </c>
      <c r="E48">
        <f>INDEX(GSR_Import!$U$2:$U$171,MATCH(C48,GSR_Import!$S$2:$S$171,0))</f>
        <v/>
      </c>
      <c r="F48">
        <f>IF(E48=1,D48,"")</f>
        <v/>
      </c>
      <c r="G48">
        <f>A48&amp;"|"&amp;B48</f>
        <v/>
      </c>
      <c r="H48">
        <f>INDEX(DataQuality!$D$2:$D$123,MATCH(G48,DataQuality!$L$2:$L$123,0))</f>
        <v/>
      </c>
      <c r="I48">
        <f>INDEX(DataQuality!$F$2:$F$123,MATCH(G48,DataQuality!$L$2:$L$123,0))</f>
        <v/>
      </c>
      <c r="J48">
        <f>MIN(INDEX(DataQuality!$D$2:$D$123,MATCH(A48&amp;"|Ad_A",DataQuality!$L$2:$L$123,0)),INDEX(DataQuality!$D$2:$D$123,MATCH(A48&amp;"|Ad_B",DataQuality!$L$2:$L$123,0)))</f>
        <v/>
      </c>
      <c r="K48">
        <f>MIN(INDEX(DataQuality!$F$2:$F$123,MATCH(A48&amp;"|Ad_A",DataQuality!$L$2:$L$123,0)),INDEX(DataQuality!$F$2:$F$123,MATCH(A48&amp;"|Ad_B",DataQuality!$L$2:$L$123,0)))</f>
        <v/>
      </c>
      <c r="L48">
        <f>IF(AND(J48&gt;=90,K48&gt;=80),1,0)</f>
        <v/>
      </c>
      <c r="M48">
        <f>IF(B48="Ad_A",INDEX(Survey!$G$2:$G$25,MATCH(A48,Survey!$W$2:$W$25,0)),IF(B48="Ad_B",INDEX(Survey!$I$2:$I$25,MATCH(A48,Survey!$W$2:$W$25,0)),""))</f>
        <v/>
      </c>
      <c r="N48">
        <f>IF(B48="Ad_A",INDEX(Survey!$X$2:$X$25,MATCH(A48,Survey!$W$2:$W$25,0)),IF(B48="Ad_B",INDEX(Survey!$Y$2:$Y$25,MATCH(A48,Survey!$W$2:$W$25,0)),""))</f>
        <v/>
      </c>
    </row>
    <row r="49">
      <c r="A49" s="7" t="inlineStr">
        <is>
          <t>P16</t>
        </is>
      </c>
      <c r="B49" s="7" t="inlineStr">
        <is>
          <t>Ad_B</t>
        </is>
      </c>
      <c r="C49">
        <f>A49&amp;"|Stimulus|"&amp;B49&amp;"|"&amp;B49</f>
        <v/>
      </c>
      <c r="D49">
        <f>INDEX(GSR_Import!$N$2:$N$171,MATCH(C49,GSR_Import!$S$2:$S$171,0))</f>
        <v/>
      </c>
      <c r="E49">
        <f>INDEX(GSR_Import!$U$2:$U$171,MATCH(C49,GSR_Import!$S$2:$S$171,0))</f>
        <v/>
      </c>
      <c r="F49">
        <f>IF(E49=1,D49,"")</f>
        <v/>
      </c>
      <c r="G49">
        <f>A49&amp;"|"&amp;B49</f>
        <v/>
      </c>
      <c r="H49">
        <f>INDEX(DataQuality!$D$2:$D$123,MATCH(G49,DataQuality!$L$2:$L$123,0))</f>
        <v/>
      </c>
      <c r="I49">
        <f>INDEX(DataQuality!$F$2:$F$123,MATCH(G49,DataQuality!$L$2:$L$123,0))</f>
        <v/>
      </c>
      <c r="J49">
        <f>MIN(INDEX(DataQuality!$D$2:$D$123,MATCH(A49&amp;"|Ad_A",DataQuality!$L$2:$L$123,0)),INDEX(DataQuality!$D$2:$D$123,MATCH(A49&amp;"|Ad_B",DataQuality!$L$2:$L$123,0)))</f>
        <v/>
      </c>
      <c r="K49">
        <f>MIN(INDEX(DataQuality!$F$2:$F$123,MATCH(A49&amp;"|Ad_A",DataQuality!$L$2:$L$123,0)),INDEX(DataQuality!$F$2:$F$123,MATCH(A49&amp;"|Ad_B",DataQuality!$L$2:$L$123,0)))</f>
        <v/>
      </c>
      <c r="L49">
        <f>IF(AND(J49&gt;=90,K49&gt;=80),1,0)</f>
        <v/>
      </c>
      <c r="M49">
        <f>IF(B49="Ad_A",INDEX(Survey!$G$2:$G$25,MATCH(A49,Survey!$W$2:$W$25,0)),IF(B49="Ad_B",INDEX(Survey!$I$2:$I$25,MATCH(A49,Survey!$W$2:$W$25,0)),""))</f>
        <v/>
      </c>
      <c r="N49">
        <f>IF(B49="Ad_A",INDEX(Survey!$X$2:$X$25,MATCH(A49,Survey!$W$2:$W$25,0)),IF(B49="Ad_B",INDEX(Survey!$Y$2:$Y$25,MATCH(A49,Survey!$W$2:$W$25,0)),""))</f>
        <v/>
      </c>
    </row>
    <row r="50">
      <c r="A50" s="7" t="inlineStr">
        <is>
          <t>P17</t>
        </is>
      </c>
      <c r="B50" s="7" t="inlineStr">
        <is>
          <t>Baseline</t>
        </is>
      </c>
      <c r="C50">
        <f>A50&amp;"|Stimulus|"&amp;B50&amp;"|"&amp;B50</f>
        <v/>
      </c>
      <c r="D50">
        <f>INDEX(GSR_Import!$N$2:$N$171,MATCH(C50,GSR_Import!$S$2:$S$171,0))</f>
        <v/>
      </c>
      <c r="E50">
        <f>INDEX(GSR_Import!$U$2:$U$171,MATCH(C50,GSR_Import!$S$2:$S$171,0))</f>
        <v/>
      </c>
      <c r="F50">
        <f>IF(E50=1,D50,"")</f>
        <v/>
      </c>
      <c r="G50">
        <f>A50&amp;"|"&amp;B50</f>
        <v/>
      </c>
      <c r="H50">
        <f>INDEX(DataQuality!$D$2:$D$123,MATCH(G50,DataQuality!$L$2:$L$123,0))</f>
        <v/>
      </c>
      <c r="I50">
        <f>INDEX(DataQuality!$F$2:$F$123,MATCH(G50,DataQuality!$L$2:$L$123,0))</f>
        <v/>
      </c>
      <c r="J50">
        <f>MIN(INDEX(DataQuality!$D$2:$D$123,MATCH(A50&amp;"|Ad_A",DataQuality!$L$2:$L$123,0)),INDEX(DataQuality!$D$2:$D$123,MATCH(A50&amp;"|Ad_B",DataQuality!$L$2:$L$123,0)))</f>
        <v/>
      </c>
      <c r="K50">
        <f>MIN(INDEX(DataQuality!$F$2:$F$123,MATCH(A50&amp;"|Ad_A",DataQuality!$L$2:$L$123,0)),INDEX(DataQuality!$F$2:$F$123,MATCH(A50&amp;"|Ad_B",DataQuality!$L$2:$L$123,0)))</f>
        <v/>
      </c>
      <c r="L50">
        <f>IF(AND(J50&gt;=90,K50&gt;=80),1,0)</f>
        <v/>
      </c>
      <c r="M50">
        <f>IF(B50="Ad_A",INDEX(Survey!$G$2:$G$25,MATCH(A50,Survey!$W$2:$W$25,0)),IF(B50="Ad_B",INDEX(Survey!$I$2:$I$25,MATCH(A50,Survey!$W$2:$W$25,0)),""))</f>
        <v/>
      </c>
      <c r="N50">
        <f>IF(B50="Ad_A",INDEX(Survey!$X$2:$X$25,MATCH(A50,Survey!$W$2:$W$25,0)),IF(B50="Ad_B",INDEX(Survey!$Y$2:$Y$25,MATCH(A50,Survey!$W$2:$W$25,0)),""))</f>
        <v/>
      </c>
    </row>
    <row r="51">
      <c r="A51" s="7" t="inlineStr">
        <is>
          <t>P17</t>
        </is>
      </c>
      <c r="B51" s="7" t="inlineStr">
        <is>
          <t>Ad_A</t>
        </is>
      </c>
      <c r="C51">
        <f>A51&amp;"|Stimulus|"&amp;B51&amp;"|"&amp;B51</f>
        <v/>
      </c>
      <c r="D51">
        <f>INDEX(GSR_Import!$N$2:$N$171,MATCH(C51,GSR_Import!$S$2:$S$171,0))</f>
        <v/>
      </c>
      <c r="E51">
        <f>INDEX(GSR_Import!$U$2:$U$171,MATCH(C51,GSR_Import!$S$2:$S$171,0))</f>
        <v/>
      </c>
      <c r="F51">
        <f>IF(E51=1,D51,"")</f>
        <v/>
      </c>
      <c r="G51">
        <f>A51&amp;"|"&amp;B51</f>
        <v/>
      </c>
      <c r="H51">
        <f>INDEX(DataQuality!$D$2:$D$123,MATCH(G51,DataQuality!$L$2:$L$123,0))</f>
        <v/>
      </c>
      <c r="I51">
        <f>INDEX(DataQuality!$F$2:$F$123,MATCH(G51,DataQuality!$L$2:$L$123,0))</f>
        <v/>
      </c>
      <c r="J51">
        <f>MIN(INDEX(DataQuality!$D$2:$D$123,MATCH(A51&amp;"|Ad_A",DataQuality!$L$2:$L$123,0)),INDEX(DataQuality!$D$2:$D$123,MATCH(A51&amp;"|Ad_B",DataQuality!$L$2:$L$123,0)))</f>
        <v/>
      </c>
      <c r="K51">
        <f>MIN(INDEX(DataQuality!$F$2:$F$123,MATCH(A51&amp;"|Ad_A",DataQuality!$L$2:$L$123,0)),INDEX(DataQuality!$F$2:$F$123,MATCH(A51&amp;"|Ad_B",DataQuality!$L$2:$L$123,0)))</f>
        <v/>
      </c>
      <c r="L51">
        <f>IF(AND(J51&gt;=90,K51&gt;=80),1,0)</f>
        <v/>
      </c>
      <c r="M51">
        <f>IF(B51="Ad_A",INDEX(Survey!$G$2:$G$25,MATCH(A51,Survey!$W$2:$W$25,0)),IF(B51="Ad_B",INDEX(Survey!$I$2:$I$25,MATCH(A51,Survey!$W$2:$W$25,0)),""))</f>
        <v/>
      </c>
      <c r="N51">
        <f>IF(B51="Ad_A",INDEX(Survey!$X$2:$X$25,MATCH(A51,Survey!$W$2:$W$25,0)),IF(B51="Ad_B",INDEX(Survey!$Y$2:$Y$25,MATCH(A51,Survey!$W$2:$W$25,0)),""))</f>
        <v/>
      </c>
    </row>
    <row r="52">
      <c r="A52" s="7" t="inlineStr">
        <is>
          <t>P17</t>
        </is>
      </c>
      <c r="B52" s="7" t="inlineStr">
        <is>
          <t>Ad_B</t>
        </is>
      </c>
      <c r="C52">
        <f>A52&amp;"|Stimulus|"&amp;B52&amp;"|"&amp;B52</f>
        <v/>
      </c>
      <c r="D52">
        <f>INDEX(GSR_Import!$N$2:$N$171,MATCH(C52,GSR_Import!$S$2:$S$171,0))</f>
        <v/>
      </c>
      <c r="E52">
        <f>INDEX(GSR_Import!$U$2:$U$171,MATCH(C52,GSR_Import!$S$2:$S$171,0))</f>
        <v/>
      </c>
      <c r="F52">
        <f>IF(E52=1,D52,"")</f>
        <v/>
      </c>
      <c r="G52">
        <f>A52&amp;"|"&amp;B52</f>
        <v/>
      </c>
      <c r="H52">
        <f>INDEX(DataQuality!$D$2:$D$123,MATCH(G52,DataQuality!$L$2:$L$123,0))</f>
        <v/>
      </c>
      <c r="I52">
        <f>INDEX(DataQuality!$F$2:$F$123,MATCH(G52,DataQuality!$L$2:$L$123,0))</f>
        <v/>
      </c>
      <c r="J52">
        <f>MIN(INDEX(DataQuality!$D$2:$D$123,MATCH(A52&amp;"|Ad_A",DataQuality!$L$2:$L$123,0)),INDEX(DataQuality!$D$2:$D$123,MATCH(A52&amp;"|Ad_B",DataQuality!$L$2:$L$123,0)))</f>
        <v/>
      </c>
      <c r="K52">
        <f>MIN(INDEX(DataQuality!$F$2:$F$123,MATCH(A52&amp;"|Ad_A",DataQuality!$L$2:$L$123,0)),INDEX(DataQuality!$F$2:$F$123,MATCH(A52&amp;"|Ad_B",DataQuality!$L$2:$L$123,0)))</f>
        <v/>
      </c>
      <c r="L52">
        <f>IF(AND(J52&gt;=90,K52&gt;=80),1,0)</f>
        <v/>
      </c>
      <c r="M52">
        <f>IF(B52="Ad_A",INDEX(Survey!$G$2:$G$25,MATCH(A52,Survey!$W$2:$W$25,0)),IF(B52="Ad_B",INDEX(Survey!$I$2:$I$25,MATCH(A52,Survey!$W$2:$W$25,0)),""))</f>
        <v/>
      </c>
      <c r="N52">
        <f>IF(B52="Ad_A",INDEX(Survey!$X$2:$X$25,MATCH(A52,Survey!$W$2:$W$25,0)),IF(B52="Ad_B",INDEX(Survey!$Y$2:$Y$25,MATCH(A52,Survey!$W$2:$W$25,0)),""))</f>
        <v/>
      </c>
    </row>
    <row r="53">
      <c r="A53" s="7" t="inlineStr">
        <is>
          <t>P18</t>
        </is>
      </c>
      <c r="B53" s="7" t="inlineStr">
        <is>
          <t>Baseline</t>
        </is>
      </c>
      <c r="C53">
        <f>A53&amp;"|Stimulus|"&amp;B53&amp;"|"&amp;B53</f>
        <v/>
      </c>
      <c r="D53">
        <f>INDEX(GSR_Import!$N$2:$N$171,MATCH(C53,GSR_Import!$S$2:$S$171,0))</f>
        <v/>
      </c>
      <c r="E53">
        <f>INDEX(GSR_Import!$U$2:$U$171,MATCH(C53,GSR_Import!$S$2:$S$171,0))</f>
        <v/>
      </c>
      <c r="F53">
        <f>IF(E53=1,D53,"")</f>
        <v/>
      </c>
      <c r="G53">
        <f>A53&amp;"|"&amp;B53</f>
        <v/>
      </c>
      <c r="H53">
        <f>INDEX(DataQuality!$D$2:$D$123,MATCH(G53,DataQuality!$L$2:$L$123,0))</f>
        <v/>
      </c>
      <c r="I53">
        <f>INDEX(DataQuality!$F$2:$F$123,MATCH(G53,DataQuality!$L$2:$L$123,0))</f>
        <v/>
      </c>
      <c r="J53">
        <f>MIN(INDEX(DataQuality!$D$2:$D$123,MATCH(A53&amp;"|Ad_A",DataQuality!$L$2:$L$123,0)),INDEX(DataQuality!$D$2:$D$123,MATCH(A53&amp;"|Ad_B",DataQuality!$L$2:$L$123,0)))</f>
        <v/>
      </c>
      <c r="K53">
        <f>MIN(INDEX(DataQuality!$F$2:$F$123,MATCH(A53&amp;"|Ad_A",DataQuality!$L$2:$L$123,0)),INDEX(DataQuality!$F$2:$F$123,MATCH(A53&amp;"|Ad_B",DataQuality!$L$2:$L$123,0)))</f>
        <v/>
      </c>
      <c r="L53">
        <f>IF(AND(J53&gt;=90,K53&gt;=80),1,0)</f>
        <v/>
      </c>
      <c r="M53">
        <f>IF(B53="Ad_A",INDEX(Survey!$G$2:$G$25,MATCH(A53,Survey!$W$2:$W$25,0)),IF(B53="Ad_B",INDEX(Survey!$I$2:$I$25,MATCH(A53,Survey!$W$2:$W$25,0)),""))</f>
        <v/>
      </c>
      <c r="N53">
        <f>IF(B53="Ad_A",INDEX(Survey!$X$2:$X$25,MATCH(A53,Survey!$W$2:$W$25,0)),IF(B53="Ad_B",INDEX(Survey!$Y$2:$Y$25,MATCH(A53,Survey!$W$2:$W$25,0)),""))</f>
        <v/>
      </c>
    </row>
    <row r="54">
      <c r="A54" s="7" t="inlineStr">
        <is>
          <t>P18</t>
        </is>
      </c>
      <c r="B54" s="7" t="inlineStr">
        <is>
          <t>Ad_A</t>
        </is>
      </c>
      <c r="C54">
        <f>A54&amp;"|Stimulus|"&amp;B54&amp;"|"&amp;B54</f>
        <v/>
      </c>
      <c r="D54">
        <f>INDEX(GSR_Import!$N$2:$N$171,MATCH(C54,GSR_Import!$S$2:$S$171,0))</f>
        <v/>
      </c>
      <c r="E54">
        <f>INDEX(GSR_Import!$U$2:$U$171,MATCH(C54,GSR_Import!$S$2:$S$171,0))</f>
        <v/>
      </c>
      <c r="F54">
        <f>IF(E54=1,D54,"")</f>
        <v/>
      </c>
      <c r="G54">
        <f>A54&amp;"|"&amp;B54</f>
        <v/>
      </c>
      <c r="H54">
        <f>INDEX(DataQuality!$D$2:$D$123,MATCH(G54,DataQuality!$L$2:$L$123,0))</f>
        <v/>
      </c>
      <c r="I54">
        <f>INDEX(DataQuality!$F$2:$F$123,MATCH(G54,DataQuality!$L$2:$L$123,0))</f>
        <v/>
      </c>
      <c r="J54">
        <f>MIN(INDEX(DataQuality!$D$2:$D$123,MATCH(A54&amp;"|Ad_A",DataQuality!$L$2:$L$123,0)),INDEX(DataQuality!$D$2:$D$123,MATCH(A54&amp;"|Ad_B",DataQuality!$L$2:$L$123,0)))</f>
        <v/>
      </c>
      <c r="K54">
        <f>MIN(INDEX(DataQuality!$F$2:$F$123,MATCH(A54&amp;"|Ad_A",DataQuality!$L$2:$L$123,0)),INDEX(DataQuality!$F$2:$F$123,MATCH(A54&amp;"|Ad_B",DataQuality!$L$2:$L$123,0)))</f>
        <v/>
      </c>
      <c r="L54">
        <f>IF(AND(J54&gt;=90,K54&gt;=80),1,0)</f>
        <v/>
      </c>
      <c r="M54">
        <f>IF(B54="Ad_A",INDEX(Survey!$G$2:$G$25,MATCH(A54,Survey!$W$2:$W$25,0)),IF(B54="Ad_B",INDEX(Survey!$I$2:$I$25,MATCH(A54,Survey!$W$2:$W$25,0)),""))</f>
        <v/>
      </c>
      <c r="N54">
        <f>IF(B54="Ad_A",INDEX(Survey!$X$2:$X$25,MATCH(A54,Survey!$W$2:$W$25,0)),IF(B54="Ad_B",INDEX(Survey!$Y$2:$Y$25,MATCH(A54,Survey!$W$2:$W$25,0)),""))</f>
        <v/>
      </c>
    </row>
    <row r="55">
      <c r="A55" s="7" t="inlineStr">
        <is>
          <t>P18</t>
        </is>
      </c>
      <c r="B55" s="7" t="inlineStr">
        <is>
          <t>Ad_B</t>
        </is>
      </c>
      <c r="C55">
        <f>A55&amp;"|Stimulus|"&amp;B55&amp;"|"&amp;B55</f>
        <v/>
      </c>
      <c r="D55">
        <f>INDEX(GSR_Import!$N$2:$N$171,MATCH(C55,GSR_Import!$S$2:$S$171,0))</f>
        <v/>
      </c>
      <c r="E55">
        <f>INDEX(GSR_Import!$U$2:$U$171,MATCH(C55,GSR_Import!$S$2:$S$171,0))</f>
        <v/>
      </c>
      <c r="F55">
        <f>IF(E55=1,D55,"")</f>
        <v/>
      </c>
      <c r="G55">
        <f>A55&amp;"|"&amp;B55</f>
        <v/>
      </c>
      <c r="H55">
        <f>INDEX(DataQuality!$D$2:$D$123,MATCH(G55,DataQuality!$L$2:$L$123,0))</f>
        <v/>
      </c>
      <c r="I55">
        <f>INDEX(DataQuality!$F$2:$F$123,MATCH(G55,DataQuality!$L$2:$L$123,0))</f>
        <v/>
      </c>
      <c r="J55">
        <f>MIN(INDEX(DataQuality!$D$2:$D$123,MATCH(A55&amp;"|Ad_A",DataQuality!$L$2:$L$123,0)),INDEX(DataQuality!$D$2:$D$123,MATCH(A55&amp;"|Ad_B",DataQuality!$L$2:$L$123,0)))</f>
        <v/>
      </c>
      <c r="K55">
        <f>MIN(INDEX(DataQuality!$F$2:$F$123,MATCH(A55&amp;"|Ad_A",DataQuality!$L$2:$L$123,0)),INDEX(DataQuality!$F$2:$F$123,MATCH(A55&amp;"|Ad_B",DataQuality!$L$2:$L$123,0)))</f>
        <v/>
      </c>
      <c r="L55">
        <f>IF(AND(J55&gt;=90,K55&gt;=80),1,0)</f>
        <v/>
      </c>
      <c r="M55">
        <f>IF(B55="Ad_A",INDEX(Survey!$G$2:$G$25,MATCH(A55,Survey!$W$2:$W$25,0)),IF(B55="Ad_B",INDEX(Survey!$I$2:$I$25,MATCH(A55,Survey!$W$2:$W$25,0)),""))</f>
        <v/>
      </c>
      <c r="N55">
        <f>IF(B55="Ad_A",INDEX(Survey!$X$2:$X$25,MATCH(A55,Survey!$W$2:$W$25,0)),IF(B55="Ad_B",INDEX(Survey!$Y$2:$Y$25,MATCH(A55,Survey!$W$2:$W$25,0)),""))</f>
        <v/>
      </c>
    </row>
    <row r="56">
      <c r="A56" s="7" t="inlineStr">
        <is>
          <t>P19</t>
        </is>
      </c>
      <c r="B56" s="7" t="inlineStr">
        <is>
          <t>Baseline</t>
        </is>
      </c>
      <c r="C56">
        <f>A56&amp;"|Stimulus|"&amp;B56&amp;"|"&amp;B56</f>
        <v/>
      </c>
      <c r="D56">
        <f>INDEX(GSR_Import!$N$2:$N$171,MATCH(C56,GSR_Import!$S$2:$S$171,0))</f>
        <v/>
      </c>
      <c r="E56">
        <f>INDEX(GSR_Import!$U$2:$U$171,MATCH(C56,GSR_Import!$S$2:$S$171,0))</f>
        <v/>
      </c>
      <c r="F56">
        <f>IF(E56=1,D56,"")</f>
        <v/>
      </c>
      <c r="G56">
        <f>A56&amp;"|"&amp;B56</f>
        <v/>
      </c>
      <c r="H56">
        <f>INDEX(DataQuality!$D$2:$D$123,MATCH(G56,DataQuality!$L$2:$L$123,0))</f>
        <v/>
      </c>
      <c r="I56">
        <f>INDEX(DataQuality!$F$2:$F$123,MATCH(G56,DataQuality!$L$2:$L$123,0))</f>
        <v/>
      </c>
      <c r="J56">
        <f>MIN(INDEX(DataQuality!$D$2:$D$123,MATCH(A56&amp;"|Ad_A",DataQuality!$L$2:$L$123,0)),INDEX(DataQuality!$D$2:$D$123,MATCH(A56&amp;"|Ad_B",DataQuality!$L$2:$L$123,0)))</f>
        <v/>
      </c>
      <c r="K56">
        <f>MIN(INDEX(DataQuality!$F$2:$F$123,MATCH(A56&amp;"|Ad_A",DataQuality!$L$2:$L$123,0)),INDEX(DataQuality!$F$2:$F$123,MATCH(A56&amp;"|Ad_B",DataQuality!$L$2:$L$123,0)))</f>
        <v/>
      </c>
      <c r="L56">
        <f>IF(AND(J56&gt;=90,K56&gt;=80),1,0)</f>
        <v/>
      </c>
      <c r="M56">
        <f>IF(B56="Ad_A",INDEX(Survey!$G$2:$G$25,MATCH(A56,Survey!$W$2:$W$25,0)),IF(B56="Ad_B",INDEX(Survey!$I$2:$I$25,MATCH(A56,Survey!$W$2:$W$25,0)),""))</f>
        <v/>
      </c>
      <c r="N56">
        <f>IF(B56="Ad_A",INDEX(Survey!$X$2:$X$25,MATCH(A56,Survey!$W$2:$W$25,0)),IF(B56="Ad_B",INDEX(Survey!$Y$2:$Y$25,MATCH(A56,Survey!$W$2:$W$25,0)),""))</f>
        <v/>
      </c>
    </row>
    <row r="57">
      <c r="A57" s="7" t="inlineStr">
        <is>
          <t>P19</t>
        </is>
      </c>
      <c r="B57" s="7" t="inlineStr">
        <is>
          <t>Ad_A</t>
        </is>
      </c>
      <c r="C57">
        <f>A57&amp;"|Stimulus|"&amp;B57&amp;"|"&amp;B57</f>
        <v/>
      </c>
      <c r="D57">
        <f>INDEX(GSR_Import!$N$2:$N$171,MATCH(C57,GSR_Import!$S$2:$S$171,0))</f>
        <v/>
      </c>
      <c r="E57">
        <f>INDEX(GSR_Import!$U$2:$U$171,MATCH(C57,GSR_Import!$S$2:$S$171,0))</f>
        <v/>
      </c>
      <c r="F57">
        <f>IF(E57=1,D57,"")</f>
        <v/>
      </c>
      <c r="G57">
        <f>A57&amp;"|"&amp;B57</f>
        <v/>
      </c>
      <c r="H57">
        <f>INDEX(DataQuality!$D$2:$D$123,MATCH(G57,DataQuality!$L$2:$L$123,0))</f>
        <v/>
      </c>
      <c r="I57">
        <f>INDEX(DataQuality!$F$2:$F$123,MATCH(G57,DataQuality!$L$2:$L$123,0))</f>
        <v/>
      </c>
      <c r="J57">
        <f>MIN(INDEX(DataQuality!$D$2:$D$123,MATCH(A57&amp;"|Ad_A",DataQuality!$L$2:$L$123,0)),INDEX(DataQuality!$D$2:$D$123,MATCH(A57&amp;"|Ad_B",DataQuality!$L$2:$L$123,0)))</f>
        <v/>
      </c>
      <c r="K57">
        <f>MIN(INDEX(DataQuality!$F$2:$F$123,MATCH(A57&amp;"|Ad_A",DataQuality!$L$2:$L$123,0)),INDEX(DataQuality!$F$2:$F$123,MATCH(A57&amp;"|Ad_B",DataQuality!$L$2:$L$123,0)))</f>
        <v/>
      </c>
      <c r="L57">
        <f>IF(AND(J57&gt;=90,K57&gt;=80),1,0)</f>
        <v/>
      </c>
      <c r="M57">
        <f>IF(B57="Ad_A",INDEX(Survey!$G$2:$G$25,MATCH(A57,Survey!$W$2:$W$25,0)),IF(B57="Ad_B",INDEX(Survey!$I$2:$I$25,MATCH(A57,Survey!$W$2:$W$25,0)),""))</f>
        <v/>
      </c>
      <c r="N57">
        <f>IF(B57="Ad_A",INDEX(Survey!$X$2:$X$25,MATCH(A57,Survey!$W$2:$W$25,0)),IF(B57="Ad_B",INDEX(Survey!$Y$2:$Y$25,MATCH(A57,Survey!$W$2:$W$25,0)),""))</f>
        <v/>
      </c>
    </row>
    <row r="58">
      <c r="A58" s="7" t="inlineStr">
        <is>
          <t>P19</t>
        </is>
      </c>
      <c r="B58" s="7" t="inlineStr">
        <is>
          <t>Ad_B</t>
        </is>
      </c>
      <c r="C58">
        <f>A58&amp;"|Stimulus|"&amp;B58&amp;"|"&amp;B58</f>
        <v/>
      </c>
      <c r="D58">
        <f>INDEX(GSR_Import!$N$2:$N$171,MATCH(C58,GSR_Import!$S$2:$S$171,0))</f>
        <v/>
      </c>
      <c r="E58">
        <f>INDEX(GSR_Import!$U$2:$U$171,MATCH(C58,GSR_Import!$S$2:$S$171,0))</f>
        <v/>
      </c>
      <c r="F58">
        <f>IF(E58=1,D58,"")</f>
        <v/>
      </c>
      <c r="G58">
        <f>A58&amp;"|"&amp;B58</f>
        <v/>
      </c>
      <c r="H58">
        <f>INDEX(DataQuality!$D$2:$D$123,MATCH(G58,DataQuality!$L$2:$L$123,0))</f>
        <v/>
      </c>
      <c r="I58">
        <f>INDEX(DataQuality!$F$2:$F$123,MATCH(G58,DataQuality!$L$2:$L$123,0))</f>
        <v/>
      </c>
      <c r="J58">
        <f>MIN(INDEX(DataQuality!$D$2:$D$123,MATCH(A58&amp;"|Ad_A",DataQuality!$L$2:$L$123,0)),INDEX(DataQuality!$D$2:$D$123,MATCH(A58&amp;"|Ad_B",DataQuality!$L$2:$L$123,0)))</f>
        <v/>
      </c>
      <c r="K58">
        <f>MIN(INDEX(DataQuality!$F$2:$F$123,MATCH(A58&amp;"|Ad_A",DataQuality!$L$2:$L$123,0)),INDEX(DataQuality!$F$2:$F$123,MATCH(A58&amp;"|Ad_B",DataQuality!$L$2:$L$123,0)))</f>
        <v/>
      </c>
      <c r="L58">
        <f>IF(AND(J58&gt;=90,K58&gt;=80),1,0)</f>
        <v/>
      </c>
      <c r="M58">
        <f>IF(B58="Ad_A",INDEX(Survey!$G$2:$G$25,MATCH(A58,Survey!$W$2:$W$25,0)),IF(B58="Ad_B",INDEX(Survey!$I$2:$I$25,MATCH(A58,Survey!$W$2:$W$25,0)),""))</f>
        <v/>
      </c>
      <c r="N58">
        <f>IF(B58="Ad_A",INDEX(Survey!$X$2:$X$25,MATCH(A58,Survey!$W$2:$W$25,0)),IF(B58="Ad_B",INDEX(Survey!$Y$2:$Y$25,MATCH(A58,Survey!$W$2:$W$25,0)),""))</f>
        <v/>
      </c>
    </row>
    <row r="59">
      <c r="A59" s="7" t="inlineStr">
        <is>
          <t>P20</t>
        </is>
      </c>
      <c r="B59" s="7" t="inlineStr">
        <is>
          <t>Baseline</t>
        </is>
      </c>
      <c r="C59">
        <f>A59&amp;"|Stimulus|"&amp;B59&amp;"|"&amp;B59</f>
        <v/>
      </c>
      <c r="D59">
        <f>INDEX(GSR_Import!$N$2:$N$171,MATCH(C59,GSR_Import!$S$2:$S$171,0))</f>
        <v/>
      </c>
      <c r="E59">
        <f>INDEX(GSR_Import!$U$2:$U$171,MATCH(C59,GSR_Import!$S$2:$S$171,0))</f>
        <v/>
      </c>
      <c r="F59">
        <f>IF(E59=1,D59,"")</f>
        <v/>
      </c>
      <c r="G59">
        <f>A59&amp;"|"&amp;B59</f>
        <v/>
      </c>
      <c r="H59">
        <f>INDEX(DataQuality!$D$2:$D$123,MATCH(G59,DataQuality!$L$2:$L$123,0))</f>
        <v/>
      </c>
      <c r="I59">
        <f>INDEX(DataQuality!$F$2:$F$123,MATCH(G59,DataQuality!$L$2:$L$123,0))</f>
        <v/>
      </c>
      <c r="J59">
        <f>MIN(INDEX(DataQuality!$D$2:$D$123,MATCH(A59&amp;"|Ad_A",DataQuality!$L$2:$L$123,0)),INDEX(DataQuality!$D$2:$D$123,MATCH(A59&amp;"|Ad_B",DataQuality!$L$2:$L$123,0)))</f>
        <v/>
      </c>
      <c r="K59">
        <f>MIN(INDEX(DataQuality!$F$2:$F$123,MATCH(A59&amp;"|Ad_A",DataQuality!$L$2:$L$123,0)),INDEX(DataQuality!$F$2:$F$123,MATCH(A59&amp;"|Ad_B",DataQuality!$L$2:$L$123,0)))</f>
        <v/>
      </c>
      <c r="L59">
        <f>IF(AND(J59&gt;=90,K59&gt;=80),1,0)</f>
        <v/>
      </c>
      <c r="M59">
        <f>IF(B59="Ad_A",INDEX(Survey!$G$2:$G$25,MATCH(A59,Survey!$W$2:$W$25,0)),IF(B59="Ad_B",INDEX(Survey!$I$2:$I$25,MATCH(A59,Survey!$W$2:$W$25,0)),""))</f>
        <v/>
      </c>
      <c r="N59">
        <f>IF(B59="Ad_A",INDEX(Survey!$X$2:$X$25,MATCH(A59,Survey!$W$2:$W$25,0)),IF(B59="Ad_B",INDEX(Survey!$Y$2:$Y$25,MATCH(A59,Survey!$W$2:$W$25,0)),""))</f>
        <v/>
      </c>
    </row>
    <row r="60">
      <c r="A60" s="7" t="inlineStr">
        <is>
          <t>P20</t>
        </is>
      </c>
      <c r="B60" s="7" t="inlineStr">
        <is>
          <t>Ad_A</t>
        </is>
      </c>
      <c r="C60">
        <f>A60&amp;"|Stimulus|"&amp;B60&amp;"|"&amp;B60</f>
        <v/>
      </c>
      <c r="D60">
        <f>INDEX(GSR_Import!$N$2:$N$171,MATCH(C60,GSR_Import!$S$2:$S$171,0))</f>
        <v/>
      </c>
      <c r="E60">
        <f>INDEX(GSR_Import!$U$2:$U$171,MATCH(C60,GSR_Import!$S$2:$S$171,0))</f>
        <v/>
      </c>
      <c r="F60">
        <f>IF(E60=1,D60,"")</f>
        <v/>
      </c>
      <c r="G60">
        <f>A60&amp;"|"&amp;B60</f>
        <v/>
      </c>
      <c r="H60">
        <f>INDEX(DataQuality!$D$2:$D$123,MATCH(G60,DataQuality!$L$2:$L$123,0))</f>
        <v/>
      </c>
      <c r="I60">
        <f>INDEX(DataQuality!$F$2:$F$123,MATCH(G60,DataQuality!$L$2:$L$123,0))</f>
        <v/>
      </c>
      <c r="J60">
        <f>MIN(INDEX(DataQuality!$D$2:$D$123,MATCH(A60&amp;"|Ad_A",DataQuality!$L$2:$L$123,0)),INDEX(DataQuality!$D$2:$D$123,MATCH(A60&amp;"|Ad_B",DataQuality!$L$2:$L$123,0)))</f>
        <v/>
      </c>
      <c r="K60">
        <f>MIN(INDEX(DataQuality!$F$2:$F$123,MATCH(A60&amp;"|Ad_A",DataQuality!$L$2:$L$123,0)),INDEX(DataQuality!$F$2:$F$123,MATCH(A60&amp;"|Ad_B",DataQuality!$L$2:$L$123,0)))</f>
        <v/>
      </c>
      <c r="L60">
        <f>IF(AND(J60&gt;=90,K60&gt;=80),1,0)</f>
        <v/>
      </c>
      <c r="M60">
        <f>IF(B60="Ad_A",INDEX(Survey!$G$2:$G$25,MATCH(A60,Survey!$W$2:$W$25,0)),IF(B60="Ad_B",INDEX(Survey!$I$2:$I$25,MATCH(A60,Survey!$W$2:$W$25,0)),""))</f>
        <v/>
      </c>
      <c r="N60">
        <f>IF(B60="Ad_A",INDEX(Survey!$X$2:$X$25,MATCH(A60,Survey!$W$2:$W$25,0)),IF(B60="Ad_B",INDEX(Survey!$Y$2:$Y$25,MATCH(A60,Survey!$W$2:$W$25,0)),""))</f>
        <v/>
      </c>
    </row>
    <row r="61">
      <c r="A61" s="7" t="inlineStr">
        <is>
          <t>P20</t>
        </is>
      </c>
      <c r="B61" s="7" t="inlineStr">
        <is>
          <t>Ad_B</t>
        </is>
      </c>
      <c r="C61">
        <f>A61&amp;"|Stimulus|"&amp;B61&amp;"|"&amp;B61</f>
        <v/>
      </c>
      <c r="D61">
        <f>INDEX(GSR_Import!$N$2:$N$171,MATCH(C61,GSR_Import!$S$2:$S$171,0))</f>
        <v/>
      </c>
      <c r="E61">
        <f>INDEX(GSR_Import!$U$2:$U$171,MATCH(C61,GSR_Import!$S$2:$S$171,0))</f>
        <v/>
      </c>
      <c r="F61">
        <f>IF(E61=1,D61,"")</f>
        <v/>
      </c>
      <c r="G61">
        <f>A61&amp;"|"&amp;B61</f>
        <v/>
      </c>
      <c r="H61">
        <f>INDEX(DataQuality!$D$2:$D$123,MATCH(G61,DataQuality!$L$2:$L$123,0))</f>
        <v/>
      </c>
      <c r="I61">
        <f>INDEX(DataQuality!$F$2:$F$123,MATCH(G61,DataQuality!$L$2:$L$123,0))</f>
        <v/>
      </c>
      <c r="J61">
        <f>MIN(INDEX(DataQuality!$D$2:$D$123,MATCH(A61&amp;"|Ad_A",DataQuality!$L$2:$L$123,0)),INDEX(DataQuality!$D$2:$D$123,MATCH(A61&amp;"|Ad_B",DataQuality!$L$2:$L$123,0)))</f>
        <v/>
      </c>
      <c r="K61">
        <f>MIN(INDEX(DataQuality!$F$2:$F$123,MATCH(A61&amp;"|Ad_A",DataQuality!$L$2:$L$123,0)),INDEX(DataQuality!$F$2:$F$123,MATCH(A61&amp;"|Ad_B",DataQuality!$L$2:$L$123,0)))</f>
        <v/>
      </c>
      <c r="L61">
        <f>IF(AND(J61&gt;=90,K61&gt;=80),1,0)</f>
        <v/>
      </c>
      <c r="M61">
        <f>IF(B61="Ad_A",INDEX(Survey!$G$2:$G$25,MATCH(A61,Survey!$W$2:$W$25,0)),IF(B61="Ad_B",INDEX(Survey!$I$2:$I$25,MATCH(A61,Survey!$W$2:$W$25,0)),""))</f>
        <v/>
      </c>
      <c r="N61">
        <f>IF(B61="Ad_A",INDEX(Survey!$X$2:$X$25,MATCH(A61,Survey!$W$2:$W$25,0)),IF(B61="Ad_B",INDEX(Survey!$Y$2:$Y$25,MATCH(A61,Survey!$W$2:$W$25,0)),""))</f>
        <v/>
      </c>
    </row>
    <row r="62">
      <c r="A62" s="7" t="inlineStr">
        <is>
          <t>P21</t>
        </is>
      </c>
      <c r="B62" s="7" t="inlineStr">
        <is>
          <t>Baseline</t>
        </is>
      </c>
      <c r="C62">
        <f>A62&amp;"|Stimulus|"&amp;B62&amp;"|"&amp;B62</f>
        <v/>
      </c>
      <c r="D62">
        <f>INDEX(GSR_Import!$N$2:$N$171,MATCH(C62,GSR_Import!$S$2:$S$171,0))</f>
        <v/>
      </c>
      <c r="E62">
        <f>INDEX(GSR_Import!$U$2:$U$171,MATCH(C62,GSR_Import!$S$2:$S$171,0))</f>
        <v/>
      </c>
      <c r="F62">
        <f>IF(E62=1,D62,"")</f>
        <v/>
      </c>
      <c r="G62">
        <f>A62&amp;"|"&amp;B62</f>
        <v/>
      </c>
      <c r="H62">
        <f>INDEX(DataQuality!$D$2:$D$123,MATCH(G62,DataQuality!$L$2:$L$123,0))</f>
        <v/>
      </c>
      <c r="I62">
        <f>INDEX(DataQuality!$F$2:$F$123,MATCH(G62,DataQuality!$L$2:$L$123,0))</f>
        <v/>
      </c>
      <c r="J62">
        <f>MIN(INDEX(DataQuality!$D$2:$D$123,MATCH(A62&amp;"|Ad_A",DataQuality!$L$2:$L$123,0)),INDEX(DataQuality!$D$2:$D$123,MATCH(A62&amp;"|Ad_B",DataQuality!$L$2:$L$123,0)))</f>
        <v/>
      </c>
      <c r="K62">
        <f>MIN(INDEX(DataQuality!$F$2:$F$123,MATCH(A62&amp;"|Ad_A",DataQuality!$L$2:$L$123,0)),INDEX(DataQuality!$F$2:$F$123,MATCH(A62&amp;"|Ad_B",DataQuality!$L$2:$L$123,0)))</f>
        <v/>
      </c>
      <c r="L62">
        <f>IF(AND(J62&gt;=90,K62&gt;=80),1,0)</f>
        <v/>
      </c>
      <c r="M62">
        <f>IF(B62="Ad_A",INDEX(Survey!$G$2:$G$25,MATCH(A62,Survey!$W$2:$W$25,0)),IF(B62="Ad_B",INDEX(Survey!$I$2:$I$25,MATCH(A62,Survey!$W$2:$W$25,0)),""))</f>
        <v/>
      </c>
      <c r="N62">
        <f>IF(B62="Ad_A",INDEX(Survey!$X$2:$X$25,MATCH(A62,Survey!$W$2:$W$25,0)),IF(B62="Ad_B",INDEX(Survey!$Y$2:$Y$25,MATCH(A62,Survey!$W$2:$W$25,0)),""))</f>
        <v/>
      </c>
    </row>
    <row r="63">
      <c r="A63" s="7" t="inlineStr">
        <is>
          <t>P21</t>
        </is>
      </c>
      <c r="B63" s="7" t="inlineStr">
        <is>
          <t>Ad_A</t>
        </is>
      </c>
      <c r="C63">
        <f>A63&amp;"|Stimulus|"&amp;B63&amp;"|"&amp;B63</f>
        <v/>
      </c>
      <c r="D63">
        <f>INDEX(GSR_Import!$N$2:$N$171,MATCH(C63,GSR_Import!$S$2:$S$171,0))</f>
        <v/>
      </c>
      <c r="E63">
        <f>INDEX(GSR_Import!$U$2:$U$171,MATCH(C63,GSR_Import!$S$2:$S$171,0))</f>
        <v/>
      </c>
      <c r="F63">
        <f>IF(E63=1,D63,"")</f>
        <v/>
      </c>
      <c r="G63">
        <f>A63&amp;"|"&amp;B63</f>
        <v/>
      </c>
      <c r="H63">
        <f>INDEX(DataQuality!$D$2:$D$123,MATCH(G63,DataQuality!$L$2:$L$123,0))</f>
        <v/>
      </c>
      <c r="I63">
        <f>INDEX(DataQuality!$F$2:$F$123,MATCH(G63,DataQuality!$L$2:$L$123,0))</f>
        <v/>
      </c>
      <c r="J63">
        <f>MIN(INDEX(DataQuality!$D$2:$D$123,MATCH(A63&amp;"|Ad_A",DataQuality!$L$2:$L$123,0)),INDEX(DataQuality!$D$2:$D$123,MATCH(A63&amp;"|Ad_B",DataQuality!$L$2:$L$123,0)))</f>
        <v/>
      </c>
      <c r="K63">
        <f>MIN(INDEX(DataQuality!$F$2:$F$123,MATCH(A63&amp;"|Ad_A",DataQuality!$L$2:$L$123,0)),INDEX(DataQuality!$F$2:$F$123,MATCH(A63&amp;"|Ad_B",DataQuality!$L$2:$L$123,0)))</f>
        <v/>
      </c>
      <c r="L63">
        <f>IF(AND(J63&gt;=90,K63&gt;=80),1,0)</f>
        <v/>
      </c>
      <c r="M63">
        <f>IF(B63="Ad_A",INDEX(Survey!$G$2:$G$25,MATCH(A63,Survey!$W$2:$W$25,0)),IF(B63="Ad_B",INDEX(Survey!$I$2:$I$25,MATCH(A63,Survey!$W$2:$W$25,0)),""))</f>
        <v/>
      </c>
      <c r="N63">
        <f>IF(B63="Ad_A",INDEX(Survey!$X$2:$X$25,MATCH(A63,Survey!$W$2:$W$25,0)),IF(B63="Ad_B",INDEX(Survey!$Y$2:$Y$25,MATCH(A63,Survey!$W$2:$W$25,0)),""))</f>
        <v/>
      </c>
    </row>
    <row r="64">
      <c r="A64" s="7" t="inlineStr">
        <is>
          <t>P21</t>
        </is>
      </c>
      <c r="B64" s="7" t="inlineStr">
        <is>
          <t>Ad_B</t>
        </is>
      </c>
      <c r="C64">
        <f>A64&amp;"|Stimulus|"&amp;B64&amp;"|"&amp;B64</f>
        <v/>
      </c>
      <c r="D64">
        <f>INDEX(GSR_Import!$N$2:$N$171,MATCH(C64,GSR_Import!$S$2:$S$171,0))</f>
        <v/>
      </c>
      <c r="E64">
        <f>INDEX(GSR_Import!$U$2:$U$171,MATCH(C64,GSR_Import!$S$2:$S$171,0))</f>
        <v/>
      </c>
      <c r="F64">
        <f>IF(E64=1,D64,"")</f>
        <v/>
      </c>
      <c r="G64">
        <f>A64&amp;"|"&amp;B64</f>
        <v/>
      </c>
      <c r="H64">
        <f>INDEX(DataQuality!$D$2:$D$123,MATCH(G64,DataQuality!$L$2:$L$123,0))</f>
        <v/>
      </c>
      <c r="I64">
        <f>INDEX(DataQuality!$F$2:$F$123,MATCH(G64,DataQuality!$L$2:$L$123,0))</f>
        <v/>
      </c>
      <c r="J64">
        <f>MIN(INDEX(DataQuality!$D$2:$D$123,MATCH(A64&amp;"|Ad_A",DataQuality!$L$2:$L$123,0)),INDEX(DataQuality!$D$2:$D$123,MATCH(A64&amp;"|Ad_B",DataQuality!$L$2:$L$123,0)))</f>
        <v/>
      </c>
      <c r="K64">
        <f>MIN(INDEX(DataQuality!$F$2:$F$123,MATCH(A64&amp;"|Ad_A",DataQuality!$L$2:$L$123,0)),INDEX(DataQuality!$F$2:$F$123,MATCH(A64&amp;"|Ad_B",DataQuality!$L$2:$L$123,0)))</f>
        <v/>
      </c>
      <c r="L64">
        <f>IF(AND(J64&gt;=90,K64&gt;=80),1,0)</f>
        <v/>
      </c>
      <c r="M64">
        <f>IF(B64="Ad_A",INDEX(Survey!$G$2:$G$25,MATCH(A64,Survey!$W$2:$W$25,0)),IF(B64="Ad_B",INDEX(Survey!$I$2:$I$25,MATCH(A64,Survey!$W$2:$W$25,0)),""))</f>
        <v/>
      </c>
      <c r="N64">
        <f>IF(B64="Ad_A",INDEX(Survey!$X$2:$X$25,MATCH(A64,Survey!$W$2:$W$25,0)),IF(B64="Ad_B",INDEX(Survey!$Y$2:$Y$25,MATCH(A64,Survey!$W$2:$W$25,0)),""))</f>
        <v/>
      </c>
    </row>
    <row r="65">
      <c r="A65" s="7" t="inlineStr">
        <is>
          <t>P22</t>
        </is>
      </c>
      <c r="B65" s="7" t="inlineStr">
        <is>
          <t>Baseline</t>
        </is>
      </c>
      <c r="C65">
        <f>A65&amp;"|Stimulus|"&amp;B65&amp;"|"&amp;B65</f>
        <v/>
      </c>
      <c r="D65">
        <f>INDEX(GSR_Import!$N$2:$N$171,MATCH(C65,GSR_Import!$S$2:$S$171,0))</f>
        <v/>
      </c>
      <c r="E65">
        <f>INDEX(GSR_Import!$U$2:$U$171,MATCH(C65,GSR_Import!$S$2:$S$171,0))</f>
        <v/>
      </c>
      <c r="F65">
        <f>IF(E65=1,D65,"")</f>
        <v/>
      </c>
      <c r="G65">
        <f>A65&amp;"|"&amp;B65</f>
        <v/>
      </c>
      <c r="H65">
        <f>INDEX(DataQuality!$D$2:$D$123,MATCH(G65,DataQuality!$L$2:$L$123,0))</f>
        <v/>
      </c>
      <c r="I65">
        <f>INDEX(DataQuality!$F$2:$F$123,MATCH(G65,DataQuality!$L$2:$L$123,0))</f>
        <v/>
      </c>
      <c r="J65">
        <f>MIN(INDEX(DataQuality!$D$2:$D$123,MATCH(A65&amp;"|Ad_A",DataQuality!$L$2:$L$123,0)),INDEX(DataQuality!$D$2:$D$123,MATCH(A65&amp;"|Ad_B",DataQuality!$L$2:$L$123,0)))</f>
        <v/>
      </c>
      <c r="K65">
        <f>MIN(INDEX(DataQuality!$F$2:$F$123,MATCH(A65&amp;"|Ad_A",DataQuality!$L$2:$L$123,0)),INDEX(DataQuality!$F$2:$F$123,MATCH(A65&amp;"|Ad_B",DataQuality!$L$2:$L$123,0)))</f>
        <v/>
      </c>
      <c r="L65">
        <f>IF(AND(J65&gt;=90,K65&gt;=80),1,0)</f>
        <v/>
      </c>
      <c r="M65">
        <f>IF(B65="Ad_A",INDEX(Survey!$G$2:$G$25,MATCH(A65,Survey!$W$2:$W$25,0)),IF(B65="Ad_B",INDEX(Survey!$I$2:$I$25,MATCH(A65,Survey!$W$2:$W$25,0)),""))</f>
        <v/>
      </c>
      <c r="N65">
        <f>IF(B65="Ad_A",INDEX(Survey!$X$2:$X$25,MATCH(A65,Survey!$W$2:$W$25,0)),IF(B65="Ad_B",INDEX(Survey!$Y$2:$Y$25,MATCH(A65,Survey!$W$2:$W$25,0)),""))</f>
        <v/>
      </c>
    </row>
    <row r="66">
      <c r="A66" s="7" t="inlineStr">
        <is>
          <t>P22</t>
        </is>
      </c>
      <c r="B66" s="7" t="inlineStr">
        <is>
          <t>Ad_A</t>
        </is>
      </c>
      <c r="C66">
        <f>A66&amp;"|Stimulus|"&amp;B66&amp;"|"&amp;B66</f>
        <v/>
      </c>
      <c r="D66">
        <f>INDEX(GSR_Import!$N$2:$N$171,MATCH(C66,GSR_Import!$S$2:$S$171,0))</f>
        <v/>
      </c>
      <c r="E66">
        <f>INDEX(GSR_Import!$U$2:$U$171,MATCH(C66,GSR_Import!$S$2:$S$171,0))</f>
        <v/>
      </c>
      <c r="F66">
        <f>IF(E66=1,D66,"")</f>
        <v/>
      </c>
      <c r="G66">
        <f>A66&amp;"|"&amp;B66</f>
        <v/>
      </c>
      <c r="H66">
        <f>INDEX(DataQuality!$D$2:$D$123,MATCH(G66,DataQuality!$L$2:$L$123,0))</f>
        <v/>
      </c>
      <c r="I66">
        <f>INDEX(DataQuality!$F$2:$F$123,MATCH(G66,DataQuality!$L$2:$L$123,0))</f>
        <v/>
      </c>
      <c r="J66">
        <f>MIN(INDEX(DataQuality!$D$2:$D$123,MATCH(A66&amp;"|Ad_A",DataQuality!$L$2:$L$123,0)),INDEX(DataQuality!$D$2:$D$123,MATCH(A66&amp;"|Ad_B",DataQuality!$L$2:$L$123,0)))</f>
        <v/>
      </c>
      <c r="K66">
        <f>MIN(INDEX(DataQuality!$F$2:$F$123,MATCH(A66&amp;"|Ad_A",DataQuality!$L$2:$L$123,0)),INDEX(DataQuality!$F$2:$F$123,MATCH(A66&amp;"|Ad_B",DataQuality!$L$2:$L$123,0)))</f>
        <v/>
      </c>
      <c r="L66">
        <f>IF(AND(J66&gt;=90,K66&gt;=80),1,0)</f>
        <v/>
      </c>
      <c r="M66">
        <f>IF(B66="Ad_A",INDEX(Survey!$G$2:$G$25,MATCH(A66,Survey!$W$2:$W$25,0)),IF(B66="Ad_B",INDEX(Survey!$I$2:$I$25,MATCH(A66,Survey!$W$2:$W$25,0)),""))</f>
        <v/>
      </c>
      <c r="N66">
        <f>IF(B66="Ad_A",INDEX(Survey!$X$2:$X$25,MATCH(A66,Survey!$W$2:$W$25,0)),IF(B66="Ad_B",INDEX(Survey!$Y$2:$Y$25,MATCH(A66,Survey!$W$2:$W$25,0)),""))</f>
        <v/>
      </c>
    </row>
    <row r="67">
      <c r="A67" s="7" t="inlineStr">
        <is>
          <t>P22</t>
        </is>
      </c>
      <c r="B67" s="7" t="inlineStr">
        <is>
          <t>Ad_B</t>
        </is>
      </c>
      <c r="C67">
        <f>A67&amp;"|Stimulus|"&amp;B67&amp;"|"&amp;B67</f>
        <v/>
      </c>
      <c r="D67">
        <f>INDEX(GSR_Import!$N$2:$N$171,MATCH(C67,GSR_Import!$S$2:$S$171,0))</f>
        <v/>
      </c>
      <c r="E67">
        <f>INDEX(GSR_Import!$U$2:$U$171,MATCH(C67,GSR_Import!$S$2:$S$171,0))</f>
        <v/>
      </c>
      <c r="F67">
        <f>IF(E67=1,D67,"")</f>
        <v/>
      </c>
      <c r="G67">
        <f>A67&amp;"|"&amp;B67</f>
        <v/>
      </c>
      <c r="H67">
        <f>INDEX(DataQuality!$D$2:$D$123,MATCH(G67,DataQuality!$L$2:$L$123,0))</f>
        <v/>
      </c>
      <c r="I67">
        <f>INDEX(DataQuality!$F$2:$F$123,MATCH(G67,DataQuality!$L$2:$L$123,0))</f>
        <v/>
      </c>
      <c r="J67">
        <f>MIN(INDEX(DataQuality!$D$2:$D$123,MATCH(A67&amp;"|Ad_A",DataQuality!$L$2:$L$123,0)),INDEX(DataQuality!$D$2:$D$123,MATCH(A67&amp;"|Ad_B",DataQuality!$L$2:$L$123,0)))</f>
        <v/>
      </c>
      <c r="K67">
        <f>MIN(INDEX(DataQuality!$F$2:$F$123,MATCH(A67&amp;"|Ad_A",DataQuality!$L$2:$L$123,0)),INDEX(DataQuality!$F$2:$F$123,MATCH(A67&amp;"|Ad_B",DataQuality!$L$2:$L$123,0)))</f>
        <v/>
      </c>
      <c r="L67">
        <f>IF(AND(J67&gt;=90,K67&gt;=80),1,0)</f>
        <v/>
      </c>
      <c r="M67">
        <f>IF(B67="Ad_A",INDEX(Survey!$G$2:$G$25,MATCH(A67,Survey!$W$2:$W$25,0)),IF(B67="Ad_B",INDEX(Survey!$I$2:$I$25,MATCH(A67,Survey!$W$2:$W$25,0)),""))</f>
        <v/>
      </c>
      <c r="N67">
        <f>IF(B67="Ad_A",INDEX(Survey!$X$2:$X$25,MATCH(A67,Survey!$W$2:$W$25,0)),IF(B67="Ad_B",INDEX(Survey!$Y$2:$Y$25,MATCH(A67,Survey!$W$2:$W$25,0)),""))</f>
        <v/>
      </c>
    </row>
    <row r="68">
      <c r="A68" s="7" t="inlineStr">
        <is>
          <t>P23</t>
        </is>
      </c>
      <c r="B68" s="7" t="inlineStr">
        <is>
          <t>Baseline</t>
        </is>
      </c>
      <c r="C68">
        <f>A68&amp;"|Stimulus|"&amp;B68&amp;"|"&amp;B68</f>
        <v/>
      </c>
      <c r="D68">
        <f>INDEX(GSR_Import!$N$2:$N$171,MATCH(C68,GSR_Import!$S$2:$S$171,0))</f>
        <v/>
      </c>
      <c r="E68">
        <f>INDEX(GSR_Import!$U$2:$U$171,MATCH(C68,GSR_Import!$S$2:$S$171,0))</f>
        <v/>
      </c>
      <c r="F68">
        <f>IF(E68=1,D68,"")</f>
        <v/>
      </c>
      <c r="G68">
        <f>A68&amp;"|"&amp;B68</f>
        <v/>
      </c>
      <c r="H68">
        <f>INDEX(DataQuality!$D$2:$D$123,MATCH(G68,DataQuality!$L$2:$L$123,0))</f>
        <v/>
      </c>
      <c r="I68">
        <f>INDEX(DataQuality!$F$2:$F$123,MATCH(G68,DataQuality!$L$2:$L$123,0))</f>
        <v/>
      </c>
      <c r="J68">
        <f>MIN(INDEX(DataQuality!$D$2:$D$123,MATCH(A68&amp;"|Ad_A",DataQuality!$L$2:$L$123,0)),INDEX(DataQuality!$D$2:$D$123,MATCH(A68&amp;"|Ad_B",DataQuality!$L$2:$L$123,0)))</f>
        <v/>
      </c>
      <c r="K68">
        <f>MIN(INDEX(DataQuality!$F$2:$F$123,MATCH(A68&amp;"|Ad_A",DataQuality!$L$2:$L$123,0)),INDEX(DataQuality!$F$2:$F$123,MATCH(A68&amp;"|Ad_B",DataQuality!$L$2:$L$123,0)))</f>
        <v/>
      </c>
      <c r="L68">
        <f>IF(AND(J68&gt;=90,K68&gt;=80),1,0)</f>
        <v/>
      </c>
      <c r="M68">
        <f>IF(B68="Ad_A",INDEX(Survey!$G$2:$G$25,MATCH(A68,Survey!$W$2:$W$25,0)),IF(B68="Ad_B",INDEX(Survey!$I$2:$I$25,MATCH(A68,Survey!$W$2:$W$25,0)),""))</f>
        <v/>
      </c>
      <c r="N68">
        <f>IF(B68="Ad_A",INDEX(Survey!$X$2:$X$25,MATCH(A68,Survey!$W$2:$W$25,0)),IF(B68="Ad_B",INDEX(Survey!$Y$2:$Y$25,MATCH(A68,Survey!$W$2:$W$25,0)),""))</f>
        <v/>
      </c>
    </row>
    <row r="69">
      <c r="A69" s="7" t="inlineStr">
        <is>
          <t>P23</t>
        </is>
      </c>
      <c r="B69" s="7" t="inlineStr">
        <is>
          <t>Ad_A</t>
        </is>
      </c>
      <c r="C69">
        <f>A69&amp;"|Stimulus|"&amp;B69&amp;"|"&amp;B69</f>
        <v/>
      </c>
      <c r="D69">
        <f>INDEX(GSR_Import!$N$2:$N$171,MATCH(C69,GSR_Import!$S$2:$S$171,0))</f>
        <v/>
      </c>
      <c r="E69">
        <f>INDEX(GSR_Import!$U$2:$U$171,MATCH(C69,GSR_Import!$S$2:$S$171,0))</f>
        <v/>
      </c>
      <c r="F69">
        <f>IF(E69=1,D69,"")</f>
        <v/>
      </c>
      <c r="G69">
        <f>A69&amp;"|"&amp;B69</f>
        <v/>
      </c>
      <c r="H69">
        <f>INDEX(DataQuality!$D$2:$D$123,MATCH(G69,DataQuality!$L$2:$L$123,0))</f>
        <v/>
      </c>
      <c r="I69">
        <f>INDEX(DataQuality!$F$2:$F$123,MATCH(G69,DataQuality!$L$2:$L$123,0))</f>
        <v/>
      </c>
      <c r="J69">
        <f>MIN(INDEX(DataQuality!$D$2:$D$123,MATCH(A69&amp;"|Ad_A",DataQuality!$L$2:$L$123,0)),INDEX(DataQuality!$D$2:$D$123,MATCH(A69&amp;"|Ad_B",DataQuality!$L$2:$L$123,0)))</f>
        <v/>
      </c>
      <c r="K69">
        <f>MIN(INDEX(DataQuality!$F$2:$F$123,MATCH(A69&amp;"|Ad_A",DataQuality!$L$2:$L$123,0)),INDEX(DataQuality!$F$2:$F$123,MATCH(A69&amp;"|Ad_B",DataQuality!$L$2:$L$123,0)))</f>
        <v/>
      </c>
      <c r="L69">
        <f>IF(AND(J69&gt;=90,K69&gt;=80),1,0)</f>
        <v/>
      </c>
      <c r="M69">
        <f>IF(B69="Ad_A",INDEX(Survey!$G$2:$G$25,MATCH(A69,Survey!$W$2:$W$25,0)),IF(B69="Ad_B",INDEX(Survey!$I$2:$I$25,MATCH(A69,Survey!$W$2:$W$25,0)),""))</f>
        <v/>
      </c>
      <c r="N69">
        <f>IF(B69="Ad_A",INDEX(Survey!$X$2:$X$25,MATCH(A69,Survey!$W$2:$W$25,0)),IF(B69="Ad_B",INDEX(Survey!$Y$2:$Y$25,MATCH(A69,Survey!$W$2:$W$25,0)),""))</f>
        <v/>
      </c>
    </row>
    <row r="70">
      <c r="A70" s="7" t="inlineStr">
        <is>
          <t>P23</t>
        </is>
      </c>
      <c r="B70" s="7" t="inlineStr">
        <is>
          <t>Ad_B</t>
        </is>
      </c>
      <c r="C70">
        <f>A70&amp;"|Stimulus|"&amp;B70&amp;"|"&amp;B70</f>
        <v/>
      </c>
      <c r="D70">
        <f>INDEX(GSR_Import!$N$2:$N$171,MATCH(C70,GSR_Import!$S$2:$S$171,0))</f>
        <v/>
      </c>
      <c r="E70">
        <f>INDEX(GSR_Import!$U$2:$U$171,MATCH(C70,GSR_Import!$S$2:$S$171,0))</f>
        <v/>
      </c>
      <c r="F70">
        <f>IF(E70=1,D70,"")</f>
        <v/>
      </c>
      <c r="G70">
        <f>A70&amp;"|"&amp;B70</f>
        <v/>
      </c>
      <c r="H70">
        <f>INDEX(DataQuality!$D$2:$D$123,MATCH(G70,DataQuality!$L$2:$L$123,0))</f>
        <v/>
      </c>
      <c r="I70">
        <f>INDEX(DataQuality!$F$2:$F$123,MATCH(G70,DataQuality!$L$2:$L$123,0))</f>
        <v/>
      </c>
      <c r="J70">
        <f>MIN(INDEX(DataQuality!$D$2:$D$123,MATCH(A70&amp;"|Ad_A",DataQuality!$L$2:$L$123,0)),INDEX(DataQuality!$D$2:$D$123,MATCH(A70&amp;"|Ad_B",DataQuality!$L$2:$L$123,0)))</f>
        <v/>
      </c>
      <c r="K70">
        <f>MIN(INDEX(DataQuality!$F$2:$F$123,MATCH(A70&amp;"|Ad_A",DataQuality!$L$2:$L$123,0)),INDEX(DataQuality!$F$2:$F$123,MATCH(A70&amp;"|Ad_B",DataQuality!$L$2:$L$123,0)))</f>
        <v/>
      </c>
      <c r="L70">
        <f>IF(AND(J70&gt;=90,K70&gt;=80),1,0)</f>
        <v/>
      </c>
      <c r="M70">
        <f>IF(B70="Ad_A",INDEX(Survey!$G$2:$G$25,MATCH(A70,Survey!$W$2:$W$25,0)),IF(B70="Ad_B",INDEX(Survey!$I$2:$I$25,MATCH(A70,Survey!$W$2:$W$25,0)),""))</f>
        <v/>
      </c>
      <c r="N70">
        <f>IF(B70="Ad_A",INDEX(Survey!$X$2:$X$25,MATCH(A70,Survey!$W$2:$W$25,0)),IF(B70="Ad_B",INDEX(Survey!$Y$2:$Y$25,MATCH(A70,Survey!$W$2:$W$25,0)),""))</f>
        <v/>
      </c>
    </row>
    <row r="71">
      <c r="A71" s="7" t="inlineStr">
        <is>
          <t>P24</t>
        </is>
      </c>
      <c r="B71" s="7" t="inlineStr">
        <is>
          <t>Baseline</t>
        </is>
      </c>
      <c r="C71">
        <f>A71&amp;"|Stimulus|"&amp;B71&amp;"|"&amp;B71</f>
        <v/>
      </c>
      <c r="D71">
        <f>INDEX(GSR_Import!$N$2:$N$171,MATCH(C71,GSR_Import!$S$2:$S$171,0))</f>
        <v/>
      </c>
      <c r="E71">
        <f>INDEX(GSR_Import!$U$2:$U$171,MATCH(C71,GSR_Import!$S$2:$S$171,0))</f>
        <v/>
      </c>
      <c r="F71">
        <f>IF(E71=1,D71,"")</f>
        <v/>
      </c>
      <c r="G71">
        <f>A71&amp;"|"&amp;B71</f>
        <v/>
      </c>
      <c r="H71">
        <f>INDEX(DataQuality!$D$2:$D$123,MATCH(G71,DataQuality!$L$2:$L$123,0))</f>
        <v/>
      </c>
      <c r="I71">
        <f>INDEX(DataQuality!$F$2:$F$123,MATCH(G71,DataQuality!$L$2:$L$123,0))</f>
        <v/>
      </c>
      <c r="J71">
        <f>MIN(INDEX(DataQuality!$D$2:$D$123,MATCH(A71&amp;"|Ad_A",DataQuality!$L$2:$L$123,0)),INDEX(DataQuality!$D$2:$D$123,MATCH(A71&amp;"|Ad_B",DataQuality!$L$2:$L$123,0)))</f>
        <v/>
      </c>
      <c r="K71">
        <f>MIN(INDEX(DataQuality!$F$2:$F$123,MATCH(A71&amp;"|Ad_A",DataQuality!$L$2:$L$123,0)),INDEX(DataQuality!$F$2:$F$123,MATCH(A71&amp;"|Ad_B",DataQuality!$L$2:$L$123,0)))</f>
        <v/>
      </c>
      <c r="L71">
        <f>IF(AND(J71&gt;=90,K71&gt;=80),1,0)</f>
        <v/>
      </c>
      <c r="M71">
        <f>IF(B71="Ad_A",INDEX(Survey!$G$2:$G$25,MATCH(A71,Survey!$W$2:$W$25,0)),IF(B71="Ad_B",INDEX(Survey!$I$2:$I$25,MATCH(A71,Survey!$W$2:$W$25,0)),""))</f>
        <v/>
      </c>
      <c r="N71">
        <f>IF(B71="Ad_A",INDEX(Survey!$X$2:$X$25,MATCH(A71,Survey!$W$2:$W$25,0)),IF(B71="Ad_B",INDEX(Survey!$Y$2:$Y$25,MATCH(A71,Survey!$W$2:$W$25,0)),""))</f>
        <v/>
      </c>
    </row>
    <row r="72">
      <c r="A72" s="7" t="inlineStr">
        <is>
          <t>P24</t>
        </is>
      </c>
      <c r="B72" s="7" t="inlineStr">
        <is>
          <t>Ad_A</t>
        </is>
      </c>
      <c r="C72">
        <f>A72&amp;"|Stimulus|"&amp;B72&amp;"|"&amp;B72</f>
        <v/>
      </c>
      <c r="D72">
        <f>INDEX(GSR_Import!$N$2:$N$171,MATCH(C72,GSR_Import!$S$2:$S$171,0))</f>
        <v/>
      </c>
      <c r="E72">
        <f>INDEX(GSR_Import!$U$2:$U$171,MATCH(C72,GSR_Import!$S$2:$S$171,0))</f>
        <v/>
      </c>
      <c r="F72">
        <f>IF(E72=1,D72,"")</f>
        <v/>
      </c>
      <c r="G72">
        <f>A72&amp;"|"&amp;B72</f>
        <v/>
      </c>
      <c r="H72">
        <f>INDEX(DataQuality!$D$2:$D$123,MATCH(G72,DataQuality!$L$2:$L$123,0))</f>
        <v/>
      </c>
      <c r="I72">
        <f>INDEX(DataQuality!$F$2:$F$123,MATCH(G72,DataQuality!$L$2:$L$123,0))</f>
        <v/>
      </c>
      <c r="J72">
        <f>MIN(INDEX(DataQuality!$D$2:$D$123,MATCH(A72&amp;"|Ad_A",DataQuality!$L$2:$L$123,0)),INDEX(DataQuality!$D$2:$D$123,MATCH(A72&amp;"|Ad_B",DataQuality!$L$2:$L$123,0)))</f>
        <v/>
      </c>
      <c r="K72">
        <f>MIN(INDEX(DataQuality!$F$2:$F$123,MATCH(A72&amp;"|Ad_A",DataQuality!$L$2:$L$123,0)),INDEX(DataQuality!$F$2:$F$123,MATCH(A72&amp;"|Ad_B",DataQuality!$L$2:$L$123,0)))</f>
        <v/>
      </c>
      <c r="L72">
        <f>IF(AND(J72&gt;=90,K72&gt;=80),1,0)</f>
        <v/>
      </c>
      <c r="M72">
        <f>IF(B72="Ad_A",INDEX(Survey!$G$2:$G$25,MATCH(A72,Survey!$W$2:$W$25,0)),IF(B72="Ad_B",INDEX(Survey!$I$2:$I$25,MATCH(A72,Survey!$W$2:$W$25,0)),""))</f>
        <v/>
      </c>
      <c r="N72">
        <f>IF(B72="Ad_A",INDEX(Survey!$X$2:$X$25,MATCH(A72,Survey!$W$2:$W$25,0)),IF(B72="Ad_B",INDEX(Survey!$Y$2:$Y$25,MATCH(A72,Survey!$W$2:$W$25,0)),""))</f>
        <v/>
      </c>
    </row>
    <row r="73">
      <c r="A73" s="7" t="inlineStr">
        <is>
          <t>P24</t>
        </is>
      </c>
      <c r="B73" s="7" t="inlineStr">
        <is>
          <t>Ad_B</t>
        </is>
      </c>
      <c r="C73">
        <f>A73&amp;"|Stimulus|"&amp;B73&amp;"|"&amp;B73</f>
        <v/>
      </c>
      <c r="D73">
        <f>INDEX(GSR_Import!$N$2:$N$171,MATCH(C73,GSR_Import!$S$2:$S$171,0))</f>
        <v/>
      </c>
      <c r="E73">
        <f>INDEX(GSR_Import!$U$2:$U$171,MATCH(C73,GSR_Import!$S$2:$S$171,0))</f>
        <v/>
      </c>
      <c r="F73">
        <f>IF(E73=1,D73,"")</f>
        <v/>
      </c>
      <c r="G73">
        <f>A73&amp;"|"&amp;B73</f>
        <v/>
      </c>
      <c r="H73">
        <f>INDEX(DataQuality!$D$2:$D$123,MATCH(G73,DataQuality!$L$2:$L$123,0))</f>
        <v/>
      </c>
      <c r="I73">
        <f>INDEX(DataQuality!$F$2:$F$123,MATCH(G73,DataQuality!$L$2:$L$123,0))</f>
        <v/>
      </c>
      <c r="J73">
        <f>MIN(INDEX(DataQuality!$D$2:$D$123,MATCH(A73&amp;"|Ad_A",DataQuality!$L$2:$L$123,0)),INDEX(DataQuality!$D$2:$D$123,MATCH(A73&amp;"|Ad_B",DataQuality!$L$2:$L$123,0)))</f>
        <v/>
      </c>
      <c r="K73">
        <f>MIN(INDEX(DataQuality!$F$2:$F$123,MATCH(A73&amp;"|Ad_A",DataQuality!$L$2:$L$123,0)),INDEX(DataQuality!$F$2:$F$123,MATCH(A73&amp;"|Ad_B",DataQuality!$L$2:$L$123,0)))</f>
        <v/>
      </c>
      <c r="L73">
        <f>IF(AND(J73&gt;=90,K73&gt;=80),1,0)</f>
        <v/>
      </c>
      <c r="M73">
        <f>IF(B73="Ad_A",INDEX(Survey!$G$2:$G$25,MATCH(A73,Survey!$W$2:$W$25,0)),IF(B73="Ad_B",INDEX(Survey!$I$2:$I$25,MATCH(A73,Survey!$W$2:$W$25,0)),""))</f>
        <v/>
      </c>
      <c r="N73">
        <f>IF(B73="Ad_A",INDEX(Survey!$X$2:$X$25,MATCH(A73,Survey!$W$2:$W$25,0)),IF(B73="Ad_B",INDEX(Survey!$Y$2:$Y$25,MATCH(A73,Survey!$W$2:$W$25,0)),""))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11" customWidth="1" min="4" max="4"/>
    <col width="12" customWidth="1" min="5" max="5"/>
    <col width="26" customWidth="1" min="6" max="6"/>
  </cols>
  <sheetData>
    <row r="1">
      <c r="A1" s="1" t="inlineStr">
        <is>
          <t>Pivot summary: analysis sample (include = 1), GSR valid only for GSR. Built with AVERAGEIFS and COUNTIFS; a PivotTable gives the same numbers.</t>
        </is>
      </c>
    </row>
    <row r="3">
      <c r="A3" s="2" t="inlineStr">
        <is>
          <t>Stimulus</t>
        </is>
      </c>
      <c r="B3" s="2" t="inlineStr">
        <is>
          <t>n (GSR)</t>
        </is>
      </c>
      <c r="C3" s="2" t="inlineStr">
        <is>
          <t>Mean GSR Peaks Per Minute</t>
        </is>
      </c>
      <c r="D3" s="2" t="inlineStr">
        <is>
          <t>n (liking)</t>
        </is>
      </c>
      <c r="E3" s="2" t="inlineStr">
        <is>
          <t>Mean liking</t>
        </is>
      </c>
      <c r="F3" s="2" t="inlineStr">
        <is>
          <t>Brand recalled (proportion)</t>
        </is>
      </c>
    </row>
    <row r="4">
      <c r="A4" t="inlineStr">
        <is>
          <t>Baseline</t>
        </is>
      </c>
      <c r="B4" s="8">
        <f>COUNTIFS(Merged!$B$2:$B$73,A4,Merged!$L$2:$L$73,1,Merged!$E$2:$E$73,1)</f>
        <v/>
      </c>
      <c r="C4" s="4">
        <f>AVERAGEIFS(Merged!$D$2:$D$73,Merged!$B$2:$B$73,A4,Merged!$L$2:$L$73,1,Merged!$E$2:$E$73,1)</f>
        <v/>
      </c>
    </row>
    <row r="5">
      <c r="A5" t="inlineStr">
        <is>
          <t>Ad_A</t>
        </is>
      </c>
      <c r="B5" s="8">
        <f>COUNTIFS(Merged!$B$2:$B$73,A5,Merged!$L$2:$L$73,1,Merged!$E$2:$E$73,1)</f>
        <v/>
      </c>
      <c r="C5" s="4">
        <f>AVERAGEIFS(Merged!$D$2:$D$73,Merged!$B$2:$B$73,A5,Merged!$L$2:$L$73,1,Merged!$E$2:$E$73,1)</f>
        <v/>
      </c>
      <c r="D5" s="8">
        <f>COUNTIFS(Merged!$B$2:$B$73,A5,Merged!$L$2:$L$73,1)</f>
        <v/>
      </c>
      <c r="E5" s="4">
        <f>AVERAGEIFS(Merged!$M$2:$M$73,Merged!$B$2:$B$73,A5,Merged!$L$2:$L$73,1)</f>
        <v/>
      </c>
      <c r="F5" s="4">
        <f>AVERAGEIFS(Merged!$N$2:$N$73,Merged!$B$2:$B$73,A5,Merged!$L$2:$L$73,1)</f>
        <v/>
      </c>
    </row>
    <row r="6">
      <c r="A6" t="inlineStr">
        <is>
          <t>Ad_B</t>
        </is>
      </c>
      <c r="B6" s="8">
        <f>COUNTIFS(Merged!$B$2:$B$73,A6,Merged!$L$2:$L$73,1,Merged!$E$2:$E$73,1)</f>
        <v/>
      </c>
      <c r="C6" s="4">
        <f>AVERAGEIFS(Merged!$D$2:$D$73,Merged!$B$2:$B$73,A6,Merged!$L$2:$L$73,1,Merged!$E$2:$E$73,1)</f>
        <v/>
      </c>
      <c r="D6" s="8">
        <f>COUNTIFS(Merged!$B$2:$B$73,A6,Merged!$L$2:$L$73,1)</f>
        <v/>
      </c>
      <c r="E6" s="4">
        <f>AVERAGEIFS(Merged!$M$2:$M$73,Merged!$B$2:$B$73,A6,Merged!$L$2:$L$73,1)</f>
        <v/>
      </c>
      <c r="F6" s="4">
        <f>AVERAGEIFS(Merged!$N$2:$N$73,Merged!$B$2:$B$73,A6,Merged!$L$2:$L$73,1)</f>
        <v/>
      </c>
    </row>
    <row r="8">
      <c r="A8" s="6" t="inlineStr">
        <is>
          <t>To build the real PivotTable: click any cell of Merged, Insert &gt; PivotTable &gt; New Worksheet &gt; OK; drag stimulus to Rows, GSR Peaks Per Minute (analysis) to Values; right click the value, Value Field Settings, change Sum to Average; drag include (R2) to Filters and keep 1.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16" customWidth="1" min="4" max="4"/>
    <col width="4" customWidth="1" min="5" max="5"/>
    <col width="4" customWidth="1" min="6" max="6"/>
    <col width="34" customWidth="1" min="7" max="7"/>
    <col width="12" customWidth="1" min="8" max="8"/>
    <col width="34" customWidth="1" min="9" max="9"/>
    <col width="16" customWidth="1" min="10" max="10"/>
  </cols>
  <sheetData>
    <row r="1">
      <c r="A1" s="1" t="inlineStr">
        <is>
          <t>H3: GSR Peaks Per Minute, each ad versus Baseline (paired). Rosters: participants with include = 1 and valid GSR in both stimuli (static lists, checked on the Check sheet).</t>
        </is>
      </c>
    </row>
    <row r="3">
      <c r="A3" s="1" t="inlineStr">
        <is>
          <t>Ad_A versus Baseline</t>
        </is>
      </c>
      <c r="G3" s="1" t="inlineStr">
        <is>
          <t>Ad_B versus Baseline</t>
        </is>
      </c>
    </row>
    <row r="4">
      <c r="A4" s="2" t="inlineStr">
        <is>
          <t>participant_id</t>
        </is>
      </c>
      <c r="B4" s="2" t="inlineStr">
        <is>
          <t>Baseline</t>
        </is>
      </c>
      <c r="C4" s="3" t="inlineStr">
        <is>
          <t>Ad_A</t>
        </is>
      </c>
      <c r="D4" s="3" t="inlineStr">
        <is>
          <t>Ad_A minus Baseline</t>
        </is>
      </c>
      <c r="G4" s="2" t="inlineStr">
        <is>
          <t>participant_id</t>
        </is>
      </c>
      <c r="H4" s="2" t="inlineStr">
        <is>
          <t>Baseline</t>
        </is>
      </c>
      <c r="I4" s="3" t="inlineStr">
        <is>
          <t>Ad_B</t>
        </is>
      </c>
      <c r="J4" s="3" t="inlineStr">
        <is>
          <t>Ad_B minus Baseline</t>
        </is>
      </c>
    </row>
    <row r="5">
      <c r="A5" s="7" t="inlineStr">
        <is>
          <t>P01</t>
        </is>
      </c>
      <c r="B5">
        <f>INDEX(Merged!$F$2:$F$73,MATCH(A5&amp;"|Stimulus|Baseline|Baseline",Merged!$C$2:$C$73,0))</f>
        <v/>
      </c>
      <c r="C5">
        <f>INDEX(Merged!$F$2:$F$73,MATCH(A5&amp;"|Stimulus|Ad_A|Ad_A",Merged!$C$2:$C$73,0))</f>
        <v/>
      </c>
      <c r="D5">
        <f>C5-B5</f>
        <v/>
      </c>
      <c r="G5" s="7" t="inlineStr">
        <is>
          <t>P01</t>
        </is>
      </c>
      <c r="H5">
        <f>INDEX(Merged!$F$2:$F$73,MATCH(G5&amp;"|Stimulus|Baseline|Baseline",Merged!$C$2:$C$73,0))</f>
        <v/>
      </c>
      <c r="I5">
        <f>INDEX(Merged!$F$2:$F$73,MATCH(G5&amp;"|Stimulus|Ad_B|Ad_B",Merged!$C$2:$C$73,0))</f>
        <v/>
      </c>
      <c r="J5">
        <f>I5-H5</f>
        <v/>
      </c>
    </row>
    <row r="6">
      <c r="A6" s="7" t="inlineStr">
        <is>
          <t>P02</t>
        </is>
      </c>
      <c r="B6">
        <f>INDEX(Merged!$F$2:$F$73,MATCH(A6&amp;"|Stimulus|Baseline|Baseline",Merged!$C$2:$C$73,0))</f>
        <v/>
      </c>
      <c r="C6">
        <f>INDEX(Merged!$F$2:$F$73,MATCH(A6&amp;"|Stimulus|Ad_A|Ad_A",Merged!$C$2:$C$73,0))</f>
        <v/>
      </c>
      <c r="D6">
        <f>C6-B6</f>
        <v/>
      </c>
      <c r="G6" s="7" t="inlineStr">
        <is>
          <t>P02</t>
        </is>
      </c>
      <c r="H6">
        <f>INDEX(Merged!$F$2:$F$73,MATCH(G6&amp;"|Stimulus|Baseline|Baseline",Merged!$C$2:$C$73,0))</f>
        <v/>
      </c>
      <c r="I6">
        <f>INDEX(Merged!$F$2:$F$73,MATCH(G6&amp;"|Stimulus|Ad_B|Ad_B",Merged!$C$2:$C$73,0))</f>
        <v/>
      </c>
      <c r="J6">
        <f>I6-H6</f>
        <v/>
      </c>
    </row>
    <row r="7">
      <c r="A7" s="7" t="inlineStr">
        <is>
          <t>P03</t>
        </is>
      </c>
      <c r="B7">
        <f>INDEX(Merged!$F$2:$F$73,MATCH(A7&amp;"|Stimulus|Baseline|Baseline",Merged!$C$2:$C$73,0))</f>
        <v/>
      </c>
      <c r="C7">
        <f>INDEX(Merged!$F$2:$F$73,MATCH(A7&amp;"|Stimulus|Ad_A|Ad_A",Merged!$C$2:$C$73,0))</f>
        <v/>
      </c>
      <c r="D7">
        <f>C7-B7</f>
        <v/>
      </c>
      <c r="G7" s="7" t="inlineStr">
        <is>
          <t>P03</t>
        </is>
      </c>
      <c r="H7">
        <f>INDEX(Merged!$F$2:$F$73,MATCH(G7&amp;"|Stimulus|Baseline|Baseline",Merged!$C$2:$C$73,0))</f>
        <v/>
      </c>
      <c r="I7">
        <f>INDEX(Merged!$F$2:$F$73,MATCH(G7&amp;"|Stimulus|Ad_B|Ad_B",Merged!$C$2:$C$73,0))</f>
        <v/>
      </c>
      <c r="J7">
        <f>I7-H7</f>
        <v/>
      </c>
    </row>
    <row r="8">
      <c r="A8" s="7" t="inlineStr">
        <is>
          <t>P04</t>
        </is>
      </c>
      <c r="B8">
        <f>INDEX(Merged!$F$2:$F$73,MATCH(A8&amp;"|Stimulus|Baseline|Baseline",Merged!$C$2:$C$73,0))</f>
        <v/>
      </c>
      <c r="C8">
        <f>INDEX(Merged!$F$2:$F$73,MATCH(A8&amp;"|Stimulus|Ad_A|Ad_A",Merged!$C$2:$C$73,0))</f>
        <v/>
      </c>
      <c r="D8">
        <f>C8-B8</f>
        <v/>
      </c>
      <c r="G8" s="7" t="inlineStr">
        <is>
          <t>P04</t>
        </is>
      </c>
      <c r="H8">
        <f>INDEX(Merged!$F$2:$F$73,MATCH(G8&amp;"|Stimulus|Baseline|Baseline",Merged!$C$2:$C$73,0))</f>
        <v/>
      </c>
      <c r="I8">
        <f>INDEX(Merged!$F$2:$F$73,MATCH(G8&amp;"|Stimulus|Ad_B|Ad_B",Merged!$C$2:$C$73,0))</f>
        <v/>
      </c>
      <c r="J8">
        <f>I8-H8</f>
        <v/>
      </c>
    </row>
    <row r="9">
      <c r="A9" s="7" t="inlineStr">
        <is>
          <t>P05</t>
        </is>
      </c>
      <c r="B9">
        <f>INDEX(Merged!$F$2:$F$73,MATCH(A9&amp;"|Stimulus|Baseline|Baseline",Merged!$C$2:$C$73,0))</f>
        <v/>
      </c>
      <c r="C9">
        <f>INDEX(Merged!$F$2:$F$73,MATCH(A9&amp;"|Stimulus|Ad_A|Ad_A",Merged!$C$2:$C$73,0))</f>
        <v/>
      </c>
      <c r="D9">
        <f>C9-B9</f>
        <v/>
      </c>
      <c r="G9" s="7" t="inlineStr">
        <is>
          <t>P06</t>
        </is>
      </c>
      <c r="H9">
        <f>INDEX(Merged!$F$2:$F$73,MATCH(G9&amp;"|Stimulus|Baseline|Baseline",Merged!$C$2:$C$73,0))</f>
        <v/>
      </c>
      <c r="I9">
        <f>INDEX(Merged!$F$2:$F$73,MATCH(G9&amp;"|Stimulus|Ad_B|Ad_B",Merged!$C$2:$C$73,0))</f>
        <v/>
      </c>
      <c r="J9">
        <f>I9-H9</f>
        <v/>
      </c>
    </row>
    <row r="10">
      <c r="A10" s="7" t="inlineStr">
        <is>
          <t>P06</t>
        </is>
      </c>
      <c r="B10">
        <f>INDEX(Merged!$F$2:$F$73,MATCH(A10&amp;"|Stimulus|Baseline|Baseline",Merged!$C$2:$C$73,0))</f>
        <v/>
      </c>
      <c r="C10">
        <f>INDEX(Merged!$F$2:$F$73,MATCH(A10&amp;"|Stimulus|Ad_A|Ad_A",Merged!$C$2:$C$73,0))</f>
        <v/>
      </c>
      <c r="D10">
        <f>C10-B10</f>
        <v/>
      </c>
      <c r="G10" s="7" t="inlineStr">
        <is>
          <t>P07</t>
        </is>
      </c>
      <c r="H10">
        <f>INDEX(Merged!$F$2:$F$73,MATCH(G10&amp;"|Stimulus|Baseline|Baseline",Merged!$C$2:$C$73,0))</f>
        <v/>
      </c>
      <c r="I10">
        <f>INDEX(Merged!$F$2:$F$73,MATCH(G10&amp;"|Stimulus|Ad_B|Ad_B",Merged!$C$2:$C$73,0))</f>
        <v/>
      </c>
      <c r="J10">
        <f>I10-H10</f>
        <v/>
      </c>
    </row>
    <row r="11">
      <c r="A11" s="7" t="inlineStr">
        <is>
          <t>P07</t>
        </is>
      </c>
      <c r="B11">
        <f>INDEX(Merged!$F$2:$F$73,MATCH(A11&amp;"|Stimulus|Baseline|Baseline",Merged!$C$2:$C$73,0))</f>
        <v/>
      </c>
      <c r="C11">
        <f>INDEX(Merged!$F$2:$F$73,MATCH(A11&amp;"|Stimulus|Ad_A|Ad_A",Merged!$C$2:$C$73,0))</f>
        <v/>
      </c>
      <c r="D11">
        <f>C11-B11</f>
        <v/>
      </c>
      <c r="G11" s="7" t="inlineStr">
        <is>
          <t>P08</t>
        </is>
      </c>
      <c r="H11">
        <f>INDEX(Merged!$F$2:$F$73,MATCH(G11&amp;"|Stimulus|Baseline|Baseline",Merged!$C$2:$C$73,0))</f>
        <v/>
      </c>
      <c r="I11">
        <f>INDEX(Merged!$F$2:$F$73,MATCH(G11&amp;"|Stimulus|Ad_B|Ad_B",Merged!$C$2:$C$73,0))</f>
        <v/>
      </c>
      <c r="J11">
        <f>I11-H11</f>
        <v/>
      </c>
    </row>
    <row r="12">
      <c r="A12" s="7" t="inlineStr">
        <is>
          <t>P08</t>
        </is>
      </c>
      <c r="B12">
        <f>INDEX(Merged!$F$2:$F$73,MATCH(A12&amp;"|Stimulus|Baseline|Baseline",Merged!$C$2:$C$73,0))</f>
        <v/>
      </c>
      <c r="C12">
        <f>INDEX(Merged!$F$2:$F$73,MATCH(A12&amp;"|Stimulus|Ad_A|Ad_A",Merged!$C$2:$C$73,0))</f>
        <v/>
      </c>
      <c r="D12">
        <f>C12-B12</f>
        <v/>
      </c>
      <c r="G12" s="7" t="inlineStr">
        <is>
          <t>P09</t>
        </is>
      </c>
      <c r="H12">
        <f>INDEX(Merged!$F$2:$F$73,MATCH(G12&amp;"|Stimulus|Baseline|Baseline",Merged!$C$2:$C$73,0))</f>
        <v/>
      </c>
      <c r="I12">
        <f>INDEX(Merged!$F$2:$F$73,MATCH(G12&amp;"|Stimulus|Ad_B|Ad_B",Merged!$C$2:$C$73,0))</f>
        <v/>
      </c>
      <c r="J12">
        <f>I12-H12</f>
        <v/>
      </c>
    </row>
    <row r="13">
      <c r="A13" s="7" t="inlineStr">
        <is>
          <t>P09</t>
        </is>
      </c>
      <c r="B13">
        <f>INDEX(Merged!$F$2:$F$73,MATCH(A13&amp;"|Stimulus|Baseline|Baseline",Merged!$C$2:$C$73,0))</f>
        <v/>
      </c>
      <c r="C13">
        <f>INDEX(Merged!$F$2:$F$73,MATCH(A13&amp;"|Stimulus|Ad_A|Ad_A",Merged!$C$2:$C$73,0))</f>
        <v/>
      </c>
      <c r="D13">
        <f>C13-B13</f>
        <v/>
      </c>
      <c r="G13" s="7" t="inlineStr">
        <is>
          <t>P10</t>
        </is>
      </c>
      <c r="H13">
        <f>INDEX(Merged!$F$2:$F$73,MATCH(G13&amp;"|Stimulus|Baseline|Baseline",Merged!$C$2:$C$73,0))</f>
        <v/>
      </c>
      <c r="I13">
        <f>INDEX(Merged!$F$2:$F$73,MATCH(G13&amp;"|Stimulus|Ad_B|Ad_B",Merged!$C$2:$C$73,0))</f>
        <v/>
      </c>
      <c r="J13">
        <f>I13-H13</f>
        <v/>
      </c>
    </row>
    <row r="14">
      <c r="A14" s="7" t="inlineStr">
        <is>
          <t>P10</t>
        </is>
      </c>
      <c r="B14">
        <f>INDEX(Merged!$F$2:$F$73,MATCH(A14&amp;"|Stimulus|Baseline|Baseline",Merged!$C$2:$C$73,0))</f>
        <v/>
      </c>
      <c r="C14">
        <f>INDEX(Merged!$F$2:$F$73,MATCH(A14&amp;"|Stimulus|Ad_A|Ad_A",Merged!$C$2:$C$73,0))</f>
        <v/>
      </c>
      <c r="D14">
        <f>C14-B14</f>
        <v/>
      </c>
      <c r="G14" s="7" t="inlineStr">
        <is>
          <t>P11</t>
        </is>
      </c>
      <c r="H14">
        <f>INDEX(Merged!$F$2:$F$73,MATCH(G14&amp;"|Stimulus|Baseline|Baseline",Merged!$C$2:$C$73,0))</f>
        <v/>
      </c>
      <c r="I14">
        <f>INDEX(Merged!$F$2:$F$73,MATCH(G14&amp;"|Stimulus|Ad_B|Ad_B",Merged!$C$2:$C$73,0))</f>
        <v/>
      </c>
      <c r="J14">
        <f>I14-H14</f>
        <v/>
      </c>
    </row>
    <row r="15">
      <c r="A15" s="7" t="inlineStr">
        <is>
          <t>P11</t>
        </is>
      </c>
      <c r="B15">
        <f>INDEX(Merged!$F$2:$F$73,MATCH(A15&amp;"|Stimulus|Baseline|Baseline",Merged!$C$2:$C$73,0))</f>
        <v/>
      </c>
      <c r="C15">
        <f>INDEX(Merged!$F$2:$F$73,MATCH(A15&amp;"|Stimulus|Ad_A|Ad_A",Merged!$C$2:$C$73,0))</f>
        <v/>
      </c>
      <c r="D15">
        <f>C15-B15</f>
        <v/>
      </c>
      <c r="G15" s="7" t="inlineStr">
        <is>
          <t>P12</t>
        </is>
      </c>
      <c r="H15">
        <f>INDEX(Merged!$F$2:$F$73,MATCH(G15&amp;"|Stimulus|Baseline|Baseline",Merged!$C$2:$C$73,0))</f>
        <v/>
      </c>
      <c r="I15">
        <f>INDEX(Merged!$F$2:$F$73,MATCH(G15&amp;"|Stimulus|Ad_B|Ad_B",Merged!$C$2:$C$73,0))</f>
        <v/>
      </c>
      <c r="J15">
        <f>I15-H15</f>
        <v/>
      </c>
    </row>
    <row r="16">
      <c r="A16" s="7" t="inlineStr">
        <is>
          <t>P12</t>
        </is>
      </c>
      <c r="B16">
        <f>INDEX(Merged!$F$2:$F$73,MATCH(A16&amp;"|Stimulus|Baseline|Baseline",Merged!$C$2:$C$73,0))</f>
        <v/>
      </c>
      <c r="C16">
        <f>INDEX(Merged!$F$2:$F$73,MATCH(A16&amp;"|Stimulus|Ad_A|Ad_A",Merged!$C$2:$C$73,0))</f>
        <v/>
      </c>
      <c r="D16">
        <f>C16-B16</f>
        <v/>
      </c>
      <c r="G16" s="7" t="inlineStr">
        <is>
          <t>P13</t>
        </is>
      </c>
      <c r="H16">
        <f>INDEX(Merged!$F$2:$F$73,MATCH(G16&amp;"|Stimulus|Baseline|Baseline",Merged!$C$2:$C$73,0))</f>
        <v/>
      </c>
      <c r="I16">
        <f>INDEX(Merged!$F$2:$F$73,MATCH(G16&amp;"|Stimulus|Ad_B|Ad_B",Merged!$C$2:$C$73,0))</f>
        <v/>
      </c>
      <c r="J16">
        <f>I16-H16</f>
        <v/>
      </c>
    </row>
    <row r="17">
      <c r="A17" s="7" t="inlineStr">
        <is>
          <t>P13</t>
        </is>
      </c>
      <c r="B17">
        <f>INDEX(Merged!$F$2:$F$73,MATCH(A17&amp;"|Stimulus|Baseline|Baseline",Merged!$C$2:$C$73,0))</f>
        <v/>
      </c>
      <c r="C17">
        <f>INDEX(Merged!$F$2:$F$73,MATCH(A17&amp;"|Stimulus|Ad_A|Ad_A",Merged!$C$2:$C$73,0))</f>
        <v/>
      </c>
      <c r="D17">
        <f>C17-B17</f>
        <v/>
      </c>
      <c r="G17" s="7" t="inlineStr">
        <is>
          <t>P14</t>
        </is>
      </c>
      <c r="H17">
        <f>INDEX(Merged!$F$2:$F$73,MATCH(G17&amp;"|Stimulus|Baseline|Baseline",Merged!$C$2:$C$73,0))</f>
        <v/>
      </c>
      <c r="I17">
        <f>INDEX(Merged!$F$2:$F$73,MATCH(G17&amp;"|Stimulus|Ad_B|Ad_B",Merged!$C$2:$C$73,0))</f>
        <v/>
      </c>
      <c r="J17">
        <f>I17-H17</f>
        <v/>
      </c>
    </row>
    <row r="18">
      <c r="A18" s="7" t="inlineStr">
        <is>
          <t>P14</t>
        </is>
      </c>
      <c r="B18">
        <f>INDEX(Merged!$F$2:$F$73,MATCH(A18&amp;"|Stimulus|Baseline|Baseline",Merged!$C$2:$C$73,0))</f>
        <v/>
      </c>
      <c r="C18">
        <f>INDEX(Merged!$F$2:$F$73,MATCH(A18&amp;"|Stimulus|Ad_A|Ad_A",Merged!$C$2:$C$73,0))</f>
        <v/>
      </c>
      <c r="D18">
        <f>C18-B18</f>
        <v/>
      </c>
      <c r="G18" s="7" t="inlineStr">
        <is>
          <t>P15</t>
        </is>
      </c>
      <c r="H18">
        <f>INDEX(Merged!$F$2:$F$73,MATCH(G18&amp;"|Stimulus|Baseline|Baseline",Merged!$C$2:$C$73,0))</f>
        <v/>
      </c>
      <c r="I18">
        <f>INDEX(Merged!$F$2:$F$73,MATCH(G18&amp;"|Stimulus|Ad_B|Ad_B",Merged!$C$2:$C$73,0))</f>
        <v/>
      </c>
      <c r="J18">
        <f>I18-H18</f>
        <v/>
      </c>
    </row>
    <row r="19">
      <c r="A19" s="7" t="inlineStr">
        <is>
          <t>P15</t>
        </is>
      </c>
      <c r="B19">
        <f>INDEX(Merged!$F$2:$F$73,MATCH(A19&amp;"|Stimulus|Baseline|Baseline",Merged!$C$2:$C$73,0))</f>
        <v/>
      </c>
      <c r="C19">
        <f>INDEX(Merged!$F$2:$F$73,MATCH(A19&amp;"|Stimulus|Ad_A|Ad_A",Merged!$C$2:$C$73,0))</f>
        <v/>
      </c>
      <c r="D19">
        <f>C19-B19</f>
        <v/>
      </c>
      <c r="G19" s="7" t="inlineStr">
        <is>
          <t>P16</t>
        </is>
      </c>
      <c r="H19">
        <f>INDEX(Merged!$F$2:$F$73,MATCH(G19&amp;"|Stimulus|Baseline|Baseline",Merged!$C$2:$C$73,0))</f>
        <v/>
      </c>
      <c r="I19">
        <f>INDEX(Merged!$F$2:$F$73,MATCH(G19&amp;"|Stimulus|Ad_B|Ad_B",Merged!$C$2:$C$73,0))</f>
        <v/>
      </c>
      <c r="J19">
        <f>I19-H19</f>
        <v/>
      </c>
    </row>
    <row r="20">
      <c r="A20" s="7" t="inlineStr">
        <is>
          <t>P16</t>
        </is>
      </c>
      <c r="B20">
        <f>INDEX(Merged!$F$2:$F$73,MATCH(A20&amp;"|Stimulus|Baseline|Baseline",Merged!$C$2:$C$73,0))</f>
        <v/>
      </c>
      <c r="C20">
        <f>INDEX(Merged!$F$2:$F$73,MATCH(A20&amp;"|Stimulus|Ad_A|Ad_A",Merged!$C$2:$C$73,0))</f>
        <v/>
      </c>
      <c r="D20">
        <f>C20-B20</f>
        <v/>
      </c>
      <c r="G20" s="7" t="inlineStr">
        <is>
          <t>P17</t>
        </is>
      </c>
      <c r="H20">
        <f>INDEX(Merged!$F$2:$F$73,MATCH(G20&amp;"|Stimulus|Baseline|Baseline",Merged!$C$2:$C$73,0))</f>
        <v/>
      </c>
      <c r="I20">
        <f>INDEX(Merged!$F$2:$F$73,MATCH(G20&amp;"|Stimulus|Ad_B|Ad_B",Merged!$C$2:$C$73,0))</f>
        <v/>
      </c>
      <c r="J20">
        <f>I20-H20</f>
        <v/>
      </c>
    </row>
    <row r="21">
      <c r="A21" s="7" t="inlineStr">
        <is>
          <t>P17</t>
        </is>
      </c>
      <c r="B21">
        <f>INDEX(Merged!$F$2:$F$73,MATCH(A21&amp;"|Stimulus|Baseline|Baseline",Merged!$C$2:$C$73,0))</f>
        <v/>
      </c>
      <c r="C21">
        <f>INDEX(Merged!$F$2:$F$73,MATCH(A21&amp;"|Stimulus|Ad_A|Ad_A",Merged!$C$2:$C$73,0))</f>
        <v/>
      </c>
      <c r="D21">
        <f>C21-B21</f>
        <v/>
      </c>
      <c r="G21" s="7" t="inlineStr">
        <is>
          <t>P19</t>
        </is>
      </c>
      <c r="H21">
        <f>INDEX(Merged!$F$2:$F$73,MATCH(G21&amp;"|Stimulus|Baseline|Baseline",Merged!$C$2:$C$73,0))</f>
        <v/>
      </c>
      <c r="I21">
        <f>INDEX(Merged!$F$2:$F$73,MATCH(G21&amp;"|Stimulus|Ad_B|Ad_B",Merged!$C$2:$C$73,0))</f>
        <v/>
      </c>
      <c r="J21">
        <f>I21-H21</f>
        <v/>
      </c>
    </row>
    <row r="22">
      <c r="A22" s="7" t="inlineStr">
        <is>
          <t>P19</t>
        </is>
      </c>
      <c r="B22">
        <f>INDEX(Merged!$F$2:$F$73,MATCH(A22&amp;"|Stimulus|Baseline|Baseline",Merged!$C$2:$C$73,0))</f>
        <v/>
      </c>
      <c r="C22">
        <f>INDEX(Merged!$F$2:$F$73,MATCH(A22&amp;"|Stimulus|Ad_A|Ad_A",Merged!$C$2:$C$73,0))</f>
        <v/>
      </c>
      <c r="D22">
        <f>C22-B22</f>
        <v/>
      </c>
      <c r="G22" s="7" t="inlineStr">
        <is>
          <t>P20</t>
        </is>
      </c>
      <c r="H22">
        <f>INDEX(Merged!$F$2:$F$73,MATCH(G22&amp;"|Stimulus|Baseline|Baseline",Merged!$C$2:$C$73,0))</f>
        <v/>
      </c>
      <c r="I22">
        <f>INDEX(Merged!$F$2:$F$73,MATCH(G22&amp;"|Stimulus|Ad_B|Ad_B",Merged!$C$2:$C$73,0))</f>
        <v/>
      </c>
      <c r="J22">
        <f>I22-H22</f>
        <v/>
      </c>
    </row>
    <row r="23">
      <c r="A23" s="7" t="inlineStr">
        <is>
          <t>P20</t>
        </is>
      </c>
      <c r="B23">
        <f>INDEX(Merged!$F$2:$F$73,MATCH(A23&amp;"|Stimulus|Baseline|Baseline",Merged!$C$2:$C$73,0))</f>
        <v/>
      </c>
      <c r="C23">
        <f>INDEX(Merged!$F$2:$F$73,MATCH(A23&amp;"|Stimulus|Ad_A|Ad_A",Merged!$C$2:$C$73,0))</f>
        <v/>
      </c>
      <c r="D23">
        <f>C23-B23</f>
        <v/>
      </c>
      <c r="G23" s="7" t="inlineStr">
        <is>
          <t>P22</t>
        </is>
      </c>
      <c r="H23">
        <f>INDEX(Merged!$F$2:$F$73,MATCH(G23&amp;"|Stimulus|Baseline|Baseline",Merged!$C$2:$C$73,0))</f>
        <v/>
      </c>
      <c r="I23">
        <f>INDEX(Merged!$F$2:$F$73,MATCH(G23&amp;"|Stimulus|Ad_B|Ad_B",Merged!$C$2:$C$73,0))</f>
        <v/>
      </c>
      <c r="J23">
        <f>I23-H23</f>
        <v/>
      </c>
    </row>
    <row r="24">
      <c r="A24" s="7" t="inlineStr">
        <is>
          <t>P22</t>
        </is>
      </c>
      <c r="B24">
        <f>INDEX(Merged!$F$2:$F$73,MATCH(A24&amp;"|Stimulus|Baseline|Baseline",Merged!$C$2:$C$73,0))</f>
        <v/>
      </c>
      <c r="C24">
        <f>INDEX(Merged!$F$2:$F$73,MATCH(A24&amp;"|Stimulus|Ad_A|Ad_A",Merged!$C$2:$C$73,0))</f>
        <v/>
      </c>
      <c r="D24">
        <f>C24-B24</f>
        <v/>
      </c>
      <c r="G24" s="7" t="inlineStr">
        <is>
          <t>P23</t>
        </is>
      </c>
      <c r="H24">
        <f>INDEX(Merged!$F$2:$F$73,MATCH(G24&amp;"|Stimulus|Baseline|Baseline",Merged!$C$2:$C$73,0))</f>
        <v/>
      </c>
      <c r="I24">
        <f>INDEX(Merged!$F$2:$F$73,MATCH(G24&amp;"|Stimulus|Ad_B|Ad_B",Merged!$C$2:$C$73,0))</f>
        <v/>
      </c>
      <c r="J24">
        <f>I24-H24</f>
        <v/>
      </c>
    </row>
    <row r="25">
      <c r="A25" s="7" t="inlineStr">
        <is>
          <t>P23</t>
        </is>
      </c>
      <c r="B25">
        <f>INDEX(Merged!$F$2:$F$73,MATCH(A25&amp;"|Stimulus|Baseline|Baseline",Merged!$C$2:$C$73,0))</f>
        <v/>
      </c>
      <c r="C25">
        <f>INDEX(Merged!$F$2:$F$73,MATCH(A25&amp;"|Stimulus|Ad_A|Ad_A",Merged!$C$2:$C$73,0))</f>
        <v/>
      </c>
      <c r="D25">
        <f>C25-B25</f>
        <v/>
      </c>
      <c r="G25" s="7" t="inlineStr">
        <is>
          <t>P24</t>
        </is>
      </c>
      <c r="H25">
        <f>INDEX(Merged!$F$2:$F$73,MATCH(G25&amp;"|Stimulus|Baseline|Baseline",Merged!$C$2:$C$73,0))</f>
        <v/>
      </c>
      <c r="I25">
        <f>INDEX(Merged!$F$2:$F$73,MATCH(G25&amp;"|Stimulus|Ad_B|Ad_B",Merged!$C$2:$C$73,0))</f>
        <v/>
      </c>
      <c r="J25">
        <f>I25-H25</f>
        <v/>
      </c>
    </row>
    <row r="26">
      <c r="A26" s="7" t="inlineStr">
        <is>
          <t>P24</t>
        </is>
      </c>
      <c r="B26">
        <f>INDEX(Merged!$F$2:$F$73,MATCH(A26&amp;"|Stimulus|Baseline|Baseline",Merged!$C$2:$C$73,0))</f>
        <v/>
      </c>
      <c r="C26">
        <f>INDEX(Merged!$F$2:$F$73,MATCH(A26&amp;"|Stimulus|Ad_A|Ad_A",Merged!$C$2:$C$73,0))</f>
        <v/>
      </c>
      <c r="D26">
        <f>C26-B26</f>
        <v/>
      </c>
    </row>
    <row r="28">
      <c r="G28" s="1" t="inlineStr">
        <is>
          <t>Paired t test, Ad_B minus Baseline</t>
        </is>
      </c>
    </row>
    <row r="29">
      <c r="A29" s="1" t="inlineStr">
        <is>
          <t>Paired t test, Ad_A minus Baseline</t>
        </is>
      </c>
      <c r="G29" t="inlineStr">
        <is>
          <t>Baseline mean</t>
        </is>
      </c>
      <c r="H29" s="9">
        <f>AVERAGE(H5:H25)</f>
        <v/>
      </c>
    </row>
    <row r="30">
      <c r="A30" t="inlineStr">
        <is>
          <t>Baseline mean</t>
        </is>
      </c>
      <c r="B30" s="9">
        <f>AVERAGE(B5:B26)</f>
        <v/>
      </c>
      <c r="G30" t="inlineStr">
        <is>
          <t>Baseline SD</t>
        </is>
      </c>
      <c r="H30" s="9">
        <f>_xlfn.STDEV.S(H5:H25)</f>
        <v/>
      </c>
      <c r="I30" s="6" t="inlineStr">
        <is>
          <t>STDEV.S = sample SD</t>
        </is>
      </c>
    </row>
    <row r="31">
      <c r="A31" t="inlineStr">
        <is>
          <t>Baseline SD</t>
        </is>
      </c>
      <c r="B31" s="9">
        <f>_xlfn.STDEV.S(B5:B26)</f>
        <v/>
      </c>
      <c r="C31" s="6" t="inlineStr">
        <is>
          <t>STDEV.S = sample SD</t>
        </is>
      </c>
      <c r="G31" t="inlineStr">
        <is>
          <t>Ad_B mean</t>
        </is>
      </c>
      <c r="H31" s="9">
        <f>AVERAGE(I5:I25)</f>
        <v/>
      </c>
    </row>
    <row r="32">
      <c r="A32" t="inlineStr">
        <is>
          <t>Ad_A mean</t>
        </is>
      </c>
      <c r="B32" s="9">
        <f>AVERAGE(C5:C26)</f>
        <v/>
      </c>
      <c r="G32" t="inlineStr">
        <is>
          <t>Ad_B SD</t>
        </is>
      </c>
      <c r="H32" s="9">
        <f>_xlfn.STDEV.S(I5:I25)</f>
        <v/>
      </c>
    </row>
    <row r="33">
      <c r="A33" t="inlineStr">
        <is>
          <t>Ad_A SD</t>
        </is>
      </c>
      <c r="B33" s="9">
        <f>_xlfn.STDEV.S(C5:C26)</f>
        <v/>
      </c>
      <c r="G33" t="inlineStr">
        <is>
          <t>n (participants)</t>
        </is>
      </c>
      <c r="H33" s="8">
        <f>COUNT(J5:J25)</f>
        <v/>
      </c>
    </row>
    <row r="34">
      <c r="A34" t="inlineStr">
        <is>
          <t>n (participants)</t>
        </is>
      </c>
      <c r="B34" s="8">
        <f>COUNT(D5:D26)</f>
        <v/>
      </c>
      <c r="G34" t="inlineStr">
        <is>
          <t>Mean difference</t>
        </is>
      </c>
      <c r="H34" s="9">
        <f>AVERAGE(J5:J25)</f>
        <v/>
      </c>
    </row>
    <row r="35">
      <c r="A35" t="inlineStr">
        <is>
          <t>Mean difference</t>
        </is>
      </c>
      <c r="B35" s="9">
        <f>AVERAGE(D5:D26)</f>
        <v/>
      </c>
      <c r="G35" t="inlineStr">
        <is>
          <t>SD of the differences</t>
        </is>
      </c>
      <c r="H35" s="9">
        <f>_xlfn.STDEV.S(J5:J25)</f>
        <v/>
      </c>
    </row>
    <row r="36">
      <c r="A36" t="inlineStr">
        <is>
          <t>SD of the differences</t>
        </is>
      </c>
      <c r="B36" s="9">
        <f>_xlfn.STDEV.S(D5:D26)</f>
        <v/>
      </c>
      <c r="G36" t="inlineStr">
        <is>
          <t>SE of the mean difference</t>
        </is>
      </c>
      <c r="H36" s="9">
        <f>H35/SQRT(H33)</f>
        <v/>
      </c>
      <c r="I36" s="6" t="inlineStr">
        <is>
          <t>SD of the differences / SQRT(n)</t>
        </is>
      </c>
    </row>
    <row r="37">
      <c r="A37" t="inlineStr">
        <is>
          <t>SE of the mean difference</t>
        </is>
      </c>
      <c r="B37" s="9">
        <f>B36/SQRT(B34)</f>
        <v/>
      </c>
      <c r="C37" s="6" t="inlineStr">
        <is>
          <t>SD of the differences / SQRT(n)</t>
        </is>
      </c>
      <c r="G37" t="inlineStr">
        <is>
          <t>t</t>
        </is>
      </c>
      <c r="H37" s="9">
        <f>H34/H36</f>
        <v/>
      </c>
      <c r="I37" s="6" t="inlineStr">
        <is>
          <t>mean difference / SE</t>
        </is>
      </c>
    </row>
    <row r="38">
      <c r="A38" t="inlineStr">
        <is>
          <t>t</t>
        </is>
      </c>
      <c r="B38" s="9">
        <f>B35/B37</f>
        <v/>
      </c>
      <c r="C38" s="6" t="inlineStr">
        <is>
          <t>mean difference / SE</t>
        </is>
      </c>
      <c r="G38" t="inlineStr">
        <is>
          <t>df</t>
        </is>
      </c>
      <c r="H38" s="8">
        <f>H33-1</f>
        <v/>
      </c>
    </row>
    <row r="39">
      <c r="A39" t="inlineStr">
        <is>
          <t>df</t>
        </is>
      </c>
      <c r="B39" s="8">
        <f>B34-1</f>
        <v/>
      </c>
      <c r="G39" t="inlineStr">
        <is>
          <t>p, two tailed (T.TEST, type 1 = paired)</t>
        </is>
      </c>
      <c r="H39" s="10">
        <f>_xlfn.T.TEST(I5:I25,H5:H25,2,1)</f>
        <v/>
      </c>
      <c r="I39" s="6" t="inlineStr">
        <is>
          <t>tails = 2, type = 1</t>
        </is>
      </c>
    </row>
    <row r="40">
      <c r="A40" t="inlineStr">
        <is>
          <t>p, two tailed (T.TEST, type 1 = paired)</t>
        </is>
      </c>
      <c r="B40" s="10">
        <f>_xlfn.T.TEST(C5:C26,B5:B26,2,1)</f>
        <v/>
      </c>
      <c r="C40" s="6" t="inlineStr">
        <is>
          <t>tails = 2, type = 1</t>
        </is>
      </c>
      <c r="G40" t="inlineStr">
        <is>
          <t>p from t (T.DIST.2T)</t>
        </is>
      </c>
      <c r="H40" s="10">
        <f>_xlfn.T.DIST.2T(ABS(H37),H38)</f>
        <v/>
      </c>
      <c r="I40" s="6" t="inlineStr">
        <is>
          <t>must equal the T.TEST cell</t>
        </is>
      </c>
    </row>
    <row r="41">
      <c r="A41" t="inlineStr">
        <is>
          <t>p from t (T.DIST.2T)</t>
        </is>
      </c>
      <c r="B41" s="10">
        <f>_xlfn.T.DIST.2T(ABS(B38),B39)</f>
        <v/>
      </c>
      <c r="C41" s="6" t="inlineStr">
        <is>
          <t>must equal the T.TEST cell</t>
        </is>
      </c>
      <c r="G41" t="inlineStr">
        <is>
          <t>Critical t (95%)</t>
        </is>
      </c>
      <c r="H41" s="9">
        <f>_xlfn.T.INV.2T(0.05,H38)</f>
        <v/>
      </c>
    </row>
    <row r="42">
      <c r="A42" t="inlineStr">
        <is>
          <t>Critical t (95%)</t>
        </is>
      </c>
      <c r="B42" s="9">
        <f>_xlfn.T.INV.2T(0.05,B39)</f>
        <v/>
      </c>
      <c r="G42" t="inlineStr">
        <is>
          <t>Mean difference, 95% CI lower</t>
        </is>
      </c>
      <c r="H42" s="9">
        <f>H34-H41*H36</f>
        <v/>
      </c>
    </row>
    <row r="43">
      <c r="A43" t="inlineStr">
        <is>
          <t>Mean difference, 95% CI lower</t>
        </is>
      </c>
      <c r="B43" s="9">
        <f>B35-B42*B37</f>
        <v/>
      </c>
      <c r="G43" t="inlineStr">
        <is>
          <t>Mean difference, 95% CI upper</t>
        </is>
      </c>
      <c r="H43" s="9">
        <f>H34+H41*H36</f>
        <v/>
      </c>
    </row>
    <row r="44">
      <c r="A44" t="inlineStr">
        <is>
          <t>Mean difference, 95% CI upper</t>
        </is>
      </c>
      <c r="B44" s="9">
        <f>B35+B42*B37</f>
        <v/>
      </c>
      <c r="G44" t="inlineStr">
        <is>
          <t>Cohen's d_z</t>
        </is>
      </c>
      <c r="H44" s="9">
        <f>H34/H35</f>
        <v/>
      </c>
      <c r="I44" s="6" t="inlineStr">
        <is>
          <t>mean difference / SD of the differences</t>
        </is>
      </c>
    </row>
    <row r="45">
      <c r="A45" t="inlineStr">
        <is>
          <t>Cohen's d_z</t>
        </is>
      </c>
      <c r="B45" s="9">
        <f>B35/B36</f>
        <v/>
      </c>
      <c r="C45" s="6" t="inlineStr">
        <is>
          <t>mean difference / SD of the differences</t>
        </is>
      </c>
      <c r="G45" t="inlineStr">
        <is>
          <t>SE of d_z (approximation)</t>
        </is>
      </c>
      <c r="H45" s="9">
        <f>SQRT(1/H33+H44^2/(2*H33))</f>
        <v/>
      </c>
    </row>
    <row r="46">
      <c r="A46" t="inlineStr">
        <is>
          <t>SE of d_z (approximation)</t>
        </is>
      </c>
      <c r="B46" s="9">
        <f>SQRT(1/B34+B45^2/(2*B34))</f>
        <v/>
      </c>
      <c r="G46" t="inlineStr">
        <is>
          <t>d_z 95% CI lower (approximation)</t>
        </is>
      </c>
      <c r="H46" s="9">
        <f>H44-1.96*H45</f>
        <v/>
      </c>
      <c r="I46" s="6" t="inlineStr">
        <is>
          <t>R also gives the exact noncentral t interval</t>
        </is>
      </c>
    </row>
    <row r="47">
      <c r="A47" t="inlineStr">
        <is>
          <t>d_z 95% CI lower (approximation)</t>
        </is>
      </c>
      <c r="B47" s="9">
        <f>B45-1.96*B46</f>
        <v/>
      </c>
      <c r="C47" s="6" t="inlineStr">
        <is>
          <t>R also gives the exact noncentral t interval</t>
        </is>
      </c>
      <c r="G47" t="inlineStr">
        <is>
          <t>d_z 95% CI upper (approximation)</t>
        </is>
      </c>
      <c r="H47" s="9">
        <f>H44+1.96*H45</f>
        <v/>
      </c>
    </row>
    <row r="48">
      <c r="A48" t="inlineStr">
        <is>
          <t>d_z 95% CI upper (approximation)</t>
        </is>
      </c>
      <c r="B48" s="9">
        <f>B45+1.96*B46</f>
        <v/>
      </c>
      <c r="G48" t="inlineStr">
        <is>
          <t>Participants with an increase</t>
        </is>
      </c>
      <c r="H48" s="8">
        <f>COUNTIF(J5:J25,"&gt;0")</f>
        <v/>
      </c>
    </row>
    <row r="49">
      <c r="A49" t="inlineStr">
        <is>
          <t>Participants with an increase</t>
        </is>
      </c>
      <c r="B49" s="8">
        <f>COUNTIF(D5:D26,"&gt;0")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78" customWidth="1" min="1" max="1"/>
    <col width="16" customWidth="1" min="2" max="2"/>
    <col width="16" customWidth="1" min="3" max="3"/>
    <col width="14" customWidth="1" min="4" max="4"/>
    <col width="12" customWidth="1" min="5" max="5"/>
    <col width="9" customWidth="1" min="6" max="6"/>
  </cols>
  <sheetData>
    <row r="1">
      <c r="A1" s="1" t="inlineStr">
        <is>
          <t>Excel results next to the values that prepare_data.R and analysis.R produced (SIMULATED data).</t>
        </is>
      </c>
    </row>
    <row r="3">
      <c r="A3" s="2" t="inlineStr">
        <is>
          <t>Result</t>
        </is>
      </c>
      <c r="B3" s="2" t="inlineStr">
        <is>
          <t>Excel</t>
        </is>
      </c>
      <c r="C3" s="2" t="inlineStr">
        <is>
          <t>R</t>
        </is>
      </c>
      <c r="D3" s="2" t="inlineStr">
        <is>
          <t>Difference</t>
        </is>
      </c>
      <c r="E3" s="2" t="inlineStr">
        <is>
          <t>Tolerance</t>
        </is>
      </c>
      <c r="F3" s="2" t="inlineStr">
        <is>
          <t>Status</t>
        </is>
      </c>
    </row>
    <row r="4">
      <c r="A4" t="inlineStr">
        <is>
          <t>Survey: Cronbach's alpha, recoded</t>
        </is>
      </c>
      <c r="B4" s="10">
        <f>Survey!AF2</f>
        <v/>
      </c>
      <c r="C4" s="10" t="n">
        <v>0.839</v>
      </c>
      <c r="D4" s="10">
        <f>B4-C4</f>
        <v/>
      </c>
      <c r="E4" s="10" t="n">
        <v>0.0005</v>
      </c>
      <c r="F4">
        <f>IF(ABS(D4)&lt;=E4,"OK","CHECK")</f>
        <v/>
      </c>
    </row>
    <row r="5">
      <c r="A5" t="inlineStr">
        <is>
          <t>Survey: Cronbach's alpha, not recoded</t>
        </is>
      </c>
      <c r="B5" s="10">
        <f>Survey!AF3</f>
        <v/>
      </c>
      <c r="C5" s="10" t="n">
        <v>-1.101</v>
      </c>
      <c r="D5" s="10">
        <f>B5-C5</f>
        <v/>
      </c>
      <c r="E5" s="10" t="n">
        <v>0.0005</v>
      </c>
      <c r="F5">
        <f>IF(ABS(D5)&lt;=E5,"OK","CHECK")</f>
        <v/>
      </c>
    </row>
    <row r="6">
      <c r="A6" t="inlineStr">
        <is>
          <t>Merged: Rows (participant x stimulus)</t>
        </is>
      </c>
      <c r="B6" s="10">
        <f>Merged!Q3</f>
        <v/>
      </c>
      <c r="C6" s="10" t="n">
        <v>72</v>
      </c>
      <c r="D6" s="10">
        <f>B6-C6</f>
        <v/>
      </c>
      <c r="E6" s="10" t="n">
        <v>1e-09</v>
      </c>
      <c r="F6">
        <f>IF(ABS(D6)&lt;=E6,"OK","CHECK")</f>
        <v/>
      </c>
    </row>
    <row r="7">
      <c r="A7" t="inlineStr">
        <is>
          <t>Merged: Lookups that failed (#N/A) in D, H, I</t>
        </is>
      </c>
      <c r="B7" s="10">
        <f>Merged!Q4</f>
        <v/>
      </c>
      <c r="C7" s="10" t="n">
        <v>0</v>
      </c>
      <c r="D7" s="10">
        <f>B7-C7</f>
        <v/>
      </c>
      <c r="E7" s="10" t="n">
        <v>1e-09</v>
      </c>
      <c r="F7">
        <f>IF(ABS(D7)&lt;=E7,"OK","CHECK")</f>
        <v/>
      </c>
    </row>
    <row r="8">
      <c r="A8" t="inlineStr">
        <is>
          <t>Merged: Participants with include = 1</t>
        </is>
      </c>
      <c r="B8" s="10">
        <f>Merged!Q5</f>
        <v/>
      </c>
      <c r="C8" s="10" t="n">
        <v>22</v>
      </c>
      <c r="D8" s="10">
        <f>B8-C8</f>
        <v/>
      </c>
      <c r="E8" s="10" t="n">
        <v>1e-09</v>
      </c>
      <c r="F8">
        <f>IF(ABS(D8)&lt;=E8,"OK","CHECK")</f>
        <v/>
      </c>
    </row>
    <row r="9">
      <c r="A9" t="inlineStr">
        <is>
          <t>Merged: Stimulus rows with GSR not valid</t>
        </is>
      </c>
      <c r="B9" s="10">
        <f>Merged!Q6</f>
        <v/>
      </c>
      <c r="C9" s="10" t="n">
        <v>1</v>
      </c>
      <c r="D9" s="10">
        <f>B9-C9</f>
        <v/>
      </c>
      <c r="E9" s="10" t="n">
        <v>1e-09</v>
      </c>
      <c r="F9">
        <f>IF(ABS(D9)&lt;=E9,"OK","CHECK")</f>
        <v/>
      </c>
    </row>
    <row r="10">
      <c r="A10" t="inlineStr">
        <is>
          <t>Pivot: n GSR Baseline</t>
        </is>
      </c>
      <c r="B10" s="10">
        <f>Pivot!B4</f>
        <v/>
      </c>
      <c r="C10" s="10" t="n">
        <v>22</v>
      </c>
      <c r="D10" s="10">
        <f>B10-C10</f>
        <v/>
      </c>
      <c r="E10" s="10" t="n">
        <v>1e-09</v>
      </c>
      <c r="F10">
        <f>IF(ABS(D10)&lt;=E10,"OK","CHECK")</f>
        <v/>
      </c>
    </row>
    <row r="11">
      <c r="A11" t="inlineStr">
        <is>
          <t>Pivot: mean GSR Baseline</t>
        </is>
      </c>
      <c r="B11" s="10">
        <f>Pivot!C4</f>
        <v/>
      </c>
      <c r="C11" s="10" t="n">
        <v>2.062727272727273</v>
      </c>
      <c r="D11" s="10">
        <f>B11-C11</f>
        <v/>
      </c>
      <c r="E11" s="10" t="n">
        <v>0.0005</v>
      </c>
      <c r="F11">
        <f>IF(ABS(D11)&lt;=E11,"OK","CHECK")</f>
        <v/>
      </c>
    </row>
    <row r="12">
      <c r="A12" t="inlineStr">
        <is>
          <t>Pivot: n GSR Ad_A</t>
        </is>
      </c>
      <c r="B12" s="10">
        <f>Pivot!B5</f>
        <v/>
      </c>
      <c r="C12" s="10" t="n">
        <v>22</v>
      </c>
      <c r="D12" s="10">
        <f>B12-C12</f>
        <v/>
      </c>
      <c r="E12" s="10" t="n">
        <v>1e-09</v>
      </c>
      <c r="F12">
        <f>IF(ABS(D12)&lt;=E12,"OK","CHECK")</f>
        <v/>
      </c>
    </row>
    <row r="13">
      <c r="A13" t="inlineStr">
        <is>
          <t>Pivot: mean GSR Ad_A</t>
        </is>
      </c>
      <c r="B13" s="10">
        <f>Pivot!C5</f>
        <v/>
      </c>
      <c r="C13" s="10" t="n">
        <v>7.272727272727272</v>
      </c>
      <c r="D13" s="10">
        <f>B13-C13</f>
        <v/>
      </c>
      <c r="E13" s="10" t="n">
        <v>0.0005</v>
      </c>
      <c r="F13">
        <f>IF(ABS(D13)&lt;=E13,"OK","CHECK")</f>
        <v/>
      </c>
    </row>
    <row r="14">
      <c r="A14" t="inlineStr">
        <is>
          <t>Pivot: n liking Ad_A</t>
        </is>
      </c>
      <c r="B14" s="10">
        <f>Pivot!D5</f>
        <v/>
      </c>
      <c r="C14" s="10" t="n">
        <v>22</v>
      </c>
      <c r="D14" s="10">
        <f>B14-C14</f>
        <v/>
      </c>
      <c r="E14" s="10" t="n">
        <v>1e-09</v>
      </c>
      <c r="F14">
        <f>IF(ABS(D14)&lt;=E14,"OK","CHECK")</f>
        <v/>
      </c>
    </row>
    <row r="15">
      <c r="A15" t="inlineStr">
        <is>
          <t>Pivot: mean liking Ad_A</t>
        </is>
      </c>
      <c r="B15" s="10">
        <f>Pivot!E5</f>
        <v/>
      </c>
      <c r="C15" s="10" t="n">
        <v>4.590909090909091</v>
      </c>
      <c r="D15" s="10">
        <f>B15-C15</f>
        <v/>
      </c>
      <c r="E15" s="10" t="n">
        <v>0.0005</v>
      </c>
      <c r="F15">
        <f>IF(ABS(D15)&lt;=E15,"OK","CHECK")</f>
        <v/>
      </c>
    </row>
    <row r="16">
      <c r="A16" t="inlineStr">
        <is>
          <t>Pivot: recall Ad_A</t>
        </is>
      </c>
      <c r="B16" s="10">
        <f>Pivot!F5</f>
        <v/>
      </c>
      <c r="C16" s="10" t="n">
        <v>0.5454545454545454</v>
      </c>
      <c r="D16" s="10">
        <f>B16-C16</f>
        <v/>
      </c>
      <c r="E16" s="10" t="n">
        <v>0.0005</v>
      </c>
      <c r="F16">
        <f>IF(ABS(D16)&lt;=E16,"OK","CHECK")</f>
        <v/>
      </c>
    </row>
    <row r="17">
      <c r="A17" t="inlineStr">
        <is>
          <t>Pivot: n GSR Ad_B</t>
        </is>
      </c>
      <c r="B17" s="10">
        <f>Pivot!B6</f>
        <v/>
      </c>
      <c r="C17" s="10" t="n">
        <v>21</v>
      </c>
      <c r="D17" s="10">
        <f>B17-C17</f>
        <v/>
      </c>
      <c r="E17" s="10" t="n">
        <v>1e-09</v>
      </c>
      <c r="F17">
        <f>IF(ABS(D17)&lt;=E17,"OK","CHECK")</f>
        <v/>
      </c>
    </row>
    <row r="18">
      <c r="A18" t="inlineStr">
        <is>
          <t>Pivot: mean GSR Ad_B</t>
        </is>
      </c>
      <c r="B18" s="10">
        <f>Pivot!C6</f>
        <v/>
      </c>
      <c r="C18" s="10" t="n">
        <v>6</v>
      </c>
      <c r="D18" s="10">
        <f>B18-C18</f>
        <v/>
      </c>
      <c r="E18" s="10" t="n">
        <v>0.0005</v>
      </c>
      <c r="F18">
        <f>IF(ABS(D18)&lt;=E18,"OK","CHECK")</f>
        <v/>
      </c>
    </row>
    <row r="19">
      <c r="A19" t="inlineStr">
        <is>
          <t>Pivot: n liking Ad_B</t>
        </is>
      </c>
      <c r="B19" s="10">
        <f>Pivot!D6</f>
        <v/>
      </c>
      <c r="C19" s="10" t="n">
        <v>22</v>
      </c>
      <c r="D19" s="10">
        <f>B19-C19</f>
        <v/>
      </c>
      <c r="E19" s="10" t="n">
        <v>1e-09</v>
      </c>
      <c r="F19">
        <f>IF(ABS(D19)&lt;=E19,"OK","CHECK")</f>
        <v/>
      </c>
    </row>
    <row r="20">
      <c r="A20" t="inlineStr">
        <is>
          <t>Pivot: mean liking Ad_B</t>
        </is>
      </c>
      <c r="B20" s="10">
        <f>Pivot!E6</f>
        <v/>
      </c>
      <c r="C20" s="10" t="n">
        <v>4.045454545454546</v>
      </c>
      <c r="D20" s="10">
        <f>B20-C20</f>
        <v/>
      </c>
      <c r="E20" s="10" t="n">
        <v>0.0005</v>
      </c>
      <c r="F20">
        <f>IF(ABS(D20)&lt;=E20,"OK","CHECK")</f>
        <v/>
      </c>
    </row>
    <row r="21">
      <c r="A21" t="inlineStr">
        <is>
          <t>Pivot: recall Ad_B</t>
        </is>
      </c>
      <c r="B21" s="10">
        <f>Pivot!F6</f>
        <v/>
      </c>
      <c r="C21" s="10" t="n">
        <v>0.5454545454545454</v>
      </c>
      <c r="D21" s="10">
        <f>B21-C21</f>
        <v/>
      </c>
      <c r="E21" s="10" t="n">
        <v>0.0005</v>
      </c>
      <c r="F21">
        <f>IF(ABS(D21)&lt;=E21,"OK","CHECK")</f>
        <v/>
      </c>
    </row>
    <row r="22">
      <c r="A22" t="inlineStr">
        <is>
          <t>H3: Baseline mean</t>
        </is>
      </c>
      <c r="B22" s="10">
        <f>H3!B30</f>
        <v/>
      </c>
      <c r="C22" s="10" t="n">
        <v>2.062727272727273</v>
      </c>
      <c r="D22" s="10">
        <f>B22-C22</f>
        <v/>
      </c>
      <c r="E22" s="10" t="n">
        <v>0.0005</v>
      </c>
      <c r="F22">
        <f>IF(ABS(D22)&lt;=E22,"OK","CHECK")</f>
        <v/>
      </c>
    </row>
    <row r="23">
      <c r="A23" t="inlineStr">
        <is>
          <t>H3: Baseline SD</t>
        </is>
      </c>
      <c r="B23" s="10">
        <f>H3!B31</f>
        <v/>
      </c>
      <c r="C23" s="10" t="n">
        <v>1.8590555252298</v>
      </c>
      <c r="D23" s="10">
        <f>B23-C23</f>
        <v/>
      </c>
      <c r="E23" s="10" t="n">
        <v>0.0005</v>
      </c>
      <c r="F23">
        <f>IF(ABS(D23)&lt;=E23,"OK","CHECK")</f>
        <v/>
      </c>
    </row>
    <row r="24">
      <c r="A24" t="inlineStr">
        <is>
          <t>H3: Ad_A mean</t>
        </is>
      </c>
      <c r="B24" s="10">
        <f>H3!B32</f>
        <v/>
      </c>
      <c r="C24" s="10" t="n">
        <v>7.272727272727272</v>
      </c>
      <c r="D24" s="10">
        <f>B24-C24</f>
        <v/>
      </c>
      <c r="E24" s="10" t="n">
        <v>0.0005</v>
      </c>
      <c r="F24">
        <f>IF(ABS(D24)&lt;=E24,"OK","CHECK")</f>
        <v/>
      </c>
    </row>
    <row r="25">
      <c r="A25" t="inlineStr">
        <is>
          <t>H3: Ad_A SD</t>
        </is>
      </c>
      <c r="B25" s="10">
        <f>H3!B33</f>
        <v/>
      </c>
      <c r="C25" s="10" t="n">
        <v>6.804633002817294</v>
      </c>
      <c r="D25" s="10">
        <f>B25-C25</f>
        <v/>
      </c>
      <c r="E25" s="10" t="n">
        <v>0.0005</v>
      </c>
      <c r="F25">
        <f>IF(ABS(D25)&lt;=E25,"OK","CHECK")</f>
        <v/>
      </c>
    </row>
    <row r="26">
      <c r="A26" t="inlineStr">
        <is>
          <t>H3: n (participants)</t>
        </is>
      </c>
      <c r="B26" s="10">
        <f>H3!B34</f>
        <v/>
      </c>
      <c r="C26" s="10" t="n">
        <v>22</v>
      </c>
      <c r="D26" s="10">
        <f>B26-C26</f>
        <v/>
      </c>
      <c r="E26" s="10" t="n">
        <v>1e-09</v>
      </c>
      <c r="F26">
        <f>IF(ABS(D26)&lt;=E26,"OK","CHECK")</f>
        <v/>
      </c>
    </row>
    <row r="27">
      <c r="A27" t="inlineStr">
        <is>
          <t>H3: Mean difference</t>
        </is>
      </c>
      <c r="B27" s="10">
        <f>H3!B35</f>
        <v/>
      </c>
      <c r="C27" s="10" t="n">
        <v>5.21</v>
      </c>
      <c r="D27" s="10">
        <f>B27-C27</f>
        <v/>
      </c>
      <c r="E27" s="10" t="n">
        <v>0.0005</v>
      </c>
      <c r="F27">
        <f>IF(ABS(D27)&lt;=E27,"OK","CHECK")</f>
        <v/>
      </c>
    </row>
    <row r="28">
      <c r="A28" t="inlineStr">
        <is>
          <t>H3: SD of the differences</t>
        </is>
      </c>
      <c r="B28" s="10">
        <f>H3!B36</f>
        <v/>
      </c>
      <c r="C28" s="10" t="n">
        <v>6.307569904110306</v>
      </c>
      <c r="D28" s="10">
        <f>B28-C28</f>
        <v/>
      </c>
      <c r="E28" s="10" t="n">
        <v>0.0005</v>
      </c>
      <c r="F28">
        <f>IF(ABS(D28)&lt;=E28,"OK","CHECK")</f>
        <v/>
      </c>
    </row>
    <row r="29">
      <c r="A29" t="inlineStr">
        <is>
          <t>H3: t</t>
        </is>
      </c>
      <c r="B29" s="10">
        <f>H3!B38</f>
        <v/>
      </c>
      <c r="C29" s="10" t="n">
        <v>3.874244198666073</v>
      </c>
      <c r="D29" s="10">
        <f>B29-C29</f>
        <v/>
      </c>
      <c r="E29" s="10" t="n">
        <v>0.0005</v>
      </c>
      <c r="F29">
        <f>IF(ABS(D29)&lt;=E29,"OK","CHECK")</f>
        <v/>
      </c>
    </row>
    <row r="30">
      <c r="A30" t="inlineStr">
        <is>
          <t>H3: df</t>
        </is>
      </c>
      <c r="B30" s="10">
        <f>H3!B39</f>
        <v/>
      </c>
      <c r="C30" s="10" t="n">
        <v>21</v>
      </c>
      <c r="D30" s="10">
        <f>B30-C30</f>
        <v/>
      </c>
      <c r="E30" s="10" t="n">
        <v>1e-09</v>
      </c>
      <c r="F30">
        <f>IF(ABS(D30)&lt;=E30,"OK","CHECK")</f>
        <v/>
      </c>
    </row>
    <row r="31">
      <c r="A31" t="inlineStr">
        <is>
          <t>H3: p, two tailed (T.TEST, type 1 = paired)</t>
        </is>
      </c>
      <c r="B31" s="10">
        <f>H3!B40</f>
        <v/>
      </c>
      <c r="C31" s="10" t="n">
        <v>0.0008772002829883515</v>
      </c>
      <c r="D31" s="10">
        <f>B31-C31</f>
        <v/>
      </c>
      <c r="E31" s="10" t="n">
        <v>5e-06</v>
      </c>
      <c r="F31">
        <f>IF(ABS(D31)&lt;=E31,"OK","CHECK")</f>
        <v/>
      </c>
    </row>
    <row r="32">
      <c r="A32" t="inlineStr">
        <is>
          <t>H3: p from t (T.DIST.2T)</t>
        </is>
      </c>
      <c r="B32" s="10">
        <f>H3!B41</f>
        <v/>
      </c>
      <c r="C32" s="10" t="n">
        <v>0.0008772002829883515</v>
      </c>
      <c r="D32" s="10">
        <f>B32-C32</f>
        <v/>
      </c>
      <c r="E32" s="10" t="n">
        <v>5e-06</v>
      </c>
      <c r="F32">
        <f>IF(ABS(D32)&lt;=E32,"OK","CHECK")</f>
        <v/>
      </c>
    </row>
    <row r="33">
      <c r="A33" t="inlineStr">
        <is>
          <t>H3: Mean difference, 95% CI lower</t>
        </is>
      </c>
      <c r="B33" s="10">
        <f>H3!B43</f>
        <v/>
      </c>
      <c r="C33" s="10" t="n">
        <v>2.4133801754774</v>
      </c>
      <c r="D33" s="10">
        <f>B33-C33</f>
        <v/>
      </c>
      <c r="E33" s="10" t="n">
        <v>0.0005</v>
      </c>
      <c r="F33">
        <f>IF(ABS(D33)&lt;=E33,"OK","CHECK")</f>
        <v/>
      </c>
    </row>
    <row r="34">
      <c r="A34" t="inlineStr">
        <is>
          <t>H3: Mean difference, 95% CI upper</t>
        </is>
      </c>
      <c r="B34" s="10">
        <f>H3!B44</f>
        <v/>
      </c>
      <c r="C34" s="10" t="n">
        <v>8.0066198245226</v>
      </c>
      <c r="D34" s="10">
        <f>B34-C34</f>
        <v/>
      </c>
      <c r="E34" s="10" t="n">
        <v>0.0005</v>
      </c>
      <c r="F34">
        <f>IF(ABS(D34)&lt;=E34,"OK","CHECK")</f>
        <v/>
      </c>
    </row>
    <row r="35">
      <c r="A35" t="inlineStr">
        <is>
          <t>H3: Cohen's d_z</t>
        </is>
      </c>
      <c r="B35" s="10">
        <f>H3!B45</f>
        <v/>
      </c>
      <c r="C35" s="10" t="n">
        <v>0.8259916384921746</v>
      </c>
      <c r="D35" s="10">
        <f>B35-C35</f>
        <v/>
      </c>
      <c r="E35" s="10" t="n">
        <v>0.0005</v>
      </c>
      <c r="F35">
        <f>IF(ABS(D35)&lt;=E35,"OK","CHECK")</f>
        <v/>
      </c>
    </row>
    <row r="36">
      <c r="A36" t="inlineStr">
        <is>
          <t>H3: d_z 95% CI lower (approximation)</t>
        </is>
      </c>
      <c r="B36" s="10">
        <f>H3!B47</f>
        <v/>
      </c>
      <c r="C36" s="10" t="n">
        <v>0.3420640890444414</v>
      </c>
      <c r="D36" s="10">
        <f>B36-C36</f>
        <v/>
      </c>
      <c r="E36" s="10" t="n">
        <v>0.0005</v>
      </c>
      <c r="F36">
        <f>IF(ABS(D36)&lt;=E36,"OK","CHECK")</f>
        <v/>
      </c>
    </row>
    <row r="37">
      <c r="A37" t="inlineStr">
        <is>
          <t>H3: d_z 95% CI upper (approximation)</t>
        </is>
      </c>
      <c r="B37" s="10">
        <f>H3!B48</f>
        <v/>
      </c>
      <c r="C37" s="10" t="n">
        <v>1.309919187939908</v>
      </c>
      <c r="D37" s="10">
        <f>B37-C37</f>
        <v/>
      </c>
      <c r="E37" s="10" t="n">
        <v>0.0005</v>
      </c>
      <c r="F37">
        <f>IF(ABS(D37)&lt;=E37,"OK","CHECK")</f>
        <v/>
      </c>
    </row>
    <row r="38">
      <c r="A38" t="inlineStr">
        <is>
          <t>H3: Baseline mean</t>
        </is>
      </c>
      <c r="B38" s="10">
        <f>H3!H29</f>
        <v/>
      </c>
      <c r="C38" s="10" t="n">
        <v>1.875238095238095</v>
      </c>
      <c r="D38" s="10">
        <f>B38-C38</f>
        <v/>
      </c>
      <c r="E38" s="10" t="n">
        <v>0.0005</v>
      </c>
      <c r="F38">
        <f>IF(ABS(D38)&lt;=E38,"OK","CHECK")</f>
        <v/>
      </c>
    </row>
    <row r="39">
      <c r="A39" t="inlineStr">
        <is>
          <t>H3: Baseline SD</t>
        </is>
      </c>
      <c r="B39" s="10">
        <f>H3!H30</f>
        <v/>
      </c>
      <c r="C39" s="10" t="n">
        <v>1.678355203905356</v>
      </c>
      <c r="D39" s="10">
        <f>B39-C39</f>
        <v/>
      </c>
      <c r="E39" s="10" t="n">
        <v>0.0005</v>
      </c>
      <c r="F39">
        <f>IF(ABS(D39)&lt;=E39,"OK","CHECK")</f>
        <v/>
      </c>
    </row>
    <row r="40">
      <c r="A40" t="inlineStr">
        <is>
          <t>H3: Ad_B mean</t>
        </is>
      </c>
      <c r="B40" s="10">
        <f>H3!H31</f>
        <v/>
      </c>
      <c r="C40" s="10" t="n">
        <v>6</v>
      </c>
      <c r="D40" s="10">
        <f>B40-C40</f>
        <v/>
      </c>
      <c r="E40" s="10" t="n">
        <v>0.0005</v>
      </c>
      <c r="F40">
        <f>IF(ABS(D40)&lt;=E40,"OK","CHECK")</f>
        <v/>
      </c>
    </row>
    <row r="41">
      <c r="A41" t="inlineStr">
        <is>
          <t>H3: Ad_B SD</t>
        </is>
      </c>
      <c r="B41" s="10">
        <f>H3!H32</f>
        <v/>
      </c>
      <c r="C41" s="10" t="n">
        <v>4.939635614091388</v>
      </c>
      <c r="D41" s="10">
        <f>B41-C41</f>
        <v/>
      </c>
      <c r="E41" s="10" t="n">
        <v>0.0005</v>
      </c>
      <c r="F41">
        <f>IF(ABS(D41)&lt;=E41,"OK","CHECK")</f>
        <v/>
      </c>
    </row>
    <row r="42">
      <c r="A42" t="inlineStr">
        <is>
          <t>H3: n (participants)</t>
        </is>
      </c>
      <c r="B42" s="10">
        <f>H3!H33</f>
        <v/>
      </c>
      <c r="C42" s="10" t="n">
        <v>21</v>
      </c>
      <c r="D42" s="10">
        <f>B42-C42</f>
        <v/>
      </c>
      <c r="E42" s="10" t="n">
        <v>1e-09</v>
      </c>
      <c r="F42">
        <f>IF(ABS(D42)&lt;=E42,"OK","CHECK")</f>
        <v/>
      </c>
    </row>
    <row r="43">
      <c r="A43" t="inlineStr">
        <is>
          <t>H3: Mean difference</t>
        </is>
      </c>
      <c r="B43" s="10">
        <f>H3!H34</f>
        <v/>
      </c>
      <c r="C43" s="10" t="n">
        <v>4.124761904761905</v>
      </c>
      <c r="D43" s="10">
        <f>B43-C43</f>
        <v/>
      </c>
      <c r="E43" s="10" t="n">
        <v>0.0005</v>
      </c>
      <c r="F43">
        <f>IF(ABS(D43)&lt;=E43,"OK","CHECK")</f>
        <v/>
      </c>
    </row>
    <row r="44">
      <c r="A44" t="inlineStr">
        <is>
          <t>H3: SD of the differences</t>
        </is>
      </c>
      <c r="B44" s="10">
        <f>H3!H35</f>
        <v/>
      </c>
      <c r="C44" s="10" t="n">
        <v>4.346593630703955</v>
      </c>
      <c r="D44" s="10">
        <f>B44-C44</f>
        <v/>
      </c>
      <c r="E44" s="10" t="n">
        <v>0.0005</v>
      </c>
      <c r="F44">
        <f>IF(ABS(D44)&lt;=E44,"OK","CHECK")</f>
        <v/>
      </c>
    </row>
    <row r="45">
      <c r="A45" t="inlineStr">
        <is>
          <t>H3: t</t>
        </is>
      </c>
      <c r="B45" s="10">
        <f>H3!H37</f>
        <v/>
      </c>
      <c r="C45" s="10" t="n">
        <v>4.348700444117747</v>
      </c>
      <c r="D45" s="10">
        <f>B45-C45</f>
        <v/>
      </c>
      <c r="E45" s="10" t="n">
        <v>0.0005</v>
      </c>
      <c r="F45">
        <f>IF(ABS(D45)&lt;=E45,"OK","CHECK")</f>
        <v/>
      </c>
    </row>
    <row r="46">
      <c r="A46" t="inlineStr">
        <is>
          <t>H3: df</t>
        </is>
      </c>
      <c r="B46" s="10">
        <f>H3!H38</f>
        <v/>
      </c>
      <c r="C46" s="10" t="n">
        <v>20</v>
      </c>
      <c r="D46" s="10">
        <f>B46-C46</f>
        <v/>
      </c>
      <c r="E46" s="10" t="n">
        <v>1e-09</v>
      </c>
      <c r="F46">
        <f>IF(ABS(D46)&lt;=E46,"OK","CHECK")</f>
        <v/>
      </c>
    </row>
    <row r="47">
      <c r="A47" t="inlineStr">
        <is>
          <t>H3: p, two tailed (T.TEST, type 1 = paired)</t>
        </is>
      </c>
      <c r="B47" s="10">
        <f>H3!H39</f>
        <v/>
      </c>
      <c r="C47" s="10" t="n">
        <v>0.000311355920858367</v>
      </c>
      <c r="D47" s="10">
        <f>B47-C47</f>
        <v/>
      </c>
      <c r="E47" s="10" t="n">
        <v>5e-06</v>
      </c>
      <c r="F47">
        <f>IF(ABS(D47)&lt;=E47,"OK","CHECK")</f>
        <v/>
      </c>
    </row>
    <row r="48">
      <c r="A48" t="inlineStr">
        <is>
          <t>H3: p from t (T.DIST.2T)</t>
        </is>
      </c>
      <c r="B48" s="10">
        <f>H3!H40</f>
        <v/>
      </c>
      <c r="C48" s="10" t="n">
        <v>0.000311355920858367</v>
      </c>
      <c r="D48" s="10">
        <f>B48-C48</f>
        <v/>
      </c>
      <c r="E48" s="10" t="n">
        <v>5e-06</v>
      </c>
      <c r="F48">
        <f>IF(ABS(D48)&lt;=E48,"OK","CHECK")</f>
        <v/>
      </c>
    </row>
    <row r="49">
      <c r="A49" t="inlineStr">
        <is>
          <t>H3: Mean difference, 95% CI lower</t>
        </is>
      </c>
      <c r="B49" s="10">
        <f>H3!H42</f>
        <v/>
      </c>
      <c r="C49" s="10" t="n">
        <v>2.146216205288315</v>
      </c>
      <c r="D49" s="10">
        <f>B49-C49</f>
        <v/>
      </c>
      <c r="E49" s="10" t="n">
        <v>0.0005</v>
      </c>
      <c r="F49">
        <f>IF(ABS(D49)&lt;=E49,"OK","CHECK")</f>
        <v/>
      </c>
    </row>
    <row r="50">
      <c r="A50" t="inlineStr">
        <is>
          <t>H3: Mean difference, 95% CI upper</t>
        </is>
      </c>
      <c r="B50" s="10">
        <f>H3!H43</f>
        <v/>
      </c>
      <c r="C50" s="10" t="n">
        <v>6.103307604235495</v>
      </c>
      <c r="D50" s="10">
        <f>B50-C50</f>
        <v/>
      </c>
      <c r="E50" s="10" t="n">
        <v>0.0005</v>
      </c>
      <c r="F50">
        <f>IF(ABS(D50)&lt;=E50,"OK","CHECK")</f>
        <v/>
      </c>
    </row>
    <row r="51">
      <c r="A51" t="inlineStr">
        <is>
          <t>H3: Cohen's d_z</t>
        </is>
      </c>
      <c r="B51" s="10">
        <f>H3!H44</f>
        <v/>
      </c>
      <c r="C51" s="10" t="n">
        <v>0.9489642361836979</v>
      </c>
      <c r="D51" s="10">
        <f>B51-C51</f>
        <v/>
      </c>
      <c r="E51" s="10" t="n">
        <v>0.0005</v>
      </c>
      <c r="F51">
        <f>IF(ABS(D51)&lt;=E51,"OK","CHECK")</f>
        <v/>
      </c>
    </row>
    <row r="52">
      <c r="A52" t="inlineStr">
        <is>
          <t>H3: d_z 95% CI lower (approximation)</t>
        </is>
      </c>
      <c r="B52" s="10">
        <f>H3!H46</f>
        <v/>
      </c>
      <c r="C52" s="10" t="n">
        <v>0.4338893909573345</v>
      </c>
      <c r="D52" s="10">
        <f>B52-C52</f>
        <v/>
      </c>
      <c r="E52" s="10" t="n">
        <v>0.0005</v>
      </c>
      <c r="F52">
        <f>IF(ABS(D52)&lt;=E52,"OK","CHECK")</f>
        <v/>
      </c>
    </row>
    <row r="53">
      <c r="A53" t="inlineStr">
        <is>
          <t>H3: d_z 95% CI upper (approximation)</t>
        </is>
      </c>
      <c r="B53" s="10">
        <f>H3!H47</f>
        <v/>
      </c>
      <c r="C53" s="10" t="n">
        <v>1.464039081410061</v>
      </c>
      <c r="D53" s="10">
        <f>B53-C53</f>
        <v/>
      </c>
      <c r="E53" s="10" t="n">
        <v>0.0005</v>
      </c>
      <c r="F53">
        <f>IF(ABS(D53)&lt;=E53,"OK","CHECK")</f>
        <v/>
      </c>
    </row>
    <row r="54">
      <c r="A54" t="inlineStr">
        <is>
          <t>H3 roster Ad_A: participants with include = 1 and valid GSR in Ad_A</t>
        </is>
      </c>
      <c r="B54" s="10">
        <f>SUMPRODUCT(COUNTIFS(Merged!$A$2:$A$73,H3!A5:A26,Merged!$B$2:$B$73,"Ad_A",Merged!$L$2:$L$73,1,Merged!$E$2:$E$73,1))</f>
        <v/>
      </c>
      <c r="C54" s="10" t="n">
        <v>22</v>
      </c>
      <c r="D54" s="10">
        <f>B54-C54</f>
        <v/>
      </c>
      <c r="E54" s="10" t="n">
        <v>1e-09</v>
      </c>
      <c r="F54">
        <f>IF(ABS(D54)&lt;=E54,"OK","CHECK")</f>
        <v/>
      </c>
    </row>
    <row r="55">
      <c r="A55" t="inlineStr">
        <is>
          <t>H3 roster Ad_B: participants with include = 1 and valid GSR in Ad_B</t>
        </is>
      </c>
      <c r="B55" s="10">
        <f>SUMPRODUCT(COUNTIFS(Merged!$A$2:$A$73,H3!G5:G25,Merged!$B$2:$B$73,"Ad_B",Merged!$L$2:$L$73,1,Merged!$E$2:$E$73,1))</f>
        <v/>
      </c>
      <c r="C55" s="10" t="n">
        <v>21</v>
      </c>
      <c r="D55" s="10">
        <f>B55-C55</f>
        <v/>
      </c>
      <c r="E55" s="10" t="n">
        <v>1e-09</v>
      </c>
      <c r="F55">
        <f>IF(ABS(D55)&lt;=E55,"OK","CHECK")</f>
        <v/>
      </c>
    </row>
    <row r="57">
      <c r="A57" s="1" t="inlineStr">
        <is>
          <t>Rows with status CHECK</t>
        </is>
      </c>
      <c r="B57" s="8">
        <f>COUNTIF(F4:F55,"CHECK")</f>
        <v/>
      </c>
    </row>
    <row r="58">
      <c r="A58" s="6" t="inlineStr">
        <is>
          <t>Not reproduced in Excel: H1 (Fisher's exact test, the mixed logistic model), H2 (the linear mixed model), the Wilcoxon checks, the exact noncentral t intervals, and the Sensor Data consistency check. See prepare_output.txt and analysis_output.txt.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2026-10-11T17:00:31Z</dcterms:created>
  <dcterms:modified xmlns:dcterms="http://purl.org/dc/terms/" xmlns:xsi="http://www.w3.org/2001/XMLSchema-instance" xsi:type="dcterms:W3CDTF">2026-10-11T17:00:31Z</dcterms:modified>
</cp:coreProperties>
</file>