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Summary" sheetId="3" state="visible" r:id="rId3"/>
    <sheet xmlns:r="http://schemas.openxmlformats.org/officeDocument/2006/relationships" name="H1" sheetId="4" state="visible" r:id="rId4"/>
    <sheet xmlns:r="http://schemas.openxmlformats.org/officeDocument/2006/relationships" name="Bins" sheetId="5" state="visible" r:id="rId5"/>
    <sheet xmlns:r="http://schemas.openxmlformats.org/officeDocument/2006/relationships" name="H3" sheetId="6" state="visible" r:id="rId6"/>
    <sheet xmlns:r="http://schemas.openxmlformats.org/officeDocument/2006/relationships" name="Check" sheetId="7" state="visible" r:id="rId7"/>
  </sheets>
  <definedNames>
    <definedName name="_xlnm._FilterDatabase" localSheetId="1" hidden="1">'Data'!$A$1:$M$1729</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
    <numFmt numFmtId="167" formatCode="0.000"/>
  </numFmts>
  <fonts count="7">
    <font>
      <name val="Calibri"/>
      <family val="2"/>
      <color theme="1"/>
      <sz val="11"/>
      <scheme val="minor"/>
    </font>
    <font>
      <b val="1"/>
      <color rgb="001F3864"/>
      <sz val="14"/>
    </font>
    <font>
      <b val="1"/>
      <color rgb="00FFFFFF"/>
    </font>
    <font>
      <b val="1"/>
      <color rgb="001F3864"/>
      <sz val="12"/>
    </font>
    <font>
      <i val="1"/>
      <color rgb="00555555"/>
    </font>
    <font>
      <b val="1"/>
    </font>
    <font>
      <name val="Consolas"/>
      <color rgb="00555555"/>
      <sz val="9"/>
    </font>
  </fonts>
  <fills count="5">
    <fill>
      <patternFill/>
    </fill>
    <fill>
      <patternFill patternType="gray125"/>
    </fill>
    <fill>
      <patternFill patternType="solid">
        <fgColor rgb="001F3864"/>
      </patternFill>
    </fill>
    <fill>
      <patternFill patternType="solid">
        <fgColor rgb="00A6561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2" fillId="3" borderId="1" applyAlignment="1" pivotButton="0" quotePrefix="0" xfId="0">
      <alignment vertical="center" wrapText="1"/>
    </xf>
    <xf numFmtId="0" fontId="3" fillId="0" borderId="0" pivotButton="0" quotePrefix="0" xfId="0"/>
    <xf numFmtId="0" fontId="4" fillId="0" borderId="0" pivotButton="0" quotePrefix="0" xfId="0"/>
    <xf numFmtId="0" fontId="0" fillId="0" borderId="1" pivotButton="0" quotePrefix="0" xfId="0"/>
    <xf numFmtId="2" fontId="0" fillId="0" borderId="1" pivotButton="0" quotePrefix="0" xfId="0"/>
    <xf numFmtId="0" fontId="5" fillId="0" borderId="0" pivotButton="0" quotePrefix="0" xfId="0"/>
    <xf numFmtId="164" fontId="0" fillId="0" borderId="0" pivotButton="0" quotePrefix="0" xfId="0"/>
    <xf numFmtId="0" fontId="2" fillId="2" borderId="0" pivotButton="0" quotePrefix="0" xfId="0"/>
    <xf numFmtId="0" fontId="5" fillId="4" borderId="0" pivotButton="0" quotePrefix="0" xfId="0"/>
    <xf numFmtId="165" fontId="0" fillId="0" borderId="0" pivotButton="0" quotePrefix="0" xfId="0"/>
    <xf numFmtId="0" fontId="6" fillId="0" borderId="0" pivotButton="0" quotePrefix="0" xfId="0"/>
    <xf numFmtId="1" fontId="0" fillId="0" borderId="0" pivotButton="0" quotePrefix="0" xfId="0"/>
    <xf numFmtId="166" fontId="0" fillId="0" borderId="0" pivotButton="0" quotePrefix="0" xfId="0"/>
    <xf numFmtId="2" fontId="0" fillId="0" borderId="0" pivotButton="0" quotePrefix="0" xfId="0"/>
    <xf numFmtId="164" fontId="0" fillId="0" borderId="1" pivotButton="0" quotePrefix="0" xfId="0"/>
    <xf numFmtId="1" fontId="0" fillId="0" borderId="1" pivotButton="0" quotePrefix="0" xfId="0"/>
    <xf numFmtId="167"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Mean Joy Percent of time present by interval (SIMULATED)</a:t>
            </a:r>
          </a:p>
        </rich>
      </tx>
    </title>
    <plotArea>
      <barChart>
        <barDir val="col"/>
        <grouping val="clustered"/>
        <ser>
          <idx val="0"/>
          <order val="0"/>
          <tx>
            <strRef>
              <f>'Summary'!B67</f>
            </strRef>
          </tx>
          <spPr>
            <a:solidFill xmlns:a="http://schemas.openxmlformats.org/drawingml/2006/main">
              <a:srgbClr val="1F3864"/>
            </a:solidFill>
            <a:ln xmlns:a="http://schemas.openxmlformats.org/drawingml/2006/main">
              <a:prstDash val="solid"/>
            </a:ln>
          </spPr>
          <cat>
            <numRef>
              <f>'Summary'!$A$68:$A$76</f>
            </numRef>
          </cat>
          <val>
            <numRef>
              <f>'Summary'!$B$68:$B$76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Percent of interval time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Mean Joy by stimulus (SIMULATED)</a:t>
            </a:r>
          </a:p>
        </rich>
      </tx>
    </title>
    <plotArea>
      <barChart>
        <barDir val="col"/>
        <grouping val="clustered"/>
        <ser>
          <idx val="0"/>
          <order val="0"/>
          <tx>
            <strRef>
              <f>'H1'!L58</f>
            </strRef>
          </tx>
          <spPr>
            <a:solidFill xmlns:a="http://schemas.openxmlformats.org/drawingml/2006/main">
              <a:srgbClr val="1F3864"/>
            </a:solidFill>
            <a:ln xmlns:a="http://schemas.openxmlformats.org/drawingml/2006/main">
              <a:prstDash val="solid"/>
            </a:ln>
          </spPr>
          <errBars>
            <errDir val="y"/>
            <errBarType val="both"/>
            <errValType val="cust"/>
            <minus>
              <numRef>
                <f>'H1'!$M$59:$M$60</f>
              </numRef>
            </minus>
            <plus>
              <numRef>
                <f>'H1'!$M$59:$M$60</f>
              </numRef>
            </plus>
          </errBars>
          <cat>
            <numRef>
              <f>'H1'!$K$59:$K$60</f>
            </numRef>
          </cat>
          <val>
            <numRef>
              <f>'H1'!$L$59:$L$60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Percent of stimulus time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65</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13</col>
      <colOff>0</colOff>
      <row>56</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2" customWidth="1" min="1" max="1"/>
  </cols>
  <sheetData>
    <row r="1">
      <c r="A1" s="1" t="inlineStr">
        <is>
          <t>SIMULATED facial expression analysis workbook (teaching material)</t>
        </is>
      </c>
    </row>
    <row r="2">
      <c r="A2" t="inlineStr"/>
    </row>
    <row r="3">
      <c r="A3" t="inlineStr">
        <is>
          <t>Every number in this workbook is SIMULATED. It was generated by make_simulated_data.py (seed 20265798) to resemble</t>
        </is>
      </c>
    </row>
    <row r="4">
      <c r="A4" t="inlineStr">
        <is>
          <t>the FEA Metrics Export of the iMotions FEA thresholding R Notebook for one video commercial: a 60 s Baseline,</t>
        </is>
      </c>
    </row>
    <row r="5">
      <c r="A5" t="inlineStr">
        <is>
          <t>a 60 s Commercial cut into six 10 s bins (Bin_01 to Bin_06), and a 15 s Recovery, recorded with the lab webcam</t>
        </is>
      </c>
    </row>
    <row r="6">
      <c r="A6" t="inlineStr">
        <is>
          <t>and processed with Affectiva AFFDEX. No real viewer was recorded.</t>
        </is>
      </c>
    </row>
    <row r="7">
      <c r="A7" t="inlineStr"/>
    </row>
    <row r="8">
      <c r="A8" t="inlineStr">
        <is>
          <t>Sheets:</t>
        </is>
      </c>
    </row>
    <row r="9">
      <c r="A9" t="inlineStr">
        <is>
          <t xml:space="preserve">  Data     FEA Metrics Export as imported (rows 2 to 1729). NA is kept as text, as iMotions writes it.</t>
        </is>
      </c>
    </row>
    <row r="10">
      <c r="A10" t="inlineStr">
        <is>
          <t xml:space="preserve">           Helper columns L and M: Keep (Data quality &gt;= 80), Present (1 when Percent of time present &gt; 0).</t>
        </is>
      </c>
    </row>
    <row r="11">
      <c r="A11" t="inlineStr">
        <is>
          <t xml:space="preserve">  Summary  Mean, SD, median, viewers with the expression present, and segments by expression and interval,</t>
        </is>
      </c>
    </row>
    <row r="12">
      <c r="A12" t="inlineStr">
        <is>
          <t xml:space="preserve">           built with COUNTIFS, AVERAGEIFS, and array formulas. Engagement is a raw mean score.</t>
        </is>
      </c>
    </row>
    <row r="13">
      <c r="A13" t="inlineStr">
        <is>
          <t xml:space="preserve">  H1       Joy, Commercial versus Baseline. One row per kept respondent; paired t test (T.TEST type 1), d_z,</t>
        </is>
      </c>
    </row>
    <row r="14">
      <c r="A14" t="inlineStr">
        <is>
          <t xml:space="preserve">           viewers with any Joy, exact McNemar test, and a hand computed Wilcoxon signed rank summary.</t>
        </is>
      </c>
    </row>
    <row r="15">
      <c r="A15" t="inlineStr">
        <is>
          <t xml:space="preserve">  Bins     H2. Joy by bin, the proportion of viewers with Joy present per bin (COUNTIFS), repeated measures</t>
        </is>
      </c>
    </row>
    <row r="16">
      <c r="A16" t="inlineStr">
        <is>
          <t xml:space="preserve">           ANOVA by hand, Friedman test by hand, contrasts.</t>
        </is>
      </c>
    </row>
    <row r="17">
      <c r="A17" t="inlineStr">
        <is>
          <t xml:space="preserve">  H3       Positive Valence during the Commercial and Ad_liking_1to7: Pearson (CORREL) and Spearman.</t>
        </is>
      </c>
    </row>
    <row r="18">
      <c r="A18" t="inlineStr">
        <is>
          <t xml:space="preserve">  Check    Live Excel results next to the values analysis.R produced, with an OK or CHECK status.</t>
        </is>
      </c>
    </row>
    <row r="19">
      <c r="A19" t="inlineStr"/>
    </row>
    <row r="20">
      <c r="A20" t="inlineStr">
        <is>
          <t>Design: ONE viewing by every respondent, in a fixed order. Baseline Joy is the comparison; there is no</t>
        </is>
      </c>
    </row>
    <row r="21">
      <c r="A21" t="inlineStr">
        <is>
          <t>counterbalancing. Every H1 difference is Commercial MINUS Baseline.</t>
        </is>
      </c>
    </row>
    <row r="22">
      <c r="A22" t="inlineStr">
        <is>
          <t>Column names are modeled on the manual's description of the FEA Metrics Export (percent of time present and number of</t>
        </is>
      </c>
    </row>
    <row r="23">
      <c r="A23" t="inlineStr">
        <is>
          <t>segments per respondent and time interval). The manuals print no header row: verify the headers on the lab machine.</t>
        </is>
      </c>
    </row>
    <row r="24">
      <c r="A24" t="inlineStr">
        <is>
          <t>Exclusion rule (the lab's own rule, fixed before collection; the manuals state none): Data quality below 80 percent</t>
        </is>
      </c>
    </row>
    <row r="25">
      <c r="A25" t="inlineStr">
        <is>
          <t>(respondents V07, V19).</t>
        </is>
      </c>
    </row>
    <row r="26">
      <c r="A26" t="inlineStr">
        <is>
          <t>Engagement is not thresholded; it is a raw mean score (0 to 100) per interval.</t>
        </is>
      </c>
    </row>
    <row r="27">
      <c r="A27" t="inlineStr">
        <is>
          <t>A viewer has an expression 'present' in an interval when Percent of time present is above 0.</t>
        </is>
      </c>
    </row>
    <row r="28">
      <c r="A28" t="inlineStr"/>
    </row>
    <row r="29">
      <c r="A29" t="inlineStr">
        <is>
          <t>Companion files: analysis_excel_walkthrough.md (step by step), analysis.R (same analysis in R),</t>
        </is>
      </c>
    </row>
    <row r="30">
      <c r="A30" t="inlineStr">
        <is>
          <t>analysis_output.txt (its console output), results_text.md (model paragraphs).</t>
        </is>
      </c>
    </row>
    <row r="31">
      <c r="A31" t="inlineStr">
        <is>
          <t>Sheets named H1 and H3 look like cell addresses, so formulas that point at them quote the name: 'H1'!L10.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7" customWidth="1" min="2" max="2"/>
    <col width="15" customWidth="1" min="3" max="3"/>
    <col width="16" customWidth="1" min="4" max="4"/>
    <col width="23" customWidth="1" min="5" max="5"/>
    <col width="18" customWidth="1" min="6" max="6"/>
    <col width="11" customWidth="1" min="7" max="7"/>
    <col width="24" customWidth="1" min="8" max="8"/>
    <col width="20" customWidth="1" min="9" max="9"/>
    <col width="24" customWidth="1" min="10" max="10"/>
    <col width="18" customWidth="1" min="11" max="11"/>
    <col width="14" customWidth="1" min="12" max="12"/>
    <col width="14" customWidth="1" min="13" max="13"/>
  </cols>
  <sheetData>
    <row r="1">
      <c r="A1" s="2" t="inlineStr">
        <is>
          <t>Study Name</t>
        </is>
      </c>
      <c r="B1" s="2" t="inlineStr">
        <is>
          <t>Respondent Name</t>
        </is>
      </c>
      <c r="C1" s="2" t="inlineStr">
        <is>
          <t>Interval type</t>
        </is>
      </c>
      <c r="D1" s="2" t="inlineStr">
        <is>
          <t>Interval label</t>
        </is>
      </c>
      <c r="E1" s="2" t="inlineStr">
        <is>
          <t>Interval duration (s)</t>
        </is>
      </c>
      <c r="F1" s="2" t="inlineStr">
        <is>
          <t>Expression</t>
        </is>
      </c>
      <c r="G1" s="2" t="inlineStr">
        <is>
          <t>Threshold</t>
        </is>
      </c>
      <c r="H1" s="2" t="inlineStr">
        <is>
          <t>Percent of time present</t>
        </is>
      </c>
      <c r="I1" s="2" t="inlineStr">
        <is>
          <t>Number of segments</t>
        </is>
      </c>
      <c r="J1" s="2" t="inlineStr">
        <is>
          <t>Mean raw score (0-100)</t>
        </is>
      </c>
      <c r="K1" s="2" t="inlineStr">
        <is>
          <t>Data quality (%)</t>
        </is>
      </c>
      <c r="L1" s="3" t="inlineStr">
        <is>
          <t>Keep</t>
        </is>
      </c>
      <c r="M1" s="3" t="inlineStr">
        <is>
          <t>Present</t>
        </is>
      </c>
    </row>
    <row r="2">
      <c r="A2" t="inlineStr">
        <is>
          <t>SIMULATED_FEA_Commercial_Study</t>
        </is>
      </c>
      <c r="B2" t="inlineStr">
        <is>
          <t>V01</t>
        </is>
      </c>
      <c r="C2" t="inlineStr">
        <is>
          <t>Stimulus</t>
        </is>
      </c>
      <c r="D2" t="inlineStr">
        <is>
          <t>Baseline</t>
        </is>
      </c>
      <c r="E2" t="n">
        <v>60</v>
      </c>
      <c r="F2" t="inlineStr">
        <is>
          <t>Joy</t>
        </is>
      </c>
      <c r="G2" t="n">
        <v>50</v>
      </c>
      <c r="H2" t="n">
        <v>0</v>
      </c>
      <c r="I2" t="n">
        <v>0</v>
      </c>
      <c r="J2" t="inlineStr">
        <is>
          <t>NA</t>
        </is>
      </c>
      <c r="K2" t="n">
        <v>96.2</v>
      </c>
      <c r="L2">
        <f>IF(K2&gt;=80,"Yes","No")</f>
        <v/>
      </c>
      <c r="M2">
        <f>IF(ISNUMBER(H2),IF(H2&gt;0,1,0),"")</f>
        <v/>
      </c>
    </row>
    <row r="3">
      <c r="A3" t="inlineStr">
        <is>
          <t>SIMULATED_FEA_Commercial_Study</t>
        </is>
      </c>
      <c r="B3" t="inlineStr">
        <is>
          <t>V01</t>
        </is>
      </c>
      <c r="C3" t="inlineStr">
        <is>
          <t>Stimulus</t>
        </is>
      </c>
      <c r="D3" t="inlineStr">
        <is>
          <t>Baseline</t>
        </is>
      </c>
      <c r="E3" t="n">
        <v>60</v>
      </c>
      <c r="F3" t="inlineStr">
        <is>
          <t>Surprise</t>
        </is>
      </c>
      <c r="G3" t="n">
        <v>50</v>
      </c>
      <c r="H3" t="n">
        <v>2.89</v>
      </c>
      <c r="I3" t="n">
        <v>2</v>
      </c>
      <c r="J3" t="inlineStr">
        <is>
          <t>NA</t>
        </is>
      </c>
      <c r="K3" t="n">
        <v>96.2</v>
      </c>
      <c r="L3">
        <f>IF(K3&gt;=80,"Yes","No")</f>
        <v/>
      </c>
      <c r="M3">
        <f>IF(ISNUMBER(H3),IF(H3&gt;0,1,0),"")</f>
        <v/>
      </c>
    </row>
    <row r="4">
      <c r="A4" t="inlineStr">
        <is>
          <t>SIMULATED_FEA_Commercial_Study</t>
        </is>
      </c>
      <c r="B4" t="inlineStr">
        <is>
          <t>V01</t>
        </is>
      </c>
      <c r="C4" t="inlineStr">
        <is>
          <t>Stimulus</t>
        </is>
      </c>
      <c r="D4" t="inlineStr">
        <is>
          <t>Baseline</t>
        </is>
      </c>
      <c r="E4" t="n">
        <v>60</v>
      </c>
      <c r="F4" t="inlineStr">
        <is>
          <t>Brow Furrow</t>
        </is>
      </c>
      <c r="G4" t="n">
        <v>50</v>
      </c>
      <c r="H4" t="n">
        <v>0</v>
      </c>
      <c r="I4" t="n">
        <v>0</v>
      </c>
      <c r="J4" t="inlineStr">
        <is>
          <t>NA</t>
        </is>
      </c>
      <c r="K4" t="n">
        <v>96.2</v>
      </c>
      <c r="L4">
        <f>IF(K4&gt;=80,"Yes","No")</f>
        <v/>
      </c>
      <c r="M4">
        <f>IF(ISNUMBER(H4),IF(H4&gt;0,1,0),"")</f>
        <v/>
      </c>
    </row>
    <row r="5">
      <c r="A5" t="inlineStr">
        <is>
          <t>SIMULATED_FEA_Commercial_Study</t>
        </is>
      </c>
      <c r="B5" t="inlineStr">
        <is>
          <t>V01</t>
        </is>
      </c>
      <c r="C5" t="inlineStr">
        <is>
          <t>Stimulus</t>
        </is>
      </c>
      <c r="D5" t="inlineStr">
        <is>
          <t>Baseline</t>
        </is>
      </c>
      <c r="E5" t="n">
        <v>60</v>
      </c>
      <c r="F5" t="inlineStr">
        <is>
          <t>Positive Valence</t>
        </is>
      </c>
      <c r="G5" t="n">
        <v>50</v>
      </c>
      <c r="H5" t="n">
        <v>0</v>
      </c>
      <c r="I5" t="n">
        <v>0</v>
      </c>
      <c r="J5" t="inlineStr">
        <is>
          <t>NA</t>
        </is>
      </c>
      <c r="K5" t="n">
        <v>96.2</v>
      </c>
      <c r="L5">
        <f>IF(K5&gt;=80,"Yes","No")</f>
        <v/>
      </c>
      <c r="M5">
        <f>IF(ISNUMBER(H5),IF(H5&gt;0,1,0),"")</f>
        <v/>
      </c>
    </row>
    <row r="6">
      <c r="A6" t="inlineStr">
        <is>
          <t>SIMULATED_FEA_Commercial_Study</t>
        </is>
      </c>
      <c r="B6" t="inlineStr">
        <is>
          <t>V01</t>
        </is>
      </c>
      <c r="C6" t="inlineStr">
        <is>
          <t>Stimulus</t>
        </is>
      </c>
      <c r="D6" t="inlineStr">
        <is>
          <t>Baseline</t>
        </is>
      </c>
      <c r="E6" t="n">
        <v>60</v>
      </c>
      <c r="F6" t="inlineStr">
        <is>
          <t>Negative Valence</t>
        </is>
      </c>
      <c r="G6" t="n">
        <v>-50</v>
      </c>
      <c r="H6" t="n">
        <v>0</v>
      </c>
      <c r="I6" t="n">
        <v>0</v>
      </c>
      <c r="J6" t="inlineStr">
        <is>
          <t>NA</t>
        </is>
      </c>
      <c r="K6" t="n">
        <v>96.2</v>
      </c>
      <c r="L6">
        <f>IF(K6&gt;=80,"Yes","No")</f>
        <v/>
      </c>
      <c r="M6">
        <f>IF(ISNUMBER(H6),IF(H6&gt;0,1,0),"")</f>
        <v/>
      </c>
    </row>
    <row r="7">
      <c r="A7" t="inlineStr">
        <is>
          <t>SIMULATED_FEA_Commercial_Study</t>
        </is>
      </c>
      <c r="B7" t="inlineStr">
        <is>
          <t>V01</t>
        </is>
      </c>
      <c r="C7" t="inlineStr">
        <is>
          <t>Stimulus</t>
        </is>
      </c>
      <c r="D7" t="inlineStr">
        <is>
          <t>Baseline</t>
        </is>
      </c>
      <c r="E7" t="n">
        <v>60</v>
      </c>
      <c r="F7" t="inlineStr">
        <is>
          <t>Engagement</t>
        </is>
      </c>
      <c r="G7" t="inlineStr">
        <is>
          <t>NA</t>
        </is>
      </c>
      <c r="H7" t="inlineStr">
        <is>
          <t>NA</t>
        </is>
      </c>
      <c r="I7" t="inlineStr">
        <is>
          <t>NA</t>
        </is>
      </c>
      <c r="J7" t="n">
        <v>6.14</v>
      </c>
      <c r="K7" t="n">
        <v>96.2</v>
      </c>
      <c r="L7">
        <f>IF(K7&gt;=80,"Yes","No")</f>
        <v/>
      </c>
      <c r="M7">
        <f>IF(ISNUMBER(H7),IF(H7&gt;0,1,0),"")</f>
        <v/>
      </c>
    </row>
    <row r="8">
      <c r="A8" t="inlineStr">
        <is>
          <t>SIMULATED_FEA_Commercial_Study</t>
        </is>
      </c>
      <c r="B8" t="inlineStr">
        <is>
          <t>V01</t>
        </is>
      </c>
      <c r="C8" t="inlineStr">
        <is>
          <t>Stimulus</t>
        </is>
      </c>
      <c r="D8" t="inlineStr">
        <is>
          <t>Commercial</t>
        </is>
      </c>
      <c r="E8" t="n">
        <v>60</v>
      </c>
      <c r="F8" t="inlineStr">
        <is>
          <t>Joy</t>
        </is>
      </c>
      <c r="G8" t="n">
        <v>50</v>
      </c>
      <c r="H8" t="n">
        <v>17.33</v>
      </c>
      <c r="I8" t="n">
        <v>5</v>
      </c>
      <c r="J8" t="inlineStr">
        <is>
          <t>NA</t>
        </is>
      </c>
      <c r="K8" t="n">
        <v>96.2</v>
      </c>
      <c r="L8">
        <f>IF(K8&gt;=80,"Yes","No")</f>
        <v/>
      </c>
      <c r="M8">
        <f>IF(ISNUMBER(H8),IF(H8&gt;0,1,0),"")</f>
        <v/>
      </c>
    </row>
    <row r="9">
      <c r="A9" t="inlineStr">
        <is>
          <t>SIMULATED_FEA_Commercial_Study</t>
        </is>
      </c>
      <c r="B9" t="inlineStr">
        <is>
          <t>V01</t>
        </is>
      </c>
      <c r="C9" t="inlineStr">
        <is>
          <t>Stimulus</t>
        </is>
      </c>
      <c r="D9" t="inlineStr">
        <is>
          <t>Commercial</t>
        </is>
      </c>
      <c r="E9" t="n">
        <v>60</v>
      </c>
      <c r="F9" t="inlineStr">
        <is>
          <t>Surprise</t>
        </is>
      </c>
      <c r="G9" t="n">
        <v>50</v>
      </c>
      <c r="H9" t="n">
        <v>6.61</v>
      </c>
      <c r="I9" t="n">
        <v>4</v>
      </c>
      <c r="J9" t="inlineStr">
        <is>
          <t>NA</t>
        </is>
      </c>
      <c r="K9" t="n">
        <v>96.2</v>
      </c>
      <c r="L9">
        <f>IF(K9&gt;=80,"Yes","No")</f>
        <v/>
      </c>
      <c r="M9">
        <f>IF(ISNUMBER(H9),IF(H9&gt;0,1,0),"")</f>
        <v/>
      </c>
    </row>
    <row r="10">
      <c r="A10" t="inlineStr">
        <is>
          <t>SIMULATED_FEA_Commercial_Study</t>
        </is>
      </c>
      <c r="B10" t="inlineStr">
        <is>
          <t>V01</t>
        </is>
      </c>
      <c r="C10" t="inlineStr">
        <is>
          <t>Stimulus</t>
        </is>
      </c>
      <c r="D10" t="inlineStr">
        <is>
          <t>Commercial</t>
        </is>
      </c>
      <c r="E10" t="n">
        <v>60</v>
      </c>
      <c r="F10" t="inlineStr">
        <is>
          <t>Brow Furrow</t>
        </is>
      </c>
      <c r="G10" t="n">
        <v>50</v>
      </c>
      <c r="H10" t="n">
        <v>0</v>
      </c>
      <c r="I10" t="n">
        <v>0</v>
      </c>
      <c r="J10" t="inlineStr">
        <is>
          <t>NA</t>
        </is>
      </c>
      <c r="K10" t="n">
        <v>96.2</v>
      </c>
      <c r="L10">
        <f>IF(K10&gt;=80,"Yes","No")</f>
        <v/>
      </c>
      <c r="M10">
        <f>IF(ISNUMBER(H10),IF(H10&gt;0,1,0),"")</f>
        <v/>
      </c>
    </row>
    <row r="11">
      <c r="A11" t="inlineStr">
        <is>
          <t>SIMULATED_FEA_Commercial_Study</t>
        </is>
      </c>
      <c r="B11" t="inlineStr">
        <is>
          <t>V01</t>
        </is>
      </c>
      <c r="C11" t="inlineStr">
        <is>
          <t>Stimulus</t>
        </is>
      </c>
      <c r="D11" t="inlineStr">
        <is>
          <t>Commercial</t>
        </is>
      </c>
      <c r="E11" t="n">
        <v>60</v>
      </c>
      <c r="F11" t="inlineStr">
        <is>
          <t>Positive Valence</t>
        </is>
      </c>
      <c r="G11" t="n">
        <v>50</v>
      </c>
      <c r="H11" t="n">
        <v>16.72</v>
      </c>
      <c r="I11" t="n">
        <v>6</v>
      </c>
      <c r="J11" t="inlineStr">
        <is>
          <t>NA</t>
        </is>
      </c>
      <c r="K11" t="n">
        <v>96.2</v>
      </c>
      <c r="L11">
        <f>IF(K11&gt;=80,"Yes","No")</f>
        <v/>
      </c>
      <c r="M11">
        <f>IF(ISNUMBER(H11),IF(H11&gt;0,1,0),"")</f>
        <v/>
      </c>
    </row>
    <row r="12">
      <c r="A12" t="inlineStr">
        <is>
          <t>SIMULATED_FEA_Commercial_Study</t>
        </is>
      </c>
      <c r="B12" t="inlineStr">
        <is>
          <t>V01</t>
        </is>
      </c>
      <c r="C12" t="inlineStr">
        <is>
          <t>Stimulus</t>
        </is>
      </c>
      <c r="D12" t="inlineStr">
        <is>
          <t>Commercial</t>
        </is>
      </c>
      <c r="E12" t="n">
        <v>60</v>
      </c>
      <c r="F12" t="inlineStr">
        <is>
          <t>Negative Valence</t>
        </is>
      </c>
      <c r="G12" t="n">
        <v>-50</v>
      </c>
      <c r="H12" t="n">
        <v>0</v>
      </c>
      <c r="I12" t="n">
        <v>0</v>
      </c>
      <c r="J12" t="inlineStr">
        <is>
          <t>NA</t>
        </is>
      </c>
      <c r="K12" t="n">
        <v>96.2</v>
      </c>
      <c r="L12">
        <f>IF(K12&gt;=80,"Yes","No")</f>
        <v/>
      </c>
      <c r="M12">
        <f>IF(ISNUMBER(H12),IF(H12&gt;0,1,0),"")</f>
        <v/>
      </c>
    </row>
    <row r="13">
      <c r="A13" t="inlineStr">
        <is>
          <t>SIMULATED_FEA_Commercial_Study</t>
        </is>
      </c>
      <c r="B13" t="inlineStr">
        <is>
          <t>V01</t>
        </is>
      </c>
      <c r="C13" t="inlineStr">
        <is>
          <t>Stimulus</t>
        </is>
      </c>
      <c r="D13" t="inlineStr">
        <is>
          <t>Commercial</t>
        </is>
      </c>
      <c r="E13" t="n">
        <v>60</v>
      </c>
      <c r="F13" t="inlineStr">
        <is>
          <t>Engagement</t>
        </is>
      </c>
      <c r="G13" t="inlineStr">
        <is>
          <t>NA</t>
        </is>
      </c>
      <c r="H13" t="inlineStr">
        <is>
          <t>NA</t>
        </is>
      </c>
      <c r="I13" t="inlineStr">
        <is>
          <t>NA</t>
        </is>
      </c>
      <c r="J13" t="n">
        <v>16.96</v>
      </c>
      <c r="K13" t="n">
        <v>96.2</v>
      </c>
      <c r="L13">
        <f>IF(K13&gt;=80,"Yes","No")</f>
        <v/>
      </c>
      <c r="M13">
        <f>IF(ISNUMBER(H13),IF(H13&gt;0,1,0),"")</f>
        <v/>
      </c>
    </row>
    <row r="14">
      <c r="A14" t="inlineStr">
        <is>
          <t>SIMULATED_FEA_Commercial_Study</t>
        </is>
      </c>
      <c r="B14" t="inlineStr">
        <is>
          <t>V01</t>
        </is>
      </c>
      <c r="C14" t="inlineStr">
        <is>
          <t>Stimulus</t>
        </is>
      </c>
      <c r="D14" t="inlineStr">
        <is>
          <t>Recovery</t>
        </is>
      </c>
      <c r="E14" t="n">
        <v>15</v>
      </c>
      <c r="F14" t="inlineStr">
        <is>
          <t>Joy</t>
        </is>
      </c>
      <c r="G14" t="n">
        <v>50</v>
      </c>
      <c r="H14" t="n">
        <v>11.33</v>
      </c>
      <c r="I14" t="n">
        <v>1</v>
      </c>
      <c r="J14" t="inlineStr">
        <is>
          <t>NA</t>
        </is>
      </c>
      <c r="K14" t="n">
        <v>96.2</v>
      </c>
      <c r="L14">
        <f>IF(K14&gt;=80,"Yes","No")</f>
        <v/>
      </c>
      <c r="M14">
        <f>IF(ISNUMBER(H14),IF(H14&gt;0,1,0),"")</f>
        <v/>
      </c>
    </row>
    <row r="15">
      <c r="A15" t="inlineStr">
        <is>
          <t>SIMULATED_FEA_Commercial_Study</t>
        </is>
      </c>
      <c r="B15" t="inlineStr">
        <is>
          <t>V01</t>
        </is>
      </c>
      <c r="C15" t="inlineStr">
        <is>
          <t>Stimulus</t>
        </is>
      </c>
      <c r="D15" t="inlineStr">
        <is>
          <t>Recovery</t>
        </is>
      </c>
      <c r="E15" t="n">
        <v>15</v>
      </c>
      <c r="F15" t="inlineStr">
        <is>
          <t>Surprise</t>
        </is>
      </c>
      <c r="G15" t="n">
        <v>50</v>
      </c>
      <c r="H15" t="n">
        <v>0</v>
      </c>
      <c r="I15" t="n">
        <v>0</v>
      </c>
      <c r="J15" t="inlineStr">
        <is>
          <t>NA</t>
        </is>
      </c>
      <c r="K15" t="n">
        <v>96.2</v>
      </c>
      <c r="L15">
        <f>IF(K15&gt;=80,"Yes","No")</f>
        <v/>
      </c>
      <c r="M15">
        <f>IF(ISNUMBER(H15),IF(H15&gt;0,1,0),"")</f>
        <v/>
      </c>
    </row>
    <row r="16">
      <c r="A16" t="inlineStr">
        <is>
          <t>SIMULATED_FEA_Commercial_Study</t>
        </is>
      </c>
      <c r="B16" t="inlineStr">
        <is>
          <t>V01</t>
        </is>
      </c>
      <c r="C16" t="inlineStr">
        <is>
          <t>Stimulus</t>
        </is>
      </c>
      <c r="D16" t="inlineStr">
        <is>
          <t>Recovery</t>
        </is>
      </c>
      <c r="E16" t="n">
        <v>15</v>
      </c>
      <c r="F16" t="inlineStr">
        <is>
          <t>Brow Furrow</t>
        </is>
      </c>
      <c r="G16" t="n">
        <v>50</v>
      </c>
      <c r="H16" t="n">
        <v>0</v>
      </c>
      <c r="I16" t="n">
        <v>0</v>
      </c>
      <c r="J16" t="inlineStr">
        <is>
          <t>NA</t>
        </is>
      </c>
      <c r="K16" t="n">
        <v>96.2</v>
      </c>
      <c r="L16">
        <f>IF(K16&gt;=80,"Yes","No")</f>
        <v/>
      </c>
      <c r="M16">
        <f>IF(ISNUMBER(H16),IF(H16&gt;0,1,0),"")</f>
        <v/>
      </c>
    </row>
    <row r="17">
      <c r="A17" t="inlineStr">
        <is>
          <t>SIMULATED_FEA_Commercial_Study</t>
        </is>
      </c>
      <c r="B17" t="inlineStr">
        <is>
          <t>V01</t>
        </is>
      </c>
      <c r="C17" t="inlineStr">
        <is>
          <t>Stimulus</t>
        </is>
      </c>
      <c r="D17" t="inlineStr">
        <is>
          <t>Recovery</t>
        </is>
      </c>
      <c r="E17" t="n">
        <v>15</v>
      </c>
      <c r="F17" t="inlineStr">
        <is>
          <t>Positive Valence</t>
        </is>
      </c>
      <c r="G17" t="n">
        <v>50</v>
      </c>
      <c r="H17" t="n">
        <v>10.44</v>
      </c>
      <c r="I17" t="n">
        <v>1</v>
      </c>
      <c r="J17" t="inlineStr">
        <is>
          <t>NA</t>
        </is>
      </c>
      <c r="K17" t="n">
        <v>96.2</v>
      </c>
      <c r="L17">
        <f>IF(K17&gt;=80,"Yes","No")</f>
        <v/>
      </c>
      <c r="M17">
        <f>IF(ISNUMBER(H17),IF(H17&gt;0,1,0),"")</f>
        <v/>
      </c>
    </row>
    <row r="18">
      <c r="A18" t="inlineStr">
        <is>
          <t>SIMULATED_FEA_Commercial_Study</t>
        </is>
      </c>
      <c r="B18" t="inlineStr">
        <is>
          <t>V01</t>
        </is>
      </c>
      <c r="C18" t="inlineStr">
        <is>
          <t>Stimulus</t>
        </is>
      </c>
      <c r="D18" t="inlineStr">
        <is>
          <t>Recovery</t>
        </is>
      </c>
      <c r="E18" t="n">
        <v>15</v>
      </c>
      <c r="F18" t="inlineStr">
        <is>
          <t>Negative Valence</t>
        </is>
      </c>
      <c r="G18" t="n">
        <v>-50</v>
      </c>
      <c r="H18" t="n">
        <v>0</v>
      </c>
      <c r="I18" t="n">
        <v>0</v>
      </c>
      <c r="J18" t="inlineStr">
        <is>
          <t>NA</t>
        </is>
      </c>
      <c r="K18" t="n">
        <v>96.2</v>
      </c>
      <c r="L18">
        <f>IF(K18&gt;=80,"Yes","No")</f>
        <v/>
      </c>
      <c r="M18">
        <f>IF(ISNUMBER(H18),IF(H18&gt;0,1,0),"")</f>
        <v/>
      </c>
    </row>
    <row r="19">
      <c r="A19" t="inlineStr">
        <is>
          <t>SIMULATED_FEA_Commercial_Study</t>
        </is>
      </c>
      <c r="B19" t="inlineStr">
        <is>
          <t>V01</t>
        </is>
      </c>
      <c r="C19" t="inlineStr">
        <is>
          <t>Stimulus</t>
        </is>
      </c>
      <c r="D19" t="inlineStr">
        <is>
          <t>Recovery</t>
        </is>
      </c>
      <c r="E19" t="n">
        <v>15</v>
      </c>
      <c r="F19" t="inlineStr">
        <is>
          <t>Engagement</t>
        </is>
      </c>
      <c r="G19" t="inlineStr">
        <is>
          <t>NA</t>
        </is>
      </c>
      <c r="H19" t="inlineStr">
        <is>
          <t>NA</t>
        </is>
      </c>
      <c r="I19" t="inlineStr">
        <is>
          <t>NA</t>
        </is>
      </c>
      <c r="J19" t="n">
        <v>8.58</v>
      </c>
      <c r="K19" t="n">
        <v>96.2</v>
      </c>
      <c r="L19">
        <f>IF(K19&gt;=80,"Yes","No")</f>
        <v/>
      </c>
      <c r="M19">
        <f>IF(ISNUMBER(H19),IF(H19&gt;0,1,0),"")</f>
        <v/>
      </c>
    </row>
    <row r="20">
      <c r="A20" t="inlineStr">
        <is>
          <t>SIMULATED_FEA_Commercial_Study</t>
        </is>
      </c>
      <c r="B20" t="inlineStr">
        <is>
          <t>V01</t>
        </is>
      </c>
      <c r="C20" t="inlineStr">
        <is>
          <t>Annotation</t>
        </is>
      </c>
      <c r="D20" t="inlineStr">
        <is>
          <t>Bin_01</t>
        </is>
      </c>
      <c r="E20" t="n">
        <v>10</v>
      </c>
      <c r="F20" t="inlineStr">
        <is>
          <t>Joy</t>
        </is>
      </c>
      <c r="G20" t="n">
        <v>50</v>
      </c>
      <c r="H20" t="n">
        <v>0</v>
      </c>
      <c r="I20" t="n">
        <v>0</v>
      </c>
      <c r="J20" t="inlineStr">
        <is>
          <t>NA</t>
        </is>
      </c>
      <c r="K20" t="n">
        <v>96.2</v>
      </c>
      <c r="L20">
        <f>IF(K20&gt;=80,"Yes","No")</f>
        <v/>
      </c>
      <c r="M20">
        <f>IF(ISNUMBER(H20),IF(H20&gt;0,1,0),"")</f>
        <v/>
      </c>
    </row>
    <row r="21">
      <c r="A21" t="inlineStr">
        <is>
          <t>SIMULATED_FEA_Commercial_Study</t>
        </is>
      </c>
      <c r="B21" t="inlineStr">
        <is>
          <t>V01</t>
        </is>
      </c>
      <c r="C21" t="inlineStr">
        <is>
          <t>Annotation</t>
        </is>
      </c>
      <c r="D21" t="inlineStr">
        <is>
          <t>Bin_01</t>
        </is>
      </c>
      <c r="E21" t="n">
        <v>10</v>
      </c>
      <c r="F21" t="inlineStr">
        <is>
          <t>Surprise</t>
        </is>
      </c>
      <c r="G21" t="n">
        <v>50</v>
      </c>
      <c r="H21" t="n">
        <v>0</v>
      </c>
      <c r="I21" t="n">
        <v>0</v>
      </c>
      <c r="J21" t="inlineStr">
        <is>
          <t>NA</t>
        </is>
      </c>
      <c r="K21" t="n">
        <v>96.2</v>
      </c>
      <c r="L21">
        <f>IF(K21&gt;=80,"Yes","No")</f>
        <v/>
      </c>
      <c r="M21">
        <f>IF(ISNUMBER(H21),IF(H21&gt;0,1,0),"")</f>
        <v/>
      </c>
    </row>
    <row r="22">
      <c r="A22" t="inlineStr">
        <is>
          <t>SIMULATED_FEA_Commercial_Study</t>
        </is>
      </c>
      <c r="B22" t="inlineStr">
        <is>
          <t>V01</t>
        </is>
      </c>
      <c r="C22" t="inlineStr">
        <is>
          <t>Annotation</t>
        </is>
      </c>
      <c r="D22" t="inlineStr">
        <is>
          <t>Bin_01</t>
        </is>
      </c>
      <c r="E22" t="n">
        <v>10</v>
      </c>
      <c r="F22" t="inlineStr">
        <is>
          <t>Brow Furrow</t>
        </is>
      </c>
      <c r="G22" t="n">
        <v>50</v>
      </c>
      <c r="H22" t="n">
        <v>0</v>
      </c>
      <c r="I22" t="n">
        <v>0</v>
      </c>
      <c r="J22" t="inlineStr">
        <is>
          <t>NA</t>
        </is>
      </c>
      <c r="K22" t="n">
        <v>96.2</v>
      </c>
      <c r="L22">
        <f>IF(K22&gt;=80,"Yes","No")</f>
        <v/>
      </c>
      <c r="M22">
        <f>IF(ISNUMBER(H22),IF(H22&gt;0,1,0),"")</f>
        <v/>
      </c>
    </row>
    <row r="23">
      <c r="A23" t="inlineStr">
        <is>
          <t>SIMULATED_FEA_Commercial_Study</t>
        </is>
      </c>
      <c r="B23" t="inlineStr">
        <is>
          <t>V01</t>
        </is>
      </c>
      <c r="C23" t="inlineStr">
        <is>
          <t>Annotation</t>
        </is>
      </c>
      <c r="D23" t="inlineStr">
        <is>
          <t>Bin_01</t>
        </is>
      </c>
      <c r="E23" t="n">
        <v>10</v>
      </c>
      <c r="F23" t="inlineStr">
        <is>
          <t>Positive Valence</t>
        </is>
      </c>
      <c r="G23" t="n">
        <v>50</v>
      </c>
      <c r="H23" t="n">
        <v>0</v>
      </c>
      <c r="I23" t="n">
        <v>0</v>
      </c>
      <c r="J23" t="inlineStr">
        <is>
          <t>NA</t>
        </is>
      </c>
      <c r="K23" t="n">
        <v>96.2</v>
      </c>
      <c r="L23">
        <f>IF(K23&gt;=80,"Yes","No")</f>
        <v/>
      </c>
      <c r="M23">
        <f>IF(ISNUMBER(H23),IF(H23&gt;0,1,0),"")</f>
        <v/>
      </c>
    </row>
    <row r="24">
      <c r="A24" t="inlineStr">
        <is>
          <t>SIMULATED_FEA_Commercial_Study</t>
        </is>
      </c>
      <c r="B24" t="inlineStr">
        <is>
          <t>V01</t>
        </is>
      </c>
      <c r="C24" t="inlineStr">
        <is>
          <t>Annotation</t>
        </is>
      </c>
      <c r="D24" t="inlineStr">
        <is>
          <t>Bin_01</t>
        </is>
      </c>
      <c r="E24" t="n">
        <v>10</v>
      </c>
      <c r="F24" t="inlineStr">
        <is>
          <t>Negative Valence</t>
        </is>
      </c>
      <c r="G24" t="n">
        <v>-50</v>
      </c>
      <c r="H24" t="n">
        <v>0</v>
      </c>
      <c r="I24" t="n">
        <v>0</v>
      </c>
      <c r="J24" t="inlineStr">
        <is>
          <t>NA</t>
        </is>
      </c>
      <c r="K24" t="n">
        <v>96.2</v>
      </c>
      <c r="L24">
        <f>IF(K24&gt;=80,"Yes","No")</f>
        <v/>
      </c>
      <c r="M24">
        <f>IF(ISNUMBER(H24),IF(H24&gt;0,1,0),"")</f>
        <v/>
      </c>
    </row>
    <row r="25">
      <c r="A25" t="inlineStr">
        <is>
          <t>SIMULATED_FEA_Commercial_Study</t>
        </is>
      </c>
      <c r="B25" t="inlineStr">
        <is>
          <t>V01</t>
        </is>
      </c>
      <c r="C25" t="inlineStr">
        <is>
          <t>Annotation</t>
        </is>
      </c>
      <c r="D25" t="inlineStr">
        <is>
          <t>Bin_01</t>
        </is>
      </c>
      <c r="E25" t="n">
        <v>10</v>
      </c>
      <c r="F25" t="inlineStr">
        <is>
          <t>Engagement</t>
        </is>
      </c>
      <c r="G25" t="inlineStr">
        <is>
          <t>NA</t>
        </is>
      </c>
      <c r="H25" t="inlineStr">
        <is>
          <t>NA</t>
        </is>
      </c>
      <c r="I25" t="inlineStr">
        <is>
          <t>NA</t>
        </is>
      </c>
      <c r="J25" t="n">
        <v>1.66</v>
      </c>
      <c r="K25" t="n">
        <v>96.2</v>
      </c>
      <c r="L25">
        <f>IF(K25&gt;=80,"Yes","No")</f>
        <v/>
      </c>
      <c r="M25">
        <f>IF(ISNUMBER(H25),IF(H25&gt;0,1,0),"")</f>
        <v/>
      </c>
    </row>
    <row r="26">
      <c r="A26" t="inlineStr">
        <is>
          <t>SIMULATED_FEA_Commercial_Study</t>
        </is>
      </c>
      <c r="B26" t="inlineStr">
        <is>
          <t>V01</t>
        </is>
      </c>
      <c r="C26" t="inlineStr">
        <is>
          <t>Annotation</t>
        </is>
      </c>
      <c r="D26" t="inlineStr">
        <is>
          <t>Bin_02</t>
        </is>
      </c>
      <c r="E26" t="n">
        <v>10</v>
      </c>
      <c r="F26" t="inlineStr">
        <is>
          <t>Joy</t>
        </is>
      </c>
      <c r="G26" t="n">
        <v>50</v>
      </c>
      <c r="H26" t="n">
        <v>42</v>
      </c>
      <c r="I26" t="n">
        <v>1</v>
      </c>
      <c r="J26" t="inlineStr">
        <is>
          <t>NA</t>
        </is>
      </c>
      <c r="K26" t="n">
        <v>96.2</v>
      </c>
      <c r="L26">
        <f>IF(K26&gt;=80,"Yes","No")</f>
        <v/>
      </c>
      <c r="M26">
        <f>IF(ISNUMBER(H26),IF(H26&gt;0,1,0),"")</f>
        <v/>
      </c>
    </row>
    <row r="27">
      <c r="A27" t="inlineStr">
        <is>
          <t>SIMULATED_FEA_Commercial_Study</t>
        </is>
      </c>
      <c r="B27" t="inlineStr">
        <is>
          <t>V01</t>
        </is>
      </c>
      <c r="C27" t="inlineStr">
        <is>
          <t>Annotation</t>
        </is>
      </c>
      <c r="D27" t="inlineStr">
        <is>
          <t>Bin_02</t>
        </is>
      </c>
      <c r="E27" t="n">
        <v>10</v>
      </c>
      <c r="F27" t="inlineStr">
        <is>
          <t>Surprise</t>
        </is>
      </c>
      <c r="G27" t="n">
        <v>50</v>
      </c>
      <c r="H27" t="n">
        <v>0</v>
      </c>
      <c r="I27" t="n">
        <v>0</v>
      </c>
      <c r="J27" t="inlineStr">
        <is>
          <t>NA</t>
        </is>
      </c>
      <c r="K27" t="n">
        <v>96.2</v>
      </c>
      <c r="L27">
        <f>IF(K27&gt;=80,"Yes","No")</f>
        <v/>
      </c>
      <c r="M27">
        <f>IF(ISNUMBER(H27),IF(H27&gt;0,1,0),"")</f>
        <v/>
      </c>
    </row>
    <row r="28">
      <c r="A28" t="inlineStr">
        <is>
          <t>SIMULATED_FEA_Commercial_Study</t>
        </is>
      </c>
      <c r="B28" t="inlineStr">
        <is>
          <t>V01</t>
        </is>
      </c>
      <c r="C28" t="inlineStr">
        <is>
          <t>Annotation</t>
        </is>
      </c>
      <c r="D28" t="inlineStr">
        <is>
          <t>Bin_02</t>
        </is>
      </c>
      <c r="E28" t="n">
        <v>10</v>
      </c>
      <c r="F28" t="inlineStr">
        <is>
          <t>Brow Furrow</t>
        </is>
      </c>
      <c r="G28" t="n">
        <v>50</v>
      </c>
      <c r="H28" t="n">
        <v>0</v>
      </c>
      <c r="I28" t="n">
        <v>0</v>
      </c>
      <c r="J28" t="inlineStr">
        <is>
          <t>NA</t>
        </is>
      </c>
      <c r="K28" t="n">
        <v>96.2</v>
      </c>
      <c r="L28">
        <f>IF(K28&gt;=80,"Yes","No")</f>
        <v/>
      </c>
      <c r="M28">
        <f>IF(ISNUMBER(H28),IF(H28&gt;0,1,0),"")</f>
        <v/>
      </c>
    </row>
    <row r="29">
      <c r="A29" t="inlineStr">
        <is>
          <t>SIMULATED_FEA_Commercial_Study</t>
        </is>
      </c>
      <c r="B29" t="inlineStr">
        <is>
          <t>V01</t>
        </is>
      </c>
      <c r="C29" t="inlineStr">
        <is>
          <t>Annotation</t>
        </is>
      </c>
      <c r="D29" t="inlineStr">
        <is>
          <t>Bin_02</t>
        </is>
      </c>
      <c r="E29" t="n">
        <v>10</v>
      </c>
      <c r="F29" t="inlineStr">
        <is>
          <t>Positive Valence</t>
        </is>
      </c>
      <c r="G29" t="n">
        <v>50</v>
      </c>
      <c r="H29" t="n">
        <v>37.33</v>
      </c>
      <c r="I29" t="n">
        <v>1</v>
      </c>
      <c r="J29" t="inlineStr">
        <is>
          <t>NA</t>
        </is>
      </c>
      <c r="K29" t="n">
        <v>96.2</v>
      </c>
      <c r="L29">
        <f>IF(K29&gt;=80,"Yes","No")</f>
        <v/>
      </c>
      <c r="M29">
        <f>IF(ISNUMBER(H29),IF(H29&gt;0,1,0),"")</f>
        <v/>
      </c>
    </row>
    <row r="30">
      <c r="A30" t="inlineStr">
        <is>
          <t>SIMULATED_FEA_Commercial_Study</t>
        </is>
      </c>
      <c r="B30" t="inlineStr">
        <is>
          <t>V01</t>
        </is>
      </c>
      <c r="C30" t="inlineStr">
        <is>
          <t>Annotation</t>
        </is>
      </c>
      <c r="D30" t="inlineStr">
        <is>
          <t>Bin_02</t>
        </is>
      </c>
      <c r="E30" t="n">
        <v>10</v>
      </c>
      <c r="F30" t="inlineStr">
        <is>
          <t>Negative Valence</t>
        </is>
      </c>
      <c r="G30" t="n">
        <v>-50</v>
      </c>
      <c r="H30" t="n">
        <v>0</v>
      </c>
      <c r="I30" t="n">
        <v>0</v>
      </c>
      <c r="J30" t="inlineStr">
        <is>
          <t>NA</t>
        </is>
      </c>
      <c r="K30" t="n">
        <v>96.2</v>
      </c>
      <c r="L30">
        <f>IF(K30&gt;=80,"Yes","No")</f>
        <v/>
      </c>
      <c r="M30">
        <f>IF(ISNUMBER(H30),IF(H30&gt;0,1,0),"")</f>
        <v/>
      </c>
    </row>
    <row r="31">
      <c r="A31" t="inlineStr">
        <is>
          <t>SIMULATED_FEA_Commercial_Study</t>
        </is>
      </c>
      <c r="B31" t="inlineStr">
        <is>
          <t>V01</t>
        </is>
      </c>
      <c r="C31" t="inlineStr">
        <is>
          <t>Annotation</t>
        </is>
      </c>
      <c r="D31" t="inlineStr">
        <is>
          <t>Bin_02</t>
        </is>
      </c>
      <c r="E31" t="n">
        <v>10</v>
      </c>
      <c r="F31" t="inlineStr">
        <is>
          <t>Engagement</t>
        </is>
      </c>
      <c r="G31" t="inlineStr">
        <is>
          <t>NA</t>
        </is>
      </c>
      <c r="H31" t="inlineStr">
        <is>
          <t>NA</t>
        </is>
      </c>
      <c r="I31" t="inlineStr">
        <is>
          <t>NA</t>
        </is>
      </c>
      <c r="J31" t="n">
        <v>22.78</v>
      </c>
      <c r="K31" t="n">
        <v>96.2</v>
      </c>
      <c r="L31">
        <f>IF(K31&gt;=80,"Yes","No")</f>
        <v/>
      </c>
      <c r="M31">
        <f>IF(ISNUMBER(H31),IF(H31&gt;0,1,0),"")</f>
        <v/>
      </c>
    </row>
    <row r="32">
      <c r="A32" t="inlineStr">
        <is>
          <t>SIMULATED_FEA_Commercial_Study</t>
        </is>
      </c>
      <c r="B32" t="inlineStr">
        <is>
          <t>V01</t>
        </is>
      </c>
      <c r="C32" t="inlineStr">
        <is>
          <t>Annotation</t>
        </is>
      </c>
      <c r="D32" t="inlineStr">
        <is>
          <t>Bin_03</t>
        </is>
      </c>
      <c r="E32" t="n">
        <v>10</v>
      </c>
      <c r="F32" t="inlineStr">
        <is>
          <t>Joy</t>
        </is>
      </c>
      <c r="G32" t="n">
        <v>50</v>
      </c>
      <c r="H32" t="n">
        <v>9.33</v>
      </c>
      <c r="I32" t="n">
        <v>1</v>
      </c>
      <c r="J32" t="inlineStr">
        <is>
          <t>NA</t>
        </is>
      </c>
      <c r="K32" t="n">
        <v>96.2</v>
      </c>
      <c r="L32">
        <f>IF(K32&gt;=80,"Yes","No")</f>
        <v/>
      </c>
      <c r="M32">
        <f>IF(ISNUMBER(H32),IF(H32&gt;0,1,0),"")</f>
        <v/>
      </c>
    </row>
    <row r="33">
      <c r="A33" t="inlineStr">
        <is>
          <t>SIMULATED_FEA_Commercial_Study</t>
        </is>
      </c>
      <c r="B33" t="inlineStr">
        <is>
          <t>V01</t>
        </is>
      </c>
      <c r="C33" t="inlineStr">
        <is>
          <t>Annotation</t>
        </is>
      </c>
      <c r="D33" t="inlineStr">
        <is>
          <t>Bin_03</t>
        </is>
      </c>
      <c r="E33" t="n">
        <v>10</v>
      </c>
      <c r="F33" t="inlineStr">
        <is>
          <t>Surprise</t>
        </is>
      </c>
      <c r="G33" t="n">
        <v>50</v>
      </c>
      <c r="H33" t="n">
        <v>18.33</v>
      </c>
      <c r="I33" t="n">
        <v>2</v>
      </c>
      <c r="J33" t="inlineStr">
        <is>
          <t>NA</t>
        </is>
      </c>
      <c r="K33" t="n">
        <v>96.2</v>
      </c>
      <c r="L33">
        <f>IF(K33&gt;=80,"Yes","No")</f>
        <v/>
      </c>
      <c r="M33">
        <f>IF(ISNUMBER(H33),IF(H33&gt;0,1,0),"")</f>
        <v/>
      </c>
    </row>
    <row r="34">
      <c r="A34" t="inlineStr">
        <is>
          <t>SIMULATED_FEA_Commercial_Study</t>
        </is>
      </c>
      <c r="B34" t="inlineStr">
        <is>
          <t>V01</t>
        </is>
      </c>
      <c r="C34" t="inlineStr">
        <is>
          <t>Annotation</t>
        </is>
      </c>
      <c r="D34" t="inlineStr">
        <is>
          <t>Bin_03</t>
        </is>
      </c>
      <c r="E34" t="n">
        <v>10</v>
      </c>
      <c r="F34" t="inlineStr">
        <is>
          <t>Brow Furrow</t>
        </is>
      </c>
      <c r="G34" t="n">
        <v>50</v>
      </c>
      <c r="H34" t="n">
        <v>0</v>
      </c>
      <c r="I34" t="n">
        <v>0</v>
      </c>
      <c r="J34" t="inlineStr">
        <is>
          <t>NA</t>
        </is>
      </c>
      <c r="K34" t="n">
        <v>96.2</v>
      </c>
      <c r="L34">
        <f>IF(K34&gt;=80,"Yes","No")</f>
        <v/>
      </c>
      <c r="M34">
        <f>IF(ISNUMBER(H34),IF(H34&gt;0,1,0),"")</f>
        <v/>
      </c>
    </row>
    <row r="35">
      <c r="A35" t="inlineStr">
        <is>
          <t>SIMULATED_FEA_Commercial_Study</t>
        </is>
      </c>
      <c r="B35" t="inlineStr">
        <is>
          <t>V01</t>
        </is>
      </c>
      <c r="C35" t="inlineStr">
        <is>
          <t>Annotation</t>
        </is>
      </c>
      <c r="D35" t="inlineStr">
        <is>
          <t>Bin_03</t>
        </is>
      </c>
      <c r="E35" t="n">
        <v>10</v>
      </c>
      <c r="F35" t="inlineStr">
        <is>
          <t>Positive Valence</t>
        </is>
      </c>
      <c r="G35" t="n">
        <v>50</v>
      </c>
      <c r="H35" t="n">
        <v>8.67</v>
      </c>
      <c r="I35" t="n">
        <v>1</v>
      </c>
      <c r="J35" t="inlineStr">
        <is>
          <t>NA</t>
        </is>
      </c>
      <c r="K35" t="n">
        <v>96.2</v>
      </c>
      <c r="L35">
        <f>IF(K35&gt;=80,"Yes","No")</f>
        <v/>
      </c>
      <c r="M35">
        <f>IF(ISNUMBER(H35),IF(H35&gt;0,1,0),"")</f>
        <v/>
      </c>
    </row>
    <row r="36">
      <c r="A36" t="inlineStr">
        <is>
          <t>SIMULATED_FEA_Commercial_Study</t>
        </is>
      </c>
      <c r="B36" t="inlineStr">
        <is>
          <t>V01</t>
        </is>
      </c>
      <c r="C36" t="inlineStr">
        <is>
          <t>Annotation</t>
        </is>
      </c>
      <c r="D36" t="inlineStr">
        <is>
          <t>Bin_03</t>
        </is>
      </c>
      <c r="E36" t="n">
        <v>10</v>
      </c>
      <c r="F36" t="inlineStr">
        <is>
          <t>Negative Valence</t>
        </is>
      </c>
      <c r="G36" t="n">
        <v>-50</v>
      </c>
      <c r="H36" t="n">
        <v>0</v>
      </c>
      <c r="I36" t="n">
        <v>0</v>
      </c>
      <c r="J36" t="inlineStr">
        <is>
          <t>NA</t>
        </is>
      </c>
      <c r="K36" t="n">
        <v>96.2</v>
      </c>
      <c r="L36">
        <f>IF(K36&gt;=80,"Yes","No")</f>
        <v/>
      </c>
      <c r="M36">
        <f>IF(ISNUMBER(H36),IF(H36&gt;0,1,0),"")</f>
        <v/>
      </c>
    </row>
    <row r="37">
      <c r="A37" t="inlineStr">
        <is>
          <t>SIMULATED_FEA_Commercial_Study</t>
        </is>
      </c>
      <c r="B37" t="inlineStr">
        <is>
          <t>V01</t>
        </is>
      </c>
      <c r="C37" t="inlineStr">
        <is>
          <t>Annotation</t>
        </is>
      </c>
      <c r="D37" t="inlineStr">
        <is>
          <t>Bin_03</t>
        </is>
      </c>
      <c r="E37" t="n">
        <v>10</v>
      </c>
      <c r="F37" t="inlineStr">
        <is>
          <t>Engagement</t>
        </is>
      </c>
      <c r="G37" t="inlineStr">
        <is>
          <t>NA</t>
        </is>
      </c>
      <c r="H37" t="inlineStr">
        <is>
          <t>NA</t>
        </is>
      </c>
      <c r="I37" t="inlineStr">
        <is>
          <t>NA</t>
        </is>
      </c>
      <c r="J37" t="n">
        <v>24.35</v>
      </c>
      <c r="K37" t="n">
        <v>96.2</v>
      </c>
      <c r="L37">
        <f>IF(K37&gt;=80,"Yes","No")</f>
        <v/>
      </c>
      <c r="M37">
        <f>IF(ISNUMBER(H37),IF(H37&gt;0,1,0),"")</f>
        <v/>
      </c>
    </row>
    <row r="38">
      <c r="A38" t="inlineStr">
        <is>
          <t>SIMULATED_FEA_Commercial_Study</t>
        </is>
      </c>
      <c r="B38" t="inlineStr">
        <is>
          <t>V01</t>
        </is>
      </c>
      <c r="C38" t="inlineStr">
        <is>
          <t>Annotation</t>
        </is>
      </c>
      <c r="D38" t="inlineStr">
        <is>
          <t>Bin_04</t>
        </is>
      </c>
      <c r="E38" t="n">
        <v>10</v>
      </c>
      <c r="F38" t="inlineStr">
        <is>
          <t>Joy</t>
        </is>
      </c>
      <c r="G38" t="n">
        <v>50</v>
      </c>
      <c r="H38" t="n">
        <v>4.33</v>
      </c>
      <c r="I38" t="n">
        <v>1</v>
      </c>
      <c r="J38" t="inlineStr">
        <is>
          <t>NA</t>
        </is>
      </c>
      <c r="K38" t="n">
        <v>96.2</v>
      </c>
      <c r="L38">
        <f>IF(K38&gt;=80,"Yes","No")</f>
        <v/>
      </c>
      <c r="M38">
        <f>IF(ISNUMBER(H38),IF(H38&gt;0,1,0),"")</f>
        <v/>
      </c>
    </row>
    <row r="39">
      <c r="A39" t="inlineStr">
        <is>
          <t>SIMULATED_FEA_Commercial_Study</t>
        </is>
      </c>
      <c r="B39" t="inlineStr">
        <is>
          <t>V01</t>
        </is>
      </c>
      <c r="C39" t="inlineStr">
        <is>
          <t>Annotation</t>
        </is>
      </c>
      <c r="D39" t="inlineStr">
        <is>
          <t>Bin_04</t>
        </is>
      </c>
      <c r="E39" t="n">
        <v>10</v>
      </c>
      <c r="F39" t="inlineStr">
        <is>
          <t>Surprise</t>
        </is>
      </c>
      <c r="G39" t="n">
        <v>50</v>
      </c>
      <c r="H39" t="n">
        <v>13.67</v>
      </c>
      <c r="I39" t="n">
        <v>1</v>
      </c>
      <c r="J39" t="inlineStr">
        <is>
          <t>NA</t>
        </is>
      </c>
      <c r="K39" t="n">
        <v>96.2</v>
      </c>
      <c r="L39">
        <f>IF(K39&gt;=80,"Yes","No")</f>
        <v/>
      </c>
      <c r="M39">
        <f>IF(ISNUMBER(H39),IF(H39&gt;0,1,0),"")</f>
        <v/>
      </c>
    </row>
    <row r="40">
      <c r="A40" t="inlineStr">
        <is>
          <t>SIMULATED_FEA_Commercial_Study</t>
        </is>
      </c>
      <c r="B40" t="inlineStr">
        <is>
          <t>V01</t>
        </is>
      </c>
      <c r="C40" t="inlineStr">
        <is>
          <t>Annotation</t>
        </is>
      </c>
      <c r="D40" t="inlineStr">
        <is>
          <t>Bin_04</t>
        </is>
      </c>
      <c r="E40" t="n">
        <v>10</v>
      </c>
      <c r="F40" t="inlineStr">
        <is>
          <t>Brow Furrow</t>
        </is>
      </c>
      <c r="G40" t="n">
        <v>50</v>
      </c>
      <c r="H40" t="n">
        <v>0</v>
      </c>
      <c r="I40" t="n">
        <v>0</v>
      </c>
      <c r="J40" t="inlineStr">
        <is>
          <t>NA</t>
        </is>
      </c>
      <c r="K40" t="n">
        <v>96.2</v>
      </c>
      <c r="L40">
        <f>IF(K40&gt;=80,"Yes","No")</f>
        <v/>
      </c>
      <c r="M40">
        <f>IF(ISNUMBER(H40),IF(H40&gt;0,1,0),"")</f>
        <v/>
      </c>
    </row>
    <row r="41">
      <c r="A41" t="inlineStr">
        <is>
          <t>SIMULATED_FEA_Commercial_Study</t>
        </is>
      </c>
      <c r="B41" t="inlineStr">
        <is>
          <t>V01</t>
        </is>
      </c>
      <c r="C41" t="inlineStr">
        <is>
          <t>Annotation</t>
        </is>
      </c>
      <c r="D41" t="inlineStr">
        <is>
          <t>Bin_04</t>
        </is>
      </c>
      <c r="E41" t="n">
        <v>10</v>
      </c>
      <c r="F41" t="inlineStr">
        <is>
          <t>Positive Valence</t>
        </is>
      </c>
      <c r="G41" t="n">
        <v>50</v>
      </c>
      <c r="H41" t="n">
        <v>3.33</v>
      </c>
      <c r="I41" t="n">
        <v>1</v>
      </c>
      <c r="J41" t="inlineStr">
        <is>
          <t>NA</t>
        </is>
      </c>
      <c r="K41" t="n">
        <v>96.2</v>
      </c>
      <c r="L41">
        <f>IF(K41&gt;=80,"Yes","No")</f>
        <v/>
      </c>
      <c r="M41">
        <f>IF(ISNUMBER(H41),IF(H41&gt;0,1,0),"")</f>
        <v/>
      </c>
    </row>
    <row r="42">
      <c r="A42" t="inlineStr">
        <is>
          <t>SIMULATED_FEA_Commercial_Study</t>
        </is>
      </c>
      <c r="B42" t="inlineStr">
        <is>
          <t>V01</t>
        </is>
      </c>
      <c r="C42" t="inlineStr">
        <is>
          <t>Annotation</t>
        </is>
      </c>
      <c r="D42" t="inlineStr">
        <is>
          <t>Bin_04</t>
        </is>
      </c>
      <c r="E42" t="n">
        <v>10</v>
      </c>
      <c r="F42" t="inlineStr">
        <is>
          <t>Negative Valence</t>
        </is>
      </c>
      <c r="G42" t="n">
        <v>-50</v>
      </c>
      <c r="H42" t="n">
        <v>0</v>
      </c>
      <c r="I42" t="n">
        <v>0</v>
      </c>
      <c r="J42" t="inlineStr">
        <is>
          <t>NA</t>
        </is>
      </c>
      <c r="K42" t="n">
        <v>96.2</v>
      </c>
      <c r="L42">
        <f>IF(K42&gt;=80,"Yes","No")</f>
        <v/>
      </c>
      <c r="M42">
        <f>IF(ISNUMBER(H42),IF(H42&gt;0,1,0),"")</f>
        <v/>
      </c>
    </row>
    <row r="43">
      <c r="A43" t="inlineStr">
        <is>
          <t>SIMULATED_FEA_Commercial_Study</t>
        </is>
      </c>
      <c r="B43" t="inlineStr">
        <is>
          <t>V01</t>
        </is>
      </c>
      <c r="C43" t="inlineStr">
        <is>
          <t>Annotation</t>
        </is>
      </c>
      <c r="D43" t="inlineStr">
        <is>
          <t>Bin_04</t>
        </is>
      </c>
      <c r="E43" t="n">
        <v>10</v>
      </c>
      <c r="F43" t="inlineStr">
        <is>
          <t>Engagement</t>
        </is>
      </c>
      <c r="G43" t="inlineStr">
        <is>
          <t>NA</t>
        </is>
      </c>
      <c r="H43" t="inlineStr">
        <is>
          <t>NA</t>
        </is>
      </c>
      <c r="I43" t="inlineStr">
        <is>
          <t>NA</t>
        </is>
      </c>
      <c r="J43" t="n">
        <v>14.57</v>
      </c>
      <c r="K43" t="n">
        <v>96.2</v>
      </c>
      <c r="L43">
        <f>IF(K43&gt;=80,"Yes","No")</f>
        <v/>
      </c>
      <c r="M43">
        <f>IF(ISNUMBER(H43),IF(H43&gt;0,1,0),"")</f>
        <v/>
      </c>
    </row>
    <row r="44">
      <c r="A44" t="inlineStr">
        <is>
          <t>SIMULATED_FEA_Commercial_Study</t>
        </is>
      </c>
      <c r="B44" t="inlineStr">
        <is>
          <t>V01</t>
        </is>
      </c>
      <c r="C44" t="inlineStr">
        <is>
          <t>Annotation</t>
        </is>
      </c>
      <c r="D44" t="inlineStr">
        <is>
          <t>Bin_05</t>
        </is>
      </c>
      <c r="E44" t="n">
        <v>10</v>
      </c>
      <c r="F44" t="inlineStr">
        <is>
          <t>Joy</t>
        </is>
      </c>
      <c r="G44" t="n">
        <v>50</v>
      </c>
      <c r="H44" t="n">
        <v>36</v>
      </c>
      <c r="I44" t="n">
        <v>3</v>
      </c>
      <c r="J44" t="inlineStr">
        <is>
          <t>NA</t>
        </is>
      </c>
      <c r="K44" t="n">
        <v>96.2</v>
      </c>
      <c r="L44">
        <f>IF(K44&gt;=80,"Yes","No")</f>
        <v/>
      </c>
      <c r="M44">
        <f>IF(ISNUMBER(H44),IF(H44&gt;0,1,0),"")</f>
        <v/>
      </c>
    </row>
    <row r="45">
      <c r="A45" t="inlineStr">
        <is>
          <t>SIMULATED_FEA_Commercial_Study</t>
        </is>
      </c>
      <c r="B45" t="inlineStr">
        <is>
          <t>V01</t>
        </is>
      </c>
      <c r="C45" t="inlineStr">
        <is>
          <t>Annotation</t>
        </is>
      </c>
      <c r="D45" t="inlineStr">
        <is>
          <t>Bin_05</t>
        </is>
      </c>
      <c r="E45" t="n">
        <v>10</v>
      </c>
      <c r="F45" t="inlineStr">
        <is>
          <t>Surprise</t>
        </is>
      </c>
      <c r="G45" t="n">
        <v>50</v>
      </c>
      <c r="H45" t="n">
        <v>0</v>
      </c>
      <c r="I45" t="n">
        <v>0</v>
      </c>
      <c r="J45" t="inlineStr">
        <is>
          <t>NA</t>
        </is>
      </c>
      <c r="K45" t="n">
        <v>96.2</v>
      </c>
      <c r="L45">
        <f>IF(K45&gt;=80,"Yes","No")</f>
        <v/>
      </c>
      <c r="M45">
        <f>IF(ISNUMBER(H45),IF(H45&gt;0,1,0),"")</f>
        <v/>
      </c>
    </row>
    <row r="46">
      <c r="A46" t="inlineStr">
        <is>
          <t>SIMULATED_FEA_Commercial_Study</t>
        </is>
      </c>
      <c r="B46" t="inlineStr">
        <is>
          <t>V01</t>
        </is>
      </c>
      <c r="C46" t="inlineStr">
        <is>
          <t>Annotation</t>
        </is>
      </c>
      <c r="D46" t="inlineStr">
        <is>
          <t>Bin_05</t>
        </is>
      </c>
      <c r="E46" t="n">
        <v>10</v>
      </c>
      <c r="F46" t="inlineStr">
        <is>
          <t>Brow Furrow</t>
        </is>
      </c>
      <c r="G46" t="n">
        <v>50</v>
      </c>
      <c r="H46" t="n">
        <v>0</v>
      </c>
      <c r="I46" t="n">
        <v>0</v>
      </c>
      <c r="J46" t="inlineStr">
        <is>
          <t>NA</t>
        </is>
      </c>
      <c r="K46" t="n">
        <v>96.2</v>
      </c>
      <c r="L46">
        <f>IF(K46&gt;=80,"Yes","No")</f>
        <v/>
      </c>
      <c r="M46">
        <f>IF(ISNUMBER(H46),IF(H46&gt;0,1,0),"")</f>
        <v/>
      </c>
    </row>
    <row r="47">
      <c r="A47" t="inlineStr">
        <is>
          <t>SIMULATED_FEA_Commercial_Study</t>
        </is>
      </c>
      <c r="B47" t="inlineStr">
        <is>
          <t>V01</t>
        </is>
      </c>
      <c r="C47" t="inlineStr">
        <is>
          <t>Annotation</t>
        </is>
      </c>
      <c r="D47" t="inlineStr">
        <is>
          <t>Bin_05</t>
        </is>
      </c>
      <c r="E47" t="n">
        <v>10</v>
      </c>
      <c r="F47" t="inlineStr">
        <is>
          <t>Positive Valence</t>
        </is>
      </c>
      <c r="G47" t="n">
        <v>50</v>
      </c>
      <c r="H47" t="n">
        <v>39.33</v>
      </c>
      <c r="I47" t="n">
        <v>3</v>
      </c>
      <c r="J47" t="inlineStr">
        <is>
          <t>NA</t>
        </is>
      </c>
      <c r="K47" t="n">
        <v>96.2</v>
      </c>
      <c r="L47">
        <f>IF(K47&gt;=80,"Yes","No")</f>
        <v/>
      </c>
      <c r="M47">
        <f>IF(ISNUMBER(H47),IF(H47&gt;0,1,0),"")</f>
        <v/>
      </c>
    </row>
    <row r="48">
      <c r="A48" t="inlineStr">
        <is>
          <t>SIMULATED_FEA_Commercial_Study</t>
        </is>
      </c>
      <c r="B48" t="inlineStr">
        <is>
          <t>V01</t>
        </is>
      </c>
      <c r="C48" t="inlineStr">
        <is>
          <t>Annotation</t>
        </is>
      </c>
      <c r="D48" t="inlineStr">
        <is>
          <t>Bin_05</t>
        </is>
      </c>
      <c r="E48" t="n">
        <v>10</v>
      </c>
      <c r="F48" t="inlineStr">
        <is>
          <t>Negative Valence</t>
        </is>
      </c>
      <c r="G48" t="n">
        <v>-50</v>
      </c>
      <c r="H48" t="n">
        <v>0</v>
      </c>
      <c r="I48" t="n">
        <v>0</v>
      </c>
      <c r="J48" t="inlineStr">
        <is>
          <t>NA</t>
        </is>
      </c>
      <c r="K48" t="n">
        <v>96.2</v>
      </c>
      <c r="L48">
        <f>IF(K48&gt;=80,"Yes","No")</f>
        <v/>
      </c>
      <c r="M48">
        <f>IF(ISNUMBER(H48),IF(H48&gt;0,1,0),"")</f>
        <v/>
      </c>
    </row>
    <row r="49">
      <c r="A49" t="inlineStr">
        <is>
          <t>SIMULATED_FEA_Commercial_Study</t>
        </is>
      </c>
      <c r="B49" t="inlineStr">
        <is>
          <t>V01</t>
        </is>
      </c>
      <c r="C49" t="inlineStr">
        <is>
          <t>Annotation</t>
        </is>
      </c>
      <c r="D49" t="inlineStr">
        <is>
          <t>Bin_05</t>
        </is>
      </c>
      <c r="E49" t="n">
        <v>10</v>
      </c>
      <c r="F49" t="inlineStr">
        <is>
          <t>Engagement</t>
        </is>
      </c>
      <c r="G49" t="inlineStr">
        <is>
          <t>NA</t>
        </is>
      </c>
      <c r="H49" t="inlineStr">
        <is>
          <t>NA</t>
        </is>
      </c>
      <c r="I49" t="inlineStr">
        <is>
          <t>NA</t>
        </is>
      </c>
      <c r="J49" t="n">
        <v>24.28</v>
      </c>
      <c r="K49" t="n">
        <v>96.2</v>
      </c>
      <c r="L49">
        <f>IF(K49&gt;=80,"Yes","No")</f>
        <v/>
      </c>
      <c r="M49">
        <f>IF(ISNUMBER(H49),IF(H49&gt;0,1,0),"")</f>
        <v/>
      </c>
    </row>
    <row r="50">
      <c r="A50" t="inlineStr">
        <is>
          <t>SIMULATED_FEA_Commercial_Study</t>
        </is>
      </c>
      <c r="B50" t="inlineStr">
        <is>
          <t>V01</t>
        </is>
      </c>
      <c r="C50" t="inlineStr">
        <is>
          <t>Annotation</t>
        </is>
      </c>
      <c r="D50" t="inlineStr">
        <is>
          <t>Bin_06</t>
        </is>
      </c>
      <c r="E50" t="n">
        <v>10</v>
      </c>
      <c r="F50" t="inlineStr">
        <is>
          <t>Joy</t>
        </is>
      </c>
      <c r="G50" t="n">
        <v>50</v>
      </c>
      <c r="H50" t="n">
        <v>12.33</v>
      </c>
      <c r="I50" t="n">
        <v>1</v>
      </c>
      <c r="J50" t="inlineStr">
        <is>
          <t>NA</t>
        </is>
      </c>
      <c r="K50" t="n">
        <v>96.2</v>
      </c>
      <c r="L50">
        <f>IF(K50&gt;=80,"Yes","No")</f>
        <v/>
      </c>
      <c r="M50">
        <f>IF(ISNUMBER(H50),IF(H50&gt;0,1,0),"")</f>
        <v/>
      </c>
    </row>
    <row r="51">
      <c r="A51" t="inlineStr">
        <is>
          <t>SIMULATED_FEA_Commercial_Study</t>
        </is>
      </c>
      <c r="B51" t="inlineStr">
        <is>
          <t>V01</t>
        </is>
      </c>
      <c r="C51" t="inlineStr">
        <is>
          <t>Annotation</t>
        </is>
      </c>
      <c r="D51" t="inlineStr">
        <is>
          <t>Bin_06</t>
        </is>
      </c>
      <c r="E51" t="n">
        <v>10</v>
      </c>
      <c r="F51" t="inlineStr">
        <is>
          <t>Surprise</t>
        </is>
      </c>
      <c r="G51" t="n">
        <v>50</v>
      </c>
      <c r="H51" t="n">
        <v>7.67</v>
      </c>
      <c r="I51" t="n">
        <v>1</v>
      </c>
      <c r="J51" t="inlineStr">
        <is>
          <t>NA</t>
        </is>
      </c>
      <c r="K51" t="n">
        <v>96.2</v>
      </c>
      <c r="L51">
        <f>IF(K51&gt;=80,"Yes","No")</f>
        <v/>
      </c>
      <c r="M51">
        <f>IF(ISNUMBER(H51),IF(H51&gt;0,1,0),"")</f>
        <v/>
      </c>
    </row>
    <row r="52">
      <c r="A52" t="inlineStr">
        <is>
          <t>SIMULATED_FEA_Commercial_Study</t>
        </is>
      </c>
      <c r="B52" t="inlineStr">
        <is>
          <t>V01</t>
        </is>
      </c>
      <c r="C52" t="inlineStr">
        <is>
          <t>Annotation</t>
        </is>
      </c>
      <c r="D52" t="inlineStr">
        <is>
          <t>Bin_06</t>
        </is>
      </c>
      <c r="E52" t="n">
        <v>10</v>
      </c>
      <c r="F52" t="inlineStr">
        <is>
          <t>Brow Furrow</t>
        </is>
      </c>
      <c r="G52" t="n">
        <v>50</v>
      </c>
      <c r="H52" t="n">
        <v>0</v>
      </c>
      <c r="I52" t="n">
        <v>0</v>
      </c>
      <c r="J52" t="inlineStr">
        <is>
          <t>NA</t>
        </is>
      </c>
      <c r="K52" t="n">
        <v>96.2</v>
      </c>
      <c r="L52">
        <f>IF(K52&gt;=80,"Yes","No")</f>
        <v/>
      </c>
      <c r="M52">
        <f>IF(ISNUMBER(H52),IF(H52&gt;0,1,0),"")</f>
        <v/>
      </c>
    </row>
    <row r="53">
      <c r="A53" t="inlineStr">
        <is>
          <t>SIMULATED_FEA_Commercial_Study</t>
        </is>
      </c>
      <c r="B53" t="inlineStr">
        <is>
          <t>V01</t>
        </is>
      </c>
      <c r="C53" t="inlineStr">
        <is>
          <t>Annotation</t>
        </is>
      </c>
      <c r="D53" t="inlineStr">
        <is>
          <t>Bin_06</t>
        </is>
      </c>
      <c r="E53" t="n">
        <v>10</v>
      </c>
      <c r="F53" t="inlineStr">
        <is>
          <t>Positive Valence</t>
        </is>
      </c>
      <c r="G53" t="n">
        <v>50</v>
      </c>
      <c r="H53" t="n">
        <v>11.67</v>
      </c>
      <c r="I53" t="n">
        <v>1</v>
      </c>
      <c r="J53" t="inlineStr">
        <is>
          <t>NA</t>
        </is>
      </c>
      <c r="K53" t="n">
        <v>96.2</v>
      </c>
      <c r="L53">
        <f>IF(K53&gt;=80,"Yes","No")</f>
        <v/>
      </c>
      <c r="M53">
        <f>IF(ISNUMBER(H53),IF(H53&gt;0,1,0),"")</f>
        <v/>
      </c>
    </row>
    <row r="54">
      <c r="A54" t="inlineStr">
        <is>
          <t>SIMULATED_FEA_Commercial_Study</t>
        </is>
      </c>
      <c r="B54" t="inlineStr">
        <is>
          <t>V01</t>
        </is>
      </c>
      <c r="C54" t="inlineStr">
        <is>
          <t>Annotation</t>
        </is>
      </c>
      <c r="D54" t="inlineStr">
        <is>
          <t>Bin_06</t>
        </is>
      </c>
      <c r="E54" t="n">
        <v>10</v>
      </c>
      <c r="F54" t="inlineStr">
        <is>
          <t>Negative Valence</t>
        </is>
      </c>
      <c r="G54" t="n">
        <v>-50</v>
      </c>
      <c r="H54" t="n">
        <v>0</v>
      </c>
      <c r="I54" t="n">
        <v>0</v>
      </c>
      <c r="J54" t="inlineStr">
        <is>
          <t>NA</t>
        </is>
      </c>
      <c r="K54" t="n">
        <v>96.2</v>
      </c>
      <c r="L54">
        <f>IF(K54&gt;=80,"Yes","No")</f>
        <v/>
      </c>
      <c r="M54">
        <f>IF(ISNUMBER(H54),IF(H54&gt;0,1,0),"")</f>
        <v/>
      </c>
    </row>
    <row r="55">
      <c r="A55" t="inlineStr">
        <is>
          <t>SIMULATED_FEA_Commercial_Study</t>
        </is>
      </c>
      <c r="B55" t="inlineStr">
        <is>
          <t>V01</t>
        </is>
      </c>
      <c r="C55" t="inlineStr">
        <is>
          <t>Annotation</t>
        </is>
      </c>
      <c r="D55" t="inlineStr">
        <is>
          <t>Bin_06</t>
        </is>
      </c>
      <c r="E55" t="n">
        <v>10</v>
      </c>
      <c r="F55" t="inlineStr">
        <is>
          <t>Engagement</t>
        </is>
      </c>
      <c r="G55" t="inlineStr">
        <is>
          <t>NA</t>
        </is>
      </c>
      <c r="H55" t="inlineStr">
        <is>
          <t>NA</t>
        </is>
      </c>
      <c r="I55" t="inlineStr">
        <is>
          <t>NA</t>
        </is>
      </c>
      <c r="J55" t="n">
        <v>12.56</v>
      </c>
      <c r="K55" t="n">
        <v>96.2</v>
      </c>
      <c r="L55">
        <f>IF(K55&gt;=80,"Yes","No")</f>
        <v/>
      </c>
      <c r="M55">
        <f>IF(ISNUMBER(H55),IF(H55&gt;0,1,0),"")</f>
        <v/>
      </c>
    </row>
    <row r="56">
      <c r="A56" t="inlineStr">
        <is>
          <t>SIMULATED_FEA_Commercial_Study</t>
        </is>
      </c>
      <c r="B56" t="inlineStr">
        <is>
          <t>V02</t>
        </is>
      </c>
      <c r="C56" t="inlineStr">
        <is>
          <t>Stimulus</t>
        </is>
      </c>
      <c r="D56" t="inlineStr">
        <is>
          <t>Baseline</t>
        </is>
      </c>
      <c r="E56" t="n">
        <v>60</v>
      </c>
      <c r="F56" t="inlineStr">
        <is>
          <t>Joy</t>
        </is>
      </c>
      <c r="G56" t="n">
        <v>50</v>
      </c>
      <c r="H56" t="n">
        <v>0</v>
      </c>
      <c r="I56" t="n">
        <v>0</v>
      </c>
      <c r="J56" t="inlineStr">
        <is>
          <t>NA</t>
        </is>
      </c>
      <c r="K56" t="n">
        <v>95.09999999999999</v>
      </c>
      <c r="L56">
        <f>IF(K56&gt;=80,"Yes","No")</f>
        <v/>
      </c>
      <c r="M56">
        <f>IF(ISNUMBER(H56),IF(H56&gt;0,1,0),"")</f>
        <v/>
      </c>
    </row>
    <row r="57">
      <c r="A57" t="inlineStr">
        <is>
          <t>SIMULATED_FEA_Commercial_Study</t>
        </is>
      </c>
      <c r="B57" t="inlineStr">
        <is>
          <t>V02</t>
        </is>
      </c>
      <c r="C57" t="inlineStr">
        <is>
          <t>Stimulus</t>
        </is>
      </c>
      <c r="D57" t="inlineStr">
        <is>
          <t>Baseline</t>
        </is>
      </c>
      <c r="E57" t="n">
        <v>60</v>
      </c>
      <c r="F57" t="inlineStr">
        <is>
          <t>Surprise</t>
        </is>
      </c>
      <c r="G57" t="n">
        <v>50</v>
      </c>
      <c r="H57" t="n">
        <v>0</v>
      </c>
      <c r="I57" t="n">
        <v>0</v>
      </c>
      <c r="J57" t="inlineStr">
        <is>
          <t>NA</t>
        </is>
      </c>
      <c r="K57" t="n">
        <v>95.09999999999999</v>
      </c>
      <c r="L57">
        <f>IF(K57&gt;=80,"Yes","No")</f>
        <v/>
      </c>
      <c r="M57">
        <f>IF(ISNUMBER(H57),IF(H57&gt;0,1,0),"")</f>
        <v/>
      </c>
    </row>
    <row r="58">
      <c r="A58" t="inlineStr">
        <is>
          <t>SIMULATED_FEA_Commercial_Study</t>
        </is>
      </c>
      <c r="B58" t="inlineStr">
        <is>
          <t>V02</t>
        </is>
      </c>
      <c r="C58" t="inlineStr">
        <is>
          <t>Stimulus</t>
        </is>
      </c>
      <c r="D58" t="inlineStr">
        <is>
          <t>Baseline</t>
        </is>
      </c>
      <c r="E58" t="n">
        <v>60</v>
      </c>
      <c r="F58" t="inlineStr">
        <is>
          <t>Brow Furrow</t>
        </is>
      </c>
      <c r="G58" t="n">
        <v>50</v>
      </c>
      <c r="H58" t="n">
        <v>7.83</v>
      </c>
      <c r="I58" t="n">
        <v>2</v>
      </c>
      <c r="J58" t="inlineStr">
        <is>
          <t>NA</t>
        </is>
      </c>
      <c r="K58" t="n">
        <v>95.09999999999999</v>
      </c>
      <c r="L58">
        <f>IF(K58&gt;=80,"Yes","No")</f>
        <v/>
      </c>
      <c r="M58">
        <f>IF(ISNUMBER(H58),IF(H58&gt;0,1,0),"")</f>
        <v/>
      </c>
    </row>
    <row r="59">
      <c r="A59" t="inlineStr">
        <is>
          <t>SIMULATED_FEA_Commercial_Study</t>
        </is>
      </c>
      <c r="B59" t="inlineStr">
        <is>
          <t>V02</t>
        </is>
      </c>
      <c r="C59" t="inlineStr">
        <is>
          <t>Stimulus</t>
        </is>
      </c>
      <c r="D59" t="inlineStr">
        <is>
          <t>Baseline</t>
        </is>
      </c>
      <c r="E59" t="n">
        <v>60</v>
      </c>
      <c r="F59" t="inlineStr">
        <is>
          <t>Positive Valence</t>
        </is>
      </c>
      <c r="G59" t="n">
        <v>50</v>
      </c>
      <c r="H59" t="n">
        <v>0</v>
      </c>
      <c r="I59" t="n">
        <v>0</v>
      </c>
      <c r="J59" t="inlineStr">
        <is>
          <t>NA</t>
        </is>
      </c>
      <c r="K59" t="n">
        <v>95.09999999999999</v>
      </c>
      <c r="L59">
        <f>IF(K59&gt;=80,"Yes","No")</f>
        <v/>
      </c>
      <c r="M59">
        <f>IF(ISNUMBER(H59),IF(H59&gt;0,1,0),"")</f>
        <v/>
      </c>
    </row>
    <row r="60">
      <c r="A60" t="inlineStr">
        <is>
          <t>SIMULATED_FEA_Commercial_Study</t>
        </is>
      </c>
      <c r="B60" t="inlineStr">
        <is>
          <t>V02</t>
        </is>
      </c>
      <c r="C60" t="inlineStr">
        <is>
          <t>Stimulus</t>
        </is>
      </c>
      <c r="D60" t="inlineStr">
        <is>
          <t>Baseline</t>
        </is>
      </c>
      <c r="E60" t="n">
        <v>60</v>
      </c>
      <c r="F60" t="inlineStr">
        <is>
          <t>Negative Valence</t>
        </is>
      </c>
      <c r="G60" t="n">
        <v>-50</v>
      </c>
      <c r="H60" t="n">
        <v>0</v>
      </c>
      <c r="I60" t="n">
        <v>0</v>
      </c>
      <c r="J60" t="inlineStr">
        <is>
          <t>NA</t>
        </is>
      </c>
      <c r="K60" t="n">
        <v>95.09999999999999</v>
      </c>
      <c r="L60">
        <f>IF(K60&gt;=80,"Yes","No")</f>
        <v/>
      </c>
      <c r="M60">
        <f>IF(ISNUMBER(H60),IF(H60&gt;0,1,0),"")</f>
        <v/>
      </c>
    </row>
    <row r="61">
      <c r="A61" t="inlineStr">
        <is>
          <t>SIMULATED_FEA_Commercial_Study</t>
        </is>
      </c>
      <c r="B61" t="inlineStr">
        <is>
          <t>V02</t>
        </is>
      </c>
      <c r="C61" t="inlineStr">
        <is>
          <t>Stimulus</t>
        </is>
      </c>
      <c r="D61" t="inlineStr">
        <is>
          <t>Baseline</t>
        </is>
      </c>
      <c r="E61" t="n">
        <v>60</v>
      </c>
      <c r="F61" t="inlineStr">
        <is>
          <t>Engagement</t>
        </is>
      </c>
      <c r="G61" t="inlineStr">
        <is>
          <t>NA</t>
        </is>
      </c>
      <c r="H61" t="inlineStr">
        <is>
          <t>NA</t>
        </is>
      </c>
      <c r="I61" t="inlineStr">
        <is>
          <t>NA</t>
        </is>
      </c>
      <c r="J61" t="n">
        <v>7.01</v>
      </c>
      <c r="K61" t="n">
        <v>95.09999999999999</v>
      </c>
      <c r="L61">
        <f>IF(K61&gt;=80,"Yes","No")</f>
        <v/>
      </c>
      <c r="M61">
        <f>IF(ISNUMBER(H61),IF(H61&gt;0,1,0),"")</f>
        <v/>
      </c>
    </row>
    <row r="62">
      <c r="A62" t="inlineStr">
        <is>
          <t>SIMULATED_FEA_Commercial_Study</t>
        </is>
      </c>
      <c r="B62" t="inlineStr">
        <is>
          <t>V02</t>
        </is>
      </c>
      <c r="C62" t="inlineStr">
        <is>
          <t>Stimulus</t>
        </is>
      </c>
      <c r="D62" t="inlineStr">
        <is>
          <t>Commercial</t>
        </is>
      </c>
      <c r="E62" t="n">
        <v>60</v>
      </c>
      <c r="F62" t="inlineStr">
        <is>
          <t>Joy</t>
        </is>
      </c>
      <c r="G62" t="n">
        <v>50</v>
      </c>
      <c r="H62" t="n">
        <v>0</v>
      </c>
      <c r="I62" t="n">
        <v>0</v>
      </c>
      <c r="J62" t="inlineStr">
        <is>
          <t>NA</t>
        </is>
      </c>
      <c r="K62" t="n">
        <v>95.09999999999999</v>
      </c>
      <c r="L62">
        <f>IF(K62&gt;=80,"Yes","No")</f>
        <v/>
      </c>
      <c r="M62">
        <f>IF(ISNUMBER(H62),IF(H62&gt;0,1,0),"")</f>
        <v/>
      </c>
    </row>
    <row r="63">
      <c r="A63" t="inlineStr">
        <is>
          <t>SIMULATED_FEA_Commercial_Study</t>
        </is>
      </c>
      <c r="B63" t="inlineStr">
        <is>
          <t>V02</t>
        </is>
      </c>
      <c r="C63" t="inlineStr">
        <is>
          <t>Stimulus</t>
        </is>
      </c>
      <c r="D63" t="inlineStr">
        <is>
          <t>Commercial</t>
        </is>
      </c>
      <c r="E63" t="n">
        <v>60</v>
      </c>
      <c r="F63" t="inlineStr">
        <is>
          <t>Surprise</t>
        </is>
      </c>
      <c r="G63" t="n">
        <v>50</v>
      </c>
      <c r="H63" t="n">
        <v>4.67</v>
      </c>
      <c r="I63" t="n">
        <v>3</v>
      </c>
      <c r="J63" t="inlineStr">
        <is>
          <t>NA</t>
        </is>
      </c>
      <c r="K63" t="n">
        <v>95.09999999999999</v>
      </c>
      <c r="L63">
        <f>IF(K63&gt;=80,"Yes","No")</f>
        <v/>
      </c>
      <c r="M63">
        <f>IF(ISNUMBER(H63),IF(H63&gt;0,1,0),"")</f>
        <v/>
      </c>
    </row>
    <row r="64">
      <c r="A64" t="inlineStr">
        <is>
          <t>SIMULATED_FEA_Commercial_Study</t>
        </is>
      </c>
      <c r="B64" t="inlineStr">
        <is>
          <t>V02</t>
        </is>
      </c>
      <c r="C64" t="inlineStr">
        <is>
          <t>Stimulus</t>
        </is>
      </c>
      <c r="D64" t="inlineStr">
        <is>
          <t>Commercial</t>
        </is>
      </c>
      <c r="E64" t="n">
        <v>60</v>
      </c>
      <c r="F64" t="inlineStr">
        <is>
          <t>Brow Furrow</t>
        </is>
      </c>
      <c r="G64" t="n">
        <v>50</v>
      </c>
      <c r="H64" t="n">
        <v>0</v>
      </c>
      <c r="I64" t="n">
        <v>0</v>
      </c>
      <c r="J64" t="inlineStr">
        <is>
          <t>NA</t>
        </is>
      </c>
      <c r="K64" t="n">
        <v>95.09999999999999</v>
      </c>
      <c r="L64">
        <f>IF(K64&gt;=80,"Yes","No")</f>
        <v/>
      </c>
      <c r="M64">
        <f>IF(ISNUMBER(H64),IF(H64&gt;0,1,0),"")</f>
        <v/>
      </c>
    </row>
    <row r="65">
      <c r="A65" t="inlineStr">
        <is>
          <t>SIMULATED_FEA_Commercial_Study</t>
        </is>
      </c>
      <c r="B65" t="inlineStr">
        <is>
          <t>V02</t>
        </is>
      </c>
      <c r="C65" t="inlineStr">
        <is>
          <t>Stimulus</t>
        </is>
      </c>
      <c r="D65" t="inlineStr">
        <is>
          <t>Commercial</t>
        </is>
      </c>
      <c r="E65" t="n">
        <v>60</v>
      </c>
      <c r="F65" t="inlineStr">
        <is>
          <t>Positive Valence</t>
        </is>
      </c>
      <c r="G65" t="n">
        <v>50</v>
      </c>
      <c r="H65" t="n">
        <v>0.5600000000000001</v>
      </c>
      <c r="I65" t="n">
        <v>3</v>
      </c>
      <c r="J65" t="inlineStr">
        <is>
          <t>NA</t>
        </is>
      </c>
      <c r="K65" t="n">
        <v>95.09999999999999</v>
      </c>
      <c r="L65">
        <f>IF(K65&gt;=80,"Yes","No")</f>
        <v/>
      </c>
      <c r="M65">
        <f>IF(ISNUMBER(H65),IF(H65&gt;0,1,0),"")</f>
        <v/>
      </c>
    </row>
    <row r="66">
      <c r="A66" t="inlineStr">
        <is>
          <t>SIMULATED_FEA_Commercial_Study</t>
        </is>
      </c>
      <c r="B66" t="inlineStr">
        <is>
          <t>V02</t>
        </is>
      </c>
      <c r="C66" t="inlineStr">
        <is>
          <t>Stimulus</t>
        </is>
      </c>
      <c r="D66" t="inlineStr">
        <is>
          <t>Commercial</t>
        </is>
      </c>
      <c r="E66" t="n">
        <v>60</v>
      </c>
      <c r="F66" t="inlineStr">
        <is>
          <t>Negative Valence</t>
        </is>
      </c>
      <c r="G66" t="n">
        <v>-50</v>
      </c>
      <c r="H66" t="n">
        <v>0</v>
      </c>
      <c r="I66" t="n">
        <v>0</v>
      </c>
      <c r="J66" t="inlineStr">
        <is>
          <t>NA</t>
        </is>
      </c>
      <c r="K66" t="n">
        <v>95.09999999999999</v>
      </c>
      <c r="L66">
        <f>IF(K66&gt;=80,"Yes","No")</f>
        <v/>
      </c>
      <c r="M66">
        <f>IF(ISNUMBER(H66),IF(H66&gt;0,1,0),"")</f>
        <v/>
      </c>
    </row>
    <row r="67">
      <c r="A67" t="inlineStr">
        <is>
          <t>SIMULATED_FEA_Commercial_Study</t>
        </is>
      </c>
      <c r="B67" t="inlineStr">
        <is>
          <t>V02</t>
        </is>
      </c>
      <c r="C67" t="inlineStr">
        <is>
          <t>Stimulus</t>
        </is>
      </c>
      <c r="D67" t="inlineStr">
        <is>
          <t>Commercial</t>
        </is>
      </c>
      <c r="E67" t="n">
        <v>60</v>
      </c>
      <c r="F67" t="inlineStr">
        <is>
          <t>Engagement</t>
        </is>
      </c>
      <c r="G67" t="inlineStr">
        <is>
          <t>NA</t>
        </is>
      </c>
      <c r="H67" t="inlineStr">
        <is>
          <t>NA</t>
        </is>
      </c>
      <c r="I67" t="inlineStr">
        <is>
          <t>NA</t>
        </is>
      </c>
      <c r="J67" t="n">
        <v>8.380000000000001</v>
      </c>
      <c r="K67" t="n">
        <v>95.09999999999999</v>
      </c>
      <c r="L67">
        <f>IF(K67&gt;=80,"Yes","No")</f>
        <v/>
      </c>
      <c r="M67">
        <f>IF(ISNUMBER(H67),IF(H67&gt;0,1,0),"")</f>
        <v/>
      </c>
    </row>
    <row r="68">
      <c r="A68" t="inlineStr">
        <is>
          <t>SIMULATED_FEA_Commercial_Study</t>
        </is>
      </c>
      <c r="B68" t="inlineStr">
        <is>
          <t>V02</t>
        </is>
      </c>
      <c r="C68" t="inlineStr">
        <is>
          <t>Stimulus</t>
        </is>
      </c>
      <c r="D68" t="inlineStr">
        <is>
          <t>Recovery</t>
        </is>
      </c>
      <c r="E68" t="n">
        <v>15</v>
      </c>
      <c r="F68" t="inlineStr">
        <is>
          <t>Joy</t>
        </is>
      </c>
      <c r="G68" t="n">
        <v>50</v>
      </c>
      <c r="H68" t="n">
        <v>0</v>
      </c>
      <c r="I68" t="n">
        <v>0</v>
      </c>
      <c r="J68" t="inlineStr">
        <is>
          <t>NA</t>
        </is>
      </c>
      <c r="K68" t="n">
        <v>95.09999999999999</v>
      </c>
      <c r="L68">
        <f>IF(K68&gt;=80,"Yes","No")</f>
        <v/>
      </c>
      <c r="M68">
        <f>IF(ISNUMBER(H68),IF(H68&gt;0,1,0),"")</f>
        <v/>
      </c>
    </row>
    <row r="69">
      <c r="A69" t="inlineStr">
        <is>
          <t>SIMULATED_FEA_Commercial_Study</t>
        </is>
      </c>
      <c r="B69" t="inlineStr">
        <is>
          <t>V02</t>
        </is>
      </c>
      <c r="C69" t="inlineStr">
        <is>
          <t>Stimulus</t>
        </is>
      </c>
      <c r="D69" t="inlineStr">
        <is>
          <t>Recovery</t>
        </is>
      </c>
      <c r="E69" t="n">
        <v>15</v>
      </c>
      <c r="F69" t="inlineStr">
        <is>
          <t>Surprise</t>
        </is>
      </c>
      <c r="G69" t="n">
        <v>50</v>
      </c>
      <c r="H69" t="n">
        <v>0</v>
      </c>
      <c r="I69" t="n">
        <v>0</v>
      </c>
      <c r="J69" t="inlineStr">
        <is>
          <t>NA</t>
        </is>
      </c>
      <c r="K69" t="n">
        <v>95.09999999999999</v>
      </c>
      <c r="L69">
        <f>IF(K69&gt;=80,"Yes","No")</f>
        <v/>
      </c>
      <c r="M69">
        <f>IF(ISNUMBER(H69),IF(H69&gt;0,1,0),"")</f>
        <v/>
      </c>
    </row>
    <row r="70">
      <c r="A70" t="inlineStr">
        <is>
          <t>SIMULATED_FEA_Commercial_Study</t>
        </is>
      </c>
      <c r="B70" t="inlineStr">
        <is>
          <t>V02</t>
        </is>
      </c>
      <c r="C70" t="inlineStr">
        <is>
          <t>Stimulus</t>
        </is>
      </c>
      <c r="D70" t="inlineStr">
        <is>
          <t>Recovery</t>
        </is>
      </c>
      <c r="E70" t="n">
        <v>15</v>
      </c>
      <c r="F70" t="inlineStr">
        <is>
          <t>Brow Furrow</t>
        </is>
      </c>
      <c r="G70" t="n">
        <v>50</v>
      </c>
      <c r="H70" t="n">
        <v>24</v>
      </c>
      <c r="I70" t="n">
        <v>2</v>
      </c>
      <c r="J70" t="inlineStr">
        <is>
          <t>NA</t>
        </is>
      </c>
      <c r="K70" t="n">
        <v>95.09999999999999</v>
      </c>
      <c r="L70">
        <f>IF(K70&gt;=80,"Yes","No")</f>
        <v/>
      </c>
      <c r="M70">
        <f>IF(ISNUMBER(H70),IF(H70&gt;0,1,0),"")</f>
        <v/>
      </c>
    </row>
    <row r="71">
      <c r="A71" t="inlineStr">
        <is>
          <t>SIMULATED_FEA_Commercial_Study</t>
        </is>
      </c>
      <c r="B71" t="inlineStr">
        <is>
          <t>V02</t>
        </is>
      </c>
      <c r="C71" t="inlineStr">
        <is>
          <t>Stimulus</t>
        </is>
      </c>
      <c r="D71" t="inlineStr">
        <is>
          <t>Recovery</t>
        </is>
      </c>
      <c r="E71" t="n">
        <v>15</v>
      </c>
      <c r="F71" t="inlineStr">
        <is>
          <t>Positive Valence</t>
        </is>
      </c>
      <c r="G71" t="n">
        <v>50</v>
      </c>
      <c r="H71" t="n">
        <v>0</v>
      </c>
      <c r="I71" t="n">
        <v>0</v>
      </c>
      <c r="J71" t="inlineStr">
        <is>
          <t>NA</t>
        </is>
      </c>
      <c r="K71" t="n">
        <v>95.09999999999999</v>
      </c>
      <c r="L71">
        <f>IF(K71&gt;=80,"Yes","No")</f>
        <v/>
      </c>
      <c r="M71">
        <f>IF(ISNUMBER(H71),IF(H71&gt;0,1,0),"")</f>
        <v/>
      </c>
    </row>
    <row r="72">
      <c r="A72" t="inlineStr">
        <is>
          <t>SIMULATED_FEA_Commercial_Study</t>
        </is>
      </c>
      <c r="B72" t="inlineStr">
        <is>
          <t>V02</t>
        </is>
      </c>
      <c r="C72" t="inlineStr">
        <is>
          <t>Stimulus</t>
        </is>
      </c>
      <c r="D72" t="inlineStr">
        <is>
          <t>Recovery</t>
        </is>
      </c>
      <c r="E72" t="n">
        <v>15</v>
      </c>
      <c r="F72" t="inlineStr">
        <is>
          <t>Negative Valence</t>
        </is>
      </c>
      <c r="G72" t="n">
        <v>-50</v>
      </c>
      <c r="H72" t="n">
        <v>0</v>
      </c>
      <c r="I72" t="n">
        <v>0</v>
      </c>
      <c r="J72" t="inlineStr">
        <is>
          <t>NA</t>
        </is>
      </c>
      <c r="K72" t="n">
        <v>95.09999999999999</v>
      </c>
      <c r="L72">
        <f>IF(K72&gt;=80,"Yes","No")</f>
        <v/>
      </c>
      <c r="M72">
        <f>IF(ISNUMBER(H72),IF(H72&gt;0,1,0),"")</f>
        <v/>
      </c>
    </row>
    <row r="73">
      <c r="A73" t="inlineStr">
        <is>
          <t>SIMULATED_FEA_Commercial_Study</t>
        </is>
      </c>
      <c r="B73" t="inlineStr">
        <is>
          <t>V02</t>
        </is>
      </c>
      <c r="C73" t="inlineStr">
        <is>
          <t>Stimulus</t>
        </is>
      </c>
      <c r="D73" t="inlineStr">
        <is>
          <t>Recovery</t>
        </is>
      </c>
      <c r="E73" t="n">
        <v>15</v>
      </c>
      <c r="F73" t="inlineStr">
        <is>
          <t>Engagement</t>
        </is>
      </c>
      <c r="G73" t="inlineStr">
        <is>
          <t>NA</t>
        </is>
      </c>
      <c r="H73" t="inlineStr">
        <is>
          <t>NA</t>
        </is>
      </c>
      <c r="I73" t="inlineStr">
        <is>
          <t>NA</t>
        </is>
      </c>
      <c r="J73" t="n">
        <v>14.72</v>
      </c>
      <c r="K73" t="n">
        <v>95.09999999999999</v>
      </c>
      <c r="L73">
        <f>IF(K73&gt;=80,"Yes","No")</f>
        <v/>
      </c>
      <c r="M73">
        <f>IF(ISNUMBER(H73),IF(H73&gt;0,1,0),"")</f>
        <v/>
      </c>
    </row>
    <row r="74">
      <c r="A74" t="inlineStr">
        <is>
          <t>SIMULATED_FEA_Commercial_Study</t>
        </is>
      </c>
      <c r="B74" t="inlineStr">
        <is>
          <t>V02</t>
        </is>
      </c>
      <c r="C74" t="inlineStr">
        <is>
          <t>Annotation</t>
        </is>
      </c>
      <c r="D74" t="inlineStr">
        <is>
          <t>Bin_01</t>
        </is>
      </c>
      <c r="E74" t="n">
        <v>10</v>
      </c>
      <c r="F74" t="inlineStr">
        <is>
          <t>Joy</t>
        </is>
      </c>
      <c r="G74" t="n">
        <v>50</v>
      </c>
      <c r="H74" t="n">
        <v>0</v>
      </c>
      <c r="I74" t="n">
        <v>0</v>
      </c>
      <c r="J74" t="inlineStr">
        <is>
          <t>NA</t>
        </is>
      </c>
      <c r="K74" t="n">
        <v>95.09999999999999</v>
      </c>
      <c r="L74">
        <f>IF(K74&gt;=80,"Yes","No")</f>
        <v/>
      </c>
      <c r="M74">
        <f>IF(ISNUMBER(H74),IF(H74&gt;0,1,0),"")</f>
        <v/>
      </c>
    </row>
    <row r="75">
      <c r="A75" t="inlineStr">
        <is>
          <t>SIMULATED_FEA_Commercial_Study</t>
        </is>
      </c>
      <c r="B75" t="inlineStr">
        <is>
          <t>V02</t>
        </is>
      </c>
      <c r="C75" t="inlineStr">
        <is>
          <t>Annotation</t>
        </is>
      </c>
      <c r="D75" t="inlineStr">
        <is>
          <t>Bin_01</t>
        </is>
      </c>
      <c r="E75" t="n">
        <v>10</v>
      </c>
      <c r="F75" t="inlineStr">
        <is>
          <t>Surprise</t>
        </is>
      </c>
      <c r="G75" t="n">
        <v>50</v>
      </c>
      <c r="H75" t="n">
        <v>0</v>
      </c>
      <c r="I75" t="n">
        <v>0</v>
      </c>
      <c r="J75" t="inlineStr">
        <is>
          <t>NA</t>
        </is>
      </c>
      <c r="K75" t="n">
        <v>95.09999999999999</v>
      </c>
      <c r="L75">
        <f>IF(K75&gt;=80,"Yes","No")</f>
        <v/>
      </c>
      <c r="M75">
        <f>IF(ISNUMBER(H75),IF(H75&gt;0,1,0),"")</f>
        <v/>
      </c>
    </row>
    <row r="76">
      <c r="A76" t="inlineStr">
        <is>
          <t>SIMULATED_FEA_Commercial_Study</t>
        </is>
      </c>
      <c r="B76" t="inlineStr">
        <is>
          <t>V02</t>
        </is>
      </c>
      <c r="C76" t="inlineStr">
        <is>
          <t>Annotation</t>
        </is>
      </c>
      <c r="D76" t="inlineStr">
        <is>
          <t>Bin_01</t>
        </is>
      </c>
      <c r="E76" t="n">
        <v>10</v>
      </c>
      <c r="F76" t="inlineStr">
        <is>
          <t>Brow Furrow</t>
        </is>
      </c>
      <c r="G76" t="n">
        <v>50</v>
      </c>
      <c r="H76" t="n">
        <v>0</v>
      </c>
      <c r="I76" t="n">
        <v>0</v>
      </c>
      <c r="J76" t="inlineStr">
        <is>
          <t>NA</t>
        </is>
      </c>
      <c r="K76" t="n">
        <v>95.09999999999999</v>
      </c>
      <c r="L76">
        <f>IF(K76&gt;=80,"Yes","No")</f>
        <v/>
      </c>
      <c r="M76">
        <f>IF(ISNUMBER(H76),IF(H76&gt;0,1,0),"")</f>
        <v/>
      </c>
    </row>
    <row r="77">
      <c r="A77" t="inlineStr">
        <is>
          <t>SIMULATED_FEA_Commercial_Study</t>
        </is>
      </c>
      <c r="B77" t="inlineStr">
        <is>
          <t>V02</t>
        </is>
      </c>
      <c r="C77" t="inlineStr">
        <is>
          <t>Annotation</t>
        </is>
      </c>
      <c r="D77" t="inlineStr">
        <is>
          <t>Bin_01</t>
        </is>
      </c>
      <c r="E77" t="n">
        <v>10</v>
      </c>
      <c r="F77" t="inlineStr">
        <is>
          <t>Positive Valence</t>
        </is>
      </c>
      <c r="G77" t="n">
        <v>50</v>
      </c>
      <c r="H77" t="n">
        <v>0</v>
      </c>
      <c r="I77" t="n">
        <v>0</v>
      </c>
      <c r="J77" t="inlineStr">
        <is>
          <t>NA</t>
        </is>
      </c>
      <c r="K77" t="n">
        <v>95.09999999999999</v>
      </c>
      <c r="L77">
        <f>IF(K77&gt;=80,"Yes","No")</f>
        <v/>
      </c>
      <c r="M77">
        <f>IF(ISNUMBER(H77),IF(H77&gt;0,1,0),"")</f>
        <v/>
      </c>
    </row>
    <row r="78">
      <c r="A78" t="inlineStr">
        <is>
          <t>SIMULATED_FEA_Commercial_Study</t>
        </is>
      </c>
      <c r="B78" t="inlineStr">
        <is>
          <t>V02</t>
        </is>
      </c>
      <c r="C78" t="inlineStr">
        <is>
          <t>Annotation</t>
        </is>
      </c>
      <c r="D78" t="inlineStr">
        <is>
          <t>Bin_01</t>
        </is>
      </c>
      <c r="E78" t="n">
        <v>10</v>
      </c>
      <c r="F78" t="inlineStr">
        <is>
          <t>Negative Valence</t>
        </is>
      </c>
      <c r="G78" t="n">
        <v>-50</v>
      </c>
      <c r="H78" t="n">
        <v>0</v>
      </c>
      <c r="I78" t="n">
        <v>0</v>
      </c>
      <c r="J78" t="inlineStr">
        <is>
          <t>NA</t>
        </is>
      </c>
      <c r="K78" t="n">
        <v>95.09999999999999</v>
      </c>
      <c r="L78">
        <f>IF(K78&gt;=80,"Yes","No")</f>
        <v/>
      </c>
      <c r="M78">
        <f>IF(ISNUMBER(H78),IF(H78&gt;0,1,0),"")</f>
        <v/>
      </c>
    </row>
    <row r="79">
      <c r="A79" t="inlineStr">
        <is>
          <t>SIMULATED_FEA_Commercial_Study</t>
        </is>
      </c>
      <c r="B79" t="inlineStr">
        <is>
          <t>V02</t>
        </is>
      </c>
      <c r="C79" t="inlineStr">
        <is>
          <t>Annotation</t>
        </is>
      </c>
      <c r="D79" t="inlineStr">
        <is>
          <t>Bin_01</t>
        </is>
      </c>
      <c r="E79" t="n">
        <v>10</v>
      </c>
      <c r="F79" t="inlineStr">
        <is>
          <t>Engagement</t>
        </is>
      </c>
      <c r="G79" t="inlineStr">
        <is>
          <t>NA</t>
        </is>
      </c>
      <c r="H79" t="inlineStr">
        <is>
          <t>NA</t>
        </is>
      </c>
      <c r="I79" t="inlineStr">
        <is>
          <t>NA</t>
        </is>
      </c>
      <c r="J79" t="n">
        <v>3.1</v>
      </c>
      <c r="K79" t="n">
        <v>95.09999999999999</v>
      </c>
      <c r="L79">
        <f>IF(K79&gt;=80,"Yes","No")</f>
        <v/>
      </c>
      <c r="M79">
        <f>IF(ISNUMBER(H79),IF(H79&gt;0,1,0),"")</f>
        <v/>
      </c>
    </row>
    <row r="80">
      <c r="A80" t="inlineStr">
        <is>
          <t>SIMULATED_FEA_Commercial_Study</t>
        </is>
      </c>
      <c r="B80" t="inlineStr">
        <is>
          <t>V02</t>
        </is>
      </c>
      <c r="C80" t="inlineStr">
        <is>
          <t>Annotation</t>
        </is>
      </c>
      <c r="D80" t="inlineStr">
        <is>
          <t>Bin_02</t>
        </is>
      </c>
      <c r="E80" t="n">
        <v>10</v>
      </c>
      <c r="F80" t="inlineStr">
        <is>
          <t>Joy</t>
        </is>
      </c>
      <c r="G80" t="n">
        <v>50</v>
      </c>
      <c r="H80" t="n">
        <v>0</v>
      </c>
      <c r="I80" t="n">
        <v>0</v>
      </c>
      <c r="J80" t="inlineStr">
        <is>
          <t>NA</t>
        </is>
      </c>
      <c r="K80" t="n">
        <v>95.09999999999999</v>
      </c>
      <c r="L80">
        <f>IF(K80&gt;=80,"Yes","No")</f>
        <v/>
      </c>
      <c r="M80">
        <f>IF(ISNUMBER(H80),IF(H80&gt;0,1,0),"")</f>
        <v/>
      </c>
    </row>
    <row r="81">
      <c r="A81" t="inlineStr">
        <is>
          <t>SIMULATED_FEA_Commercial_Study</t>
        </is>
      </c>
      <c r="B81" t="inlineStr">
        <is>
          <t>V02</t>
        </is>
      </c>
      <c r="C81" t="inlineStr">
        <is>
          <t>Annotation</t>
        </is>
      </c>
      <c r="D81" t="inlineStr">
        <is>
          <t>Bin_02</t>
        </is>
      </c>
      <c r="E81" t="n">
        <v>10</v>
      </c>
      <c r="F81" t="inlineStr">
        <is>
          <t>Surprise</t>
        </is>
      </c>
      <c r="G81" t="n">
        <v>50</v>
      </c>
      <c r="H81" t="n">
        <v>0</v>
      </c>
      <c r="I81" t="n">
        <v>0</v>
      </c>
      <c r="J81" t="inlineStr">
        <is>
          <t>NA</t>
        </is>
      </c>
      <c r="K81" t="n">
        <v>95.09999999999999</v>
      </c>
      <c r="L81">
        <f>IF(K81&gt;=80,"Yes","No")</f>
        <v/>
      </c>
      <c r="M81">
        <f>IF(ISNUMBER(H81),IF(H81&gt;0,1,0),"")</f>
        <v/>
      </c>
    </row>
    <row r="82">
      <c r="A82" t="inlineStr">
        <is>
          <t>SIMULATED_FEA_Commercial_Study</t>
        </is>
      </c>
      <c r="B82" t="inlineStr">
        <is>
          <t>V02</t>
        </is>
      </c>
      <c r="C82" t="inlineStr">
        <is>
          <t>Annotation</t>
        </is>
      </c>
      <c r="D82" t="inlineStr">
        <is>
          <t>Bin_02</t>
        </is>
      </c>
      <c r="E82" t="n">
        <v>10</v>
      </c>
      <c r="F82" t="inlineStr">
        <is>
          <t>Brow Furrow</t>
        </is>
      </c>
      <c r="G82" t="n">
        <v>50</v>
      </c>
      <c r="H82" t="n">
        <v>0</v>
      </c>
      <c r="I82" t="n">
        <v>0</v>
      </c>
      <c r="J82" t="inlineStr">
        <is>
          <t>NA</t>
        </is>
      </c>
      <c r="K82" t="n">
        <v>95.09999999999999</v>
      </c>
      <c r="L82">
        <f>IF(K82&gt;=80,"Yes","No")</f>
        <v/>
      </c>
      <c r="M82">
        <f>IF(ISNUMBER(H82),IF(H82&gt;0,1,0),"")</f>
        <v/>
      </c>
    </row>
    <row r="83">
      <c r="A83" t="inlineStr">
        <is>
          <t>SIMULATED_FEA_Commercial_Study</t>
        </is>
      </c>
      <c r="B83" t="inlineStr">
        <is>
          <t>V02</t>
        </is>
      </c>
      <c r="C83" t="inlineStr">
        <is>
          <t>Annotation</t>
        </is>
      </c>
      <c r="D83" t="inlineStr">
        <is>
          <t>Bin_02</t>
        </is>
      </c>
      <c r="E83" t="n">
        <v>10</v>
      </c>
      <c r="F83" t="inlineStr">
        <is>
          <t>Positive Valence</t>
        </is>
      </c>
      <c r="G83" t="n">
        <v>50</v>
      </c>
      <c r="H83" t="n">
        <v>0</v>
      </c>
      <c r="I83" t="n">
        <v>0</v>
      </c>
      <c r="J83" t="inlineStr">
        <is>
          <t>NA</t>
        </is>
      </c>
      <c r="K83" t="n">
        <v>95.09999999999999</v>
      </c>
      <c r="L83">
        <f>IF(K83&gt;=80,"Yes","No")</f>
        <v/>
      </c>
      <c r="M83">
        <f>IF(ISNUMBER(H83),IF(H83&gt;0,1,0),"")</f>
        <v/>
      </c>
    </row>
    <row r="84">
      <c r="A84" t="inlineStr">
        <is>
          <t>SIMULATED_FEA_Commercial_Study</t>
        </is>
      </c>
      <c r="B84" t="inlineStr">
        <is>
          <t>V02</t>
        </is>
      </c>
      <c r="C84" t="inlineStr">
        <is>
          <t>Annotation</t>
        </is>
      </c>
      <c r="D84" t="inlineStr">
        <is>
          <t>Bin_02</t>
        </is>
      </c>
      <c r="E84" t="n">
        <v>10</v>
      </c>
      <c r="F84" t="inlineStr">
        <is>
          <t>Negative Valence</t>
        </is>
      </c>
      <c r="G84" t="n">
        <v>-50</v>
      </c>
      <c r="H84" t="n">
        <v>0</v>
      </c>
      <c r="I84" t="n">
        <v>0</v>
      </c>
      <c r="J84" t="inlineStr">
        <is>
          <t>NA</t>
        </is>
      </c>
      <c r="K84" t="n">
        <v>95.09999999999999</v>
      </c>
      <c r="L84">
        <f>IF(K84&gt;=80,"Yes","No")</f>
        <v/>
      </c>
      <c r="M84">
        <f>IF(ISNUMBER(H84),IF(H84&gt;0,1,0),"")</f>
        <v/>
      </c>
    </row>
    <row r="85">
      <c r="A85" t="inlineStr">
        <is>
          <t>SIMULATED_FEA_Commercial_Study</t>
        </is>
      </c>
      <c r="B85" t="inlineStr">
        <is>
          <t>V02</t>
        </is>
      </c>
      <c r="C85" t="inlineStr">
        <is>
          <t>Annotation</t>
        </is>
      </c>
      <c r="D85" t="inlineStr">
        <is>
          <t>Bin_02</t>
        </is>
      </c>
      <c r="E85" t="n">
        <v>10</v>
      </c>
      <c r="F85" t="inlineStr">
        <is>
          <t>Engagement</t>
        </is>
      </c>
      <c r="G85" t="inlineStr">
        <is>
          <t>NA</t>
        </is>
      </c>
      <c r="H85" t="inlineStr">
        <is>
          <t>NA</t>
        </is>
      </c>
      <c r="I85" t="inlineStr">
        <is>
          <t>NA</t>
        </is>
      </c>
      <c r="J85" t="n">
        <v>5.27</v>
      </c>
      <c r="K85" t="n">
        <v>95.09999999999999</v>
      </c>
      <c r="L85">
        <f>IF(K85&gt;=80,"Yes","No")</f>
        <v/>
      </c>
      <c r="M85">
        <f>IF(ISNUMBER(H85),IF(H85&gt;0,1,0),"")</f>
        <v/>
      </c>
    </row>
    <row r="86">
      <c r="A86" t="inlineStr">
        <is>
          <t>SIMULATED_FEA_Commercial_Study</t>
        </is>
      </c>
      <c r="B86" t="inlineStr">
        <is>
          <t>V02</t>
        </is>
      </c>
      <c r="C86" t="inlineStr">
        <is>
          <t>Annotation</t>
        </is>
      </c>
      <c r="D86" t="inlineStr">
        <is>
          <t>Bin_03</t>
        </is>
      </c>
      <c r="E86" t="n">
        <v>10</v>
      </c>
      <c r="F86" t="inlineStr">
        <is>
          <t>Joy</t>
        </is>
      </c>
      <c r="G86" t="n">
        <v>50</v>
      </c>
      <c r="H86" t="n">
        <v>0</v>
      </c>
      <c r="I86" t="n">
        <v>0</v>
      </c>
      <c r="J86" t="inlineStr">
        <is>
          <t>NA</t>
        </is>
      </c>
      <c r="K86" t="n">
        <v>95.09999999999999</v>
      </c>
      <c r="L86">
        <f>IF(K86&gt;=80,"Yes","No")</f>
        <v/>
      </c>
      <c r="M86">
        <f>IF(ISNUMBER(H86),IF(H86&gt;0,1,0),"")</f>
        <v/>
      </c>
    </row>
    <row r="87">
      <c r="A87" t="inlineStr">
        <is>
          <t>SIMULATED_FEA_Commercial_Study</t>
        </is>
      </c>
      <c r="B87" t="inlineStr">
        <is>
          <t>V02</t>
        </is>
      </c>
      <c r="C87" t="inlineStr">
        <is>
          <t>Annotation</t>
        </is>
      </c>
      <c r="D87" t="inlineStr">
        <is>
          <t>Bin_03</t>
        </is>
      </c>
      <c r="E87" t="n">
        <v>10</v>
      </c>
      <c r="F87" t="inlineStr">
        <is>
          <t>Surprise</t>
        </is>
      </c>
      <c r="G87" t="n">
        <v>50</v>
      </c>
      <c r="H87" t="n">
        <v>28</v>
      </c>
      <c r="I87" t="n">
        <v>3</v>
      </c>
      <c r="J87" t="inlineStr">
        <is>
          <t>NA</t>
        </is>
      </c>
      <c r="K87" t="n">
        <v>95.09999999999999</v>
      </c>
      <c r="L87">
        <f>IF(K87&gt;=80,"Yes","No")</f>
        <v/>
      </c>
      <c r="M87">
        <f>IF(ISNUMBER(H87),IF(H87&gt;0,1,0),"")</f>
        <v/>
      </c>
    </row>
    <row r="88">
      <c r="A88" t="inlineStr">
        <is>
          <t>SIMULATED_FEA_Commercial_Study</t>
        </is>
      </c>
      <c r="B88" t="inlineStr">
        <is>
          <t>V02</t>
        </is>
      </c>
      <c r="C88" t="inlineStr">
        <is>
          <t>Annotation</t>
        </is>
      </c>
      <c r="D88" t="inlineStr">
        <is>
          <t>Bin_03</t>
        </is>
      </c>
      <c r="E88" t="n">
        <v>10</v>
      </c>
      <c r="F88" t="inlineStr">
        <is>
          <t>Brow Furrow</t>
        </is>
      </c>
      <c r="G88" t="n">
        <v>50</v>
      </c>
      <c r="H88" t="n">
        <v>0</v>
      </c>
      <c r="I88" t="n">
        <v>0</v>
      </c>
      <c r="J88" t="inlineStr">
        <is>
          <t>NA</t>
        </is>
      </c>
      <c r="K88" t="n">
        <v>95.09999999999999</v>
      </c>
      <c r="L88">
        <f>IF(K88&gt;=80,"Yes","No")</f>
        <v/>
      </c>
      <c r="M88">
        <f>IF(ISNUMBER(H88),IF(H88&gt;0,1,0),"")</f>
        <v/>
      </c>
    </row>
    <row r="89">
      <c r="A89" t="inlineStr">
        <is>
          <t>SIMULATED_FEA_Commercial_Study</t>
        </is>
      </c>
      <c r="B89" t="inlineStr">
        <is>
          <t>V02</t>
        </is>
      </c>
      <c r="C89" t="inlineStr">
        <is>
          <t>Annotation</t>
        </is>
      </c>
      <c r="D89" t="inlineStr">
        <is>
          <t>Bin_03</t>
        </is>
      </c>
      <c r="E89" t="n">
        <v>10</v>
      </c>
      <c r="F89" t="inlineStr">
        <is>
          <t>Positive Valence</t>
        </is>
      </c>
      <c r="G89" t="n">
        <v>50</v>
      </c>
      <c r="H89" t="n">
        <v>0</v>
      </c>
      <c r="I89" t="n">
        <v>0</v>
      </c>
      <c r="J89" t="inlineStr">
        <is>
          <t>NA</t>
        </is>
      </c>
      <c r="K89" t="n">
        <v>95.09999999999999</v>
      </c>
      <c r="L89">
        <f>IF(K89&gt;=80,"Yes","No")</f>
        <v/>
      </c>
      <c r="M89">
        <f>IF(ISNUMBER(H89),IF(H89&gt;0,1,0),"")</f>
        <v/>
      </c>
    </row>
    <row r="90">
      <c r="A90" t="inlineStr">
        <is>
          <t>SIMULATED_FEA_Commercial_Study</t>
        </is>
      </c>
      <c r="B90" t="inlineStr">
        <is>
          <t>V02</t>
        </is>
      </c>
      <c r="C90" t="inlineStr">
        <is>
          <t>Annotation</t>
        </is>
      </c>
      <c r="D90" t="inlineStr">
        <is>
          <t>Bin_03</t>
        </is>
      </c>
      <c r="E90" t="n">
        <v>10</v>
      </c>
      <c r="F90" t="inlineStr">
        <is>
          <t>Negative Valence</t>
        </is>
      </c>
      <c r="G90" t="n">
        <v>-50</v>
      </c>
      <c r="H90" t="n">
        <v>0</v>
      </c>
      <c r="I90" t="n">
        <v>0</v>
      </c>
      <c r="J90" t="inlineStr">
        <is>
          <t>NA</t>
        </is>
      </c>
      <c r="K90" t="n">
        <v>95.09999999999999</v>
      </c>
      <c r="L90">
        <f>IF(K90&gt;=80,"Yes","No")</f>
        <v/>
      </c>
      <c r="M90">
        <f>IF(ISNUMBER(H90),IF(H90&gt;0,1,0),"")</f>
        <v/>
      </c>
    </row>
    <row r="91">
      <c r="A91" t="inlineStr">
        <is>
          <t>SIMULATED_FEA_Commercial_Study</t>
        </is>
      </c>
      <c r="B91" t="inlineStr">
        <is>
          <t>V02</t>
        </is>
      </c>
      <c r="C91" t="inlineStr">
        <is>
          <t>Annotation</t>
        </is>
      </c>
      <c r="D91" t="inlineStr">
        <is>
          <t>Bin_03</t>
        </is>
      </c>
      <c r="E91" t="n">
        <v>10</v>
      </c>
      <c r="F91" t="inlineStr">
        <is>
          <t>Engagement</t>
        </is>
      </c>
      <c r="G91" t="inlineStr">
        <is>
          <t>NA</t>
        </is>
      </c>
      <c r="H91" t="inlineStr">
        <is>
          <t>NA</t>
        </is>
      </c>
      <c r="I91" t="inlineStr">
        <is>
          <t>NA</t>
        </is>
      </c>
      <c r="J91" t="n">
        <v>22.06</v>
      </c>
      <c r="K91" t="n">
        <v>95.09999999999999</v>
      </c>
      <c r="L91">
        <f>IF(K91&gt;=80,"Yes","No")</f>
        <v/>
      </c>
      <c r="M91">
        <f>IF(ISNUMBER(H91),IF(H91&gt;0,1,0),"")</f>
        <v/>
      </c>
    </row>
    <row r="92">
      <c r="A92" t="inlineStr">
        <is>
          <t>SIMULATED_FEA_Commercial_Study</t>
        </is>
      </c>
      <c r="B92" t="inlineStr">
        <is>
          <t>V02</t>
        </is>
      </c>
      <c r="C92" t="inlineStr">
        <is>
          <t>Annotation</t>
        </is>
      </c>
      <c r="D92" t="inlineStr">
        <is>
          <t>Bin_04</t>
        </is>
      </c>
      <c r="E92" t="n">
        <v>10</v>
      </c>
      <c r="F92" t="inlineStr">
        <is>
          <t>Joy</t>
        </is>
      </c>
      <c r="G92" t="n">
        <v>50</v>
      </c>
      <c r="H92" t="n">
        <v>0</v>
      </c>
      <c r="I92" t="n">
        <v>0</v>
      </c>
      <c r="J92" t="inlineStr">
        <is>
          <t>NA</t>
        </is>
      </c>
      <c r="K92" t="n">
        <v>95.09999999999999</v>
      </c>
      <c r="L92">
        <f>IF(K92&gt;=80,"Yes","No")</f>
        <v/>
      </c>
      <c r="M92">
        <f>IF(ISNUMBER(H92),IF(H92&gt;0,1,0),"")</f>
        <v/>
      </c>
    </row>
    <row r="93">
      <c r="A93" t="inlineStr">
        <is>
          <t>SIMULATED_FEA_Commercial_Study</t>
        </is>
      </c>
      <c r="B93" t="inlineStr">
        <is>
          <t>V02</t>
        </is>
      </c>
      <c r="C93" t="inlineStr">
        <is>
          <t>Annotation</t>
        </is>
      </c>
      <c r="D93" t="inlineStr">
        <is>
          <t>Bin_04</t>
        </is>
      </c>
      <c r="E93" t="n">
        <v>10</v>
      </c>
      <c r="F93" t="inlineStr">
        <is>
          <t>Surprise</t>
        </is>
      </c>
      <c r="G93" t="n">
        <v>50</v>
      </c>
      <c r="H93" t="n">
        <v>0</v>
      </c>
      <c r="I93" t="n">
        <v>0</v>
      </c>
      <c r="J93" t="inlineStr">
        <is>
          <t>NA</t>
        </is>
      </c>
      <c r="K93" t="n">
        <v>95.09999999999999</v>
      </c>
      <c r="L93">
        <f>IF(K93&gt;=80,"Yes","No")</f>
        <v/>
      </c>
      <c r="M93">
        <f>IF(ISNUMBER(H93),IF(H93&gt;0,1,0),"")</f>
        <v/>
      </c>
    </row>
    <row r="94">
      <c r="A94" t="inlineStr">
        <is>
          <t>SIMULATED_FEA_Commercial_Study</t>
        </is>
      </c>
      <c r="B94" t="inlineStr">
        <is>
          <t>V02</t>
        </is>
      </c>
      <c r="C94" t="inlineStr">
        <is>
          <t>Annotation</t>
        </is>
      </c>
      <c r="D94" t="inlineStr">
        <is>
          <t>Bin_04</t>
        </is>
      </c>
      <c r="E94" t="n">
        <v>10</v>
      </c>
      <c r="F94" t="inlineStr">
        <is>
          <t>Brow Furrow</t>
        </is>
      </c>
      <c r="G94" t="n">
        <v>50</v>
      </c>
      <c r="H94" t="n">
        <v>0</v>
      </c>
      <c r="I94" t="n">
        <v>0</v>
      </c>
      <c r="J94" t="inlineStr">
        <is>
          <t>NA</t>
        </is>
      </c>
      <c r="K94" t="n">
        <v>95.09999999999999</v>
      </c>
      <c r="L94">
        <f>IF(K94&gt;=80,"Yes","No")</f>
        <v/>
      </c>
      <c r="M94">
        <f>IF(ISNUMBER(H94),IF(H94&gt;0,1,0),"")</f>
        <v/>
      </c>
    </row>
    <row r="95">
      <c r="A95" t="inlineStr">
        <is>
          <t>SIMULATED_FEA_Commercial_Study</t>
        </is>
      </c>
      <c r="B95" t="inlineStr">
        <is>
          <t>V02</t>
        </is>
      </c>
      <c r="C95" t="inlineStr">
        <is>
          <t>Annotation</t>
        </is>
      </c>
      <c r="D95" t="inlineStr">
        <is>
          <t>Bin_04</t>
        </is>
      </c>
      <c r="E95" t="n">
        <v>10</v>
      </c>
      <c r="F95" t="inlineStr">
        <is>
          <t>Positive Valence</t>
        </is>
      </c>
      <c r="G95" t="n">
        <v>50</v>
      </c>
      <c r="H95" t="n">
        <v>0</v>
      </c>
      <c r="I95" t="n">
        <v>0</v>
      </c>
      <c r="J95" t="inlineStr">
        <is>
          <t>NA</t>
        </is>
      </c>
      <c r="K95" t="n">
        <v>95.09999999999999</v>
      </c>
      <c r="L95">
        <f>IF(K95&gt;=80,"Yes","No")</f>
        <v/>
      </c>
      <c r="M95">
        <f>IF(ISNUMBER(H95),IF(H95&gt;0,1,0),"")</f>
        <v/>
      </c>
    </row>
    <row r="96">
      <c r="A96" t="inlineStr">
        <is>
          <t>SIMULATED_FEA_Commercial_Study</t>
        </is>
      </c>
      <c r="B96" t="inlineStr">
        <is>
          <t>V02</t>
        </is>
      </c>
      <c r="C96" t="inlineStr">
        <is>
          <t>Annotation</t>
        </is>
      </c>
      <c r="D96" t="inlineStr">
        <is>
          <t>Bin_04</t>
        </is>
      </c>
      <c r="E96" t="n">
        <v>10</v>
      </c>
      <c r="F96" t="inlineStr">
        <is>
          <t>Negative Valence</t>
        </is>
      </c>
      <c r="G96" t="n">
        <v>-50</v>
      </c>
      <c r="H96" t="n">
        <v>0</v>
      </c>
      <c r="I96" t="n">
        <v>0</v>
      </c>
      <c r="J96" t="inlineStr">
        <is>
          <t>NA</t>
        </is>
      </c>
      <c r="K96" t="n">
        <v>95.09999999999999</v>
      </c>
      <c r="L96">
        <f>IF(K96&gt;=80,"Yes","No")</f>
        <v/>
      </c>
      <c r="M96">
        <f>IF(ISNUMBER(H96),IF(H96&gt;0,1,0),"")</f>
        <v/>
      </c>
    </row>
    <row r="97">
      <c r="A97" t="inlineStr">
        <is>
          <t>SIMULATED_FEA_Commercial_Study</t>
        </is>
      </c>
      <c r="B97" t="inlineStr">
        <is>
          <t>V02</t>
        </is>
      </c>
      <c r="C97" t="inlineStr">
        <is>
          <t>Annotation</t>
        </is>
      </c>
      <c r="D97" t="inlineStr">
        <is>
          <t>Bin_04</t>
        </is>
      </c>
      <c r="E97" t="n">
        <v>10</v>
      </c>
      <c r="F97" t="inlineStr">
        <is>
          <t>Engagement</t>
        </is>
      </c>
      <c r="G97" t="inlineStr">
        <is>
          <t>NA</t>
        </is>
      </c>
      <c r="H97" t="inlineStr">
        <is>
          <t>NA</t>
        </is>
      </c>
      <c r="I97" t="inlineStr">
        <is>
          <t>NA</t>
        </is>
      </c>
      <c r="J97" t="n">
        <v>4.73</v>
      </c>
      <c r="K97" t="n">
        <v>95.09999999999999</v>
      </c>
      <c r="L97">
        <f>IF(K97&gt;=80,"Yes","No")</f>
        <v/>
      </c>
      <c r="M97">
        <f>IF(ISNUMBER(H97),IF(H97&gt;0,1,0),"")</f>
        <v/>
      </c>
    </row>
    <row r="98">
      <c r="A98" t="inlineStr">
        <is>
          <t>SIMULATED_FEA_Commercial_Study</t>
        </is>
      </c>
      <c r="B98" t="inlineStr">
        <is>
          <t>V02</t>
        </is>
      </c>
      <c r="C98" t="inlineStr">
        <is>
          <t>Annotation</t>
        </is>
      </c>
      <c r="D98" t="inlineStr">
        <is>
          <t>Bin_05</t>
        </is>
      </c>
      <c r="E98" t="n">
        <v>10</v>
      </c>
      <c r="F98" t="inlineStr">
        <is>
          <t>Joy</t>
        </is>
      </c>
      <c r="G98" t="n">
        <v>50</v>
      </c>
      <c r="H98" t="n">
        <v>0</v>
      </c>
      <c r="I98" t="n">
        <v>0</v>
      </c>
      <c r="J98" t="inlineStr">
        <is>
          <t>NA</t>
        </is>
      </c>
      <c r="K98" t="n">
        <v>95.09999999999999</v>
      </c>
      <c r="L98">
        <f>IF(K98&gt;=80,"Yes","No")</f>
        <v/>
      </c>
      <c r="M98">
        <f>IF(ISNUMBER(H98),IF(H98&gt;0,1,0),"")</f>
        <v/>
      </c>
    </row>
    <row r="99">
      <c r="A99" t="inlineStr">
        <is>
          <t>SIMULATED_FEA_Commercial_Study</t>
        </is>
      </c>
      <c r="B99" t="inlineStr">
        <is>
          <t>V02</t>
        </is>
      </c>
      <c r="C99" t="inlineStr">
        <is>
          <t>Annotation</t>
        </is>
      </c>
      <c r="D99" t="inlineStr">
        <is>
          <t>Bin_05</t>
        </is>
      </c>
      <c r="E99" t="n">
        <v>10</v>
      </c>
      <c r="F99" t="inlineStr">
        <is>
          <t>Surprise</t>
        </is>
      </c>
      <c r="G99" t="n">
        <v>50</v>
      </c>
      <c r="H99" t="n">
        <v>0</v>
      </c>
      <c r="I99" t="n">
        <v>0</v>
      </c>
      <c r="J99" t="inlineStr">
        <is>
          <t>NA</t>
        </is>
      </c>
      <c r="K99" t="n">
        <v>95.09999999999999</v>
      </c>
      <c r="L99">
        <f>IF(K99&gt;=80,"Yes","No")</f>
        <v/>
      </c>
      <c r="M99">
        <f>IF(ISNUMBER(H99),IF(H99&gt;0,1,0),"")</f>
        <v/>
      </c>
    </row>
    <row r="100">
      <c r="A100" t="inlineStr">
        <is>
          <t>SIMULATED_FEA_Commercial_Study</t>
        </is>
      </c>
      <c r="B100" t="inlineStr">
        <is>
          <t>V02</t>
        </is>
      </c>
      <c r="C100" t="inlineStr">
        <is>
          <t>Annotation</t>
        </is>
      </c>
      <c r="D100" t="inlineStr">
        <is>
          <t>Bin_05</t>
        </is>
      </c>
      <c r="E100" t="n">
        <v>10</v>
      </c>
      <c r="F100" t="inlineStr">
        <is>
          <t>Brow Furrow</t>
        </is>
      </c>
      <c r="G100" t="n">
        <v>50</v>
      </c>
      <c r="H100" t="n">
        <v>0</v>
      </c>
      <c r="I100" t="n">
        <v>0</v>
      </c>
      <c r="J100" t="inlineStr">
        <is>
          <t>NA</t>
        </is>
      </c>
      <c r="K100" t="n">
        <v>95.09999999999999</v>
      </c>
      <c r="L100">
        <f>IF(K100&gt;=80,"Yes","No")</f>
        <v/>
      </c>
      <c r="M100">
        <f>IF(ISNUMBER(H100),IF(H100&gt;0,1,0),"")</f>
        <v/>
      </c>
    </row>
    <row r="101">
      <c r="A101" t="inlineStr">
        <is>
          <t>SIMULATED_FEA_Commercial_Study</t>
        </is>
      </c>
      <c r="B101" t="inlineStr">
        <is>
          <t>V02</t>
        </is>
      </c>
      <c r="C101" t="inlineStr">
        <is>
          <t>Annotation</t>
        </is>
      </c>
      <c r="D101" t="inlineStr">
        <is>
          <t>Bin_05</t>
        </is>
      </c>
      <c r="E101" t="n">
        <v>10</v>
      </c>
      <c r="F101" t="inlineStr">
        <is>
          <t>Positive Valence</t>
        </is>
      </c>
      <c r="G101" t="n">
        <v>50</v>
      </c>
      <c r="H101" t="n">
        <v>3.33</v>
      </c>
      <c r="I101" t="n">
        <v>3</v>
      </c>
      <c r="J101" t="inlineStr">
        <is>
          <t>NA</t>
        </is>
      </c>
      <c r="K101" t="n">
        <v>95.09999999999999</v>
      </c>
      <c r="L101">
        <f>IF(K101&gt;=80,"Yes","No")</f>
        <v/>
      </c>
      <c r="M101">
        <f>IF(ISNUMBER(H101),IF(H101&gt;0,1,0),"")</f>
        <v/>
      </c>
    </row>
    <row r="102">
      <c r="A102" t="inlineStr">
        <is>
          <t>SIMULATED_FEA_Commercial_Study</t>
        </is>
      </c>
      <c r="B102" t="inlineStr">
        <is>
          <t>V02</t>
        </is>
      </c>
      <c r="C102" t="inlineStr">
        <is>
          <t>Annotation</t>
        </is>
      </c>
      <c r="D102" t="inlineStr">
        <is>
          <t>Bin_05</t>
        </is>
      </c>
      <c r="E102" t="n">
        <v>10</v>
      </c>
      <c r="F102" t="inlineStr">
        <is>
          <t>Negative Valence</t>
        </is>
      </c>
      <c r="G102" t="n">
        <v>-50</v>
      </c>
      <c r="H102" t="n">
        <v>0</v>
      </c>
      <c r="I102" t="n">
        <v>0</v>
      </c>
      <c r="J102" t="inlineStr">
        <is>
          <t>NA</t>
        </is>
      </c>
      <c r="K102" t="n">
        <v>95.09999999999999</v>
      </c>
      <c r="L102">
        <f>IF(K102&gt;=80,"Yes","No")</f>
        <v/>
      </c>
      <c r="M102">
        <f>IF(ISNUMBER(H102),IF(H102&gt;0,1,0),"")</f>
        <v/>
      </c>
    </row>
    <row r="103">
      <c r="A103" t="inlineStr">
        <is>
          <t>SIMULATED_FEA_Commercial_Study</t>
        </is>
      </c>
      <c r="B103" t="inlineStr">
        <is>
          <t>V02</t>
        </is>
      </c>
      <c r="C103" t="inlineStr">
        <is>
          <t>Annotation</t>
        </is>
      </c>
      <c r="D103" t="inlineStr">
        <is>
          <t>Bin_05</t>
        </is>
      </c>
      <c r="E103" t="n">
        <v>10</v>
      </c>
      <c r="F103" t="inlineStr">
        <is>
          <t>Engagement</t>
        </is>
      </c>
      <c r="G103" t="inlineStr">
        <is>
          <t>NA</t>
        </is>
      </c>
      <c r="H103" t="inlineStr">
        <is>
          <t>NA</t>
        </is>
      </c>
      <c r="I103" t="inlineStr">
        <is>
          <t>NA</t>
        </is>
      </c>
      <c r="J103" t="n">
        <v>10.04</v>
      </c>
      <c r="K103" t="n">
        <v>95.09999999999999</v>
      </c>
      <c r="L103">
        <f>IF(K103&gt;=80,"Yes","No")</f>
        <v/>
      </c>
      <c r="M103">
        <f>IF(ISNUMBER(H103),IF(H103&gt;0,1,0),"")</f>
        <v/>
      </c>
    </row>
    <row r="104">
      <c r="A104" t="inlineStr">
        <is>
          <t>SIMULATED_FEA_Commercial_Study</t>
        </is>
      </c>
      <c r="B104" t="inlineStr">
        <is>
          <t>V02</t>
        </is>
      </c>
      <c r="C104" t="inlineStr">
        <is>
          <t>Annotation</t>
        </is>
      </c>
      <c r="D104" t="inlineStr">
        <is>
          <t>Bin_06</t>
        </is>
      </c>
      <c r="E104" t="n">
        <v>10</v>
      </c>
      <c r="F104" t="inlineStr">
        <is>
          <t>Joy</t>
        </is>
      </c>
      <c r="G104" t="n">
        <v>50</v>
      </c>
      <c r="H104" t="n">
        <v>0</v>
      </c>
      <c r="I104" t="n">
        <v>0</v>
      </c>
      <c r="J104" t="inlineStr">
        <is>
          <t>NA</t>
        </is>
      </c>
      <c r="K104" t="n">
        <v>95.09999999999999</v>
      </c>
      <c r="L104">
        <f>IF(K104&gt;=80,"Yes","No")</f>
        <v/>
      </c>
      <c r="M104">
        <f>IF(ISNUMBER(H104),IF(H104&gt;0,1,0),"")</f>
        <v/>
      </c>
    </row>
    <row r="105">
      <c r="A105" t="inlineStr">
        <is>
          <t>SIMULATED_FEA_Commercial_Study</t>
        </is>
      </c>
      <c r="B105" t="inlineStr">
        <is>
          <t>V02</t>
        </is>
      </c>
      <c r="C105" t="inlineStr">
        <is>
          <t>Annotation</t>
        </is>
      </c>
      <c r="D105" t="inlineStr">
        <is>
          <t>Bin_06</t>
        </is>
      </c>
      <c r="E105" t="n">
        <v>10</v>
      </c>
      <c r="F105" t="inlineStr">
        <is>
          <t>Surprise</t>
        </is>
      </c>
      <c r="G105" t="n">
        <v>50</v>
      </c>
      <c r="H105" t="n">
        <v>0</v>
      </c>
      <c r="I105" t="n">
        <v>0</v>
      </c>
      <c r="J105" t="inlineStr">
        <is>
          <t>NA</t>
        </is>
      </c>
      <c r="K105" t="n">
        <v>95.09999999999999</v>
      </c>
      <c r="L105">
        <f>IF(K105&gt;=80,"Yes","No")</f>
        <v/>
      </c>
      <c r="M105">
        <f>IF(ISNUMBER(H105),IF(H105&gt;0,1,0),"")</f>
        <v/>
      </c>
    </row>
    <row r="106">
      <c r="A106" t="inlineStr">
        <is>
          <t>SIMULATED_FEA_Commercial_Study</t>
        </is>
      </c>
      <c r="B106" t="inlineStr">
        <is>
          <t>V02</t>
        </is>
      </c>
      <c r="C106" t="inlineStr">
        <is>
          <t>Annotation</t>
        </is>
      </c>
      <c r="D106" t="inlineStr">
        <is>
          <t>Bin_06</t>
        </is>
      </c>
      <c r="E106" t="n">
        <v>10</v>
      </c>
      <c r="F106" t="inlineStr">
        <is>
          <t>Brow Furrow</t>
        </is>
      </c>
      <c r="G106" t="n">
        <v>50</v>
      </c>
      <c r="H106" t="n">
        <v>0</v>
      </c>
      <c r="I106" t="n">
        <v>0</v>
      </c>
      <c r="J106" t="inlineStr">
        <is>
          <t>NA</t>
        </is>
      </c>
      <c r="K106" t="n">
        <v>95.09999999999999</v>
      </c>
      <c r="L106">
        <f>IF(K106&gt;=80,"Yes","No")</f>
        <v/>
      </c>
      <c r="M106">
        <f>IF(ISNUMBER(H106),IF(H106&gt;0,1,0),"")</f>
        <v/>
      </c>
    </row>
    <row r="107">
      <c r="A107" t="inlineStr">
        <is>
          <t>SIMULATED_FEA_Commercial_Study</t>
        </is>
      </c>
      <c r="B107" t="inlineStr">
        <is>
          <t>V02</t>
        </is>
      </c>
      <c r="C107" t="inlineStr">
        <is>
          <t>Annotation</t>
        </is>
      </c>
      <c r="D107" t="inlineStr">
        <is>
          <t>Bin_06</t>
        </is>
      </c>
      <c r="E107" t="n">
        <v>10</v>
      </c>
      <c r="F107" t="inlineStr">
        <is>
          <t>Positive Valence</t>
        </is>
      </c>
      <c r="G107" t="n">
        <v>50</v>
      </c>
      <c r="H107" t="n">
        <v>0</v>
      </c>
      <c r="I107" t="n">
        <v>0</v>
      </c>
      <c r="J107" t="inlineStr">
        <is>
          <t>NA</t>
        </is>
      </c>
      <c r="K107" t="n">
        <v>95.09999999999999</v>
      </c>
      <c r="L107">
        <f>IF(K107&gt;=80,"Yes","No")</f>
        <v/>
      </c>
      <c r="M107">
        <f>IF(ISNUMBER(H107),IF(H107&gt;0,1,0),"")</f>
        <v/>
      </c>
    </row>
    <row r="108">
      <c r="A108" t="inlineStr">
        <is>
          <t>SIMULATED_FEA_Commercial_Study</t>
        </is>
      </c>
      <c r="B108" t="inlineStr">
        <is>
          <t>V02</t>
        </is>
      </c>
      <c r="C108" t="inlineStr">
        <is>
          <t>Annotation</t>
        </is>
      </c>
      <c r="D108" t="inlineStr">
        <is>
          <t>Bin_06</t>
        </is>
      </c>
      <c r="E108" t="n">
        <v>10</v>
      </c>
      <c r="F108" t="inlineStr">
        <is>
          <t>Negative Valence</t>
        </is>
      </c>
      <c r="G108" t="n">
        <v>-50</v>
      </c>
      <c r="H108" t="n">
        <v>0</v>
      </c>
      <c r="I108" t="n">
        <v>0</v>
      </c>
      <c r="J108" t="inlineStr">
        <is>
          <t>NA</t>
        </is>
      </c>
      <c r="K108" t="n">
        <v>95.09999999999999</v>
      </c>
      <c r="L108">
        <f>IF(K108&gt;=80,"Yes","No")</f>
        <v/>
      </c>
      <c r="M108">
        <f>IF(ISNUMBER(H108),IF(H108&gt;0,1,0),"")</f>
        <v/>
      </c>
    </row>
    <row r="109">
      <c r="A109" t="inlineStr">
        <is>
          <t>SIMULATED_FEA_Commercial_Study</t>
        </is>
      </c>
      <c r="B109" t="inlineStr">
        <is>
          <t>V02</t>
        </is>
      </c>
      <c r="C109" t="inlineStr">
        <is>
          <t>Annotation</t>
        </is>
      </c>
      <c r="D109" t="inlineStr">
        <is>
          <t>Bin_06</t>
        </is>
      </c>
      <c r="E109" t="n">
        <v>10</v>
      </c>
      <c r="F109" t="inlineStr">
        <is>
          <t>Engagement</t>
        </is>
      </c>
      <c r="G109" t="inlineStr">
        <is>
          <t>NA</t>
        </is>
      </c>
      <c r="H109" t="inlineStr">
        <is>
          <t>NA</t>
        </is>
      </c>
      <c r="I109" t="inlineStr">
        <is>
          <t>NA</t>
        </is>
      </c>
      <c r="J109" t="n">
        <v>5.07</v>
      </c>
      <c r="K109" t="n">
        <v>95.09999999999999</v>
      </c>
      <c r="L109">
        <f>IF(K109&gt;=80,"Yes","No")</f>
        <v/>
      </c>
      <c r="M109">
        <f>IF(ISNUMBER(H109),IF(H109&gt;0,1,0),"")</f>
        <v/>
      </c>
    </row>
    <row r="110">
      <c r="A110" t="inlineStr">
        <is>
          <t>SIMULATED_FEA_Commercial_Study</t>
        </is>
      </c>
      <c r="B110" t="inlineStr">
        <is>
          <t>V03</t>
        </is>
      </c>
      <c r="C110" t="inlineStr">
        <is>
          <t>Stimulus</t>
        </is>
      </c>
      <c r="D110" t="inlineStr">
        <is>
          <t>Baseline</t>
        </is>
      </c>
      <c r="E110" t="n">
        <v>60</v>
      </c>
      <c r="F110" t="inlineStr">
        <is>
          <t>Joy</t>
        </is>
      </c>
      <c r="G110" t="n">
        <v>50</v>
      </c>
      <c r="H110" t="n">
        <v>0</v>
      </c>
      <c r="I110" t="n">
        <v>0</v>
      </c>
      <c r="J110" t="inlineStr">
        <is>
          <t>NA</t>
        </is>
      </c>
      <c r="K110" t="n">
        <v>95</v>
      </c>
      <c r="L110">
        <f>IF(K110&gt;=80,"Yes","No")</f>
        <v/>
      </c>
      <c r="M110">
        <f>IF(ISNUMBER(H110),IF(H110&gt;0,1,0),"")</f>
        <v/>
      </c>
    </row>
    <row r="111">
      <c r="A111" t="inlineStr">
        <is>
          <t>SIMULATED_FEA_Commercial_Study</t>
        </is>
      </c>
      <c r="B111" t="inlineStr">
        <is>
          <t>V03</t>
        </is>
      </c>
      <c r="C111" t="inlineStr">
        <is>
          <t>Stimulus</t>
        </is>
      </c>
      <c r="D111" t="inlineStr">
        <is>
          <t>Baseline</t>
        </is>
      </c>
      <c r="E111" t="n">
        <v>60</v>
      </c>
      <c r="F111" t="inlineStr">
        <is>
          <t>Surprise</t>
        </is>
      </c>
      <c r="G111" t="n">
        <v>50</v>
      </c>
      <c r="H111" t="n">
        <v>0</v>
      </c>
      <c r="I111" t="n">
        <v>0</v>
      </c>
      <c r="J111" t="inlineStr">
        <is>
          <t>NA</t>
        </is>
      </c>
      <c r="K111" t="n">
        <v>95</v>
      </c>
      <c r="L111">
        <f>IF(K111&gt;=80,"Yes","No")</f>
        <v/>
      </c>
      <c r="M111">
        <f>IF(ISNUMBER(H111),IF(H111&gt;0,1,0),"")</f>
        <v/>
      </c>
    </row>
    <row r="112">
      <c r="A112" t="inlineStr">
        <is>
          <t>SIMULATED_FEA_Commercial_Study</t>
        </is>
      </c>
      <c r="B112" t="inlineStr">
        <is>
          <t>V03</t>
        </is>
      </c>
      <c r="C112" t="inlineStr">
        <is>
          <t>Stimulus</t>
        </is>
      </c>
      <c r="D112" t="inlineStr">
        <is>
          <t>Baseline</t>
        </is>
      </c>
      <c r="E112" t="n">
        <v>60</v>
      </c>
      <c r="F112" t="inlineStr">
        <is>
          <t>Brow Furrow</t>
        </is>
      </c>
      <c r="G112" t="n">
        <v>50</v>
      </c>
      <c r="H112" t="n">
        <v>0</v>
      </c>
      <c r="I112" t="n">
        <v>0</v>
      </c>
      <c r="J112" t="inlineStr">
        <is>
          <t>NA</t>
        </is>
      </c>
      <c r="K112" t="n">
        <v>95</v>
      </c>
      <c r="L112">
        <f>IF(K112&gt;=80,"Yes","No")</f>
        <v/>
      </c>
      <c r="M112">
        <f>IF(ISNUMBER(H112),IF(H112&gt;0,1,0),"")</f>
        <v/>
      </c>
    </row>
    <row r="113">
      <c r="A113" t="inlineStr">
        <is>
          <t>SIMULATED_FEA_Commercial_Study</t>
        </is>
      </c>
      <c r="B113" t="inlineStr">
        <is>
          <t>V03</t>
        </is>
      </c>
      <c r="C113" t="inlineStr">
        <is>
          <t>Stimulus</t>
        </is>
      </c>
      <c r="D113" t="inlineStr">
        <is>
          <t>Baseline</t>
        </is>
      </c>
      <c r="E113" t="n">
        <v>60</v>
      </c>
      <c r="F113" t="inlineStr">
        <is>
          <t>Positive Valence</t>
        </is>
      </c>
      <c r="G113" t="n">
        <v>50</v>
      </c>
      <c r="H113" t="n">
        <v>0</v>
      </c>
      <c r="I113" t="n">
        <v>0</v>
      </c>
      <c r="J113" t="inlineStr">
        <is>
          <t>NA</t>
        </is>
      </c>
      <c r="K113" t="n">
        <v>95</v>
      </c>
      <c r="L113">
        <f>IF(K113&gt;=80,"Yes","No")</f>
        <v/>
      </c>
      <c r="M113">
        <f>IF(ISNUMBER(H113),IF(H113&gt;0,1,0),"")</f>
        <v/>
      </c>
    </row>
    <row r="114">
      <c r="A114" t="inlineStr">
        <is>
          <t>SIMULATED_FEA_Commercial_Study</t>
        </is>
      </c>
      <c r="B114" t="inlineStr">
        <is>
          <t>V03</t>
        </is>
      </c>
      <c r="C114" t="inlineStr">
        <is>
          <t>Stimulus</t>
        </is>
      </c>
      <c r="D114" t="inlineStr">
        <is>
          <t>Baseline</t>
        </is>
      </c>
      <c r="E114" t="n">
        <v>60</v>
      </c>
      <c r="F114" t="inlineStr">
        <is>
          <t>Negative Valence</t>
        </is>
      </c>
      <c r="G114" t="n">
        <v>-50</v>
      </c>
      <c r="H114" t="n">
        <v>0</v>
      </c>
      <c r="I114" t="n">
        <v>0</v>
      </c>
      <c r="J114" t="inlineStr">
        <is>
          <t>NA</t>
        </is>
      </c>
      <c r="K114" t="n">
        <v>95</v>
      </c>
      <c r="L114">
        <f>IF(K114&gt;=80,"Yes","No")</f>
        <v/>
      </c>
      <c r="M114">
        <f>IF(ISNUMBER(H114),IF(H114&gt;0,1,0),"")</f>
        <v/>
      </c>
    </row>
    <row r="115">
      <c r="A115" t="inlineStr">
        <is>
          <t>SIMULATED_FEA_Commercial_Study</t>
        </is>
      </c>
      <c r="B115" t="inlineStr">
        <is>
          <t>V03</t>
        </is>
      </c>
      <c r="C115" t="inlineStr">
        <is>
          <t>Stimulus</t>
        </is>
      </c>
      <c r="D115" t="inlineStr">
        <is>
          <t>Baseline</t>
        </is>
      </c>
      <c r="E115" t="n">
        <v>60</v>
      </c>
      <c r="F115" t="inlineStr">
        <is>
          <t>Engagement</t>
        </is>
      </c>
      <c r="G115" t="inlineStr">
        <is>
          <t>NA</t>
        </is>
      </c>
      <c r="H115" t="inlineStr">
        <is>
          <t>NA</t>
        </is>
      </c>
      <c r="I115" t="inlineStr">
        <is>
          <t>NA</t>
        </is>
      </c>
      <c r="J115" t="n">
        <v>4.49</v>
      </c>
      <c r="K115" t="n">
        <v>95</v>
      </c>
      <c r="L115">
        <f>IF(K115&gt;=80,"Yes","No")</f>
        <v/>
      </c>
      <c r="M115">
        <f>IF(ISNUMBER(H115),IF(H115&gt;0,1,0),"")</f>
        <v/>
      </c>
    </row>
    <row r="116">
      <c r="A116" t="inlineStr">
        <is>
          <t>SIMULATED_FEA_Commercial_Study</t>
        </is>
      </c>
      <c r="B116" t="inlineStr">
        <is>
          <t>V03</t>
        </is>
      </c>
      <c r="C116" t="inlineStr">
        <is>
          <t>Stimulus</t>
        </is>
      </c>
      <c r="D116" t="inlineStr">
        <is>
          <t>Commercial</t>
        </is>
      </c>
      <c r="E116" t="n">
        <v>60</v>
      </c>
      <c r="F116" t="inlineStr">
        <is>
          <t>Joy</t>
        </is>
      </c>
      <c r="G116" t="n">
        <v>50</v>
      </c>
      <c r="H116" t="n">
        <v>18.5</v>
      </c>
      <c r="I116" t="n">
        <v>3</v>
      </c>
      <c r="J116" t="inlineStr">
        <is>
          <t>NA</t>
        </is>
      </c>
      <c r="K116" t="n">
        <v>95</v>
      </c>
      <c r="L116">
        <f>IF(K116&gt;=80,"Yes","No")</f>
        <v/>
      </c>
      <c r="M116">
        <f>IF(ISNUMBER(H116),IF(H116&gt;0,1,0),"")</f>
        <v/>
      </c>
    </row>
    <row r="117">
      <c r="A117" t="inlineStr">
        <is>
          <t>SIMULATED_FEA_Commercial_Study</t>
        </is>
      </c>
      <c r="B117" t="inlineStr">
        <is>
          <t>V03</t>
        </is>
      </c>
      <c r="C117" t="inlineStr">
        <is>
          <t>Stimulus</t>
        </is>
      </c>
      <c r="D117" t="inlineStr">
        <is>
          <t>Commercial</t>
        </is>
      </c>
      <c r="E117" t="n">
        <v>60</v>
      </c>
      <c r="F117" t="inlineStr">
        <is>
          <t>Surprise</t>
        </is>
      </c>
      <c r="G117" t="n">
        <v>50</v>
      </c>
      <c r="H117" t="n">
        <v>2.5</v>
      </c>
      <c r="I117" t="n">
        <v>2</v>
      </c>
      <c r="J117" t="inlineStr">
        <is>
          <t>NA</t>
        </is>
      </c>
      <c r="K117" t="n">
        <v>95</v>
      </c>
      <c r="L117">
        <f>IF(K117&gt;=80,"Yes","No")</f>
        <v/>
      </c>
      <c r="M117">
        <f>IF(ISNUMBER(H117),IF(H117&gt;0,1,0),"")</f>
        <v/>
      </c>
    </row>
    <row r="118">
      <c r="A118" t="inlineStr">
        <is>
          <t>SIMULATED_FEA_Commercial_Study</t>
        </is>
      </c>
      <c r="B118" t="inlineStr">
        <is>
          <t>V03</t>
        </is>
      </c>
      <c r="C118" t="inlineStr">
        <is>
          <t>Stimulus</t>
        </is>
      </c>
      <c r="D118" t="inlineStr">
        <is>
          <t>Commercial</t>
        </is>
      </c>
      <c r="E118" t="n">
        <v>60</v>
      </c>
      <c r="F118" t="inlineStr">
        <is>
          <t>Brow Furrow</t>
        </is>
      </c>
      <c r="G118" t="n">
        <v>50</v>
      </c>
      <c r="H118" t="n">
        <v>0</v>
      </c>
      <c r="I118" t="n">
        <v>0</v>
      </c>
      <c r="J118" t="inlineStr">
        <is>
          <t>NA</t>
        </is>
      </c>
      <c r="K118" t="n">
        <v>95</v>
      </c>
      <c r="L118">
        <f>IF(K118&gt;=80,"Yes","No")</f>
        <v/>
      </c>
      <c r="M118">
        <f>IF(ISNUMBER(H118),IF(H118&gt;0,1,0),"")</f>
        <v/>
      </c>
    </row>
    <row r="119">
      <c r="A119" t="inlineStr">
        <is>
          <t>SIMULATED_FEA_Commercial_Study</t>
        </is>
      </c>
      <c r="B119" t="inlineStr">
        <is>
          <t>V03</t>
        </is>
      </c>
      <c r="C119" t="inlineStr">
        <is>
          <t>Stimulus</t>
        </is>
      </c>
      <c r="D119" t="inlineStr">
        <is>
          <t>Commercial</t>
        </is>
      </c>
      <c r="E119" t="n">
        <v>60</v>
      </c>
      <c r="F119" t="inlineStr">
        <is>
          <t>Positive Valence</t>
        </is>
      </c>
      <c r="G119" t="n">
        <v>50</v>
      </c>
      <c r="H119" t="n">
        <v>24.22</v>
      </c>
      <c r="I119" t="n">
        <v>7</v>
      </c>
      <c r="J119" t="inlineStr">
        <is>
          <t>NA</t>
        </is>
      </c>
      <c r="K119" t="n">
        <v>95</v>
      </c>
      <c r="L119">
        <f>IF(K119&gt;=80,"Yes","No")</f>
        <v/>
      </c>
      <c r="M119">
        <f>IF(ISNUMBER(H119),IF(H119&gt;0,1,0),"")</f>
        <v/>
      </c>
    </row>
    <row r="120">
      <c r="A120" t="inlineStr">
        <is>
          <t>SIMULATED_FEA_Commercial_Study</t>
        </is>
      </c>
      <c r="B120" t="inlineStr">
        <is>
          <t>V03</t>
        </is>
      </c>
      <c r="C120" t="inlineStr">
        <is>
          <t>Stimulus</t>
        </is>
      </c>
      <c r="D120" t="inlineStr">
        <is>
          <t>Commercial</t>
        </is>
      </c>
      <c r="E120" t="n">
        <v>60</v>
      </c>
      <c r="F120" t="inlineStr">
        <is>
          <t>Negative Valence</t>
        </is>
      </c>
      <c r="G120" t="n">
        <v>-50</v>
      </c>
      <c r="H120" t="n">
        <v>0</v>
      </c>
      <c r="I120" t="n">
        <v>0</v>
      </c>
      <c r="J120" t="inlineStr">
        <is>
          <t>NA</t>
        </is>
      </c>
      <c r="K120" t="n">
        <v>95</v>
      </c>
      <c r="L120">
        <f>IF(K120&gt;=80,"Yes","No")</f>
        <v/>
      </c>
      <c r="M120">
        <f>IF(ISNUMBER(H120),IF(H120&gt;0,1,0),"")</f>
        <v/>
      </c>
    </row>
    <row r="121">
      <c r="A121" t="inlineStr">
        <is>
          <t>SIMULATED_FEA_Commercial_Study</t>
        </is>
      </c>
      <c r="B121" t="inlineStr">
        <is>
          <t>V03</t>
        </is>
      </c>
      <c r="C121" t="inlineStr">
        <is>
          <t>Stimulus</t>
        </is>
      </c>
      <c r="D121" t="inlineStr">
        <is>
          <t>Commercial</t>
        </is>
      </c>
      <c r="E121" t="n">
        <v>60</v>
      </c>
      <c r="F121" t="inlineStr">
        <is>
          <t>Engagement</t>
        </is>
      </c>
      <c r="G121" t="inlineStr">
        <is>
          <t>NA</t>
        </is>
      </c>
      <c r="H121" t="inlineStr">
        <is>
          <t>NA</t>
        </is>
      </c>
      <c r="I121" t="inlineStr">
        <is>
          <t>NA</t>
        </is>
      </c>
      <c r="J121" t="n">
        <v>18.06</v>
      </c>
      <c r="K121" t="n">
        <v>95</v>
      </c>
      <c r="L121">
        <f>IF(K121&gt;=80,"Yes","No")</f>
        <v/>
      </c>
      <c r="M121">
        <f>IF(ISNUMBER(H121),IF(H121&gt;0,1,0),"")</f>
        <v/>
      </c>
    </row>
    <row r="122">
      <c r="A122" t="inlineStr">
        <is>
          <t>SIMULATED_FEA_Commercial_Study</t>
        </is>
      </c>
      <c r="B122" t="inlineStr">
        <is>
          <t>V03</t>
        </is>
      </c>
      <c r="C122" t="inlineStr">
        <is>
          <t>Stimulus</t>
        </is>
      </c>
      <c r="D122" t="inlineStr">
        <is>
          <t>Recovery</t>
        </is>
      </c>
      <c r="E122" t="n">
        <v>15</v>
      </c>
      <c r="F122" t="inlineStr">
        <is>
          <t>Joy</t>
        </is>
      </c>
      <c r="G122" t="n">
        <v>50</v>
      </c>
      <c r="H122" t="n">
        <v>0</v>
      </c>
      <c r="I122" t="n">
        <v>0</v>
      </c>
      <c r="J122" t="inlineStr">
        <is>
          <t>NA</t>
        </is>
      </c>
      <c r="K122" t="n">
        <v>95</v>
      </c>
      <c r="L122">
        <f>IF(K122&gt;=80,"Yes","No")</f>
        <v/>
      </c>
      <c r="M122">
        <f>IF(ISNUMBER(H122),IF(H122&gt;0,1,0),"")</f>
        <v/>
      </c>
    </row>
    <row r="123">
      <c r="A123" t="inlineStr">
        <is>
          <t>SIMULATED_FEA_Commercial_Study</t>
        </is>
      </c>
      <c r="B123" t="inlineStr">
        <is>
          <t>V03</t>
        </is>
      </c>
      <c r="C123" t="inlineStr">
        <is>
          <t>Stimulus</t>
        </is>
      </c>
      <c r="D123" t="inlineStr">
        <is>
          <t>Recovery</t>
        </is>
      </c>
      <c r="E123" t="n">
        <v>15</v>
      </c>
      <c r="F123" t="inlineStr">
        <is>
          <t>Surprise</t>
        </is>
      </c>
      <c r="G123" t="n">
        <v>50</v>
      </c>
      <c r="H123" t="n">
        <v>0</v>
      </c>
      <c r="I123" t="n">
        <v>0</v>
      </c>
      <c r="J123" t="inlineStr">
        <is>
          <t>NA</t>
        </is>
      </c>
      <c r="K123" t="n">
        <v>95</v>
      </c>
      <c r="L123">
        <f>IF(K123&gt;=80,"Yes","No")</f>
        <v/>
      </c>
      <c r="M123">
        <f>IF(ISNUMBER(H123),IF(H123&gt;0,1,0),"")</f>
        <v/>
      </c>
    </row>
    <row r="124">
      <c r="A124" t="inlineStr">
        <is>
          <t>SIMULATED_FEA_Commercial_Study</t>
        </is>
      </c>
      <c r="B124" t="inlineStr">
        <is>
          <t>V03</t>
        </is>
      </c>
      <c r="C124" t="inlineStr">
        <is>
          <t>Stimulus</t>
        </is>
      </c>
      <c r="D124" t="inlineStr">
        <is>
          <t>Recovery</t>
        </is>
      </c>
      <c r="E124" t="n">
        <v>15</v>
      </c>
      <c r="F124" t="inlineStr">
        <is>
          <t>Brow Furrow</t>
        </is>
      </c>
      <c r="G124" t="n">
        <v>50</v>
      </c>
      <c r="H124" t="n">
        <v>0</v>
      </c>
      <c r="I124" t="n">
        <v>0</v>
      </c>
      <c r="J124" t="inlineStr">
        <is>
          <t>NA</t>
        </is>
      </c>
      <c r="K124" t="n">
        <v>95</v>
      </c>
      <c r="L124">
        <f>IF(K124&gt;=80,"Yes","No")</f>
        <v/>
      </c>
      <c r="M124">
        <f>IF(ISNUMBER(H124),IF(H124&gt;0,1,0),"")</f>
        <v/>
      </c>
    </row>
    <row r="125">
      <c r="A125" t="inlineStr">
        <is>
          <t>SIMULATED_FEA_Commercial_Study</t>
        </is>
      </c>
      <c r="B125" t="inlineStr">
        <is>
          <t>V03</t>
        </is>
      </c>
      <c r="C125" t="inlineStr">
        <is>
          <t>Stimulus</t>
        </is>
      </c>
      <c r="D125" t="inlineStr">
        <is>
          <t>Recovery</t>
        </is>
      </c>
      <c r="E125" t="n">
        <v>15</v>
      </c>
      <c r="F125" t="inlineStr">
        <is>
          <t>Positive Valence</t>
        </is>
      </c>
      <c r="G125" t="n">
        <v>50</v>
      </c>
      <c r="H125" t="n">
        <v>0</v>
      </c>
      <c r="I125" t="n">
        <v>0</v>
      </c>
      <c r="J125" t="inlineStr">
        <is>
          <t>NA</t>
        </is>
      </c>
      <c r="K125" t="n">
        <v>95</v>
      </c>
      <c r="L125">
        <f>IF(K125&gt;=80,"Yes","No")</f>
        <v/>
      </c>
      <c r="M125">
        <f>IF(ISNUMBER(H125),IF(H125&gt;0,1,0),"")</f>
        <v/>
      </c>
    </row>
    <row r="126">
      <c r="A126" t="inlineStr">
        <is>
          <t>SIMULATED_FEA_Commercial_Study</t>
        </is>
      </c>
      <c r="B126" t="inlineStr">
        <is>
          <t>V03</t>
        </is>
      </c>
      <c r="C126" t="inlineStr">
        <is>
          <t>Stimulus</t>
        </is>
      </c>
      <c r="D126" t="inlineStr">
        <is>
          <t>Recovery</t>
        </is>
      </c>
      <c r="E126" t="n">
        <v>15</v>
      </c>
      <c r="F126" t="inlineStr">
        <is>
          <t>Negative Valence</t>
        </is>
      </c>
      <c r="G126" t="n">
        <v>-50</v>
      </c>
      <c r="H126" t="n">
        <v>0</v>
      </c>
      <c r="I126" t="n">
        <v>0</v>
      </c>
      <c r="J126" t="inlineStr">
        <is>
          <t>NA</t>
        </is>
      </c>
      <c r="K126" t="n">
        <v>95</v>
      </c>
      <c r="L126">
        <f>IF(K126&gt;=80,"Yes","No")</f>
        <v/>
      </c>
      <c r="M126">
        <f>IF(ISNUMBER(H126),IF(H126&gt;0,1,0),"")</f>
        <v/>
      </c>
    </row>
    <row r="127">
      <c r="A127" t="inlineStr">
        <is>
          <t>SIMULATED_FEA_Commercial_Study</t>
        </is>
      </c>
      <c r="B127" t="inlineStr">
        <is>
          <t>V03</t>
        </is>
      </c>
      <c r="C127" t="inlineStr">
        <is>
          <t>Stimulus</t>
        </is>
      </c>
      <c r="D127" t="inlineStr">
        <is>
          <t>Recovery</t>
        </is>
      </c>
      <c r="E127" t="n">
        <v>15</v>
      </c>
      <c r="F127" t="inlineStr">
        <is>
          <t>Engagement</t>
        </is>
      </c>
      <c r="G127" t="inlineStr">
        <is>
          <t>NA</t>
        </is>
      </c>
      <c r="H127" t="inlineStr">
        <is>
          <t>NA</t>
        </is>
      </c>
      <c r="I127" t="inlineStr">
        <is>
          <t>NA</t>
        </is>
      </c>
      <c r="J127" t="n">
        <v>5.48</v>
      </c>
      <c r="K127" t="n">
        <v>95</v>
      </c>
      <c r="L127">
        <f>IF(K127&gt;=80,"Yes","No")</f>
        <v/>
      </c>
      <c r="M127">
        <f>IF(ISNUMBER(H127),IF(H127&gt;0,1,0),"")</f>
        <v/>
      </c>
    </row>
    <row r="128">
      <c r="A128" t="inlineStr">
        <is>
          <t>SIMULATED_FEA_Commercial_Study</t>
        </is>
      </c>
      <c r="B128" t="inlineStr">
        <is>
          <t>V03</t>
        </is>
      </c>
      <c r="C128" t="inlineStr">
        <is>
          <t>Annotation</t>
        </is>
      </c>
      <c r="D128" t="inlineStr">
        <is>
          <t>Bin_01</t>
        </is>
      </c>
      <c r="E128" t="n">
        <v>10</v>
      </c>
      <c r="F128" t="inlineStr">
        <is>
          <t>Joy</t>
        </is>
      </c>
      <c r="G128" t="n">
        <v>50</v>
      </c>
      <c r="H128" t="n">
        <v>0</v>
      </c>
      <c r="I128" t="n">
        <v>0</v>
      </c>
      <c r="J128" t="inlineStr">
        <is>
          <t>NA</t>
        </is>
      </c>
      <c r="K128" t="n">
        <v>95</v>
      </c>
      <c r="L128">
        <f>IF(K128&gt;=80,"Yes","No")</f>
        <v/>
      </c>
      <c r="M128">
        <f>IF(ISNUMBER(H128),IF(H128&gt;0,1,0),"")</f>
        <v/>
      </c>
    </row>
    <row r="129">
      <c r="A129" t="inlineStr">
        <is>
          <t>SIMULATED_FEA_Commercial_Study</t>
        </is>
      </c>
      <c r="B129" t="inlineStr">
        <is>
          <t>V03</t>
        </is>
      </c>
      <c r="C129" t="inlineStr">
        <is>
          <t>Annotation</t>
        </is>
      </c>
      <c r="D129" t="inlineStr">
        <is>
          <t>Bin_01</t>
        </is>
      </c>
      <c r="E129" t="n">
        <v>10</v>
      </c>
      <c r="F129" t="inlineStr">
        <is>
          <t>Surprise</t>
        </is>
      </c>
      <c r="G129" t="n">
        <v>50</v>
      </c>
      <c r="H129" t="n">
        <v>0</v>
      </c>
      <c r="I129" t="n">
        <v>0</v>
      </c>
      <c r="J129" t="inlineStr">
        <is>
          <t>NA</t>
        </is>
      </c>
      <c r="K129" t="n">
        <v>95</v>
      </c>
      <c r="L129">
        <f>IF(K129&gt;=80,"Yes","No")</f>
        <v/>
      </c>
      <c r="M129">
        <f>IF(ISNUMBER(H129),IF(H129&gt;0,1,0),"")</f>
        <v/>
      </c>
    </row>
    <row r="130">
      <c r="A130" t="inlineStr">
        <is>
          <t>SIMULATED_FEA_Commercial_Study</t>
        </is>
      </c>
      <c r="B130" t="inlineStr">
        <is>
          <t>V03</t>
        </is>
      </c>
      <c r="C130" t="inlineStr">
        <is>
          <t>Annotation</t>
        </is>
      </c>
      <c r="D130" t="inlineStr">
        <is>
          <t>Bin_01</t>
        </is>
      </c>
      <c r="E130" t="n">
        <v>10</v>
      </c>
      <c r="F130" t="inlineStr">
        <is>
          <t>Brow Furrow</t>
        </is>
      </c>
      <c r="G130" t="n">
        <v>50</v>
      </c>
      <c r="H130" t="n">
        <v>0</v>
      </c>
      <c r="I130" t="n">
        <v>0</v>
      </c>
      <c r="J130" t="inlineStr">
        <is>
          <t>NA</t>
        </is>
      </c>
      <c r="K130" t="n">
        <v>95</v>
      </c>
      <c r="L130">
        <f>IF(K130&gt;=80,"Yes","No")</f>
        <v/>
      </c>
      <c r="M130">
        <f>IF(ISNUMBER(H130),IF(H130&gt;0,1,0),"")</f>
        <v/>
      </c>
    </row>
    <row r="131">
      <c r="A131" t="inlineStr">
        <is>
          <t>SIMULATED_FEA_Commercial_Study</t>
        </is>
      </c>
      <c r="B131" t="inlineStr">
        <is>
          <t>V03</t>
        </is>
      </c>
      <c r="C131" t="inlineStr">
        <is>
          <t>Annotation</t>
        </is>
      </c>
      <c r="D131" t="inlineStr">
        <is>
          <t>Bin_01</t>
        </is>
      </c>
      <c r="E131" t="n">
        <v>10</v>
      </c>
      <c r="F131" t="inlineStr">
        <is>
          <t>Positive Valence</t>
        </is>
      </c>
      <c r="G131" t="n">
        <v>50</v>
      </c>
      <c r="H131" t="n">
        <v>0</v>
      </c>
      <c r="I131" t="n">
        <v>0</v>
      </c>
      <c r="J131" t="inlineStr">
        <is>
          <t>NA</t>
        </is>
      </c>
      <c r="K131" t="n">
        <v>95</v>
      </c>
      <c r="L131">
        <f>IF(K131&gt;=80,"Yes","No")</f>
        <v/>
      </c>
      <c r="M131">
        <f>IF(ISNUMBER(H131),IF(H131&gt;0,1,0),"")</f>
        <v/>
      </c>
    </row>
    <row r="132">
      <c r="A132" t="inlineStr">
        <is>
          <t>SIMULATED_FEA_Commercial_Study</t>
        </is>
      </c>
      <c r="B132" t="inlineStr">
        <is>
          <t>V03</t>
        </is>
      </c>
      <c r="C132" t="inlineStr">
        <is>
          <t>Annotation</t>
        </is>
      </c>
      <c r="D132" t="inlineStr">
        <is>
          <t>Bin_01</t>
        </is>
      </c>
      <c r="E132" t="n">
        <v>10</v>
      </c>
      <c r="F132" t="inlineStr">
        <is>
          <t>Negative Valence</t>
        </is>
      </c>
      <c r="G132" t="n">
        <v>-50</v>
      </c>
      <c r="H132" t="n">
        <v>0</v>
      </c>
      <c r="I132" t="n">
        <v>0</v>
      </c>
      <c r="J132" t="inlineStr">
        <is>
          <t>NA</t>
        </is>
      </c>
      <c r="K132" t="n">
        <v>95</v>
      </c>
      <c r="L132">
        <f>IF(K132&gt;=80,"Yes","No")</f>
        <v/>
      </c>
      <c r="M132">
        <f>IF(ISNUMBER(H132),IF(H132&gt;0,1,0),"")</f>
        <v/>
      </c>
    </row>
    <row r="133">
      <c r="A133" t="inlineStr">
        <is>
          <t>SIMULATED_FEA_Commercial_Study</t>
        </is>
      </c>
      <c r="B133" t="inlineStr">
        <is>
          <t>V03</t>
        </is>
      </c>
      <c r="C133" t="inlineStr">
        <is>
          <t>Annotation</t>
        </is>
      </c>
      <c r="D133" t="inlineStr">
        <is>
          <t>Bin_01</t>
        </is>
      </c>
      <c r="E133" t="n">
        <v>10</v>
      </c>
      <c r="F133" t="inlineStr">
        <is>
          <t>Engagement</t>
        </is>
      </c>
      <c r="G133" t="inlineStr">
        <is>
          <t>NA</t>
        </is>
      </c>
      <c r="H133" t="inlineStr">
        <is>
          <t>NA</t>
        </is>
      </c>
      <c r="I133" t="inlineStr">
        <is>
          <t>NA</t>
        </is>
      </c>
      <c r="J133" t="n">
        <v>2.87</v>
      </c>
      <c r="K133" t="n">
        <v>95</v>
      </c>
      <c r="L133">
        <f>IF(K133&gt;=80,"Yes","No")</f>
        <v/>
      </c>
      <c r="M133">
        <f>IF(ISNUMBER(H133),IF(H133&gt;0,1,0),"")</f>
        <v/>
      </c>
    </row>
    <row r="134">
      <c r="A134" t="inlineStr">
        <is>
          <t>SIMULATED_FEA_Commercial_Study</t>
        </is>
      </c>
      <c r="B134" t="inlineStr">
        <is>
          <t>V03</t>
        </is>
      </c>
      <c r="C134" t="inlineStr">
        <is>
          <t>Annotation</t>
        </is>
      </c>
      <c r="D134" t="inlineStr">
        <is>
          <t>Bin_02</t>
        </is>
      </c>
      <c r="E134" t="n">
        <v>10</v>
      </c>
      <c r="F134" t="inlineStr">
        <is>
          <t>Joy</t>
        </is>
      </c>
      <c r="G134" t="n">
        <v>50</v>
      </c>
      <c r="H134" t="n">
        <v>0</v>
      </c>
      <c r="I134" t="n">
        <v>0</v>
      </c>
      <c r="J134" t="inlineStr">
        <is>
          <t>NA</t>
        </is>
      </c>
      <c r="K134" t="n">
        <v>95</v>
      </c>
      <c r="L134">
        <f>IF(K134&gt;=80,"Yes","No")</f>
        <v/>
      </c>
      <c r="M134">
        <f>IF(ISNUMBER(H134),IF(H134&gt;0,1,0),"")</f>
        <v/>
      </c>
    </row>
    <row r="135">
      <c r="A135" t="inlineStr">
        <is>
          <t>SIMULATED_FEA_Commercial_Study</t>
        </is>
      </c>
      <c r="B135" t="inlineStr">
        <is>
          <t>V03</t>
        </is>
      </c>
      <c r="C135" t="inlineStr">
        <is>
          <t>Annotation</t>
        </is>
      </c>
      <c r="D135" t="inlineStr">
        <is>
          <t>Bin_02</t>
        </is>
      </c>
      <c r="E135" t="n">
        <v>10</v>
      </c>
      <c r="F135" t="inlineStr">
        <is>
          <t>Surprise</t>
        </is>
      </c>
      <c r="G135" t="n">
        <v>50</v>
      </c>
      <c r="H135" t="n">
        <v>0</v>
      </c>
      <c r="I135" t="n">
        <v>0</v>
      </c>
      <c r="J135" t="inlineStr">
        <is>
          <t>NA</t>
        </is>
      </c>
      <c r="K135" t="n">
        <v>95</v>
      </c>
      <c r="L135">
        <f>IF(K135&gt;=80,"Yes","No")</f>
        <v/>
      </c>
      <c r="M135">
        <f>IF(ISNUMBER(H135),IF(H135&gt;0,1,0),"")</f>
        <v/>
      </c>
    </row>
    <row r="136">
      <c r="A136" t="inlineStr">
        <is>
          <t>SIMULATED_FEA_Commercial_Study</t>
        </is>
      </c>
      <c r="B136" t="inlineStr">
        <is>
          <t>V03</t>
        </is>
      </c>
      <c r="C136" t="inlineStr">
        <is>
          <t>Annotation</t>
        </is>
      </c>
      <c r="D136" t="inlineStr">
        <is>
          <t>Bin_02</t>
        </is>
      </c>
      <c r="E136" t="n">
        <v>10</v>
      </c>
      <c r="F136" t="inlineStr">
        <is>
          <t>Brow Furrow</t>
        </is>
      </c>
      <c r="G136" t="n">
        <v>50</v>
      </c>
      <c r="H136" t="n">
        <v>0</v>
      </c>
      <c r="I136" t="n">
        <v>0</v>
      </c>
      <c r="J136" t="inlineStr">
        <is>
          <t>NA</t>
        </is>
      </c>
      <c r="K136" t="n">
        <v>95</v>
      </c>
      <c r="L136">
        <f>IF(K136&gt;=80,"Yes","No")</f>
        <v/>
      </c>
      <c r="M136">
        <f>IF(ISNUMBER(H136),IF(H136&gt;0,1,0),"")</f>
        <v/>
      </c>
    </row>
    <row r="137">
      <c r="A137" t="inlineStr">
        <is>
          <t>SIMULATED_FEA_Commercial_Study</t>
        </is>
      </c>
      <c r="B137" t="inlineStr">
        <is>
          <t>V03</t>
        </is>
      </c>
      <c r="C137" t="inlineStr">
        <is>
          <t>Annotation</t>
        </is>
      </c>
      <c r="D137" t="inlineStr">
        <is>
          <t>Bin_02</t>
        </is>
      </c>
      <c r="E137" t="n">
        <v>10</v>
      </c>
      <c r="F137" t="inlineStr">
        <is>
          <t>Positive Valence</t>
        </is>
      </c>
      <c r="G137" t="n">
        <v>50</v>
      </c>
      <c r="H137" t="n">
        <v>0</v>
      </c>
      <c r="I137" t="n">
        <v>0</v>
      </c>
      <c r="J137" t="inlineStr">
        <is>
          <t>NA</t>
        </is>
      </c>
      <c r="K137" t="n">
        <v>95</v>
      </c>
      <c r="L137">
        <f>IF(K137&gt;=80,"Yes","No")</f>
        <v/>
      </c>
      <c r="M137">
        <f>IF(ISNUMBER(H137),IF(H137&gt;0,1,0),"")</f>
        <v/>
      </c>
    </row>
    <row r="138">
      <c r="A138" t="inlineStr">
        <is>
          <t>SIMULATED_FEA_Commercial_Study</t>
        </is>
      </c>
      <c r="B138" t="inlineStr">
        <is>
          <t>V03</t>
        </is>
      </c>
      <c r="C138" t="inlineStr">
        <is>
          <t>Annotation</t>
        </is>
      </c>
      <c r="D138" t="inlineStr">
        <is>
          <t>Bin_02</t>
        </is>
      </c>
      <c r="E138" t="n">
        <v>10</v>
      </c>
      <c r="F138" t="inlineStr">
        <is>
          <t>Negative Valence</t>
        </is>
      </c>
      <c r="G138" t="n">
        <v>-50</v>
      </c>
      <c r="H138" t="n">
        <v>0</v>
      </c>
      <c r="I138" t="n">
        <v>0</v>
      </c>
      <c r="J138" t="inlineStr">
        <is>
          <t>NA</t>
        </is>
      </c>
      <c r="K138" t="n">
        <v>95</v>
      </c>
      <c r="L138">
        <f>IF(K138&gt;=80,"Yes","No")</f>
        <v/>
      </c>
      <c r="M138">
        <f>IF(ISNUMBER(H138),IF(H138&gt;0,1,0),"")</f>
        <v/>
      </c>
    </row>
    <row r="139">
      <c r="A139" t="inlineStr">
        <is>
          <t>SIMULATED_FEA_Commercial_Study</t>
        </is>
      </c>
      <c r="B139" t="inlineStr">
        <is>
          <t>V03</t>
        </is>
      </c>
      <c r="C139" t="inlineStr">
        <is>
          <t>Annotation</t>
        </is>
      </c>
      <c r="D139" t="inlineStr">
        <is>
          <t>Bin_02</t>
        </is>
      </c>
      <c r="E139" t="n">
        <v>10</v>
      </c>
      <c r="F139" t="inlineStr">
        <is>
          <t>Engagement</t>
        </is>
      </c>
      <c r="G139" t="inlineStr">
        <is>
          <t>NA</t>
        </is>
      </c>
      <c r="H139" t="inlineStr">
        <is>
          <t>NA</t>
        </is>
      </c>
      <c r="I139" t="inlineStr">
        <is>
          <t>NA</t>
        </is>
      </c>
      <c r="J139" t="n">
        <v>5.5</v>
      </c>
      <c r="K139" t="n">
        <v>95</v>
      </c>
      <c r="L139">
        <f>IF(K139&gt;=80,"Yes","No")</f>
        <v/>
      </c>
      <c r="M139">
        <f>IF(ISNUMBER(H139),IF(H139&gt;0,1,0),"")</f>
        <v/>
      </c>
    </row>
    <row r="140">
      <c r="A140" t="inlineStr">
        <is>
          <t>SIMULATED_FEA_Commercial_Study</t>
        </is>
      </c>
      <c r="B140" t="inlineStr">
        <is>
          <t>V03</t>
        </is>
      </c>
      <c r="C140" t="inlineStr">
        <is>
          <t>Annotation</t>
        </is>
      </c>
      <c r="D140" t="inlineStr">
        <is>
          <t>Bin_03</t>
        </is>
      </c>
      <c r="E140" t="n">
        <v>10</v>
      </c>
      <c r="F140" t="inlineStr">
        <is>
          <t>Joy</t>
        </is>
      </c>
      <c r="G140" t="n">
        <v>50</v>
      </c>
      <c r="H140" t="n">
        <v>8.33</v>
      </c>
      <c r="I140" t="n">
        <v>1</v>
      </c>
      <c r="J140" t="inlineStr">
        <is>
          <t>NA</t>
        </is>
      </c>
      <c r="K140" t="n">
        <v>95</v>
      </c>
      <c r="L140">
        <f>IF(K140&gt;=80,"Yes","No")</f>
        <v/>
      </c>
      <c r="M140">
        <f>IF(ISNUMBER(H140),IF(H140&gt;0,1,0),"")</f>
        <v/>
      </c>
    </row>
    <row r="141">
      <c r="A141" t="inlineStr">
        <is>
          <t>SIMULATED_FEA_Commercial_Study</t>
        </is>
      </c>
      <c r="B141" t="inlineStr">
        <is>
          <t>V03</t>
        </is>
      </c>
      <c r="C141" t="inlineStr">
        <is>
          <t>Annotation</t>
        </is>
      </c>
      <c r="D141" t="inlineStr">
        <is>
          <t>Bin_03</t>
        </is>
      </c>
      <c r="E141" t="n">
        <v>10</v>
      </c>
      <c r="F141" t="inlineStr">
        <is>
          <t>Surprise</t>
        </is>
      </c>
      <c r="G141" t="n">
        <v>50</v>
      </c>
      <c r="H141" t="n">
        <v>4.67</v>
      </c>
      <c r="I141" t="n">
        <v>1</v>
      </c>
      <c r="J141" t="inlineStr">
        <is>
          <t>NA</t>
        </is>
      </c>
      <c r="K141" t="n">
        <v>95</v>
      </c>
      <c r="L141">
        <f>IF(K141&gt;=80,"Yes","No")</f>
        <v/>
      </c>
      <c r="M141">
        <f>IF(ISNUMBER(H141),IF(H141&gt;0,1,0),"")</f>
        <v/>
      </c>
    </row>
    <row r="142">
      <c r="A142" t="inlineStr">
        <is>
          <t>SIMULATED_FEA_Commercial_Study</t>
        </is>
      </c>
      <c r="B142" t="inlineStr">
        <is>
          <t>V03</t>
        </is>
      </c>
      <c r="C142" t="inlineStr">
        <is>
          <t>Annotation</t>
        </is>
      </c>
      <c r="D142" t="inlineStr">
        <is>
          <t>Bin_03</t>
        </is>
      </c>
      <c r="E142" t="n">
        <v>10</v>
      </c>
      <c r="F142" t="inlineStr">
        <is>
          <t>Brow Furrow</t>
        </is>
      </c>
      <c r="G142" t="n">
        <v>50</v>
      </c>
      <c r="H142" t="n">
        <v>0</v>
      </c>
      <c r="I142" t="n">
        <v>0</v>
      </c>
      <c r="J142" t="inlineStr">
        <is>
          <t>NA</t>
        </is>
      </c>
      <c r="K142" t="n">
        <v>95</v>
      </c>
      <c r="L142">
        <f>IF(K142&gt;=80,"Yes","No")</f>
        <v/>
      </c>
      <c r="M142">
        <f>IF(ISNUMBER(H142),IF(H142&gt;0,1,0),"")</f>
        <v/>
      </c>
    </row>
    <row r="143">
      <c r="A143" t="inlineStr">
        <is>
          <t>SIMULATED_FEA_Commercial_Study</t>
        </is>
      </c>
      <c r="B143" t="inlineStr">
        <is>
          <t>V03</t>
        </is>
      </c>
      <c r="C143" t="inlineStr">
        <is>
          <t>Annotation</t>
        </is>
      </c>
      <c r="D143" t="inlineStr">
        <is>
          <t>Bin_03</t>
        </is>
      </c>
      <c r="E143" t="n">
        <v>10</v>
      </c>
      <c r="F143" t="inlineStr">
        <is>
          <t>Positive Valence</t>
        </is>
      </c>
      <c r="G143" t="n">
        <v>50</v>
      </c>
      <c r="H143" t="n">
        <v>6.33</v>
      </c>
      <c r="I143" t="n">
        <v>2</v>
      </c>
      <c r="J143" t="inlineStr">
        <is>
          <t>NA</t>
        </is>
      </c>
      <c r="K143" t="n">
        <v>95</v>
      </c>
      <c r="L143">
        <f>IF(K143&gt;=80,"Yes","No")</f>
        <v/>
      </c>
      <c r="M143">
        <f>IF(ISNUMBER(H143),IF(H143&gt;0,1,0),"")</f>
        <v/>
      </c>
    </row>
    <row r="144">
      <c r="A144" t="inlineStr">
        <is>
          <t>SIMULATED_FEA_Commercial_Study</t>
        </is>
      </c>
      <c r="B144" t="inlineStr">
        <is>
          <t>V03</t>
        </is>
      </c>
      <c r="C144" t="inlineStr">
        <is>
          <t>Annotation</t>
        </is>
      </c>
      <c r="D144" t="inlineStr">
        <is>
          <t>Bin_03</t>
        </is>
      </c>
      <c r="E144" t="n">
        <v>10</v>
      </c>
      <c r="F144" t="inlineStr">
        <is>
          <t>Negative Valence</t>
        </is>
      </c>
      <c r="G144" t="n">
        <v>-50</v>
      </c>
      <c r="H144" t="n">
        <v>0</v>
      </c>
      <c r="I144" t="n">
        <v>0</v>
      </c>
      <c r="J144" t="inlineStr">
        <is>
          <t>NA</t>
        </is>
      </c>
      <c r="K144" t="n">
        <v>95</v>
      </c>
      <c r="L144">
        <f>IF(K144&gt;=80,"Yes","No")</f>
        <v/>
      </c>
      <c r="M144">
        <f>IF(ISNUMBER(H144),IF(H144&gt;0,1,0),"")</f>
        <v/>
      </c>
    </row>
    <row r="145">
      <c r="A145" t="inlineStr">
        <is>
          <t>SIMULATED_FEA_Commercial_Study</t>
        </is>
      </c>
      <c r="B145" t="inlineStr">
        <is>
          <t>V03</t>
        </is>
      </c>
      <c r="C145" t="inlineStr">
        <is>
          <t>Annotation</t>
        </is>
      </c>
      <c r="D145" t="inlineStr">
        <is>
          <t>Bin_03</t>
        </is>
      </c>
      <c r="E145" t="n">
        <v>10</v>
      </c>
      <c r="F145" t="inlineStr">
        <is>
          <t>Engagement</t>
        </is>
      </c>
      <c r="G145" t="inlineStr">
        <is>
          <t>NA</t>
        </is>
      </c>
      <c r="H145" t="inlineStr">
        <is>
          <t>NA</t>
        </is>
      </c>
      <c r="I145" t="inlineStr">
        <is>
          <t>NA</t>
        </is>
      </c>
      <c r="J145" t="n">
        <v>12.53</v>
      </c>
      <c r="K145" t="n">
        <v>95</v>
      </c>
      <c r="L145">
        <f>IF(K145&gt;=80,"Yes","No")</f>
        <v/>
      </c>
      <c r="M145">
        <f>IF(ISNUMBER(H145),IF(H145&gt;0,1,0),"")</f>
        <v/>
      </c>
    </row>
    <row r="146">
      <c r="A146" t="inlineStr">
        <is>
          <t>SIMULATED_FEA_Commercial_Study</t>
        </is>
      </c>
      <c r="B146" t="inlineStr">
        <is>
          <t>V03</t>
        </is>
      </c>
      <c r="C146" t="inlineStr">
        <is>
          <t>Annotation</t>
        </is>
      </c>
      <c r="D146" t="inlineStr">
        <is>
          <t>Bin_04</t>
        </is>
      </c>
      <c r="E146" t="n">
        <v>10</v>
      </c>
      <c r="F146" t="inlineStr">
        <is>
          <t>Joy</t>
        </is>
      </c>
      <c r="G146" t="n">
        <v>50</v>
      </c>
      <c r="H146" t="n">
        <v>13</v>
      </c>
      <c r="I146" t="n">
        <v>1</v>
      </c>
      <c r="J146" t="inlineStr">
        <is>
          <t>NA</t>
        </is>
      </c>
      <c r="K146" t="n">
        <v>95</v>
      </c>
      <c r="L146">
        <f>IF(K146&gt;=80,"Yes","No")</f>
        <v/>
      </c>
      <c r="M146">
        <f>IF(ISNUMBER(H146),IF(H146&gt;0,1,0),"")</f>
        <v/>
      </c>
    </row>
    <row r="147">
      <c r="A147" t="inlineStr">
        <is>
          <t>SIMULATED_FEA_Commercial_Study</t>
        </is>
      </c>
      <c r="B147" t="inlineStr">
        <is>
          <t>V03</t>
        </is>
      </c>
      <c r="C147" t="inlineStr">
        <is>
          <t>Annotation</t>
        </is>
      </c>
      <c r="D147" t="inlineStr">
        <is>
          <t>Bin_04</t>
        </is>
      </c>
      <c r="E147" t="n">
        <v>10</v>
      </c>
      <c r="F147" t="inlineStr">
        <is>
          <t>Surprise</t>
        </is>
      </c>
      <c r="G147" t="n">
        <v>50</v>
      </c>
      <c r="H147" t="n">
        <v>10.33</v>
      </c>
      <c r="I147" t="n">
        <v>1</v>
      </c>
      <c r="J147" t="inlineStr">
        <is>
          <t>NA</t>
        </is>
      </c>
      <c r="K147" t="n">
        <v>95</v>
      </c>
      <c r="L147">
        <f>IF(K147&gt;=80,"Yes","No")</f>
        <v/>
      </c>
      <c r="M147">
        <f>IF(ISNUMBER(H147),IF(H147&gt;0,1,0),"")</f>
        <v/>
      </c>
    </row>
    <row r="148">
      <c r="A148" t="inlineStr">
        <is>
          <t>SIMULATED_FEA_Commercial_Study</t>
        </is>
      </c>
      <c r="B148" t="inlineStr">
        <is>
          <t>V03</t>
        </is>
      </c>
      <c r="C148" t="inlineStr">
        <is>
          <t>Annotation</t>
        </is>
      </c>
      <c r="D148" t="inlineStr">
        <is>
          <t>Bin_04</t>
        </is>
      </c>
      <c r="E148" t="n">
        <v>10</v>
      </c>
      <c r="F148" t="inlineStr">
        <is>
          <t>Brow Furrow</t>
        </is>
      </c>
      <c r="G148" t="n">
        <v>50</v>
      </c>
      <c r="H148" t="n">
        <v>0</v>
      </c>
      <c r="I148" t="n">
        <v>0</v>
      </c>
      <c r="J148" t="inlineStr">
        <is>
          <t>NA</t>
        </is>
      </c>
      <c r="K148" t="n">
        <v>95</v>
      </c>
      <c r="L148">
        <f>IF(K148&gt;=80,"Yes","No")</f>
        <v/>
      </c>
      <c r="M148">
        <f>IF(ISNUMBER(H148),IF(H148&gt;0,1,0),"")</f>
        <v/>
      </c>
    </row>
    <row r="149">
      <c r="A149" t="inlineStr">
        <is>
          <t>SIMULATED_FEA_Commercial_Study</t>
        </is>
      </c>
      <c r="B149" t="inlineStr">
        <is>
          <t>V03</t>
        </is>
      </c>
      <c r="C149" t="inlineStr">
        <is>
          <t>Annotation</t>
        </is>
      </c>
      <c r="D149" t="inlineStr">
        <is>
          <t>Bin_04</t>
        </is>
      </c>
      <c r="E149" t="n">
        <v>10</v>
      </c>
      <c r="F149" t="inlineStr">
        <is>
          <t>Positive Valence</t>
        </is>
      </c>
      <c r="G149" t="n">
        <v>50</v>
      </c>
      <c r="H149" t="n">
        <v>12.67</v>
      </c>
      <c r="I149" t="n">
        <v>1</v>
      </c>
      <c r="J149" t="inlineStr">
        <is>
          <t>NA</t>
        </is>
      </c>
      <c r="K149" t="n">
        <v>95</v>
      </c>
      <c r="L149">
        <f>IF(K149&gt;=80,"Yes","No")</f>
        <v/>
      </c>
      <c r="M149">
        <f>IF(ISNUMBER(H149),IF(H149&gt;0,1,0),"")</f>
        <v/>
      </c>
    </row>
    <row r="150">
      <c r="A150" t="inlineStr">
        <is>
          <t>SIMULATED_FEA_Commercial_Study</t>
        </is>
      </c>
      <c r="B150" t="inlineStr">
        <is>
          <t>V03</t>
        </is>
      </c>
      <c r="C150" t="inlineStr">
        <is>
          <t>Annotation</t>
        </is>
      </c>
      <c r="D150" t="inlineStr">
        <is>
          <t>Bin_04</t>
        </is>
      </c>
      <c r="E150" t="n">
        <v>10</v>
      </c>
      <c r="F150" t="inlineStr">
        <is>
          <t>Negative Valence</t>
        </is>
      </c>
      <c r="G150" t="n">
        <v>-50</v>
      </c>
      <c r="H150" t="n">
        <v>0</v>
      </c>
      <c r="I150" t="n">
        <v>0</v>
      </c>
      <c r="J150" t="inlineStr">
        <is>
          <t>NA</t>
        </is>
      </c>
      <c r="K150" t="n">
        <v>95</v>
      </c>
      <c r="L150">
        <f>IF(K150&gt;=80,"Yes","No")</f>
        <v/>
      </c>
      <c r="M150">
        <f>IF(ISNUMBER(H150),IF(H150&gt;0,1,0),"")</f>
        <v/>
      </c>
    </row>
    <row r="151">
      <c r="A151" t="inlineStr">
        <is>
          <t>SIMULATED_FEA_Commercial_Study</t>
        </is>
      </c>
      <c r="B151" t="inlineStr">
        <is>
          <t>V03</t>
        </is>
      </c>
      <c r="C151" t="inlineStr">
        <is>
          <t>Annotation</t>
        </is>
      </c>
      <c r="D151" t="inlineStr">
        <is>
          <t>Bin_04</t>
        </is>
      </c>
      <c r="E151" t="n">
        <v>10</v>
      </c>
      <c r="F151" t="inlineStr">
        <is>
          <t>Engagement</t>
        </is>
      </c>
      <c r="G151" t="inlineStr">
        <is>
          <t>NA</t>
        </is>
      </c>
      <c r="H151" t="inlineStr">
        <is>
          <t>NA</t>
        </is>
      </c>
      <c r="I151" t="inlineStr">
        <is>
          <t>NA</t>
        </is>
      </c>
      <c r="J151" t="n">
        <v>15.37</v>
      </c>
      <c r="K151" t="n">
        <v>95</v>
      </c>
      <c r="L151">
        <f>IF(K151&gt;=80,"Yes","No")</f>
        <v/>
      </c>
      <c r="M151">
        <f>IF(ISNUMBER(H151),IF(H151&gt;0,1,0),"")</f>
        <v/>
      </c>
    </row>
    <row r="152">
      <c r="A152" t="inlineStr">
        <is>
          <t>SIMULATED_FEA_Commercial_Study</t>
        </is>
      </c>
      <c r="B152" t="inlineStr">
        <is>
          <t>V03</t>
        </is>
      </c>
      <c r="C152" t="inlineStr">
        <is>
          <t>Annotation</t>
        </is>
      </c>
      <c r="D152" t="inlineStr">
        <is>
          <t>Bin_05</t>
        </is>
      </c>
      <c r="E152" t="n">
        <v>10</v>
      </c>
      <c r="F152" t="inlineStr">
        <is>
          <t>Joy</t>
        </is>
      </c>
      <c r="G152" t="n">
        <v>50</v>
      </c>
      <c r="H152" t="n">
        <v>89.67</v>
      </c>
      <c r="I152" t="n">
        <v>1</v>
      </c>
      <c r="J152" t="inlineStr">
        <is>
          <t>NA</t>
        </is>
      </c>
      <c r="K152" t="n">
        <v>95</v>
      </c>
      <c r="L152">
        <f>IF(K152&gt;=80,"Yes","No")</f>
        <v/>
      </c>
      <c r="M152">
        <f>IF(ISNUMBER(H152),IF(H152&gt;0,1,0),"")</f>
        <v/>
      </c>
    </row>
    <row r="153">
      <c r="A153" t="inlineStr">
        <is>
          <t>SIMULATED_FEA_Commercial_Study</t>
        </is>
      </c>
      <c r="B153" t="inlineStr">
        <is>
          <t>V03</t>
        </is>
      </c>
      <c r="C153" t="inlineStr">
        <is>
          <t>Annotation</t>
        </is>
      </c>
      <c r="D153" t="inlineStr">
        <is>
          <t>Bin_05</t>
        </is>
      </c>
      <c r="E153" t="n">
        <v>10</v>
      </c>
      <c r="F153" t="inlineStr">
        <is>
          <t>Surprise</t>
        </is>
      </c>
      <c r="G153" t="n">
        <v>50</v>
      </c>
      <c r="H153" t="n">
        <v>0</v>
      </c>
      <c r="I153" t="n">
        <v>0</v>
      </c>
      <c r="J153" t="inlineStr">
        <is>
          <t>NA</t>
        </is>
      </c>
      <c r="K153" t="n">
        <v>95</v>
      </c>
      <c r="L153">
        <f>IF(K153&gt;=80,"Yes","No")</f>
        <v/>
      </c>
      <c r="M153">
        <f>IF(ISNUMBER(H153),IF(H153&gt;0,1,0),"")</f>
        <v/>
      </c>
    </row>
    <row r="154">
      <c r="A154" t="inlineStr">
        <is>
          <t>SIMULATED_FEA_Commercial_Study</t>
        </is>
      </c>
      <c r="B154" t="inlineStr">
        <is>
          <t>V03</t>
        </is>
      </c>
      <c r="C154" t="inlineStr">
        <is>
          <t>Annotation</t>
        </is>
      </c>
      <c r="D154" t="inlineStr">
        <is>
          <t>Bin_05</t>
        </is>
      </c>
      <c r="E154" t="n">
        <v>10</v>
      </c>
      <c r="F154" t="inlineStr">
        <is>
          <t>Brow Furrow</t>
        </is>
      </c>
      <c r="G154" t="n">
        <v>50</v>
      </c>
      <c r="H154" t="n">
        <v>0</v>
      </c>
      <c r="I154" t="n">
        <v>0</v>
      </c>
      <c r="J154" t="inlineStr">
        <is>
          <t>NA</t>
        </is>
      </c>
      <c r="K154" t="n">
        <v>95</v>
      </c>
      <c r="L154">
        <f>IF(K154&gt;=80,"Yes","No")</f>
        <v/>
      </c>
      <c r="M154">
        <f>IF(ISNUMBER(H154),IF(H154&gt;0,1,0),"")</f>
        <v/>
      </c>
    </row>
    <row r="155">
      <c r="A155" t="inlineStr">
        <is>
          <t>SIMULATED_FEA_Commercial_Study</t>
        </is>
      </c>
      <c r="B155" t="inlineStr">
        <is>
          <t>V03</t>
        </is>
      </c>
      <c r="C155" t="inlineStr">
        <is>
          <t>Annotation</t>
        </is>
      </c>
      <c r="D155" t="inlineStr">
        <is>
          <t>Bin_05</t>
        </is>
      </c>
      <c r="E155" t="n">
        <v>10</v>
      </c>
      <c r="F155" t="inlineStr">
        <is>
          <t>Positive Valence</t>
        </is>
      </c>
      <c r="G155" t="n">
        <v>50</v>
      </c>
      <c r="H155" t="n">
        <v>72</v>
      </c>
      <c r="I155" t="n">
        <v>3</v>
      </c>
      <c r="J155" t="inlineStr">
        <is>
          <t>NA</t>
        </is>
      </c>
      <c r="K155" t="n">
        <v>95</v>
      </c>
      <c r="L155">
        <f>IF(K155&gt;=80,"Yes","No")</f>
        <v/>
      </c>
      <c r="M155">
        <f>IF(ISNUMBER(H155),IF(H155&gt;0,1,0),"")</f>
        <v/>
      </c>
    </row>
    <row r="156">
      <c r="A156" t="inlineStr">
        <is>
          <t>SIMULATED_FEA_Commercial_Study</t>
        </is>
      </c>
      <c r="B156" t="inlineStr">
        <is>
          <t>V03</t>
        </is>
      </c>
      <c r="C156" t="inlineStr">
        <is>
          <t>Annotation</t>
        </is>
      </c>
      <c r="D156" t="inlineStr">
        <is>
          <t>Bin_05</t>
        </is>
      </c>
      <c r="E156" t="n">
        <v>10</v>
      </c>
      <c r="F156" t="inlineStr">
        <is>
          <t>Negative Valence</t>
        </is>
      </c>
      <c r="G156" t="n">
        <v>-50</v>
      </c>
      <c r="H156" t="n">
        <v>0</v>
      </c>
      <c r="I156" t="n">
        <v>0</v>
      </c>
      <c r="J156" t="inlineStr">
        <is>
          <t>NA</t>
        </is>
      </c>
      <c r="K156" t="n">
        <v>95</v>
      </c>
      <c r="L156">
        <f>IF(K156&gt;=80,"Yes","No")</f>
        <v/>
      </c>
      <c r="M156">
        <f>IF(ISNUMBER(H156),IF(H156&gt;0,1,0),"")</f>
        <v/>
      </c>
    </row>
    <row r="157">
      <c r="A157" t="inlineStr">
        <is>
          <t>SIMULATED_FEA_Commercial_Study</t>
        </is>
      </c>
      <c r="B157" t="inlineStr">
        <is>
          <t>V03</t>
        </is>
      </c>
      <c r="C157" t="inlineStr">
        <is>
          <t>Annotation</t>
        </is>
      </c>
      <c r="D157" t="inlineStr">
        <is>
          <t>Bin_05</t>
        </is>
      </c>
      <c r="E157" t="n">
        <v>10</v>
      </c>
      <c r="F157" t="inlineStr">
        <is>
          <t>Engagement</t>
        </is>
      </c>
      <c r="G157" t="inlineStr">
        <is>
          <t>NA</t>
        </is>
      </c>
      <c r="H157" t="inlineStr">
        <is>
          <t>NA</t>
        </is>
      </c>
      <c r="I157" t="inlineStr">
        <is>
          <t>NA</t>
        </is>
      </c>
      <c r="J157" t="n">
        <v>50.72</v>
      </c>
      <c r="K157" t="n">
        <v>95</v>
      </c>
      <c r="L157">
        <f>IF(K157&gt;=80,"Yes","No")</f>
        <v/>
      </c>
      <c r="M157">
        <f>IF(ISNUMBER(H157),IF(H157&gt;0,1,0),"")</f>
        <v/>
      </c>
    </row>
    <row r="158">
      <c r="A158" t="inlineStr">
        <is>
          <t>SIMULATED_FEA_Commercial_Study</t>
        </is>
      </c>
      <c r="B158" t="inlineStr">
        <is>
          <t>V03</t>
        </is>
      </c>
      <c r="C158" t="inlineStr">
        <is>
          <t>Annotation</t>
        </is>
      </c>
      <c r="D158" t="inlineStr">
        <is>
          <t>Bin_06</t>
        </is>
      </c>
      <c r="E158" t="n">
        <v>10</v>
      </c>
      <c r="F158" t="inlineStr">
        <is>
          <t>Joy</t>
        </is>
      </c>
      <c r="G158" t="n">
        <v>50</v>
      </c>
      <c r="H158" t="n">
        <v>0</v>
      </c>
      <c r="I158" t="n">
        <v>0</v>
      </c>
      <c r="J158" t="inlineStr">
        <is>
          <t>NA</t>
        </is>
      </c>
      <c r="K158" t="n">
        <v>95</v>
      </c>
      <c r="L158">
        <f>IF(K158&gt;=80,"Yes","No")</f>
        <v/>
      </c>
      <c r="M158">
        <f>IF(ISNUMBER(H158),IF(H158&gt;0,1,0),"")</f>
        <v/>
      </c>
    </row>
    <row r="159">
      <c r="A159" t="inlineStr">
        <is>
          <t>SIMULATED_FEA_Commercial_Study</t>
        </is>
      </c>
      <c r="B159" t="inlineStr">
        <is>
          <t>V03</t>
        </is>
      </c>
      <c r="C159" t="inlineStr">
        <is>
          <t>Annotation</t>
        </is>
      </c>
      <c r="D159" t="inlineStr">
        <is>
          <t>Bin_06</t>
        </is>
      </c>
      <c r="E159" t="n">
        <v>10</v>
      </c>
      <c r="F159" t="inlineStr">
        <is>
          <t>Surprise</t>
        </is>
      </c>
      <c r="G159" t="n">
        <v>50</v>
      </c>
      <c r="H159" t="n">
        <v>0</v>
      </c>
      <c r="I159" t="n">
        <v>0</v>
      </c>
      <c r="J159" t="inlineStr">
        <is>
          <t>NA</t>
        </is>
      </c>
      <c r="K159" t="n">
        <v>95</v>
      </c>
      <c r="L159">
        <f>IF(K159&gt;=80,"Yes","No")</f>
        <v/>
      </c>
      <c r="M159">
        <f>IF(ISNUMBER(H159),IF(H159&gt;0,1,0),"")</f>
        <v/>
      </c>
    </row>
    <row r="160">
      <c r="A160" t="inlineStr">
        <is>
          <t>SIMULATED_FEA_Commercial_Study</t>
        </is>
      </c>
      <c r="B160" t="inlineStr">
        <is>
          <t>V03</t>
        </is>
      </c>
      <c r="C160" t="inlineStr">
        <is>
          <t>Annotation</t>
        </is>
      </c>
      <c r="D160" t="inlineStr">
        <is>
          <t>Bin_06</t>
        </is>
      </c>
      <c r="E160" t="n">
        <v>10</v>
      </c>
      <c r="F160" t="inlineStr">
        <is>
          <t>Brow Furrow</t>
        </is>
      </c>
      <c r="G160" t="n">
        <v>50</v>
      </c>
      <c r="H160" t="n">
        <v>0</v>
      </c>
      <c r="I160" t="n">
        <v>0</v>
      </c>
      <c r="J160" t="inlineStr">
        <is>
          <t>NA</t>
        </is>
      </c>
      <c r="K160" t="n">
        <v>95</v>
      </c>
      <c r="L160">
        <f>IF(K160&gt;=80,"Yes","No")</f>
        <v/>
      </c>
      <c r="M160">
        <f>IF(ISNUMBER(H160),IF(H160&gt;0,1,0),"")</f>
        <v/>
      </c>
    </row>
    <row r="161">
      <c r="A161" t="inlineStr">
        <is>
          <t>SIMULATED_FEA_Commercial_Study</t>
        </is>
      </c>
      <c r="B161" t="inlineStr">
        <is>
          <t>V03</t>
        </is>
      </c>
      <c r="C161" t="inlineStr">
        <is>
          <t>Annotation</t>
        </is>
      </c>
      <c r="D161" t="inlineStr">
        <is>
          <t>Bin_06</t>
        </is>
      </c>
      <c r="E161" t="n">
        <v>10</v>
      </c>
      <c r="F161" t="inlineStr">
        <is>
          <t>Positive Valence</t>
        </is>
      </c>
      <c r="G161" t="n">
        <v>50</v>
      </c>
      <c r="H161" t="n">
        <v>54.33</v>
      </c>
      <c r="I161" t="n">
        <v>1</v>
      </c>
      <c r="J161" t="inlineStr">
        <is>
          <t>NA</t>
        </is>
      </c>
      <c r="K161" t="n">
        <v>95</v>
      </c>
      <c r="L161">
        <f>IF(K161&gt;=80,"Yes","No")</f>
        <v/>
      </c>
      <c r="M161">
        <f>IF(ISNUMBER(H161),IF(H161&gt;0,1,0),"")</f>
        <v/>
      </c>
    </row>
    <row r="162">
      <c r="A162" t="inlineStr">
        <is>
          <t>SIMULATED_FEA_Commercial_Study</t>
        </is>
      </c>
      <c r="B162" t="inlineStr">
        <is>
          <t>V03</t>
        </is>
      </c>
      <c r="C162" t="inlineStr">
        <is>
          <t>Annotation</t>
        </is>
      </c>
      <c r="D162" t="inlineStr">
        <is>
          <t>Bin_06</t>
        </is>
      </c>
      <c r="E162" t="n">
        <v>10</v>
      </c>
      <c r="F162" t="inlineStr">
        <is>
          <t>Negative Valence</t>
        </is>
      </c>
      <c r="G162" t="n">
        <v>-50</v>
      </c>
      <c r="H162" t="n">
        <v>0</v>
      </c>
      <c r="I162" t="n">
        <v>0</v>
      </c>
      <c r="J162" t="inlineStr">
        <is>
          <t>NA</t>
        </is>
      </c>
      <c r="K162" t="n">
        <v>95</v>
      </c>
      <c r="L162">
        <f>IF(K162&gt;=80,"Yes","No")</f>
        <v/>
      </c>
      <c r="M162">
        <f>IF(ISNUMBER(H162),IF(H162&gt;0,1,0),"")</f>
        <v/>
      </c>
    </row>
    <row r="163">
      <c r="A163" t="inlineStr">
        <is>
          <t>SIMULATED_FEA_Commercial_Study</t>
        </is>
      </c>
      <c r="B163" t="inlineStr">
        <is>
          <t>V03</t>
        </is>
      </c>
      <c r="C163" t="inlineStr">
        <is>
          <t>Annotation</t>
        </is>
      </c>
      <c r="D163" t="inlineStr">
        <is>
          <t>Bin_06</t>
        </is>
      </c>
      <c r="E163" t="n">
        <v>10</v>
      </c>
      <c r="F163" t="inlineStr">
        <is>
          <t>Engagement</t>
        </is>
      </c>
      <c r="G163" t="inlineStr">
        <is>
          <t>NA</t>
        </is>
      </c>
      <c r="H163" t="inlineStr">
        <is>
          <t>NA</t>
        </is>
      </c>
      <c r="I163" t="inlineStr">
        <is>
          <t>NA</t>
        </is>
      </c>
      <c r="J163" t="n">
        <v>20.7</v>
      </c>
      <c r="K163" t="n">
        <v>95</v>
      </c>
      <c r="L163">
        <f>IF(K163&gt;=80,"Yes","No")</f>
        <v/>
      </c>
      <c r="M163">
        <f>IF(ISNUMBER(H163),IF(H163&gt;0,1,0),"")</f>
        <v/>
      </c>
    </row>
    <row r="164">
      <c r="A164" t="inlineStr">
        <is>
          <t>SIMULATED_FEA_Commercial_Study</t>
        </is>
      </c>
      <c r="B164" t="inlineStr">
        <is>
          <t>V04</t>
        </is>
      </c>
      <c r="C164" t="inlineStr">
        <is>
          <t>Stimulus</t>
        </is>
      </c>
      <c r="D164" t="inlineStr">
        <is>
          <t>Baseline</t>
        </is>
      </c>
      <c r="E164" t="n">
        <v>60</v>
      </c>
      <c r="F164" t="inlineStr">
        <is>
          <t>Joy</t>
        </is>
      </c>
      <c r="G164" t="n">
        <v>50</v>
      </c>
      <c r="H164" t="n">
        <v>0</v>
      </c>
      <c r="I164" t="n">
        <v>0</v>
      </c>
      <c r="J164" t="inlineStr">
        <is>
          <t>NA</t>
        </is>
      </c>
      <c r="K164" t="n">
        <v>91.5</v>
      </c>
      <c r="L164">
        <f>IF(K164&gt;=80,"Yes","No")</f>
        <v/>
      </c>
      <c r="M164">
        <f>IF(ISNUMBER(H164),IF(H164&gt;0,1,0),"")</f>
        <v/>
      </c>
    </row>
    <row r="165">
      <c r="A165" t="inlineStr">
        <is>
          <t>SIMULATED_FEA_Commercial_Study</t>
        </is>
      </c>
      <c r="B165" t="inlineStr">
        <is>
          <t>V04</t>
        </is>
      </c>
      <c r="C165" t="inlineStr">
        <is>
          <t>Stimulus</t>
        </is>
      </c>
      <c r="D165" t="inlineStr">
        <is>
          <t>Baseline</t>
        </is>
      </c>
      <c r="E165" t="n">
        <v>60</v>
      </c>
      <c r="F165" t="inlineStr">
        <is>
          <t>Surprise</t>
        </is>
      </c>
      <c r="G165" t="n">
        <v>50</v>
      </c>
      <c r="H165" t="n">
        <v>0</v>
      </c>
      <c r="I165" t="n">
        <v>0</v>
      </c>
      <c r="J165" t="inlineStr">
        <is>
          <t>NA</t>
        </is>
      </c>
      <c r="K165" t="n">
        <v>91.5</v>
      </c>
      <c r="L165">
        <f>IF(K165&gt;=80,"Yes","No")</f>
        <v/>
      </c>
      <c r="M165">
        <f>IF(ISNUMBER(H165),IF(H165&gt;0,1,0),"")</f>
        <v/>
      </c>
    </row>
    <row r="166">
      <c r="A166" t="inlineStr">
        <is>
          <t>SIMULATED_FEA_Commercial_Study</t>
        </is>
      </c>
      <c r="B166" t="inlineStr">
        <is>
          <t>V04</t>
        </is>
      </c>
      <c r="C166" t="inlineStr">
        <is>
          <t>Stimulus</t>
        </is>
      </c>
      <c r="D166" t="inlineStr">
        <is>
          <t>Baseline</t>
        </is>
      </c>
      <c r="E166" t="n">
        <v>60</v>
      </c>
      <c r="F166" t="inlineStr">
        <is>
          <t>Brow Furrow</t>
        </is>
      </c>
      <c r="G166" t="n">
        <v>50</v>
      </c>
      <c r="H166" t="n">
        <v>6.06</v>
      </c>
      <c r="I166" t="n">
        <v>1</v>
      </c>
      <c r="J166" t="inlineStr">
        <is>
          <t>NA</t>
        </is>
      </c>
      <c r="K166" t="n">
        <v>91.5</v>
      </c>
      <c r="L166">
        <f>IF(K166&gt;=80,"Yes","No")</f>
        <v/>
      </c>
      <c r="M166">
        <f>IF(ISNUMBER(H166),IF(H166&gt;0,1,0),"")</f>
        <v/>
      </c>
    </row>
    <row r="167">
      <c r="A167" t="inlineStr">
        <is>
          <t>SIMULATED_FEA_Commercial_Study</t>
        </is>
      </c>
      <c r="B167" t="inlineStr">
        <is>
          <t>V04</t>
        </is>
      </c>
      <c r="C167" t="inlineStr">
        <is>
          <t>Stimulus</t>
        </is>
      </c>
      <c r="D167" t="inlineStr">
        <is>
          <t>Baseline</t>
        </is>
      </c>
      <c r="E167" t="n">
        <v>60</v>
      </c>
      <c r="F167" t="inlineStr">
        <is>
          <t>Positive Valence</t>
        </is>
      </c>
      <c r="G167" t="n">
        <v>50</v>
      </c>
      <c r="H167" t="n">
        <v>0</v>
      </c>
      <c r="I167" t="n">
        <v>0</v>
      </c>
      <c r="J167" t="inlineStr">
        <is>
          <t>NA</t>
        </is>
      </c>
      <c r="K167" t="n">
        <v>91.5</v>
      </c>
      <c r="L167">
        <f>IF(K167&gt;=80,"Yes","No")</f>
        <v/>
      </c>
      <c r="M167">
        <f>IF(ISNUMBER(H167),IF(H167&gt;0,1,0),"")</f>
        <v/>
      </c>
    </row>
    <row r="168">
      <c r="A168" t="inlineStr">
        <is>
          <t>SIMULATED_FEA_Commercial_Study</t>
        </is>
      </c>
      <c r="B168" t="inlineStr">
        <is>
          <t>V04</t>
        </is>
      </c>
      <c r="C168" t="inlineStr">
        <is>
          <t>Stimulus</t>
        </is>
      </c>
      <c r="D168" t="inlineStr">
        <is>
          <t>Baseline</t>
        </is>
      </c>
      <c r="E168" t="n">
        <v>60</v>
      </c>
      <c r="F168" t="inlineStr">
        <is>
          <t>Negative Valence</t>
        </is>
      </c>
      <c r="G168" t="n">
        <v>-50</v>
      </c>
      <c r="H168" t="n">
        <v>0</v>
      </c>
      <c r="I168" t="n">
        <v>0</v>
      </c>
      <c r="J168" t="inlineStr">
        <is>
          <t>NA</t>
        </is>
      </c>
      <c r="K168" t="n">
        <v>91.5</v>
      </c>
      <c r="L168">
        <f>IF(K168&gt;=80,"Yes","No")</f>
        <v/>
      </c>
      <c r="M168">
        <f>IF(ISNUMBER(H168),IF(H168&gt;0,1,0),"")</f>
        <v/>
      </c>
    </row>
    <row r="169">
      <c r="A169" t="inlineStr">
        <is>
          <t>SIMULATED_FEA_Commercial_Study</t>
        </is>
      </c>
      <c r="B169" t="inlineStr">
        <is>
          <t>V04</t>
        </is>
      </c>
      <c r="C169" t="inlineStr">
        <is>
          <t>Stimulus</t>
        </is>
      </c>
      <c r="D169" t="inlineStr">
        <is>
          <t>Baseline</t>
        </is>
      </c>
      <c r="E169" t="n">
        <v>60</v>
      </c>
      <c r="F169" t="inlineStr">
        <is>
          <t>Engagement</t>
        </is>
      </c>
      <c r="G169" t="inlineStr">
        <is>
          <t>NA</t>
        </is>
      </c>
      <c r="H169" t="inlineStr">
        <is>
          <t>NA</t>
        </is>
      </c>
      <c r="I169" t="inlineStr">
        <is>
          <t>NA</t>
        </is>
      </c>
      <c r="J169" t="n">
        <v>7.71</v>
      </c>
      <c r="K169" t="n">
        <v>91.5</v>
      </c>
      <c r="L169">
        <f>IF(K169&gt;=80,"Yes","No")</f>
        <v/>
      </c>
      <c r="M169">
        <f>IF(ISNUMBER(H169),IF(H169&gt;0,1,0),"")</f>
        <v/>
      </c>
    </row>
    <row r="170">
      <c r="A170" t="inlineStr">
        <is>
          <t>SIMULATED_FEA_Commercial_Study</t>
        </is>
      </c>
      <c r="B170" t="inlineStr">
        <is>
          <t>V04</t>
        </is>
      </c>
      <c r="C170" t="inlineStr">
        <is>
          <t>Stimulus</t>
        </is>
      </c>
      <c r="D170" t="inlineStr">
        <is>
          <t>Commercial</t>
        </is>
      </c>
      <c r="E170" t="n">
        <v>60</v>
      </c>
      <c r="F170" t="inlineStr">
        <is>
          <t>Joy</t>
        </is>
      </c>
      <c r="G170" t="n">
        <v>50</v>
      </c>
      <c r="H170" t="n">
        <v>5</v>
      </c>
      <c r="I170" t="n">
        <v>2</v>
      </c>
      <c r="J170" t="inlineStr">
        <is>
          <t>NA</t>
        </is>
      </c>
      <c r="K170" t="n">
        <v>91.5</v>
      </c>
      <c r="L170">
        <f>IF(K170&gt;=80,"Yes","No")</f>
        <v/>
      </c>
      <c r="M170">
        <f>IF(ISNUMBER(H170),IF(H170&gt;0,1,0),"")</f>
        <v/>
      </c>
    </row>
    <row r="171">
      <c r="A171" t="inlineStr">
        <is>
          <t>SIMULATED_FEA_Commercial_Study</t>
        </is>
      </c>
      <c r="B171" t="inlineStr">
        <is>
          <t>V04</t>
        </is>
      </c>
      <c r="C171" t="inlineStr">
        <is>
          <t>Stimulus</t>
        </is>
      </c>
      <c r="D171" t="inlineStr">
        <is>
          <t>Commercial</t>
        </is>
      </c>
      <c r="E171" t="n">
        <v>60</v>
      </c>
      <c r="F171" t="inlineStr">
        <is>
          <t>Surprise</t>
        </is>
      </c>
      <c r="G171" t="n">
        <v>50</v>
      </c>
      <c r="H171" t="n">
        <v>0</v>
      </c>
      <c r="I171" t="n">
        <v>0</v>
      </c>
      <c r="J171" t="inlineStr">
        <is>
          <t>NA</t>
        </is>
      </c>
      <c r="K171" t="n">
        <v>91.5</v>
      </c>
      <c r="L171">
        <f>IF(K171&gt;=80,"Yes","No")</f>
        <v/>
      </c>
      <c r="M171">
        <f>IF(ISNUMBER(H171),IF(H171&gt;0,1,0),"")</f>
        <v/>
      </c>
    </row>
    <row r="172">
      <c r="A172" t="inlineStr">
        <is>
          <t>SIMULATED_FEA_Commercial_Study</t>
        </is>
      </c>
      <c r="B172" t="inlineStr">
        <is>
          <t>V04</t>
        </is>
      </c>
      <c r="C172" t="inlineStr">
        <is>
          <t>Stimulus</t>
        </is>
      </c>
      <c r="D172" t="inlineStr">
        <is>
          <t>Commercial</t>
        </is>
      </c>
      <c r="E172" t="n">
        <v>60</v>
      </c>
      <c r="F172" t="inlineStr">
        <is>
          <t>Brow Furrow</t>
        </is>
      </c>
      <c r="G172" t="n">
        <v>50</v>
      </c>
      <c r="H172" t="n">
        <v>0</v>
      </c>
      <c r="I172" t="n">
        <v>0</v>
      </c>
      <c r="J172" t="inlineStr">
        <is>
          <t>NA</t>
        </is>
      </c>
      <c r="K172" t="n">
        <v>91.5</v>
      </c>
      <c r="L172">
        <f>IF(K172&gt;=80,"Yes","No")</f>
        <v/>
      </c>
      <c r="M172">
        <f>IF(ISNUMBER(H172),IF(H172&gt;0,1,0),"")</f>
        <v/>
      </c>
    </row>
    <row r="173">
      <c r="A173" t="inlineStr">
        <is>
          <t>SIMULATED_FEA_Commercial_Study</t>
        </is>
      </c>
      <c r="B173" t="inlineStr">
        <is>
          <t>V04</t>
        </is>
      </c>
      <c r="C173" t="inlineStr">
        <is>
          <t>Stimulus</t>
        </is>
      </c>
      <c r="D173" t="inlineStr">
        <is>
          <t>Commercial</t>
        </is>
      </c>
      <c r="E173" t="n">
        <v>60</v>
      </c>
      <c r="F173" t="inlineStr">
        <is>
          <t>Positive Valence</t>
        </is>
      </c>
      <c r="G173" t="n">
        <v>50</v>
      </c>
      <c r="H173" t="n">
        <v>4.56</v>
      </c>
      <c r="I173" t="n">
        <v>2</v>
      </c>
      <c r="J173" t="inlineStr">
        <is>
          <t>NA</t>
        </is>
      </c>
      <c r="K173" t="n">
        <v>91.5</v>
      </c>
      <c r="L173">
        <f>IF(K173&gt;=80,"Yes","No")</f>
        <v/>
      </c>
      <c r="M173">
        <f>IF(ISNUMBER(H173),IF(H173&gt;0,1,0),"")</f>
        <v/>
      </c>
    </row>
    <row r="174">
      <c r="A174" t="inlineStr">
        <is>
          <t>SIMULATED_FEA_Commercial_Study</t>
        </is>
      </c>
      <c r="B174" t="inlineStr">
        <is>
          <t>V04</t>
        </is>
      </c>
      <c r="C174" t="inlineStr">
        <is>
          <t>Stimulus</t>
        </is>
      </c>
      <c r="D174" t="inlineStr">
        <is>
          <t>Commercial</t>
        </is>
      </c>
      <c r="E174" t="n">
        <v>60</v>
      </c>
      <c r="F174" t="inlineStr">
        <is>
          <t>Negative Valence</t>
        </is>
      </c>
      <c r="G174" t="n">
        <v>-50</v>
      </c>
      <c r="H174" t="n">
        <v>0</v>
      </c>
      <c r="I174" t="n">
        <v>0</v>
      </c>
      <c r="J174" t="inlineStr">
        <is>
          <t>NA</t>
        </is>
      </c>
      <c r="K174" t="n">
        <v>91.5</v>
      </c>
      <c r="L174">
        <f>IF(K174&gt;=80,"Yes","No")</f>
        <v/>
      </c>
      <c r="M174">
        <f>IF(ISNUMBER(H174),IF(H174&gt;0,1,0),"")</f>
        <v/>
      </c>
    </row>
    <row r="175">
      <c r="A175" t="inlineStr">
        <is>
          <t>SIMULATED_FEA_Commercial_Study</t>
        </is>
      </c>
      <c r="B175" t="inlineStr">
        <is>
          <t>V04</t>
        </is>
      </c>
      <c r="C175" t="inlineStr">
        <is>
          <t>Stimulus</t>
        </is>
      </c>
      <c r="D175" t="inlineStr">
        <is>
          <t>Commercial</t>
        </is>
      </c>
      <c r="E175" t="n">
        <v>60</v>
      </c>
      <c r="F175" t="inlineStr">
        <is>
          <t>Engagement</t>
        </is>
      </c>
      <c r="G175" t="inlineStr">
        <is>
          <t>NA</t>
        </is>
      </c>
      <c r="H175" t="inlineStr">
        <is>
          <t>NA</t>
        </is>
      </c>
      <c r="I175" t="inlineStr">
        <is>
          <t>NA</t>
        </is>
      </c>
      <c r="J175" t="n">
        <v>8.449999999999999</v>
      </c>
      <c r="K175" t="n">
        <v>91.5</v>
      </c>
      <c r="L175">
        <f>IF(K175&gt;=80,"Yes","No")</f>
        <v/>
      </c>
      <c r="M175">
        <f>IF(ISNUMBER(H175),IF(H175&gt;0,1,0),"")</f>
        <v/>
      </c>
    </row>
    <row r="176">
      <c r="A176" t="inlineStr">
        <is>
          <t>SIMULATED_FEA_Commercial_Study</t>
        </is>
      </c>
      <c r="B176" t="inlineStr">
        <is>
          <t>V04</t>
        </is>
      </c>
      <c r="C176" t="inlineStr">
        <is>
          <t>Stimulus</t>
        </is>
      </c>
      <c r="D176" t="inlineStr">
        <is>
          <t>Recovery</t>
        </is>
      </c>
      <c r="E176" t="n">
        <v>15</v>
      </c>
      <c r="F176" t="inlineStr">
        <is>
          <t>Joy</t>
        </is>
      </c>
      <c r="G176" t="n">
        <v>50</v>
      </c>
      <c r="H176" t="n">
        <v>0</v>
      </c>
      <c r="I176" t="n">
        <v>0</v>
      </c>
      <c r="J176" t="inlineStr">
        <is>
          <t>NA</t>
        </is>
      </c>
      <c r="K176" t="n">
        <v>91.5</v>
      </c>
      <c r="L176">
        <f>IF(K176&gt;=80,"Yes","No")</f>
        <v/>
      </c>
      <c r="M176">
        <f>IF(ISNUMBER(H176),IF(H176&gt;0,1,0),"")</f>
        <v/>
      </c>
    </row>
    <row r="177">
      <c r="A177" t="inlineStr">
        <is>
          <t>SIMULATED_FEA_Commercial_Study</t>
        </is>
      </c>
      <c r="B177" t="inlineStr">
        <is>
          <t>V04</t>
        </is>
      </c>
      <c r="C177" t="inlineStr">
        <is>
          <t>Stimulus</t>
        </is>
      </c>
      <c r="D177" t="inlineStr">
        <is>
          <t>Recovery</t>
        </is>
      </c>
      <c r="E177" t="n">
        <v>15</v>
      </c>
      <c r="F177" t="inlineStr">
        <is>
          <t>Surprise</t>
        </is>
      </c>
      <c r="G177" t="n">
        <v>50</v>
      </c>
      <c r="H177" t="n">
        <v>0</v>
      </c>
      <c r="I177" t="n">
        <v>0</v>
      </c>
      <c r="J177" t="inlineStr">
        <is>
          <t>NA</t>
        </is>
      </c>
      <c r="K177" t="n">
        <v>91.5</v>
      </c>
      <c r="L177">
        <f>IF(K177&gt;=80,"Yes","No")</f>
        <v/>
      </c>
      <c r="M177">
        <f>IF(ISNUMBER(H177),IF(H177&gt;0,1,0),"")</f>
        <v/>
      </c>
    </row>
    <row r="178">
      <c r="A178" t="inlineStr">
        <is>
          <t>SIMULATED_FEA_Commercial_Study</t>
        </is>
      </c>
      <c r="B178" t="inlineStr">
        <is>
          <t>V04</t>
        </is>
      </c>
      <c r="C178" t="inlineStr">
        <is>
          <t>Stimulus</t>
        </is>
      </c>
      <c r="D178" t="inlineStr">
        <is>
          <t>Recovery</t>
        </is>
      </c>
      <c r="E178" t="n">
        <v>15</v>
      </c>
      <c r="F178" t="inlineStr">
        <is>
          <t>Brow Furrow</t>
        </is>
      </c>
      <c r="G178" t="n">
        <v>50</v>
      </c>
      <c r="H178" t="n">
        <v>0</v>
      </c>
      <c r="I178" t="n">
        <v>0</v>
      </c>
      <c r="J178" t="inlineStr">
        <is>
          <t>NA</t>
        </is>
      </c>
      <c r="K178" t="n">
        <v>91.5</v>
      </c>
      <c r="L178">
        <f>IF(K178&gt;=80,"Yes","No")</f>
        <v/>
      </c>
      <c r="M178">
        <f>IF(ISNUMBER(H178),IF(H178&gt;0,1,0),"")</f>
        <v/>
      </c>
    </row>
    <row r="179">
      <c r="A179" t="inlineStr">
        <is>
          <t>SIMULATED_FEA_Commercial_Study</t>
        </is>
      </c>
      <c r="B179" t="inlineStr">
        <is>
          <t>V04</t>
        </is>
      </c>
      <c r="C179" t="inlineStr">
        <is>
          <t>Stimulus</t>
        </is>
      </c>
      <c r="D179" t="inlineStr">
        <is>
          <t>Recovery</t>
        </is>
      </c>
      <c r="E179" t="n">
        <v>15</v>
      </c>
      <c r="F179" t="inlineStr">
        <is>
          <t>Positive Valence</t>
        </is>
      </c>
      <c r="G179" t="n">
        <v>50</v>
      </c>
      <c r="H179" t="n">
        <v>0</v>
      </c>
      <c r="I179" t="n">
        <v>0</v>
      </c>
      <c r="J179" t="inlineStr">
        <is>
          <t>NA</t>
        </is>
      </c>
      <c r="K179" t="n">
        <v>91.5</v>
      </c>
      <c r="L179">
        <f>IF(K179&gt;=80,"Yes","No")</f>
        <v/>
      </c>
      <c r="M179">
        <f>IF(ISNUMBER(H179),IF(H179&gt;0,1,0),"")</f>
        <v/>
      </c>
    </row>
    <row r="180">
      <c r="A180" t="inlineStr">
        <is>
          <t>SIMULATED_FEA_Commercial_Study</t>
        </is>
      </c>
      <c r="B180" t="inlineStr">
        <is>
          <t>V04</t>
        </is>
      </c>
      <c r="C180" t="inlineStr">
        <is>
          <t>Stimulus</t>
        </is>
      </c>
      <c r="D180" t="inlineStr">
        <is>
          <t>Recovery</t>
        </is>
      </c>
      <c r="E180" t="n">
        <v>15</v>
      </c>
      <c r="F180" t="inlineStr">
        <is>
          <t>Negative Valence</t>
        </is>
      </c>
      <c r="G180" t="n">
        <v>-50</v>
      </c>
      <c r="H180" t="n">
        <v>0</v>
      </c>
      <c r="I180" t="n">
        <v>0</v>
      </c>
      <c r="J180" t="inlineStr">
        <is>
          <t>NA</t>
        </is>
      </c>
      <c r="K180" t="n">
        <v>91.5</v>
      </c>
      <c r="L180">
        <f>IF(K180&gt;=80,"Yes","No")</f>
        <v/>
      </c>
      <c r="M180">
        <f>IF(ISNUMBER(H180),IF(H180&gt;0,1,0),"")</f>
        <v/>
      </c>
    </row>
    <row r="181">
      <c r="A181" t="inlineStr">
        <is>
          <t>SIMULATED_FEA_Commercial_Study</t>
        </is>
      </c>
      <c r="B181" t="inlineStr">
        <is>
          <t>V04</t>
        </is>
      </c>
      <c r="C181" t="inlineStr">
        <is>
          <t>Stimulus</t>
        </is>
      </c>
      <c r="D181" t="inlineStr">
        <is>
          <t>Recovery</t>
        </is>
      </c>
      <c r="E181" t="n">
        <v>15</v>
      </c>
      <c r="F181" t="inlineStr">
        <is>
          <t>Engagement</t>
        </is>
      </c>
      <c r="G181" t="inlineStr">
        <is>
          <t>NA</t>
        </is>
      </c>
      <c r="H181" t="inlineStr">
        <is>
          <t>NA</t>
        </is>
      </c>
      <c r="I181" t="inlineStr">
        <is>
          <t>NA</t>
        </is>
      </c>
      <c r="J181" t="n">
        <v>6.74</v>
      </c>
      <c r="K181" t="n">
        <v>91.5</v>
      </c>
      <c r="L181">
        <f>IF(K181&gt;=80,"Yes","No")</f>
        <v/>
      </c>
      <c r="M181">
        <f>IF(ISNUMBER(H181),IF(H181&gt;0,1,0),"")</f>
        <v/>
      </c>
    </row>
    <row r="182">
      <c r="A182" t="inlineStr">
        <is>
          <t>SIMULATED_FEA_Commercial_Study</t>
        </is>
      </c>
      <c r="B182" t="inlineStr">
        <is>
          <t>V04</t>
        </is>
      </c>
      <c r="C182" t="inlineStr">
        <is>
          <t>Annotation</t>
        </is>
      </c>
      <c r="D182" t="inlineStr">
        <is>
          <t>Bin_01</t>
        </is>
      </c>
      <c r="E182" t="n">
        <v>10</v>
      </c>
      <c r="F182" t="inlineStr">
        <is>
          <t>Joy</t>
        </is>
      </c>
      <c r="G182" t="n">
        <v>50</v>
      </c>
      <c r="H182" t="n">
        <v>0</v>
      </c>
      <c r="I182" t="n">
        <v>0</v>
      </c>
      <c r="J182" t="inlineStr">
        <is>
          <t>NA</t>
        </is>
      </c>
      <c r="K182" t="n">
        <v>91.5</v>
      </c>
      <c r="L182">
        <f>IF(K182&gt;=80,"Yes","No")</f>
        <v/>
      </c>
      <c r="M182">
        <f>IF(ISNUMBER(H182),IF(H182&gt;0,1,0),"")</f>
        <v/>
      </c>
    </row>
    <row r="183">
      <c r="A183" t="inlineStr">
        <is>
          <t>SIMULATED_FEA_Commercial_Study</t>
        </is>
      </c>
      <c r="B183" t="inlineStr">
        <is>
          <t>V04</t>
        </is>
      </c>
      <c r="C183" t="inlineStr">
        <is>
          <t>Annotation</t>
        </is>
      </c>
      <c r="D183" t="inlineStr">
        <is>
          <t>Bin_01</t>
        </is>
      </c>
      <c r="E183" t="n">
        <v>10</v>
      </c>
      <c r="F183" t="inlineStr">
        <is>
          <t>Surprise</t>
        </is>
      </c>
      <c r="G183" t="n">
        <v>50</v>
      </c>
      <c r="H183" t="n">
        <v>0</v>
      </c>
      <c r="I183" t="n">
        <v>0</v>
      </c>
      <c r="J183" t="inlineStr">
        <is>
          <t>NA</t>
        </is>
      </c>
      <c r="K183" t="n">
        <v>91.5</v>
      </c>
      <c r="L183">
        <f>IF(K183&gt;=80,"Yes","No")</f>
        <v/>
      </c>
      <c r="M183">
        <f>IF(ISNUMBER(H183),IF(H183&gt;0,1,0),"")</f>
        <v/>
      </c>
    </row>
    <row r="184">
      <c r="A184" t="inlineStr">
        <is>
          <t>SIMULATED_FEA_Commercial_Study</t>
        </is>
      </c>
      <c r="B184" t="inlineStr">
        <is>
          <t>V04</t>
        </is>
      </c>
      <c r="C184" t="inlineStr">
        <is>
          <t>Annotation</t>
        </is>
      </c>
      <c r="D184" t="inlineStr">
        <is>
          <t>Bin_01</t>
        </is>
      </c>
      <c r="E184" t="n">
        <v>10</v>
      </c>
      <c r="F184" t="inlineStr">
        <is>
          <t>Brow Furrow</t>
        </is>
      </c>
      <c r="G184" t="n">
        <v>50</v>
      </c>
      <c r="H184" t="n">
        <v>0</v>
      </c>
      <c r="I184" t="n">
        <v>0</v>
      </c>
      <c r="J184" t="inlineStr">
        <is>
          <t>NA</t>
        </is>
      </c>
      <c r="K184" t="n">
        <v>91.5</v>
      </c>
      <c r="L184">
        <f>IF(K184&gt;=80,"Yes","No")</f>
        <v/>
      </c>
      <c r="M184">
        <f>IF(ISNUMBER(H184),IF(H184&gt;0,1,0),"")</f>
        <v/>
      </c>
    </row>
    <row r="185">
      <c r="A185" t="inlineStr">
        <is>
          <t>SIMULATED_FEA_Commercial_Study</t>
        </is>
      </c>
      <c r="B185" t="inlineStr">
        <is>
          <t>V04</t>
        </is>
      </c>
      <c r="C185" t="inlineStr">
        <is>
          <t>Annotation</t>
        </is>
      </c>
      <c r="D185" t="inlineStr">
        <is>
          <t>Bin_01</t>
        </is>
      </c>
      <c r="E185" t="n">
        <v>10</v>
      </c>
      <c r="F185" t="inlineStr">
        <is>
          <t>Positive Valence</t>
        </is>
      </c>
      <c r="G185" t="n">
        <v>50</v>
      </c>
      <c r="H185" t="n">
        <v>0</v>
      </c>
      <c r="I185" t="n">
        <v>0</v>
      </c>
      <c r="J185" t="inlineStr">
        <is>
          <t>NA</t>
        </is>
      </c>
      <c r="K185" t="n">
        <v>91.5</v>
      </c>
      <c r="L185">
        <f>IF(K185&gt;=80,"Yes","No")</f>
        <v/>
      </c>
      <c r="M185">
        <f>IF(ISNUMBER(H185),IF(H185&gt;0,1,0),"")</f>
        <v/>
      </c>
    </row>
    <row r="186">
      <c r="A186" t="inlineStr">
        <is>
          <t>SIMULATED_FEA_Commercial_Study</t>
        </is>
      </c>
      <c r="B186" t="inlineStr">
        <is>
          <t>V04</t>
        </is>
      </c>
      <c r="C186" t="inlineStr">
        <is>
          <t>Annotation</t>
        </is>
      </c>
      <c r="D186" t="inlineStr">
        <is>
          <t>Bin_01</t>
        </is>
      </c>
      <c r="E186" t="n">
        <v>10</v>
      </c>
      <c r="F186" t="inlineStr">
        <is>
          <t>Negative Valence</t>
        </is>
      </c>
      <c r="G186" t="n">
        <v>-50</v>
      </c>
      <c r="H186" t="n">
        <v>0</v>
      </c>
      <c r="I186" t="n">
        <v>0</v>
      </c>
      <c r="J186" t="inlineStr">
        <is>
          <t>NA</t>
        </is>
      </c>
      <c r="K186" t="n">
        <v>91.5</v>
      </c>
      <c r="L186">
        <f>IF(K186&gt;=80,"Yes","No")</f>
        <v/>
      </c>
      <c r="M186">
        <f>IF(ISNUMBER(H186),IF(H186&gt;0,1,0),"")</f>
        <v/>
      </c>
    </row>
    <row r="187">
      <c r="A187" t="inlineStr">
        <is>
          <t>SIMULATED_FEA_Commercial_Study</t>
        </is>
      </c>
      <c r="B187" t="inlineStr">
        <is>
          <t>V04</t>
        </is>
      </c>
      <c r="C187" t="inlineStr">
        <is>
          <t>Annotation</t>
        </is>
      </c>
      <c r="D187" t="inlineStr">
        <is>
          <t>Bin_01</t>
        </is>
      </c>
      <c r="E187" t="n">
        <v>10</v>
      </c>
      <c r="F187" t="inlineStr">
        <is>
          <t>Engagement</t>
        </is>
      </c>
      <c r="G187" t="inlineStr">
        <is>
          <t>NA</t>
        </is>
      </c>
      <c r="H187" t="inlineStr">
        <is>
          <t>NA</t>
        </is>
      </c>
      <c r="I187" t="inlineStr">
        <is>
          <t>NA</t>
        </is>
      </c>
      <c r="J187" t="n">
        <v>6.06</v>
      </c>
      <c r="K187" t="n">
        <v>91.5</v>
      </c>
      <c r="L187">
        <f>IF(K187&gt;=80,"Yes","No")</f>
        <v/>
      </c>
      <c r="M187">
        <f>IF(ISNUMBER(H187),IF(H187&gt;0,1,0),"")</f>
        <v/>
      </c>
    </row>
    <row r="188">
      <c r="A188" t="inlineStr">
        <is>
          <t>SIMULATED_FEA_Commercial_Study</t>
        </is>
      </c>
      <c r="B188" t="inlineStr">
        <is>
          <t>V04</t>
        </is>
      </c>
      <c r="C188" t="inlineStr">
        <is>
          <t>Annotation</t>
        </is>
      </c>
      <c r="D188" t="inlineStr">
        <is>
          <t>Bin_02</t>
        </is>
      </c>
      <c r="E188" t="n">
        <v>10</v>
      </c>
      <c r="F188" t="inlineStr">
        <is>
          <t>Joy</t>
        </is>
      </c>
      <c r="G188" t="n">
        <v>50</v>
      </c>
      <c r="H188" t="n">
        <v>0</v>
      </c>
      <c r="I188" t="n">
        <v>0</v>
      </c>
      <c r="J188" t="inlineStr">
        <is>
          <t>NA</t>
        </is>
      </c>
      <c r="K188" t="n">
        <v>91.5</v>
      </c>
      <c r="L188">
        <f>IF(K188&gt;=80,"Yes","No")</f>
        <v/>
      </c>
      <c r="M188">
        <f>IF(ISNUMBER(H188),IF(H188&gt;0,1,0),"")</f>
        <v/>
      </c>
    </row>
    <row r="189">
      <c r="A189" t="inlineStr">
        <is>
          <t>SIMULATED_FEA_Commercial_Study</t>
        </is>
      </c>
      <c r="B189" t="inlineStr">
        <is>
          <t>V04</t>
        </is>
      </c>
      <c r="C189" t="inlineStr">
        <is>
          <t>Annotation</t>
        </is>
      </c>
      <c r="D189" t="inlineStr">
        <is>
          <t>Bin_02</t>
        </is>
      </c>
      <c r="E189" t="n">
        <v>10</v>
      </c>
      <c r="F189" t="inlineStr">
        <is>
          <t>Surprise</t>
        </is>
      </c>
      <c r="G189" t="n">
        <v>50</v>
      </c>
      <c r="H189" t="n">
        <v>0</v>
      </c>
      <c r="I189" t="n">
        <v>0</v>
      </c>
      <c r="J189" t="inlineStr">
        <is>
          <t>NA</t>
        </is>
      </c>
      <c r="K189" t="n">
        <v>91.5</v>
      </c>
      <c r="L189">
        <f>IF(K189&gt;=80,"Yes","No")</f>
        <v/>
      </c>
      <c r="M189">
        <f>IF(ISNUMBER(H189),IF(H189&gt;0,1,0),"")</f>
        <v/>
      </c>
    </row>
    <row r="190">
      <c r="A190" t="inlineStr">
        <is>
          <t>SIMULATED_FEA_Commercial_Study</t>
        </is>
      </c>
      <c r="B190" t="inlineStr">
        <is>
          <t>V04</t>
        </is>
      </c>
      <c r="C190" t="inlineStr">
        <is>
          <t>Annotation</t>
        </is>
      </c>
      <c r="D190" t="inlineStr">
        <is>
          <t>Bin_02</t>
        </is>
      </c>
      <c r="E190" t="n">
        <v>10</v>
      </c>
      <c r="F190" t="inlineStr">
        <is>
          <t>Brow Furrow</t>
        </is>
      </c>
      <c r="G190" t="n">
        <v>50</v>
      </c>
      <c r="H190" t="n">
        <v>0</v>
      </c>
      <c r="I190" t="n">
        <v>0</v>
      </c>
      <c r="J190" t="inlineStr">
        <is>
          <t>NA</t>
        </is>
      </c>
      <c r="K190" t="n">
        <v>91.5</v>
      </c>
      <c r="L190">
        <f>IF(K190&gt;=80,"Yes","No")</f>
        <v/>
      </c>
      <c r="M190">
        <f>IF(ISNUMBER(H190),IF(H190&gt;0,1,0),"")</f>
        <v/>
      </c>
    </row>
    <row r="191">
      <c r="A191" t="inlineStr">
        <is>
          <t>SIMULATED_FEA_Commercial_Study</t>
        </is>
      </c>
      <c r="B191" t="inlineStr">
        <is>
          <t>V04</t>
        </is>
      </c>
      <c r="C191" t="inlineStr">
        <is>
          <t>Annotation</t>
        </is>
      </c>
      <c r="D191" t="inlineStr">
        <is>
          <t>Bin_02</t>
        </is>
      </c>
      <c r="E191" t="n">
        <v>10</v>
      </c>
      <c r="F191" t="inlineStr">
        <is>
          <t>Positive Valence</t>
        </is>
      </c>
      <c r="G191" t="n">
        <v>50</v>
      </c>
      <c r="H191" t="n">
        <v>0</v>
      </c>
      <c r="I191" t="n">
        <v>0</v>
      </c>
      <c r="J191" t="inlineStr">
        <is>
          <t>NA</t>
        </is>
      </c>
      <c r="K191" t="n">
        <v>91.5</v>
      </c>
      <c r="L191">
        <f>IF(K191&gt;=80,"Yes","No")</f>
        <v/>
      </c>
      <c r="M191">
        <f>IF(ISNUMBER(H191),IF(H191&gt;0,1,0),"")</f>
        <v/>
      </c>
    </row>
    <row r="192">
      <c r="A192" t="inlineStr">
        <is>
          <t>SIMULATED_FEA_Commercial_Study</t>
        </is>
      </c>
      <c r="B192" t="inlineStr">
        <is>
          <t>V04</t>
        </is>
      </c>
      <c r="C192" t="inlineStr">
        <is>
          <t>Annotation</t>
        </is>
      </c>
      <c r="D192" t="inlineStr">
        <is>
          <t>Bin_02</t>
        </is>
      </c>
      <c r="E192" t="n">
        <v>10</v>
      </c>
      <c r="F192" t="inlineStr">
        <is>
          <t>Negative Valence</t>
        </is>
      </c>
      <c r="G192" t="n">
        <v>-50</v>
      </c>
      <c r="H192" t="n">
        <v>0</v>
      </c>
      <c r="I192" t="n">
        <v>0</v>
      </c>
      <c r="J192" t="inlineStr">
        <is>
          <t>NA</t>
        </is>
      </c>
      <c r="K192" t="n">
        <v>91.5</v>
      </c>
      <c r="L192">
        <f>IF(K192&gt;=80,"Yes","No")</f>
        <v/>
      </c>
      <c r="M192">
        <f>IF(ISNUMBER(H192),IF(H192&gt;0,1,0),"")</f>
        <v/>
      </c>
    </row>
    <row r="193">
      <c r="A193" t="inlineStr">
        <is>
          <t>SIMULATED_FEA_Commercial_Study</t>
        </is>
      </c>
      <c r="B193" t="inlineStr">
        <is>
          <t>V04</t>
        </is>
      </c>
      <c r="C193" t="inlineStr">
        <is>
          <t>Annotation</t>
        </is>
      </c>
      <c r="D193" t="inlineStr">
        <is>
          <t>Bin_02</t>
        </is>
      </c>
      <c r="E193" t="n">
        <v>10</v>
      </c>
      <c r="F193" t="inlineStr">
        <is>
          <t>Engagement</t>
        </is>
      </c>
      <c r="G193" t="inlineStr">
        <is>
          <t>NA</t>
        </is>
      </c>
      <c r="H193" t="inlineStr">
        <is>
          <t>NA</t>
        </is>
      </c>
      <c r="I193" t="inlineStr">
        <is>
          <t>NA</t>
        </is>
      </c>
      <c r="J193" t="n">
        <v>5.31</v>
      </c>
      <c r="K193" t="n">
        <v>91.5</v>
      </c>
      <c r="L193">
        <f>IF(K193&gt;=80,"Yes","No")</f>
        <v/>
      </c>
      <c r="M193">
        <f>IF(ISNUMBER(H193),IF(H193&gt;0,1,0),"")</f>
        <v/>
      </c>
    </row>
    <row r="194">
      <c r="A194" t="inlineStr">
        <is>
          <t>SIMULATED_FEA_Commercial_Study</t>
        </is>
      </c>
      <c r="B194" t="inlineStr">
        <is>
          <t>V04</t>
        </is>
      </c>
      <c r="C194" t="inlineStr">
        <is>
          <t>Annotation</t>
        </is>
      </c>
      <c r="D194" t="inlineStr">
        <is>
          <t>Bin_03</t>
        </is>
      </c>
      <c r="E194" t="n">
        <v>10</v>
      </c>
      <c r="F194" t="inlineStr">
        <is>
          <t>Joy</t>
        </is>
      </c>
      <c r="G194" t="n">
        <v>50</v>
      </c>
      <c r="H194" t="n">
        <v>16.67</v>
      </c>
      <c r="I194" t="n">
        <v>1</v>
      </c>
      <c r="J194" t="inlineStr">
        <is>
          <t>NA</t>
        </is>
      </c>
      <c r="K194" t="n">
        <v>91.5</v>
      </c>
      <c r="L194">
        <f>IF(K194&gt;=80,"Yes","No")</f>
        <v/>
      </c>
      <c r="M194">
        <f>IF(ISNUMBER(H194),IF(H194&gt;0,1,0),"")</f>
        <v/>
      </c>
    </row>
    <row r="195">
      <c r="A195" t="inlineStr">
        <is>
          <t>SIMULATED_FEA_Commercial_Study</t>
        </is>
      </c>
      <c r="B195" t="inlineStr">
        <is>
          <t>V04</t>
        </is>
      </c>
      <c r="C195" t="inlineStr">
        <is>
          <t>Annotation</t>
        </is>
      </c>
      <c r="D195" t="inlineStr">
        <is>
          <t>Bin_03</t>
        </is>
      </c>
      <c r="E195" t="n">
        <v>10</v>
      </c>
      <c r="F195" t="inlineStr">
        <is>
          <t>Surprise</t>
        </is>
      </c>
      <c r="G195" t="n">
        <v>50</v>
      </c>
      <c r="H195" t="n">
        <v>0</v>
      </c>
      <c r="I195" t="n">
        <v>0</v>
      </c>
      <c r="J195" t="inlineStr">
        <is>
          <t>NA</t>
        </is>
      </c>
      <c r="K195" t="n">
        <v>91.5</v>
      </c>
      <c r="L195">
        <f>IF(K195&gt;=80,"Yes","No")</f>
        <v/>
      </c>
      <c r="M195">
        <f>IF(ISNUMBER(H195),IF(H195&gt;0,1,0),"")</f>
        <v/>
      </c>
    </row>
    <row r="196">
      <c r="A196" t="inlineStr">
        <is>
          <t>SIMULATED_FEA_Commercial_Study</t>
        </is>
      </c>
      <c r="B196" t="inlineStr">
        <is>
          <t>V04</t>
        </is>
      </c>
      <c r="C196" t="inlineStr">
        <is>
          <t>Annotation</t>
        </is>
      </c>
      <c r="D196" t="inlineStr">
        <is>
          <t>Bin_03</t>
        </is>
      </c>
      <c r="E196" t="n">
        <v>10</v>
      </c>
      <c r="F196" t="inlineStr">
        <is>
          <t>Brow Furrow</t>
        </is>
      </c>
      <c r="G196" t="n">
        <v>50</v>
      </c>
      <c r="H196" t="n">
        <v>0</v>
      </c>
      <c r="I196" t="n">
        <v>0</v>
      </c>
      <c r="J196" t="inlineStr">
        <is>
          <t>NA</t>
        </is>
      </c>
      <c r="K196" t="n">
        <v>91.5</v>
      </c>
      <c r="L196">
        <f>IF(K196&gt;=80,"Yes","No")</f>
        <v/>
      </c>
      <c r="M196">
        <f>IF(ISNUMBER(H196),IF(H196&gt;0,1,0),"")</f>
        <v/>
      </c>
    </row>
    <row r="197">
      <c r="A197" t="inlineStr">
        <is>
          <t>SIMULATED_FEA_Commercial_Study</t>
        </is>
      </c>
      <c r="B197" t="inlineStr">
        <is>
          <t>V04</t>
        </is>
      </c>
      <c r="C197" t="inlineStr">
        <is>
          <t>Annotation</t>
        </is>
      </c>
      <c r="D197" t="inlineStr">
        <is>
          <t>Bin_03</t>
        </is>
      </c>
      <c r="E197" t="n">
        <v>10</v>
      </c>
      <c r="F197" t="inlineStr">
        <is>
          <t>Positive Valence</t>
        </is>
      </c>
      <c r="G197" t="n">
        <v>50</v>
      </c>
      <c r="H197" t="n">
        <v>15.67</v>
      </c>
      <c r="I197" t="n">
        <v>1</v>
      </c>
      <c r="J197" t="inlineStr">
        <is>
          <t>NA</t>
        </is>
      </c>
      <c r="K197" t="n">
        <v>91.5</v>
      </c>
      <c r="L197">
        <f>IF(K197&gt;=80,"Yes","No")</f>
        <v/>
      </c>
      <c r="M197">
        <f>IF(ISNUMBER(H197),IF(H197&gt;0,1,0),"")</f>
        <v/>
      </c>
    </row>
    <row r="198">
      <c r="A198" t="inlineStr">
        <is>
          <t>SIMULATED_FEA_Commercial_Study</t>
        </is>
      </c>
      <c r="B198" t="inlineStr">
        <is>
          <t>V04</t>
        </is>
      </c>
      <c r="C198" t="inlineStr">
        <is>
          <t>Annotation</t>
        </is>
      </c>
      <c r="D198" t="inlineStr">
        <is>
          <t>Bin_03</t>
        </is>
      </c>
      <c r="E198" t="n">
        <v>10</v>
      </c>
      <c r="F198" t="inlineStr">
        <is>
          <t>Negative Valence</t>
        </is>
      </c>
      <c r="G198" t="n">
        <v>-50</v>
      </c>
      <c r="H198" t="n">
        <v>0</v>
      </c>
      <c r="I198" t="n">
        <v>0</v>
      </c>
      <c r="J198" t="inlineStr">
        <is>
          <t>NA</t>
        </is>
      </c>
      <c r="K198" t="n">
        <v>91.5</v>
      </c>
      <c r="L198">
        <f>IF(K198&gt;=80,"Yes","No")</f>
        <v/>
      </c>
      <c r="M198">
        <f>IF(ISNUMBER(H198),IF(H198&gt;0,1,0),"")</f>
        <v/>
      </c>
    </row>
    <row r="199">
      <c r="A199" t="inlineStr">
        <is>
          <t>SIMULATED_FEA_Commercial_Study</t>
        </is>
      </c>
      <c r="B199" t="inlineStr">
        <is>
          <t>V04</t>
        </is>
      </c>
      <c r="C199" t="inlineStr">
        <is>
          <t>Annotation</t>
        </is>
      </c>
      <c r="D199" t="inlineStr">
        <is>
          <t>Bin_03</t>
        </is>
      </c>
      <c r="E199" t="n">
        <v>10</v>
      </c>
      <c r="F199" t="inlineStr">
        <is>
          <t>Engagement</t>
        </is>
      </c>
      <c r="G199" t="inlineStr">
        <is>
          <t>NA</t>
        </is>
      </c>
      <c r="H199" t="inlineStr">
        <is>
          <t>NA</t>
        </is>
      </c>
      <c r="I199" t="inlineStr">
        <is>
          <t>NA</t>
        </is>
      </c>
      <c r="J199" t="n">
        <v>13.84</v>
      </c>
      <c r="K199" t="n">
        <v>91.5</v>
      </c>
      <c r="L199">
        <f>IF(K199&gt;=80,"Yes","No")</f>
        <v/>
      </c>
      <c r="M199">
        <f>IF(ISNUMBER(H199),IF(H199&gt;0,1,0),"")</f>
        <v/>
      </c>
    </row>
    <row r="200">
      <c r="A200" t="inlineStr">
        <is>
          <t>SIMULATED_FEA_Commercial_Study</t>
        </is>
      </c>
      <c r="B200" t="inlineStr">
        <is>
          <t>V04</t>
        </is>
      </c>
      <c r="C200" t="inlineStr">
        <is>
          <t>Annotation</t>
        </is>
      </c>
      <c r="D200" t="inlineStr">
        <is>
          <t>Bin_04</t>
        </is>
      </c>
      <c r="E200" t="n">
        <v>10</v>
      </c>
      <c r="F200" t="inlineStr">
        <is>
          <t>Joy</t>
        </is>
      </c>
      <c r="G200" t="n">
        <v>50</v>
      </c>
      <c r="H200" t="n">
        <v>0</v>
      </c>
      <c r="I200" t="n">
        <v>0</v>
      </c>
      <c r="J200" t="inlineStr">
        <is>
          <t>NA</t>
        </is>
      </c>
      <c r="K200" t="n">
        <v>91.5</v>
      </c>
      <c r="L200">
        <f>IF(K200&gt;=80,"Yes","No")</f>
        <v/>
      </c>
      <c r="M200">
        <f>IF(ISNUMBER(H200),IF(H200&gt;0,1,0),"")</f>
        <v/>
      </c>
    </row>
    <row r="201">
      <c r="A201" t="inlineStr">
        <is>
          <t>SIMULATED_FEA_Commercial_Study</t>
        </is>
      </c>
      <c r="B201" t="inlineStr">
        <is>
          <t>V04</t>
        </is>
      </c>
      <c r="C201" t="inlineStr">
        <is>
          <t>Annotation</t>
        </is>
      </c>
      <c r="D201" t="inlineStr">
        <is>
          <t>Bin_04</t>
        </is>
      </c>
      <c r="E201" t="n">
        <v>10</v>
      </c>
      <c r="F201" t="inlineStr">
        <is>
          <t>Surprise</t>
        </is>
      </c>
      <c r="G201" t="n">
        <v>50</v>
      </c>
      <c r="H201" t="n">
        <v>0</v>
      </c>
      <c r="I201" t="n">
        <v>0</v>
      </c>
      <c r="J201" t="inlineStr">
        <is>
          <t>NA</t>
        </is>
      </c>
      <c r="K201" t="n">
        <v>91.5</v>
      </c>
      <c r="L201">
        <f>IF(K201&gt;=80,"Yes","No")</f>
        <v/>
      </c>
      <c r="M201">
        <f>IF(ISNUMBER(H201),IF(H201&gt;0,1,0),"")</f>
        <v/>
      </c>
    </row>
    <row r="202">
      <c r="A202" t="inlineStr">
        <is>
          <t>SIMULATED_FEA_Commercial_Study</t>
        </is>
      </c>
      <c r="B202" t="inlineStr">
        <is>
          <t>V04</t>
        </is>
      </c>
      <c r="C202" t="inlineStr">
        <is>
          <t>Annotation</t>
        </is>
      </c>
      <c r="D202" t="inlineStr">
        <is>
          <t>Bin_04</t>
        </is>
      </c>
      <c r="E202" t="n">
        <v>10</v>
      </c>
      <c r="F202" t="inlineStr">
        <is>
          <t>Brow Furrow</t>
        </is>
      </c>
      <c r="G202" t="n">
        <v>50</v>
      </c>
      <c r="H202" t="n">
        <v>0</v>
      </c>
      <c r="I202" t="n">
        <v>0</v>
      </c>
      <c r="J202" t="inlineStr">
        <is>
          <t>NA</t>
        </is>
      </c>
      <c r="K202" t="n">
        <v>91.5</v>
      </c>
      <c r="L202">
        <f>IF(K202&gt;=80,"Yes","No")</f>
        <v/>
      </c>
      <c r="M202">
        <f>IF(ISNUMBER(H202),IF(H202&gt;0,1,0),"")</f>
        <v/>
      </c>
    </row>
    <row r="203">
      <c r="A203" t="inlineStr">
        <is>
          <t>SIMULATED_FEA_Commercial_Study</t>
        </is>
      </c>
      <c r="B203" t="inlineStr">
        <is>
          <t>V04</t>
        </is>
      </c>
      <c r="C203" t="inlineStr">
        <is>
          <t>Annotation</t>
        </is>
      </c>
      <c r="D203" t="inlineStr">
        <is>
          <t>Bin_04</t>
        </is>
      </c>
      <c r="E203" t="n">
        <v>10</v>
      </c>
      <c r="F203" t="inlineStr">
        <is>
          <t>Positive Valence</t>
        </is>
      </c>
      <c r="G203" t="n">
        <v>50</v>
      </c>
      <c r="H203" t="n">
        <v>0</v>
      </c>
      <c r="I203" t="n">
        <v>0</v>
      </c>
      <c r="J203" t="inlineStr">
        <is>
          <t>NA</t>
        </is>
      </c>
      <c r="K203" t="n">
        <v>91.5</v>
      </c>
      <c r="L203">
        <f>IF(K203&gt;=80,"Yes","No")</f>
        <v/>
      </c>
      <c r="M203">
        <f>IF(ISNUMBER(H203),IF(H203&gt;0,1,0),"")</f>
        <v/>
      </c>
    </row>
    <row r="204">
      <c r="A204" t="inlineStr">
        <is>
          <t>SIMULATED_FEA_Commercial_Study</t>
        </is>
      </c>
      <c r="B204" t="inlineStr">
        <is>
          <t>V04</t>
        </is>
      </c>
      <c r="C204" t="inlineStr">
        <is>
          <t>Annotation</t>
        </is>
      </c>
      <c r="D204" t="inlineStr">
        <is>
          <t>Bin_04</t>
        </is>
      </c>
      <c r="E204" t="n">
        <v>10</v>
      </c>
      <c r="F204" t="inlineStr">
        <is>
          <t>Negative Valence</t>
        </is>
      </c>
      <c r="G204" t="n">
        <v>-50</v>
      </c>
      <c r="H204" t="n">
        <v>0</v>
      </c>
      <c r="I204" t="n">
        <v>0</v>
      </c>
      <c r="J204" t="inlineStr">
        <is>
          <t>NA</t>
        </is>
      </c>
      <c r="K204" t="n">
        <v>91.5</v>
      </c>
      <c r="L204">
        <f>IF(K204&gt;=80,"Yes","No")</f>
        <v/>
      </c>
      <c r="M204">
        <f>IF(ISNUMBER(H204),IF(H204&gt;0,1,0),"")</f>
        <v/>
      </c>
    </row>
    <row r="205">
      <c r="A205" t="inlineStr">
        <is>
          <t>SIMULATED_FEA_Commercial_Study</t>
        </is>
      </c>
      <c r="B205" t="inlineStr">
        <is>
          <t>V04</t>
        </is>
      </c>
      <c r="C205" t="inlineStr">
        <is>
          <t>Annotation</t>
        </is>
      </c>
      <c r="D205" t="inlineStr">
        <is>
          <t>Bin_04</t>
        </is>
      </c>
      <c r="E205" t="n">
        <v>10</v>
      </c>
      <c r="F205" t="inlineStr">
        <is>
          <t>Engagement</t>
        </is>
      </c>
      <c r="G205" t="inlineStr">
        <is>
          <t>NA</t>
        </is>
      </c>
      <c r="H205" t="inlineStr">
        <is>
          <t>NA</t>
        </is>
      </c>
      <c r="I205" t="inlineStr">
        <is>
          <t>NA</t>
        </is>
      </c>
      <c r="J205" t="n">
        <v>5.18</v>
      </c>
      <c r="K205" t="n">
        <v>91.5</v>
      </c>
      <c r="L205">
        <f>IF(K205&gt;=80,"Yes","No")</f>
        <v/>
      </c>
      <c r="M205">
        <f>IF(ISNUMBER(H205),IF(H205&gt;0,1,0),"")</f>
        <v/>
      </c>
    </row>
    <row r="206">
      <c r="A206" t="inlineStr">
        <is>
          <t>SIMULATED_FEA_Commercial_Study</t>
        </is>
      </c>
      <c r="B206" t="inlineStr">
        <is>
          <t>V04</t>
        </is>
      </c>
      <c r="C206" t="inlineStr">
        <is>
          <t>Annotation</t>
        </is>
      </c>
      <c r="D206" t="inlineStr">
        <is>
          <t>Bin_05</t>
        </is>
      </c>
      <c r="E206" t="n">
        <v>10</v>
      </c>
      <c r="F206" t="inlineStr">
        <is>
          <t>Joy</t>
        </is>
      </c>
      <c r="G206" t="n">
        <v>50</v>
      </c>
      <c r="H206" t="n">
        <v>0</v>
      </c>
      <c r="I206" t="n">
        <v>0</v>
      </c>
      <c r="J206" t="inlineStr">
        <is>
          <t>NA</t>
        </is>
      </c>
      <c r="K206" t="n">
        <v>91.5</v>
      </c>
      <c r="L206">
        <f>IF(K206&gt;=80,"Yes","No")</f>
        <v/>
      </c>
      <c r="M206">
        <f>IF(ISNUMBER(H206),IF(H206&gt;0,1,0),"")</f>
        <v/>
      </c>
    </row>
    <row r="207">
      <c r="A207" t="inlineStr">
        <is>
          <t>SIMULATED_FEA_Commercial_Study</t>
        </is>
      </c>
      <c r="B207" t="inlineStr">
        <is>
          <t>V04</t>
        </is>
      </c>
      <c r="C207" t="inlineStr">
        <is>
          <t>Annotation</t>
        </is>
      </c>
      <c r="D207" t="inlineStr">
        <is>
          <t>Bin_05</t>
        </is>
      </c>
      <c r="E207" t="n">
        <v>10</v>
      </c>
      <c r="F207" t="inlineStr">
        <is>
          <t>Surprise</t>
        </is>
      </c>
      <c r="G207" t="n">
        <v>50</v>
      </c>
      <c r="H207" t="n">
        <v>0</v>
      </c>
      <c r="I207" t="n">
        <v>0</v>
      </c>
      <c r="J207" t="inlineStr">
        <is>
          <t>NA</t>
        </is>
      </c>
      <c r="K207" t="n">
        <v>91.5</v>
      </c>
      <c r="L207">
        <f>IF(K207&gt;=80,"Yes","No")</f>
        <v/>
      </c>
      <c r="M207">
        <f>IF(ISNUMBER(H207),IF(H207&gt;0,1,0),"")</f>
        <v/>
      </c>
    </row>
    <row r="208">
      <c r="A208" t="inlineStr">
        <is>
          <t>SIMULATED_FEA_Commercial_Study</t>
        </is>
      </c>
      <c r="B208" t="inlineStr">
        <is>
          <t>V04</t>
        </is>
      </c>
      <c r="C208" t="inlineStr">
        <is>
          <t>Annotation</t>
        </is>
      </c>
      <c r="D208" t="inlineStr">
        <is>
          <t>Bin_05</t>
        </is>
      </c>
      <c r="E208" t="n">
        <v>10</v>
      </c>
      <c r="F208" t="inlineStr">
        <is>
          <t>Brow Furrow</t>
        </is>
      </c>
      <c r="G208" t="n">
        <v>50</v>
      </c>
      <c r="H208" t="n">
        <v>0</v>
      </c>
      <c r="I208" t="n">
        <v>0</v>
      </c>
      <c r="J208" t="inlineStr">
        <is>
          <t>NA</t>
        </is>
      </c>
      <c r="K208" t="n">
        <v>91.5</v>
      </c>
      <c r="L208">
        <f>IF(K208&gt;=80,"Yes","No")</f>
        <v/>
      </c>
      <c r="M208">
        <f>IF(ISNUMBER(H208),IF(H208&gt;0,1,0),"")</f>
        <v/>
      </c>
    </row>
    <row r="209">
      <c r="A209" t="inlineStr">
        <is>
          <t>SIMULATED_FEA_Commercial_Study</t>
        </is>
      </c>
      <c r="B209" t="inlineStr">
        <is>
          <t>V04</t>
        </is>
      </c>
      <c r="C209" t="inlineStr">
        <is>
          <t>Annotation</t>
        </is>
      </c>
      <c r="D209" t="inlineStr">
        <is>
          <t>Bin_05</t>
        </is>
      </c>
      <c r="E209" t="n">
        <v>10</v>
      </c>
      <c r="F209" t="inlineStr">
        <is>
          <t>Positive Valence</t>
        </is>
      </c>
      <c r="G209" t="n">
        <v>50</v>
      </c>
      <c r="H209" t="n">
        <v>0</v>
      </c>
      <c r="I209" t="n">
        <v>0</v>
      </c>
      <c r="J209" t="inlineStr">
        <is>
          <t>NA</t>
        </is>
      </c>
      <c r="K209" t="n">
        <v>91.5</v>
      </c>
      <c r="L209">
        <f>IF(K209&gt;=80,"Yes","No")</f>
        <v/>
      </c>
      <c r="M209">
        <f>IF(ISNUMBER(H209),IF(H209&gt;0,1,0),"")</f>
        <v/>
      </c>
    </row>
    <row r="210">
      <c r="A210" t="inlineStr">
        <is>
          <t>SIMULATED_FEA_Commercial_Study</t>
        </is>
      </c>
      <c r="B210" t="inlineStr">
        <is>
          <t>V04</t>
        </is>
      </c>
      <c r="C210" t="inlineStr">
        <is>
          <t>Annotation</t>
        </is>
      </c>
      <c r="D210" t="inlineStr">
        <is>
          <t>Bin_05</t>
        </is>
      </c>
      <c r="E210" t="n">
        <v>10</v>
      </c>
      <c r="F210" t="inlineStr">
        <is>
          <t>Negative Valence</t>
        </is>
      </c>
      <c r="G210" t="n">
        <v>-50</v>
      </c>
      <c r="H210" t="n">
        <v>0</v>
      </c>
      <c r="I210" t="n">
        <v>0</v>
      </c>
      <c r="J210" t="inlineStr">
        <is>
          <t>NA</t>
        </is>
      </c>
      <c r="K210" t="n">
        <v>91.5</v>
      </c>
      <c r="L210">
        <f>IF(K210&gt;=80,"Yes","No")</f>
        <v/>
      </c>
      <c r="M210">
        <f>IF(ISNUMBER(H210),IF(H210&gt;0,1,0),"")</f>
        <v/>
      </c>
    </row>
    <row r="211">
      <c r="A211" t="inlineStr">
        <is>
          <t>SIMULATED_FEA_Commercial_Study</t>
        </is>
      </c>
      <c r="B211" t="inlineStr">
        <is>
          <t>V04</t>
        </is>
      </c>
      <c r="C211" t="inlineStr">
        <is>
          <t>Annotation</t>
        </is>
      </c>
      <c r="D211" t="inlineStr">
        <is>
          <t>Bin_05</t>
        </is>
      </c>
      <c r="E211" t="n">
        <v>10</v>
      </c>
      <c r="F211" t="inlineStr">
        <is>
          <t>Engagement</t>
        </is>
      </c>
      <c r="G211" t="inlineStr">
        <is>
          <t>NA</t>
        </is>
      </c>
      <c r="H211" t="inlineStr">
        <is>
          <t>NA</t>
        </is>
      </c>
      <c r="I211" t="inlineStr">
        <is>
          <t>NA</t>
        </is>
      </c>
      <c r="J211" t="n">
        <v>8.699999999999999</v>
      </c>
      <c r="K211" t="n">
        <v>91.5</v>
      </c>
      <c r="L211">
        <f>IF(K211&gt;=80,"Yes","No")</f>
        <v/>
      </c>
      <c r="M211">
        <f>IF(ISNUMBER(H211),IF(H211&gt;0,1,0),"")</f>
        <v/>
      </c>
    </row>
    <row r="212">
      <c r="A212" t="inlineStr">
        <is>
          <t>SIMULATED_FEA_Commercial_Study</t>
        </is>
      </c>
      <c r="B212" t="inlineStr">
        <is>
          <t>V04</t>
        </is>
      </c>
      <c r="C212" t="inlineStr">
        <is>
          <t>Annotation</t>
        </is>
      </c>
      <c r="D212" t="inlineStr">
        <is>
          <t>Bin_06</t>
        </is>
      </c>
      <c r="E212" t="n">
        <v>10</v>
      </c>
      <c r="F212" t="inlineStr">
        <is>
          <t>Joy</t>
        </is>
      </c>
      <c r="G212" t="n">
        <v>50</v>
      </c>
      <c r="H212" t="n">
        <v>13.33</v>
      </c>
      <c r="I212" t="n">
        <v>1</v>
      </c>
      <c r="J212" t="inlineStr">
        <is>
          <t>NA</t>
        </is>
      </c>
      <c r="K212" t="n">
        <v>91.5</v>
      </c>
      <c r="L212">
        <f>IF(K212&gt;=80,"Yes","No")</f>
        <v/>
      </c>
      <c r="M212">
        <f>IF(ISNUMBER(H212),IF(H212&gt;0,1,0),"")</f>
        <v/>
      </c>
    </row>
    <row r="213">
      <c r="A213" t="inlineStr">
        <is>
          <t>SIMULATED_FEA_Commercial_Study</t>
        </is>
      </c>
      <c r="B213" t="inlineStr">
        <is>
          <t>V04</t>
        </is>
      </c>
      <c r="C213" t="inlineStr">
        <is>
          <t>Annotation</t>
        </is>
      </c>
      <c r="D213" t="inlineStr">
        <is>
          <t>Bin_06</t>
        </is>
      </c>
      <c r="E213" t="n">
        <v>10</v>
      </c>
      <c r="F213" t="inlineStr">
        <is>
          <t>Surprise</t>
        </is>
      </c>
      <c r="G213" t="n">
        <v>50</v>
      </c>
      <c r="H213" t="n">
        <v>0</v>
      </c>
      <c r="I213" t="n">
        <v>0</v>
      </c>
      <c r="J213" t="inlineStr">
        <is>
          <t>NA</t>
        </is>
      </c>
      <c r="K213" t="n">
        <v>91.5</v>
      </c>
      <c r="L213">
        <f>IF(K213&gt;=80,"Yes","No")</f>
        <v/>
      </c>
      <c r="M213">
        <f>IF(ISNUMBER(H213),IF(H213&gt;0,1,0),"")</f>
        <v/>
      </c>
    </row>
    <row r="214">
      <c r="A214" t="inlineStr">
        <is>
          <t>SIMULATED_FEA_Commercial_Study</t>
        </is>
      </c>
      <c r="B214" t="inlineStr">
        <is>
          <t>V04</t>
        </is>
      </c>
      <c r="C214" t="inlineStr">
        <is>
          <t>Annotation</t>
        </is>
      </c>
      <c r="D214" t="inlineStr">
        <is>
          <t>Bin_06</t>
        </is>
      </c>
      <c r="E214" t="n">
        <v>10</v>
      </c>
      <c r="F214" t="inlineStr">
        <is>
          <t>Brow Furrow</t>
        </is>
      </c>
      <c r="G214" t="n">
        <v>50</v>
      </c>
      <c r="H214" t="n">
        <v>0</v>
      </c>
      <c r="I214" t="n">
        <v>0</v>
      </c>
      <c r="J214" t="inlineStr">
        <is>
          <t>NA</t>
        </is>
      </c>
      <c r="K214" t="n">
        <v>91.5</v>
      </c>
      <c r="L214">
        <f>IF(K214&gt;=80,"Yes","No")</f>
        <v/>
      </c>
      <c r="M214">
        <f>IF(ISNUMBER(H214),IF(H214&gt;0,1,0),"")</f>
        <v/>
      </c>
    </row>
    <row r="215">
      <c r="A215" t="inlineStr">
        <is>
          <t>SIMULATED_FEA_Commercial_Study</t>
        </is>
      </c>
      <c r="B215" t="inlineStr">
        <is>
          <t>V04</t>
        </is>
      </c>
      <c r="C215" t="inlineStr">
        <is>
          <t>Annotation</t>
        </is>
      </c>
      <c r="D215" t="inlineStr">
        <is>
          <t>Bin_06</t>
        </is>
      </c>
      <c r="E215" t="n">
        <v>10</v>
      </c>
      <c r="F215" t="inlineStr">
        <is>
          <t>Positive Valence</t>
        </is>
      </c>
      <c r="G215" t="n">
        <v>50</v>
      </c>
      <c r="H215" t="n">
        <v>11.67</v>
      </c>
      <c r="I215" t="n">
        <v>1</v>
      </c>
      <c r="J215" t="inlineStr">
        <is>
          <t>NA</t>
        </is>
      </c>
      <c r="K215" t="n">
        <v>91.5</v>
      </c>
      <c r="L215">
        <f>IF(K215&gt;=80,"Yes","No")</f>
        <v/>
      </c>
      <c r="M215">
        <f>IF(ISNUMBER(H215),IF(H215&gt;0,1,0),"")</f>
        <v/>
      </c>
    </row>
    <row r="216">
      <c r="A216" t="inlineStr">
        <is>
          <t>SIMULATED_FEA_Commercial_Study</t>
        </is>
      </c>
      <c r="B216" t="inlineStr">
        <is>
          <t>V04</t>
        </is>
      </c>
      <c r="C216" t="inlineStr">
        <is>
          <t>Annotation</t>
        </is>
      </c>
      <c r="D216" t="inlineStr">
        <is>
          <t>Bin_06</t>
        </is>
      </c>
      <c r="E216" t="n">
        <v>10</v>
      </c>
      <c r="F216" t="inlineStr">
        <is>
          <t>Negative Valence</t>
        </is>
      </c>
      <c r="G216" t="n">
        <v>-50</v>
      </c>
      <c r="H216" t="n">
        <v>0</v>
      </c>
      <c r="I216" t="n">
        <v>0</v>
      </c>
      <c r="J216" t="inlineStr">
        <is>
          <t>NA</t>
        </is>
      </c>
      <c r="K216" t="n">
        <v>91.5</v>
      </c>
      <c r="L216">
        <f>IF(K216&gt;=80,"Yes","No")</f>
        <v/>
      </c>
      <c r="M216">
        <f>IF(ISNUMBER(H216),IF(H216&gt;0,1,0),"")</f>
        <v/>
      </c>
    </row>
    <row r="217">
      <c r="A217" t="inlineStr">
        <is>
          <t>SIMULATED_FEA_Commercial_Study</t>
        </is>
      </c>
      <c r="B217" t="inlineStr">
        <is>
          <t>V04</t>
        </is>
      </c>
      <c r="C217" t="inlineStr">
        <is>
          <t>Annotation</t>
        </is>
      </c>
      <c r="D217" t="inlineStr">
        <is>
          <t>Bin_06</t>
        </is>
      </c>
      <c r="E217" t="n">
        <v>10</v>
      </c>
      <c r="F217" t="inlineStr">
        <is>
          <t>Engagement</t>
        </is>
      </c>
      <c r="G217" t="inlineStr">
        <is>
          <t>NA</t>
        </is>
      </c>
      <c r="H217" t="inlineStr">
        <is>
          <t>NA</t>
        </is>
      </c>
      <c r="I217" t="inlineStr">
        <is>
          <t>NA</t>
        </is>
      </c>
      <c r="J217" t="n">
        <v>10.74</v>
      </c>
      <c r="K217" t="n">
        <v>91.5</v>
      </c>
      <c r="L217">
        <f>IF(K217&gt;=80,"Yes","No")</f>
        <v/>
      </c>
      <c r="M217">
        <f>IF(ISNUMBER(H217),IF(H217&gt;0,1,0),"")</f>
        <v/>
      </c>
    </row>
    <row r="218">
      <c r="A218" t="inlineStr">
        <is>
          <t>SIMULATED_FEA_Commercial_Study</t>
        </is>
      </c>
      <c r="B218" t="inlineStr">
        <is>
          <t>V05</t>
        </is>
      </c>
      <c r="C218" t="inlineStr">
        <is>
          <t>Stimulus</t>
        </is>
      </c>
      <c r="D218" t="inlineStr">
        <is>
          <t>Baseline</t>
        </is>
      </c>
      <c r="E218" t="n">
        <v>60</v>
      </c>
      <c r="F218" t="inlineStr">
        <is>
          <t>Joy</t>
        </is>
      </c>
      <c r="G218" t="n">
        <v>50</v>
      </c>
      <c r="H218" t="n">
        <v>0</v>
      </c>
      <c r="I218" t="n">
        <v>0</v>
      </c>
      <c r="J218" t="inlineStr">
        <is>
          <t>NA</t>
        </is>
      </c>
      <c r="K218" t="n">
        <v>98.3</v>
      </c>
      <c r="L218">
        <f>IF(K218&gt;=80,"Yes","No")</f>
        <v/>
      </c>
      <c r="M218">
        <f>IF(ISNUMBER(H218),IF(H218&gt;0,1,0),"")</f>
        <v/>
      </c>
    </row>
    <row r="219">
      <c r="A219" t="inlineStr">
        <is>
          <t>SIMULATED_FEA_Commercial_Study</t>
        </is>
      </c>
      <c r="B219" t="inlineStr">
        <is>
          <t>V05</t>
        </is>
      </c>
      <c r="C219" t="inlineStr">
        <is>
          <t>Stimulus</t>
        </is>
      </c>
      <c r="D219" t="inlineStr">
        <is>
          <t>Baseline</t>
        </is>
      </c>
      <c r="E219" t="n">
        <v>60</v>
      </c>
      <c r="F219" t="inlineStr">
        <is>
          <t>Surprise</t>
        </is>
      </c>
      <c r="G219" t="n">
        <v>50</v>
      </c>
      <c r="H219" t="n">
        <v>2</v>
      </c>
      <c r="I219" t="n">
        <v>2</v>
      </c>
      <c r="J219" t="inlineStr">
        <is>
          <t>NA</t>
        </is>
      </c>
      <c r="K219" t="n">
        <v>98.3</v>
      </c>
      <c r="L219">
        <f>IF(K219&gt;=80,"Yes","No")</f>
        <v/>
      </c>
      <c r="M219">
        <f>IF(ISNUMBER(H219),IF(H219&gt;0,1,0),"")</f>
        <v/>
      </c>
    </row>
    <row r="220">
      <c r="A220" t="inlineStr">
        <is>
          <t>SIMULATED_FEA_Commercial_Study</t>
        </is>
      </c>
      <c r="B220" t="inlineStr">
        <is>
          <t>V05</t>
        </is>
      </c>
      <c r="C220" t="inlineStr">
        <is>
          <t>Stimulus</t>
        </is>
      </c>
      <c r="D220" t="inlineStr">
        <is>
          <t>Baseline</t>
        </is>
      </c>
      <c r="E220" t="n">
        <v>60</v>
      </c>
      <c r="F220" t="inlineStr">
        <is>
          <t>Brow Furrow</t>
        </is>
      </c>
      <c r="G220" t="n">
        <v>50</v>
      </c>
      <c r="H220" t="n">
        <v>0</v>
      </c>
      <c r="I220" t="n">
        <v>0</v>
      </c>
      <c r="J220" t="inlineStr">
        <is>
          <t>NA</t>
        </is>
      </c>
      <c r="K220" t="n">
        <v>98.3</v>
      </c>
      <c r="L220">
        <f>IF(K220&gt;=80,"Yes","No")</f>
        <v/>
      </c>
      <c r="M220">
        <f>IF(ISNUMBER(H220),IF(H220&gt;0,1,0),"")</f>
        <v/>
      </c>
    </row>
    <row r="221">
      <c r="A221" t="inlineStr">
        <is>
          <t>SIMULATED_FEA_Commercial_Study</t>
        </is>
      </c>
      <c r="B221" t="inlineStr">
        <is>
          <t>V05</t>
        </is>
      </c>
      <c r="C221" t="inlineStr">
        <is>
          <t>Stimulus</t>
        </is>
      </c>
      <c r="D221" t="inlineStr">
        <is>
          <t>Baseline</t>
        </is>
      </c>
      <c r="E221" t="n">
        <v>60</v>
      </c>
      <c r="F221" t="inlineStr">
        <is>
          <t>Positive Valence</t>
        </is>
      </c>
      <c r="G221" t="n">
        <v>50</v>
      </c>
      <c r="H221" t="n">
        <v>0</v>
      </c>
      <c r="I221" t="n">
        <v>0</v>
      </c>
      <c r="J221" t="inlineStr">
        <is>
          <t>NA</t>
        </is>
      </c>
      <c r="K221" t="n">
        <v>98.3</v>
      </c>
      <c r="L221">
        <f>IF(K221&gt;=80,"Yes","No")</f>
        <v/>
      </c>
      <c r="M221">
        <f>IF(ISNUMBER(H221),IF(H221&gt;0,1,0),"")</f>
        <v/>
      </c>
    </row>
    <row r="222">
      <c r="A222" t="inlineStr">
        <is>
          <t>SIMULATED_FEA_Commercial_Study</t>
        </is>
      </c>
      <c r="B222" t="inlineStr">
        <is>
          <t>V05</t>
        </is>
      </c>
      <c r="C222" t="inlineStr">
        <is>
          <t>Stimulus</t>
        </is>
      </c>
      <c r="D222" t="inlineStr">
        <is>
          <t>Baseline</t>
        </is>
      </c>
      <c r="E222" t="n">
        <v>60</v>
      </c>
      <c r="F222" t="inlineStr">
        <is>
          <t>Negative Valence</t>
        </is>
      </c>
      <c r="G222" t="n">
        <v>-50</v>
      </c>
      <c r="H222" t="n">
        <v>0</v>
      </c>
      <c r="I222" t="n">
        <v>0</v>
      </c>
      <c r="J222" t="inlineStr">
        <is>
          <t>NA</t>
        </is>
      </c>
      <c r="K222" t="n">
        <v>98.3</v>
      </c>
      <c r="L222">
        <f>IF(K222&gt;=80,"Yes","No")</f>
        <v/>
      </c>
      <c r="M222">
        <f>IF(ISNUMBER(H222),IF(H222&gt;0,1,0),"")</f>
        <v/>
      </c>
    </row>
    <row r="223">
      <c r="A223" t="inlineStr">
        <is>
          <t>SIMULATED_FEA_Commercial_Study</t>
        </is>
      </c>
      <c r="B223" t="inlineStr">
        <is>
          <t>V05</t>
        </is>
      </c>
      <c r="C223" t="inlineStr">
        <is>
          <t>Stimulus</t>
        </is>
      </c>
      <c r="D223" t="inlineStr">
        <is>
          <t>Baseline</t>
        </is>
      </c>
      <c r="E223" t="n">
        <v>60</v>
      </c>
      <c r="F223" t="inlineStr">
        <is>
          <t>Engagement</t>
        </is>
      </c>
      <c r="G223" t="inlineStr">
        <is>
          <t>NA</t>
        </is>
      </c>
      <c r="H223" t="inlineStr">
        <is>
          <t>NA</t>
        </is>
      </c>
      <c r="I223" t="inlineStr">
        <is>
          <t>NA</t>
        </is>
      </c>
      <c r="J223" t="n">
        <v>6.56</v>
      </c>
      <c r="K223" t="n">
        <v>98.3</v>
      </c>
      <c r="L223">
        <f>IF(K223&gt;=80,"Yes","No")</f>
        <v/>
      </c>
      <c r="M223">
        <f>IF(ISNUMBER(H223),IF(H223&gt;0,1,0),"")</f>
        <v/>
      </c>
    </row>
    <row r="224">
      <c r="A224" t="inlineStr">
        <is>
          <t>SIMULATED_FEA_Commercial_Study</t>
        </is>
      </c>
      <c r="B224" t="inlineStr">
        <is>
          <t>V05</t>
        </is>
      </c>
      <c r="C224" t="inlineStr">
        <is>
          <t>Stimulus</t>
        </is>
      </c>
      <c r="D224" t="inlineStr">
        <is>
          <t>Commercial</t>
        </is>
      </c>
      <c r="E224" t="n">
        <v>60</v>
      </c>
      <c r="F224" t="inlineStr">
        <is>
          <t>Joy</t>
        </is>
      </c>
      <c r="G224" t="n">
        <v>50</v>
      </c>
      <c r="H224" t="n">
        <v>0.5</v>
      </c>
      <c r="I224" t="n">
        <v>2</v>
      </c>
      <c r="J224" t="inlineStr">
        <is>
          <t>NA</t>
        </is>
      </c>
      <c r="K224" t="n">
        <v>98.3</v>
      </c>
      <c r="L224">
        <f>IF(K224&gt;=80,"Yes","No")</f>
        <v/>
      </c>
      <c r="M224">
        <f>IF(ISNUMBER(H224),IF(H224&gt;0,1,0),"")</f>
        <v/>
      </c>
    </row>
    <row r="225">
      <c r="A225" t="inlineStr">
        <is>
          <t>SIMULATED_FEA_Commercial_Study</t>
        </is>
      </c>
      <c r="B225" t="inlineStr">
        <is>
          <t>V05</t>
        </is>
      </c>
      <c r="C225" t="inlineStr">
        <is>
          <t>Stimulus</t>
        </is>
      </c>
      <c r="D225" t="inlineStr">
        <is>
          <t>Commercial</t>
        </is>
      </c>
      <c r="E225" t="n">
        <v>60</v>
      </c>
      <c r="F225" t="inlineStr">
        <is>
          <t>Surprise</t>
        </is>
      </c>
      <c r="G225" t="n">
        <v>50</v>
      </c>
      <c r="H225" t="n">
        <v>5.39</v>
      </c>
      <c r="I225" t="n">
        <v>3</v>
      </c>
      <c r="J225" t="inlineStr">
        <is>
          <t>NA</t>
        </is>
      </c>
      <c r="K225" t="n">
        <v>98.3</v>
      </c>
      <c r="L225">
        <f>IF(K225&gt;=80,"Yes","No")</f>
        <v/>
      </c>
      <c r="M225">
        <f>IF(ISNUMBER(H225),IF(H225&gt;0,1,0),"")</f>
        <v/>
      </c>
    </row>
    <row r="226">
      <c r="A226" t="inlineStr">
        <is>
          <t>SIMULATED_FEA_Commercial_Study</t>
        </is>
      </c>
      <c r="B226" t="inlineStr">
        <is>
          <t>V05</t>
        </is>
      </c>
      <c r="C226" t="inlineStr">
        <is>
          <t>Stimulus</t>
        </is>
      </c>
      <c r="D226" t="inlineStr">
        <is>
          <t>Commercial</t>
        </is>
      </c>
      <c r="E226" t="n">
        <v>60</v>
      </c>
      <c r="F226" t="inlineStr">
        <is>
          <t>Brow Furrow</t>
        </is>
      </c>
      <c r="G226" t="n">
        <v>50</v>
      </c>
      <c r="H226" t="n">
        <v>0</v>
      </c>
      <c r="I226" t="n">
        <v>0</v>
      </c>
      <c r="J226" t="inlineStr">
        <is>
          <t>NA</t>
        </is>
      </c>
      <c r="K226" t="n">
        <v>98.3</v>
      </c>
      <c r="L226">
        <f>IF(K226&gt;=80,"Yes","No")</f>
        <v/>
      </c>
      <c r="M226">
        <f>IF(ISNUMBER(H226),IF(H226&gt;0,1,0),"")</f>
        <v/>
      </c>
    </row>
    <row r="227">
      <c r="A227" t="inlineStr">
        <is>
          <t>SIMULATED_FEA_Commercial_Study</t>
        </is>
      </c>
      <c r="B227" t="inlineStr">
        <is>
          <t>V05</t>
        </is>
      </c>
      <c r="C227" t="inlineStr">
        <is>
          <t>Stimulus</t>
        </is>
      </c>
      <c r="D227" t="inlineStr">
        <is>
          <t>Commercial</t>
        </is>
      </c>
      <c r="E227" t="n">
        <v>60</v>
      </c>
      <c r="F227" t="inlineStr">
        <is>
          <t>Positive Valence</t>
        </is>
      </c>
      <c r="G227" t="n">
        <v>50</v>
      </c>
      <c r="H227" t="n">
        <v>0.67</v>
      </c>
      <c r="I227" t="n">
        <v>1</v>
      </c>
      <c r="J227" t="inlineStr">
        <is>
          <t>NA</t>
        </is>
      </c>
      <c r="K227" t="n">
        <v>98.3</v>
      </c>
      <c r="L227">
        <f>IF(K227&gt;=80,"Yes","No")</f>
        <v/>
      </c>
      <c r="M227">
        <f>IF(ISNUMBER(H227),IF(H227&gt;0,1,0),"")</f>
        <v/>
      </c>
    </row>
    <row r="228">
      <c r="A228" t="inlineStr">
        <is>
          <t>SIMULATED_FEA_Commercial_Study</t>
        </is>
      </c>
      <c r="B228" t="inlineStr">
        <is>
          <t>V05</t>
        </is>
      </c>
      <c r="C228" t="inlineStr">
        <is>
          <t>Stimulus</t>
        </is>
      </c>
      <c r="D228" t="inlineStr">
        <is>
          <t>Commercial</t>
        </is>
      </c>
      <c r="E228" t="n">
        <v>60</v>
      </c>
      <c r="F228" t="inlineStr">
        <is>
          <t>Negative Valence</t>
        </is>
      </c>
      <c r="G228" t="n">
        <v>-50</v>
      </c>
      <c r="H228" t="n">
        <v>0</v>
      </c>
      <c r="I228" t="n">
        <v>0</v>
      </c>
      <c r="J228" t="inlineStr">
        <is>
          <t>NA</t>
        </is>
      </c>
      <c r="K228" t="n">
        <v>98.3</v>
      </c>
      <c r="L228">
        <f>IF(K228&gt;=80,"Yes","No")</f>
        <v/>
      </c>
      <c r="M228">
        <f>IF(ISNUMBER(H228),IF(H228&gt;0,1,0),"")</f>
        <v/>
      </c>
    </row>
    <row r="229">
      <c r="A229" t="inlineStr">
        <is>
          <t>SIMULATED_FEA_Commercial_Study</t>
        </is>
      </c>
      <c r="B229" t="inlineStr">
        <is>
          <t>V05</t>
        </is>
      </c>
      <c r="C229" t="inlineStr">
        <is>
          <t>Stimulus</t>
        </is>
      </c>
      <c r="D229" t="inlineStr">
        <is>
          <t>Commercial</t>
        </is>
      </c>
      <c r="E229" t="n">
        <v>60</v>
      </c>
      <c r="F229" t="inlineStr">
        <is>
          <t>Engagement</t>
        </is>
      </c>
      <c r="G229" t="inlineStr">
        <is>
          <t>NA</t>
        </is>
      </c>
      <c r="H229" t="inlineStr">
        <is>
          <t>NA</t>
        </is>
      </c>
      <c r="I229" t="inlineStr">
        <is>
          <t>NA</t>
        </is>
      </c>
      <c r="J229" t="n">
        <v>8.59</v>
      </c>
      <c r="K229" t="n">
        <v>98.3</v>
      </c>
      <c r="L229">
        <f>IF(K229&gt;=80,"Yes","No")</f>
        <v/>
      </c>
      <c r="M229">
        <f>IF(ISNUMBER(H229),IF(H229&gt;0,1,0),"")</f>
        <v/>
      </c>
    </row>
    <row r="230">
      <c r="A230" t="inlineStr">
        <is>
          <t>SIMULATED_FEA_Commercial_Study</t>
        </is>
      </c>
      <c r="B230" t="inlineStr">
        <is>
          <t>V05</t>
        </is>
      </c>
      <c r="C230" t="inlineStr">
        <is>
          <t>Stimulus</t>
        </is>
      </c>
      <c r="D230" t="inlineStr">
        <is>
          <t>Recovery</t>
        </is>
      </c>
      <c r="E230" t="n">
        <v>15</v>
      </c>
      <c r="F230" t="inlineStr">
        <is>
          <t>Joy</t>
        </is>
      </c>
      <c r="G230" t="n">
        <v>50</v>
      </c>
      <c r="H230" t="n">
        <v>0</v>
      </c>
      <c r="I230" t="n">
        <v>0</v>
      </c>
      <c r="J230" t="inlineStr">
        <is>
          <t>NA</t>
        </is>
      </c>
      <c r="K230" t="n">
        <v>98.3</v>
      </c>
      <c r="L230">
        <f>IF(K230&gt;=80,"Yes","No")</f>
        <v/>
      </c>
      <c r="M230">
        <f>IF(ISNUMBER(H230),IF(H230&gt;0,1,0),"")</f>
        <v/>
      </c>
    </row>
    <row r="231">
      <c r="A231" t="inlineStr">
        <is>
          <t>SIMULATED_FEA_Commercial_Study</t>
        </is>
      </c>
      <c r="B231" t="inlineStr">
        <is>
          <t>V05</t>
        </is>
      </c>
      <c r="C231" t="inlineStr">
        <is>
          <t>Stimulus</t>
        </is>
      </c>
      <c r="D231" t="inlineStr">
        <is>
          <t>Recovery</t>
        </is>
      </c>
      <c r="E231" t="n">
        <v>15</v>
      </c>
      <c r="F231" t="inlineStr">
        <is>
          <t>Surprise</t>
        </is>
      </c>
      <c r="G231" t="n">
        <v>50</v>
      </c>
      <c r="H231" t="n">
        <v>0</v>
      </c>
      <c r="I231" t="n">
        <v>0</v>
      </c>
      <c r="J231" t="inlineStr">
        <is>
          <t>NA</t>
        </is>
      </c>
      <c r="K231" t="n">
        <v>98.3</v>
      </c>
      <c r="L231">
        <f>IF(K231&gt;=80,"Yes","No")</f>
        <v/>
      </c>
      <c r="M231">
        <f>IF(ISNUMBER(H231),IF(H231&gt;0,1,0),"")</f>
        <v/>
      </c>
    </row>
    <row r="232">
      <c r="A232" t="inlineStr">
        <is>
          <t>SIMULATED_FEA_Commercial_Study</t>
        </is>
      </c>
      <c r="B232" t="inlineStr">
        <is>
          <t>V05</t>
        </is>
      </c>
      <c r="C232" t="inlineStr">
        <is>
          <t>Stimulus</t>
        </is>
      </c>
      <c r="D232" t="inlineStr">
        <is>
          <t>Recovery</t>
        </is>
      </c>
      <c r="E232" t="n">
        <v>15</v>
      </c>
      <c r="F232" t="inlineStr">
        <is>
          <t>Brow Furrow</t>
        </is>
      </c>
      <c r="G232" t="n">
        <v>50</v>
      </c>
      <c r="H232" t="n">
        <v>0.44</v>
      </c>
      <c r="I232" t="n">
        <v>2</v>
      </c>
      <c r="J232" t="inlineStr">
        <is>
          <t>NA</t>
        </is>
      </c>
      <c r="K232" t="n">
        <v>98.3</v>
      </c>
      <c r="L232">
        <f>IF(K232&gt;=80,"Yes","No")</f>
        <v/>
      </c>
      <c r="M232">
        <f>IF(ISNUMBER(H232),IF(H232&gt;0,1,0),"")</f>
        <v/>
      </c>
    </row>
    <row r="233">
      <c r="A233" t="inlineStr">
        <is>
          <t>SIMULATED_FEA_Commercial_Study</t>
        </is>
      </c>
      <c r="B233" t="inlineStr">
        <is>
          <t>V05</t>
        </is>
      </c>
      <c r="C233" t="inlineStr">
        <is>
          <t>Stimulus</t>
        </is>
      </c>
      <c r="D233" t="inlineStr">
        <is>
          <t>Recovery</t>
        </is>
      </c>
      <c r="E233" t="n">
        <v>15</v>
      </c>
      <c r="F233" t="inlineStr">
        <is>
          <t>Positive Valence</t>
        </is>
      </c>
      <c r="G233" t="n">
        <v>50</v>
      </c>
      <c r="H233" t="n">
        <v>0</v>
      </c>
      <c r="I233" t="n">
        <v>0</v>
      </c>
      <c r="J233" t="inlineStr">
        <is>
          <t>NA</t>
        </is>
      </c>
      <c r="K233" t="n">
        <v>98.3</v>
      </c>
      <c r="L233">
        <f>IF(K233&gt;=80,"Yes","No")</f>
        <v/>
      </c>
      <c r="M233">
        <f>IF(ISNUMBER(H233),IF(H233&gt;0,1,0),"")</f>
        <v/>
      </c>
    </row>
    <row r="234">
      <c r="A234" t="inlineStr">
        <is>
          <t>SIMULATED_FEA_Commercial_Study</t>
        </is>
      </c>
      <c r="B234" t="inlineStr">
        <is>
          <t>V05</t>
        </is>
      </c>
      <c r="C234" t="inlineStr">
        <is>
          <t>Stimulus</t>
        </is>
      </c>
      <c r="D234" t="inlineStr">
        <is>
          <t>Recovery</t>
        </is>
      </c>
      <c r="E234" t="n">
        <v>15</v>
      </c>
      <c r="F234" t="inlineStr">
        <is>
          <t>Negative Valence</t>
        </is>
      </c>
      <c r="G234" t="n">
        <v>-50</v>
      </c>
      <c r="H234" t="n">
        <v>0</v>
      </c>
      <c r="I234" t="n">
        <v>0</v>
      </c>
      <c r="J234" t="inlineStr">
        <is>
          <t>NA</t>
        </is>
      </c>
      <c r="K234" t="n">
        <v>98.3</v>
      </c>
      <c r="L234">
        <f>IF(K234&gt;=80,"Yes","No")</f>
        <v/>
      </c>
      <c r="M234">
        <f>IF(ISNUMBER(H234),IF(H234&gt;0,1,0),"")</f>
        <v/>
      </c>
    </row>
    <row r="235">
      <c r="A235" t="inlineStr">
        <is>
          <t>SIMULATED_FEA_Commercial_Study</t>
        </is>
      </c>
      <c r="B235" t="inlineStr">
        <is>
          <t>V05</t>
        </is>
      </c>
      <c r="C235" t="inlineStr">
        <is>
          <t>Stimulus</t>
        </is>
      </c>
      <c r="D235" t="inlineStr">
        <is>
          <t>Recovery</t>
        </is>
      </c>
      <c r="E235" t="n">
        <v>15</v>
      </c>
      <c r="F235" t="inlineStr">
        <is>
          <t>Engagement</t>
        </is>
      </c>
      <c r="G235" t="inlineStr">
        <is>
          <t>NA</t>
        </is>
      </c>
      <c r="H235" t="inlineStr">
        <is>
          <t>NA</t>
        </is>
      </c>
      <c r="I235" t="inlineStr">
        <is>
          <t>NA</t>
        </is>
      </c>
      <c r="J235" t="n">
        <v>8.59</v>
      </c>
      <c r="K235" t="n">
        <v>98.3</v>
      </c>
      <c r="L235">
        <f>IF(K235&gt;=80,"Yes","No")</f>
        <v/>
      </c>
      <c r="M235">
        <f>IF(ISNUMBER(H235),IF(H235&gt;0,1,0),"")</f>
        <v/>
      </c>
    </row>
    <row r="236">
      <c r="A236" t="inlineStr">
        <is>
          <t>SIMULATED_FEA_Commercial_Study</t>
        </is>
      </c>
      <c r="B236" t="inlineStr">
        <is>
          <t>V05</t>
        </is>
      </c>
      <c r="C236" t="inlineStr">
        <is>
          <t>Annotation</t>
        </is>
      </c>
      <c r="D236" t="inlineStr">
        <is>
          <t>Bin_01</t>
        </is>
      </c>
      <c r="E236" t="n">
        <v>10</v>
      </c>
      <c r="F236" t="inlineStr">
        <is>
          <t>Joy</t>
        </is>
      </c>
      <c r="G236" t="n">
        <v>50</v>
      </c>
      <c r="H236" t="n">
        <v>0</v>
      </c>
      <c r="I236" t="n">
        <v>0</v>
      </c>
      <c r="J236" t="inlineStr">
        <is>
          <t>NA</t>
        </is>
      </c>
      <c r="K236" t="n">
        <v>98.3</v>
      </c>
      <c r="L236">
        <f>IF(K236&gt;=80,"Yes","No")</f>
        <v/>
      </c>
      <c r="M236">
        <f>IF(ISNUMBER(H236),IF(H236&gt;0,1,0),"")</f>
        <v/>
      </c>
    </row>
    <row r="237">
      <c r="A237" t="inlineStr">
        <is>
          <t>SIMULATED_FEA_Commercial_Study</t>
        </is>
      </c>
      <c r="B237" t="inlineStr">
        <is>
          <t>V05</t>
        </is>
      </c>
      <c r="C237" t="inlineStr">
        <is>
          <t>Annotation</t>
        </is>
      </c>
      <c r="D237" t="inlineStr">
        <is>
          <t>Bin_01</t>
        </is>
      </c>
      <c r="E237" t="n">
        <v>10</v>
      </c>
      <c r="F237" t="inlineStr">
        <is>
          <t>Surprise</t>
        </is>
      </c>
      <c r="G237" t="n">
        <v>50</v>
      </c>
      <c r="H237" t="n">
        <v>9</v>
      </c>
      <c r="I237" t="n">
        <v>1</v>
      </c>
      <c r="J237" t="inlineStr">
        <is>
          <t>NA</t>
        </is>
      </c>
      <c r="K237" t="n">
        <v>98.3</v>
      </c>
      <c r="L237">
        <f>IF(K237&gt;=80,"Yes","No")</f>
        <v/>
      </c>
      <c r="M237">
        <f>IF(ISNUMBER(H237),IF(H237&gt;0,1,0),"")</f>
        <v/>
      </c>
    </row>
    <row r="238">
      <c r="A238" t="inlineStr">
        <is>
          <t>SIMULATED_FEA_Commercial_Study</t>
        </is>
      </c>
      <c r="B238" t="inlineStr">
        <is>
          <t>V05</t>
        </is>
      </c>
      <c r="C238" t="inlineStr">
        <is>
          <t>Annotation</t>
        </is>
      </c>
      <c r="D238" t="inlineStr">
        <is>
          <t>Bin_01</t>
        </is>
      </c>
      <c r="E238" t="n">
        <v>10</v>
      </c>
      <c r="F238" t="inlineStr">
        <is>
          <t>Brow Furrow</t>
        </is>
      </c>
      <c r="G238" t="n">
        <v>50</v>
      </c>
      <c r="H238" t="n">
        <v>0</v>
      </c>
      <c r="I238" t="n">
        <v>0</v>
      </c>
      <c r="J238" t="inlineStr">
        <is>
          <t>NA</t>
        </is>
      </c>
      <c r="K238" t="n">
        <v>98.3</v>
      </c>
      <c r="L238">
        <f>IF(K238&gt;=80,"Yes","No")</f>
        <v/>
      </c>
      <c r="M238">
        <f>IF(ISNUMBER(H238),IF(H238&gt;0,1,0),"")</f>
        <v/>
      </c>
    </row>
    <row r="239">
      <c r="A239" t="inlineStr">
        <is>
          <t>SIMULATED_FEA_Commercial_Study</t>
        </is>
      </c>
      <c r="B239" t="inlineStr">
        <is>
          <t>V05</t>
        </is>
      </c>
      <c r="C239" t="inlineStr">
        <is>
          <t>Annotation</t>
        </is>
      </c>
      <c r="D239" t="inlineStr">
        <is>
          <t>Bin_01</t>
        </is>
      </c>
      <c r="E239" t="n">
        <v>10</v>
      </c>
      <c r="F239" t="inlineStr">
        <is>
          <t>Positive Valence</t>
        </is>
      </c>
      <c r="G239" t="n">
        <v>50</v>
      </c>
      <c r="H239" t="n">
        <v>0</v>
      </c>
      <c r="I239" t="n">
        <v>0</v>
      </c>
      <c r="J239" t="inlineStr">
        <is>
          <t>NA</t>
        </is>
      </c>
      <c r="K239" t="n">
        <v>98.3</v>
      </c>
      <c r="L239">
        <f>IF(K239&gt;=80,"Yes","No")</f>
        <v/>
      </c>
      <c r="M239">
        <f>IF(ISNUMBER(H239),IF(H239&gt;0,1,0),"")</f>
        <v/>
      </c>
    </row>
    <row r="240">
      <c r="A240" t="inlineStr">
        <is>
          <t>SIMULATED_FEA_Commercial_Study</t>
        </is>
      </c>
      <c r="B240" t="inlineStr">
        <is>
          <t>V05</t>
        </is>
      </c>
      <c r="C240" t="inlineStr">
        <is>
          <t>Annotation</t>
        </is>
      </c>
      <c r="D240" t="inlineStr">
        <is>
          <t>Bin_01</t>
        </is>
      </c>
      <c r="E240" t="n">
        <v>10</v>
      </c>
      <c r="F240" t="inlineStr">
        <is>
          <t>Negative Valence</t>
        </is>
      </c>
      <c r="G240" t="n">
        <v>-50</v>
      </c>
      <c r="H240" t="n">
        <v>0</v>
      </c>
      <c r="I240" t="n">
        <v>0</v>
      </c>
      <c r="J240" t="inlineStr">
        <is>
          <t>NA</t>
        </is>
      </c>
      <c r="K240" t="n">
        <v>98.3</v>
      </c>
      <c r="L240">
        <f>IF(K240&gt;=80,"Yes","No")</f>
        <v/>
      </c>
      <c r="M240">
        <f>IF(ISNUMBER(H240),IF(H240&gt;0,1,0),"")</f>
        <v/>
      </c>
    </row>
    <row r="241">
      <c r="A241" t="inlineStr">
        <is>
          <t>SIMULATED_FEA_Commercial_Study</t>
        </is>
      </c>
      <c r="B241" t="inlineStr">
        <is>
          <t>V05</t>
        </is>
      </c>
      <c r="C241" t="inlineStr">
        <is>
          <t>Annotation</t>
        </is>
      </c>
      <c r="D241" t="inlineStr">
        <is>
          <t>Bin_01</t>
        </is>
      </c>
      <c r="E241" t="n">
        <v>10</v>
      </c>
      <c r="F241" t="inlineStr">
        <is>
          <t>Engagement</t>
        </is>
      </c>
      <c r="G241" t="inlineStr">
        <is>
          <t>NA</t>
        </is>
      </c>
      <c r="H241" t="inlineStr">
        <is>
          <t>NA</t>
        </is>
      </c>
      <c r="I241" t="inlineStr">
        <is>
          <t>NA</t>
        </is>
      </c>
      <c r="J241" t="n">
        <v>9.960000000000001</v>
      </c>
      <c r="K241" t="n">
        <v>98.3</v>
      </c>
      <c r="L241">
        <f>IF(K241&gt;=80,"Yes","No")</f>
        <v/>
      </c>
      <c r="M241">
        <f>IF(ISNUMBER(H241),IF(H241&gt;0,1,0),"")</f>
        <v/>
      </c>
    </row>
    <row r="242">
      <c r="A242" t="inlineStr">
        <is>
          <t>SIMULATED_FEA_Commercial_Study</t>
        </is>
      </c>
      <c r="B242" t="inlineStr">
        <is>
          <t>V05</t>
        </is>
      </c>
      <c r="C242" t="inlineStr">
        <is>
          <t>Annotation</t>
        </is>
      </c>
      <c r="D242" t="inlineStr">
        <is>
          <t>Bin_02</t>
        </is>
      </c>
      <c r="E242" t="n">
        <v>10</v>
      </c>
      <c r="F242" t="inlineStr">
        <is>
          <t>Joy</t>
        </is>
      </c>
      <c r="G242" t="n">
        <v>50</v>
      </c>
      <c r="H242" t="n">
        <v>0</v>
      </c>
      <c r="I242" t="n">
        <v>0</v>
      </c>
      <c r="J242" t="inlineStr">
        <is>
          <t>NA</t>
        </is>
      </c>
      <c r="K242" t="n">
        <v>98.3</v>
      </c>
      <c r="L242">
        <f>IF(K242&gt;=80,"Yes","No")</f>
        <v/>
      </c>
      <c r="M242">
        <f>IF(ISNUMBER(H242),IF(H242&gt;0,1,0),"")</f>
        <v/>
      </c>
    </row>
    <row r="243">
      <c r="A243" t="inlineStr">
        <is>
          <t>SIMULATED_FEA_Commercial_Study</t>
        </is>
      </c>
      <c r="B243" t="inlineStr">
        <is>
          <t>V05</t>
        </is>
      </c>
      <c r="C243" t="inlineStr">
        <is>
          <t>Annotation</t>
        </is>
      </c>
      <c r="D243" t="inlineStr">
        <is>
          <t>Bin_02</t>
        </is>
      </c>
      <c r="E243" t="n">
        <v>10</v>
      </c>
      <c r="F243" t="inlineStr">
        <is>
          <t>Surprise</t>
        </is>
      </c>
      <c r="G243" t="n">
        <v>50</v>
      </c>
      <c r="H243" t="n">
        <v>0</v>
      </c>
      <c r="I243" t="n">
        <v>0</v>
      </c>
      <c r="J243" t="inlineStr">
        <is>
          <t>NA</t>
        </is>
      </c>
      <c r="K243" t="n">
        <v>98.3</v>
      </c>
      <c r="L243">
        <f>IF(K243&gt;=80,"Yes","No")</f>
        <v/>
      </c>
      <c r="M243">
        <f>IF(ISNUMBER(H243),IF(H243&gt;0,1,0),"")</f>
        <v/>
      </c>
    </row>
    <row r="244">
      <c r="A244" t="inlineStr">
        <is>
          <t>SIMULATED_FEA_Commercial_Study</t>
        </is>
      </c>
      <c r="B244" t="inlineStr">
        <is>
          <t>V05</t>
        </is>
      </c>
      <c r="C244" t="inlineStr">
        <is>
          <t>Annotation</t>
        </is>
      </c>
      <c r="D244" t="inlineStr">
        <is>
          <t>Bin_02</t>
        </is>
      </c>
      <c r="E244" t="n">
        <v>10</v>
      </c>
      <c r="F244" t="inlineStr">
        <is>
          <t>Brow Furrow</t>
        </is>
      </c>
      <c r="G244" t="n">
        <v>50</v>
      </c>
      <c r="H244" t="n">
        <v>0</v>
      </c>
      <c r="I244" t="n">
        <v>0</v>
      </c>
      <c r="J244" t="inlineStr">
        <is>
          <t>NA</t>
        </is>
      </c>
      <c r="K244" t="n">
        <v>98.3</v>
      </c>
      <c r="L244">
        <f>IF(K244&gt;=80,"Yes","No")</f>
        <v/>
      </c>
      <c r="M244">
        <f>IF(ISNUMBER(H244),IF(H244&gt;0,1,0),"")</f>
        <v/>
      </c>
    </row>
    <row r="245">
      <c r="A245" t="inlineStr">
        <is>
          <t>SIMULATED_FEA_Commercial_Study</t>
        </is>
      </c>
      <c r="B245" t="inlineStr">
        <is>
          <t>V05</t>
        </is>
      </c>
      <c r="C245" t="inlineStr">
        <is>
          <t>Annotation</t>
        </is>
      </c>
      <c r="D245" t="inlineStr">
        <is>
          <t>Bin_02</t>
        </is>
      </c>
      <c r="E245" t="n">
        <v>10</v>
      </c>
      <c r="F245" t="inlineStr">
        <is>
          <t>Positive Valence</t>
        </is>
      </c>
      <c r="G245" t="n">
        <v>50</v>
      </c>
      <c r="H245" t="n">
        <v>0</v>
      </c>
      <c r="I245" t="n">
        <v>0</v>
      </c>
      <c r="J245" t="inlineStr">
        <is>
          <t>NA</t>
        </is>
      </c>
      <c r="K245" t="n">
        <v>98.3</v>
      </c>
      <c r="L245">
        <f>IF(K245&gt;=80,"Yes","No")</f>
        <v/>
      </c>
      <c r="M245">
        <f>IF(ISNUMBER(H245),IF(H245&gt;0,1,0),"")</f>
        <v/>
      </c>
    </row>
    <row r="246">
      <c r="A246" t="inlineStr">
        <is>
          <t>SIMULATED_FEA_Commercial_Study</t>
        </is>
      </c>
      <c r="B246" t="inlineStr">
        <is>
          <t>V05</t>
        </is>
      </c>
      <c r="C246" t="inlineStr">
        <is>
          <t>Annotation</t>
        </is>
      </c>
      <c r="D246" t="inlineStr">
        <is>
          <t>Bin_02</t>
        </is>
      </c>
      <c r="E246" t="n">
        <v>10</v>
      </c>
      <c r="F246" t="inlineStr">
        <is>
          <t>Negative Valence</t>
        </is>
      </c>
      <c r="G246" t="n">
        <v>-50</v>
      </c>
      <c r="H246" t="n">
        <v>0</v>
      </c>
      <c r="I246" t="n">
        <v>0</v>
      </c>
      <c r="J246" t="inlineStr">
        <is>
          <t>NA</t>
        </is>
      </c>
      <c r="K246" t="n">
        <v>98.3</v>
      </c>
      <c r="L246">
        <f>IF(K246&gt;=80,"Yes","No")</f>
        <v/>
      </c>
      <c r="M246">
        <f>IF(ISNUMBER(H246),IF(H246&gt;0,1,0),"")</f>
        <v/>
      </c>
    </row>
    <row r="247">
      <c r="A247" t="inlineStr">
        <is>
          <t>SIMULATED_FEA_Commercial_Study</t>
        </is>
      </c>
      <c r="B247" t="inlineStr">
        <is>
          <t>V05</t>
        </is>
      </c>
      <c r="C247" t="inlineStr">
        <is>
          <t>Annotation</t>
        </is>
      </c>
      <c r="D247" t="inlineStr">
        <is>
          <t>Bin_02</t>
        </is>
      </c>
      <c r="E247" t="n">
        <v>10</v>
      </c>
      <c r="F247" t="inlineStr">
        <is>
          <t>Engagement</t>
        </is>
      </c>
      <c r="G247" t="inlineStr">
        <is>
          <t>NA</t>
        </is>
      </c>
      <c r="H247" t="inlineStr">
        <is>
          <t>NA</t>
        </is>
      </c>
      <c r="I247" t="inlineStr">
        <is>
          <t>NA</t>
        </is>
      </c>
      <c r="J247" t="n">
        <v>4.62</v>
      </c>
      <c r="K247" t="n">
        <v>98.3</v>
      </c>
      <c r="L247">
        <f>IF(K247&gt;=80,"Yes","No")</f>
        <v/>
      </c>
      <c r="M247">
        <f>IF(ISNUMBER(H247),IF(H247&gt;0,1,0),"")</f>
        <v/>
      </c>
    </row>
    <row r="248">
      <c r="A248" t="inlineStr">
        <is>
          <t>SIMULATED_FEA_Commercial_Study</t>
        </is>
      </c>
      <c r="B248" t="inlineStr">
        <is>
          <t>V05</t>
        </is>
      </c>
      <c r="C248" t="inlineStr">
        <is>
          <t>Annotation</t>
        </is>
      </c>
      <c r="D248" t="inlineStr">
        <is>
          <t>Bin_03</t>
        </is>
      </c>
      <c r="E248" t="n">
        <v>10</v>
      </c>
      <c r="F248" t="inlineStr">
        <is>
          <t>Joy</t>
        </is>
      </c>
      <c r="G248" t="n">
        <v>50</v>
      </c>
      <c r="H248" t="n">
        <v>0</v>
      </c>
      <c r="I248" t="n">
        <v>0</v>
      </c>
      <c r="J248" t="inlineStr">
        <is>
          <t>NA</t>
        </is>
      </c>
      <c r="K248" t="n">
        <v>98.3</v>
      </c>
      <c r="L248">
        <f>IF(K248&gt;=80,"Yes","No")</f>
        <v/>
      </c>
      <c r="M248">
        <f>IF(ISNUMBER(H248),IF(H248&gt;0,1,0),"")</f>
        <v/>
      </c>
    </row>
    <row r="249">
      <c r="A249" t="inlineStr">
        <is>
          <t>SIMULATED_FEA_Commercial_Study</t>
        </is>
      </c>
      <c r="B249" t="inlineStr">
        <is>
          <t>V05</t>
        </is>
      </c>
      <c r="C249" t="inlineStr">
        <is>
          <t>Annotation</t>
        </is>
      </c>
      <c r="D249" t="inlineStr">
        <is>
          <t>Bin_03</t>
        </is>
      </c>
      <c r="E249" t="n">
        <v>10</v>
      </c>
      <c r="F249" t="inlineStr">
        <is>
          <t>Surprise</t>
        </is>
      </c>
      <c r="G249" t="n">
        <v>50</v>
      </c>
      <c r="H249" t="n">
        <v>23.33</v>
      </c>
      <c r="I249" t="n">
        <v>2</v>
      </c>
      <c r="J249" t="inlineStr">
        <is>
          <t>NA</t>
        </is>
      </c>
      <c r="K249" t="n">
        <v>98.3</v>
      </c>
      <c r="L249">
        <f>IF(K249&gt;=80,"Yes","No")</f>
        <v/>
      </c>
      <c r="M249">
        <f>IF(ISNUMBER(H249),IF(H249&gt;0,1,0),"")</f>
        <v/>
      </c>
    </row>
    <row r="250">
      <c r="A250" t="inlineStr">
        <is>
          <t>SIMULATED_FEA_Commercial_Study</t>
        </is>
      </c>
      <c r="B250" t="inlineStr">
        <is>
          <t>V05</t>
        </is>
      </c>
      <c r="C250" t="inlineStr">
        <is>
          <t>Annotation</t>
        </is>
      </c>
      <c r="D250" t="inlineStr">
        <is>
          <t>Bin_03</t>
        </is>
      </c>
      <c r="E250" t="n">
        <v>10</v>
      </c>
      <c r="F250" t="inlineStr">
        <is>
          <t>Brow Furrow</t>
        </is>
      </c>
      <c r="G250" t="n">
        <v>50</v>
      </c>
      <c r="H250" t="n">
        <v>0</v>
      </c>
      <c r="I250" t="n">
        <v>0</v>
      </c>
      <c r="J250" t="inlineStr">
        <is>
          <t>NA</t>
        </is>
      </c>
      <c r="K250" t="n">
        <v>98.3</v>
      </c>
      <c r="L250">
        <f>IF(K250&gt;=80,"Yes","No")</f>
        <v/>
      </c>
      <c r="M250">
        <f>IF(ISNUMBER(H250),IF(H250&gt;0,1,0),"")</f>
        <v/>
      </c>
    </row>
    <row r="251">
      <c r="A251" t="inlineStr">
        <is>
          <t>SIMULATED_FEA_Commercial_Study</t>
        </is>
      </c>
      <c r="B251" t="inlineStr">
        <is>
          <t>V05</t>
        </is>
      </c>
      <c r="C251" t="inlineStr">
        <is>
          <t>Annotation</t>
        </is>
      </c>
      <c r="D251" t="inlineStr">
        <is>
          <t>Bin_03</t>
        </is>
      </c>
      <c r="E251" t="n">
        <v>10</v>
      </c>
      <c r="F251" t="inlineStr">
        <is>
          <t>Positive Valence</t>
        </is>
      </c>
      <c r="G251" t="n">
        <v>50</v>
      </c>
      <c r="H251" t="n">
        <v>0</v>
      </c>
      <c r="I251" t="n">
        <v>0</v>
      </c>
      <c r="J251" t="inlineStr">
        <is>
          <t>NA</t>
        </is>
      </c>
      <c r="K251" t="n">
        <v>98.3</v>
      </c>
      <c r="L251">
        <f>IF(K251&gt;=80,"Yes","No")</f>
        <v/>
      </c>
      <c r="M251">
        <f>IF(ISNUMBER(H251),IF(H251&gt;0,1,0),"")</f>
        <v/>
      </c>
    </row>
    <row r="252">
      <c r="A252" t="inlineStr">
        <is>
          <t>SIMULATED_FEA_Commercial_Study</t>
        </is>
      </c>
      <c r="B252" t="inlineStr">
        <is>
          <t>V05</t>
        </is>
      </c>
      <c r="C252" t="inlineStr">
        <is>
          <t>Annotation</t>
        </is>
      </c>
      <c r="D252" t="inlineStr">
        <is>
          <t>Bin_03</t>
        </is>
      </c>
      <c r="E252" t="n">
        <v>10</v>
      </c>
      <c r="F252" t="inlineStr">
        <is>
          <t>Negative Valence</t>
        </is>
      </c>
      <c r="G252" t="n">
        <v>-50</v>
      </c>
      <c r="H252" t="n">
        <v>0</v>
      </c>
      <c r="I252" t="n">
        <v>0</v>
      </c>
      <c r="J252" t="inlineStr">
        <is>
          <t>NA</t>
        </is>
      </c>
      <c r="K252" t="n">
        <v>98.3</v>
      </c>
      <c r="L252">
        <f>IF(K252&gt;=80,"Yes","No")</f>
        <v/>
      </c>
      <c r="M252">
        <f>IF(ISNUMBER(H252),IF(H252&gt;0,1,0),"")</f>
        <v/>
      </c>
    </row>
    <row r="253">
      <c r="A253" t="inlineStr">
        <is>
          <t>SIMULATED_FEA_Commercial_Study</t>
        </is>
      </c>
      <c r="B253" t="inlineStr">
        <is>
          <t>V05</t>
        </is>
      </c>
      <c r="C253" t="inlineStr">
        <is>
          <t>Annotation</t>
        </is>
      </c>
      <c r="D253" t="inlineStr">
        <is>
          <t>Bin_03</t>
        </is>
      </c>
      <c r="E253" t="n">
        <v>10</v>
      </c>
      <c r="F253" t="inlineStr">
        <is>
          <t>Engagement</t>
        </is>
      </c>
      <c r="G253" t="inlineStr">
        <is>
          <t>NA</t>
        </is>
      </c>
      <c r="H253" t="inlineStr">
        <is>
          <t>NA</t>
        </is>
      </c>
      <c r="I253" t="inlineStr">
        <is>
          <t>NA</t>
        </is>
      </c>
      <c r="J253" t="n">
        <v>17.91</v>
      </c>
      <c r="K253" t="n">
        <v>98.3</v>
      </c>
      <c r="L253">
        <f>IF(K253&gt;=80,"Yes","No")</f>
        <v/>
      </c>
      <c r="M253">
        <f>IF(ISNUMBER(H253),IF(H253&gt;0,1,0),"")</f>
        <v/>
      </c>
    </row>
    <row r="254">
      <c r="A254" t="inlineStr">
        <is>
          <t>SIMULATED_FEA_Commercial_Study</t>
        </is>
      </c>
      <c r="B254" t="inlineStr">
        <is>
          <t>V05</t>
        </is>
      </c>
      <c r="C254" t="inlineStr">
        <is>
          <t>Annotation</t>
        </is>
      </c>
      <c r="D254" t="inlineStr">
        <is>
          <t>Bin_04</t>
        </is>
      </c>
      <c r="E254" t="n">
        <v>10</v>
      </c>
      <c r="F254" t="inlineStr">
        <is>
          <t>Joy</t>
        </is>
      </c>
      <c r="G254" t="n">
        <v>50</v>
      </c>
      <c r="H254" t="n">
        <v>0</v>
      </c>
      <c r="I254" t="n">
        <v>0</v>
      </c>
      <c r="J254" t="inlineStr">
        <is>
          <t>NA</t>
        </is>
      </c>
      <c r="K254" t="n">
        <v>98.3</v>
      </c>
      <c r="L254">
        <f>IF(K254&gt;=80,"Yes","No")</f>
        <v/>
      </c>
      <c r="M254">
        <f>IF(ISNUMBER(H254),IF(H254&gt;0,1,0),"")</f>
        <v/>
      </c>
    </row>
    <row r="255">
      <c r="A255" t="inlineStr">
        <is>
          <t>SIMULATED_FEA_Commercial_Study</t>
        </is>
      </c>
      <c r="B255" t="inlineStr">
        <is>
          <t>V05</t>
        </is>
      </c>
      <c r="C255" t="inlineStr">
        <is>
          <t>Annotation</t>
        </is>
      </c>
      <c r="D255" t="inlineStr">
        <is>
          <t>Bin_04</t>
        </is>
      </c>
      <c r="E255" t="n">
        <v>10</v>
      </c>
      <c r="F255" t="inlineStr">
        <is>
          <t>Surprise</t>
        </is>
      </c>
      <c r="G255" t="n">
        <v>50</v>
      </c>
      <c r="H255" t="n">
        <v>0</v>
      </c>
      <c r="I255" t="n">
        <v>0</v>
      </c>
      <c r="J255" t="inlineStr">
        <is>
          <t>NA</t>
        </is>
      </c>
      <c r="K255" t="n">
        <v>98.3</v>
      </c>
      <c r="L255">
        <f>IF(K255&gt;=80,"Yes","No")</f>
        <v/>
      </c>
      <c r="M255">
        <f>IF(ISNUMBER(H255),IF(H255&gt;0,1,0),"")</f>
        <v/>
      </c>
    </row>
    <row r="256">
      <c r="A256" t="inlineStr">
        <is>
          <t>SIMULATED_FEA_Commercial_Study</t>
        </is>
      </c>
      <c r="B256" t="inlineStr">
        <is>
          <t>V05</t>
        </is>
      </c>
      <c r="C256" t="inlineStr">
        <is>
          <t>Annotation</t>
        </is>
      </c>
      <c r="D256" t="inlineStr">
        <is>
          <t>Bin_04</t>
        </is>
      </c>
      <c r="E256" t="n">
        <v>10</v>
      </c>
      <c r="F256" t="inlineStr">
        <is>
          <t>Brow Furrow</t>
        </is>
      </c>
      <c r="G256" t="n">
        <v>50</v>
      </c>
      <c r="H256" t="n">
        <v>0</v>
      </c>
      <c r="I256" t="n">
        <v>0</v>
      </c>
      <c r="J256" t="inlineStr">
        <is>
          <t>NA</t>
        </is>
      </c>
      <c r="K256" t="n">
        <v>98.3</v>
      </c>
      <c r="L256">
        <f>IF(K256&gt;=80,"Yes","No")</f>
        <v/>
      </c>
      <c r="M256">
        <f>IF(ISNUMBER(H256),IF(H256&gt;0,1,0),"")</f>
        <v/>
      </c>
    </row>
    <row r="257">
      <c r="A257" t="inlineStr">
        <is>
          <t>SIMULATED_FEA_Commercial_Study</t>
        </is>
      </c>
      <c r="B257" t="inlineStr">
        <is>
          <t>V05</t>
        </is>
      </c>
      <c r="C257" t="inlineStr">
        <is>
          <t>Annotation</t>
        </is>
      </c>
      <c r="D257" t="inlineStr">
        <is>
          <t>Bin_04</t>
        </is>
      </c>
      <c r="E257" t="n">
        <v>10</v>
      </c>
      <c r="F257" t="inlineStr">
        <is>
          <t>Positive Valence</t>
        </is>
      </c>
      <c r="G257" t="n">
        <v>50</v>
      </c>
      <c r="H257" t="n">
        <v>0</v>
      </c>
      <c r="I257" t="n">
        <v>0</v>
      </c>
      <c r="J257" t="inlineStr">
        <is>
          <t>NA</t>
        </is>
      </c>
      <c r="K257" t="n">
        <v>98.3</v>
      </c>
      <c r="L257">
        <f>IF(K257&gt;=80,"Yes","No")</f>
        <v/>
      </c>
      <c r="M257">
        <f>IF(ISNUMBER(H257),IF(H257&gt;0,1,0),"")</f>
        <v/>
      </c>
    </row>
    <row r="258">
      <c r="A258" t="inlineStr">
        <is>
          <t>SIMULATED_FEA_Commercial_Study</t>
        </is>
      </c>
      <c r="B258" t="inlineStr">
        <is>
          <t>V05</t>
        </is>
      </c>
      <c r="C258" t="inlineStr">
        <is>
          <t>Annotation</t>
        </is>
      </c>
      <c r="D258" t="inlineStr">
        <is>
          <t>Bin_04</t>
        </is>
      </c>
      <c r="E258" t="n">
        <v>10</v>
      </c>
      <c r="F258" t="inlineStr">
        <is>
          <t>Negative Valence</t>
        </is>
      </c>
      <c r="G258" t="n">
        <v>-50</v>
      </c>
      <c r="H258" t="n">
        <v>0</v>
      </c>
      <c r="I258" t="n">
        <v>0</v>
      </c>
      <c r="J258" t="inlineStr">
        <is>
          <t>NA</t>
        </is>
      </c>
      <c r="K258" t="n">
        <v>98.3</v>
      </c>
      <c r="L258">
        <f>IF(K258&gt;=80,"Yes","No")</f>
        <v/>
      </c>
      <c r="M258">
        <f>IF(ISNUMBER(H258),IF(H258&gt;0,1,0),"")</f>
        <v/>
      </c>
    </row>
    <row r="259">
      <c r="A259" t="inlineStr">
        <is>
          <t>SIMULATED_FEA_Commercial_Study</t>
        </is>
      </c>
      <c r="B259" t="inlineStr">
        <is>
          <t>V05</t>
        </is>
      </c>
      <c r="C259" t="inlineStr">
        <is>
          <t>Annotation</t>
        </is>
      </c>
      <c r="D259" t="inlineStr">
        <is>
          <t>Bin_04</t>
        </is>
      </c>
      <c r="E259" t="n">
        <v>10</v>
      </c>
      <c r="F259" t="inlineStr">
        <is>
          <t>Engagement</t>
        </is>
      </c>
      <c r="G259" t="inlineStr">
        <is>
          <t>NA</t>
        </is>
      </c>
      <c r="H259" t="inlineStr">
        <is>
          <t>NA</t>
        </is>
      </c>
      <c r="I259" t="inlineStr">
        <is>
          <t>NA</t>
        </is>
      </c>
      <c r="J259" t="n">
        <v>7.38</v>
      </c>
      <c r="K259" t="n">
        <v>98.3</v>
      </c>
      <c r="L259">
        <f>IF(K259&gt;=80,"Yes","No")</f>
        <v/>
      </c>
      <c r="M259">
        <f>IF(ISNUMBER(H259),IF(H259&gt;0,1,0),"")</f>
        <v/>
      </c>
    </row>
    <row r="260">
      <c r="A260" t="inlineStr">
        <is>
          <t>SIMULATED_FEA_Commercial_Study</t>
        </is>
      </c>
      <c r="B260" t="inlineStr">
        <is>
          <t>V05</t>
        </is>
      </c>
      <c r="C260" t="inlineStr">
        <is>
          <t>Annotation</t>
        </is>
      </c>
      <c r="D260" t="inlineStr">
        <is>
          <t>Bin_05</t>
        </is>
      </c>
      <c r="E260" t="n">
        <v>10</v>
      </c>
      <c r="F260" t="inlineStr">
        <is>
          <t>Joy</t>
        </is>
      </c>
      <c r="G260" t="n">
        <v>50</v>
      </c>
      <c r="H260" t="n">
        <v>3</v>
      </c>
      <c r="I260" t="n">
        <v>2</v>
      </c>
      <c r="J260" t="inlineStr">
        <is>
          <t>NA</t>
        </is>
      </c>
      <c r="K260" t="n">
        <v>98.3</v>
      </c>
      <c r="L260">
        <f>IF(K260&gt;=80,"Yes","No")</f>
        <v/>
      </c>
      <c r="M260">
        <f>IF(ISNUMBER(H260),IF(H260&gt;0,1,0),"")</f>
        <v/>
      </c>
    </row>
    <row r="261">
      <c r="A261" t="inlineStr">
        <is>
          <t>SIMULATED_FEA_Commercial_Study</t>
        </is>
      </c>
      <c r="B261" t="inlineStr">
        <is>
          <t>V05</t>
        </is>
      </c>
      <c r="C261" t="inlineStr">
        <is>
          <t>Annotation</t>
        </is>
      </c>
      <c r="D261" t="inlineStr">
        <is>
          <t>Bin_05</t>
        </is>
      </c>
      <c r="E261" t="n">
        <v>10</v>
      </c>
      <c r="F261" t="inlineStr">
        <is>
          <t>Surprise</t>
        </is>
      </c>
      <c r="G261" t="n">
        <v>50</v>
      </c>
      <c r="H261" t="n">
        <v>0</v>
      </c>
      <c r="I261" t="n">
        <v>0</v>
      </c>
      <c r="J261" t="inlineStr">
        <is>
          <t>NA</t>
        </is>
      </c>
      <c r="K261" t="n">
        <v>98.3</v>
      </c>
      <c r="L261">
        <f>IF(K261&gt;=80,"Yes","No")</f>
        <v/>
      </c>
      <c r="M261">
        <f>IF(ISNUMBER(H261),IF(H261&gt;0,1,0),"")</f>
        <v/>
      </c>
    </row>
    <row r="262">
      <c r="A262" t="inlineStr">
        <is>
          <t>SIMULATED_FEA_Commercial_Study</t>
        </is>
      </c>
      <c r="B262" t="inlineStr">
        <is>
          <t>V05</t>
        </is>
      </c>
      <c r="C262" t="inlineStr">
        <is>
          <t>Annotation</t>
        </is>
      </c>
      <c r="D262" t="inlineStr">
        <is>
          <t>Bin_05</t>
        </is>
      </c>
      <c r="E262" t="n">
        <v>10</v>
      </c>
      <c r="F262" t="inlineStr">
        <is>
          <t>Brow Furrow</t>
        </is>
      </c>
      <c r="G262" t="n">
        <v>50</v>
      </c>
      <c r="H262" t="n">
        <v>0</v>
      </c>
      <c r="I262" t="n">
        <v>0</v>
      </c>
      <c r="J262" t="inlineStr">
        <is>
          <t>NA</t>
        </is>
      </c>
      <c r="K262" t="n">
        <v>98.3</v>
      </c>
      <c r="L262">
        <f>IF(K262&gt;=80,"Yes","No")</f>
        <v/>
      </c>
      <c r="M262">
        <f>IF(ISNUMBER(H262),IF(H262&gt;0,1,0),"")</f>
        <v/>
      </c>
    </row>
    <row r="263">
      <c r="A263" t="inlineStr">
        <is>
          <t>SIMULATED_FEA_Commercial_Study</t>
        </is>
      </c>
      <c r="B263" t="inlineStr">
        <is>
          <t>V05</t>
        </is>
      </c>
      <c r="C263" t="inlineStr">
        <is>
          <t>Annotation</t>
        </is>
      </c>
      <c r="D263" t="inlineStr">
        <is>
          <t>Bin_05</t>
        </is>
      </c>
      <c r="E263" t="n">
        <v>10</v>
      </c>
      <c r="F263" t="inlineStr">
        <is>
          <t>Positive Valence</t>
        </is>
      </c>
      <c r="G263" t="n">
        <v>50</v>
      </c>
      <c r="H263" t="n">
        <v>4</v>
      </c>
      <c r="I263" t="n">
        <v>1</v>
      </c>
      <c r="J263" t="inlineStr">
        <is>
          <t>NA</t>
        </is>
      </c>
      <c r="K263" t="n">
        <v>98.3</v>
      </c>
      <c r="L263">
        <f>IF(K263&gt;=80,"Yes","No")</f>
        <v/>
      </c>
      <c r="M263">
        <f>IF(ISNUMBER(H263),IF(H263&gt;0,1,0),"")</f>
        <v/>
      </c>
    </row>
    <row r="264">
      <c r="A264" t="inlineStr">
        <is>
          <t>SIMULATED_FEA_Commercial_Study</t>
        </is>
      </c>
      <c r="B264" t="inlineStr">
        <is>
          <t>V05</t>
        </is>
      </c>
      <c r="C264" t="inlineStr">
        <is>
          <t>Annotation</t>
        </is>
      </c>
      <c r="D264" t="inlineStr">
        <is>
          <t>Bin_05</t>
        </is>
      </c>
      <c r="E264" t="n">
        <v>10</v>
      </c>
      <c r="F264" t="inlineStr">
        <is>
          <t>Negative Valence</t>
        </is>
      </c>
      <c r="G264" t="n">
        <v>-50</v>
      </c>
      <c r="H264" t="n">
        <v>0</v>
      </c>
      <c r="I264" t="n">
        <v>0</v>
      </c>
      <c r="J264" t="inlineStr">
        <is>
          <t>NA</t>
        </is>
      </c>
      <c r="K264" t="n">
        <v>98.3</v>
      </c>
      <c r="L264">
        <f>IF(K264&gt;=80,"Yes","No")</f>
        <v/>
      </c>
      <c r="M264">
        <f>IF(ISNUMBER(H264),IF(H264&gt;0,1,0),"")</f>
        <v/>
      </c>
    </row>
    <row r="265">
      <c r="A265" t="inlineStr">
        <is>
          <t>SIMULATED_FEA_Commercial_Study</t>
        </is>
      </c>
      <c r="B265" t="inlineStr">
        <is>
          <t>V05</t>
        </is>
      </c>
      <c r="C265" t="inlineStr">
        <is>
          <t>Annotation</t>
        </is>
      </c>
      <c r="D265" t="inlineStr">
        <is>
          <t>Bin_05</t>
        </is>
      </c>
      <c r="E265" t="n">
        <v>10</v>
      </c>
      <c r="F265" t="inlineStr">
        <is>
          <t>Engagement</t>
        </is>
      </c>
      <c r="G265" t="inlineStr">
        <is>
          <t>NA</t>
        </is>
      </c>
      <c r="H265" t="inlineStr">
        <is>
          <t>NA</t>
        </is>
      </c>
      <c r="I265" t="inlineStr">
        <is>
          <t>NA</t>
        </is>
      </c>
      <c r="J265" t="n">
        <v>7.03</v>
      </c>
      <c r="K265" t="n">
        <v>98.3</v>
      </c>
      <c r="L265">
        <f>IF(K265&gt;=80,"Yes","No")</f>
        <v/>
      </c>
      <c r="M265">
        <f>IF(ISNUMBER(H265),IF(H265&gt;0,1,0),"")</f>
        <v/>
      </c>
    </row>
    <row r="266">
      <c r="A266" t="inlineStr">
        <is>
          <t>SIMULATED_FEA_Commercial_Study</t>
        </is>
      </c>
      <c r="B266" t="inlineStr">
        <is>
          <t>V05</t>
        </is>
      </c>
      <c r="C266" t="inlineStr">
        <is>
          <t>Annotation</t>
        </is>
      </c>
      <c r="D266" t="inlineStr">
        <is>
          <t>Bin_06</t>
        </is>
      </c>
      <c r="E266" t="n">
        <v>10</v>
      </c>
      <c r="F266" t="inlineStr">
        <is>
          <t>Joy</t>
        </is>
      </c>
      <c r="G266" t="n">
        <v>50</v>
      </c>
      <c r="H266" t="n">
        <v>0</v>
      </c>
      <c r="I266" t="n">
        <v>0</v>
      </c>
      <c r="J266" t="inlineStr">
        <is>
          <t>NA</t>
        </is>
      </c>
      <c r="K266" t="n">
        <v>98.3</v>
      </c>
      <c r="L266">
        <f>IF(K266&gt;=80,"Yes","No")</f>
        <v/>
      </c>
      <c r="M266">
        <f>IF(ISNUMBER(H266),IF(H266&gt;0,1,0),"")</f>
        <v/>
      </c>
    </row>
    <row r="267">
      <c r="A267" t="inlineStr">
        <is>
          <t>SIMULATED_FEA_Commercial_Study</t>
        </is>
      </c>
      <c r="B267" t="inlineStr">
        <is>
          <t>V05</t>
        </is>
      </c>
      <c r="C267" t="inlineStr">
        <is>
          <t>Annotation</t>
        </is>
      </c>
      <c r="D267" t="inlineStr">
        <is>
          <t>Bin_06</t>
        </is>
      </c>
      <c r="E267" t="n">
        <v>10</v>
      </c>
      <c r="F267" t="inlineStr">
        <is>
          <t>Surprise</t>
        </is>
      </c>
      <c r="G267" t="n">
        <v>50</v>
      </c>
      <c r="H267" t="n">
        <v>0</v>
      </c>
      <c r="I267" t="n">
        <v>0</v>
      </c>
      <c r="J267" t="inlineStr">
        <is>
          <t>NA</t>
        </is>
      </c>
      <c r="K267" t="n">
        <v>98.3</v>
      </c>
      <c r="L267">
        <f>IF(K267&gt;=80,"Yes","No")</f>
        <v/>
      </c>
      <c r="M267">
        <f>IF(ISNUMBER(H267),IF(H267&gt;0,1,0),"")</f>
        <v/>
      </c>
    </row>
    <row r="268">
      <c r="A268" t="inlineStr">
        <is>
          <t>SIMULATED_FEA_Commercial_Study</t>
        </is>
      </c>
      <c r="B268" t="inlineStr">
        <is>
          <t>V05</t>
        </is>
      </c>
      <c r="C268" t="inlineStr">
        <is>
          <t>Annotation</t>
        </is>
      </c>
      <c r="D268" t="inlineStr">
        <is>
          <t>Bin_06</t>
        </is>
      </c>
      <c r="E268" t="n">
        <v>10</v>
      </c>
      <c r="F268" t="inlineStr">
        <is>
          <t>Brow Furrow</t>
        </is>
      </c>
      <c r="G268" t="n">
        <v>50</v>
      </c>
      <c r="H268" t="n">
        <v>0</v>
      </c>
      <c r="I268" t="n">
        <v>0</v>
      </c>
      <c r="J268" t="inlineStr">
        <is>
          <t>NA</t>
        </is>
      </c>
      <c r="K268" t="n">
        <v>98.3</v>
      </c>
      <c r="L268">
        <f>IF(K268&gt;=80,"Yes","No")</f>
        <v/>
      </c>
      <c r="M268">
        <f>IF(ISNUMBER(H268),IF(H268&gt;0,1,0),"")</f>
        <v/>
      </c>
    </row>
    <row r="269">
      <c r="A269" t="inlineStr">
        <is>
          <t>SIMULATED_FEA_Commercial_Study</t>
        </is>
      </c>
      <c r="B269" t="inlineStr">
        <is>
          <t>V05</t>
        </is>
      </c>
      <c r="C269" t="inlineStr">
        <is>
          <t>Annotation</t>
        </is>
      </c>
      <c r="D269" t="inlineStr">
        <is>
          <t>Bin_06</t>
        </is>
      </c>
      <c r="E269" t="n">
        <v>10</v>
      </c>
      <c r="F269" t="inlineStr">
        <is>
          <t>Positive Valence</t>
        </is>
      </c>
      <c r="G269" t="n">
        <v>50</v>
      </c>
      <c r="H269" t="n">
        <v>0</v>
      </c>
      <c r="I269" t="n">
        <v>0</v>
      </c>
      <c r="J269" t="inlineStr">
        <is>
          <t>NA</t>
        </is>
      </c>
      <c r="K269" t="n">
        <v>98.3</v>
      </c>
      <c r="L269">
        <f>IF(K269&gt;=80,"Yes","No")</f>
        <v/>
      </c>
      <c r="M269">
        <f>IF(ISNUMBER(H269),IF(H269&gt;0,1,0),"")</f>
        <v/>
      </c>
    </row>
    <row r="270">
      <c r="A270" t="inlineStr">
        <is>
          <t>SIMULATED_FEA_Commercial_Study</t>
        </is>
      </c>
      <c r="B270" t="inlineStr">
        <is>
          <t>V05</t>
        </is>
      </c>
      <c r="C270" t="inlineStr">
        <is>
          <t>Annotation</t>
        </is>
      </c>
      <c r="D270" t="inlineStr">
        <is>
          <t>Bin_06</t>
        </is>
      </c>
      <c r="E270" t="n">
        <v>10</v>
      </c>
      <c r="F270" t="inlineStr">
        <is>
          <t>Negative Valence</t>
        </is>
      </c>
      <c r="G270" t="n">
        <v>-50</v>
      </c>
      <c r="H270" t="n">
        <v>0</v>
      </c>
      <c r="I270" t="n">
        <v>0</v>
      </c>
      <c r="J270" t="inlineStr">
        <is>
          <t>NA</t>
        </is>
      </c>
      <c r="K270" t="n">
        <v>98.3</v>
      </c>
      <c r="L270">
        <f>IF(K270&gt;=80,"Yes","No")</f>
        <v/>
      </c>
      <c r="M270">
        <f>IF(ISNUMBER(H270),IF(H270&gt;0,1,0),"")</f>
        <v/>
      </c>
    </row>
    <row r="271">
      <c r="A271" t="inlineStr">
        <is>
          <t>SIMULATED_FEA_Commercial_Study</t>
        </is>
      </c>
      <c r="B271" t="inlineStr">
        <is>
          <t>V05</t>
        </is>
      </c>
      <c r="C271" t="inlineStr">
        <is>
          <t>Annotation</t>
        </is>
      </c>
      <c r="D271" t="inlineStr">
        <is>
          <t>Bin_06</t>
        </is>
      </c>
      <c r="E271" t="n">
        <v>10</v>
      </c>
      <c r="F271" t="inlineStr">
        <is>
          <t>Engagement</t>
        </is>
      </c>
      <c r="G271" t="inlineStr">
        <is>
          <t>NA</t>
        </is>
      </c>
      <c r="H271" t="inlineStr">
        <is>
          <t>NA</t>
        </is>
      </c>
      <c r="I271" t="inlineStr">
        <is>
          <t>NA</t>
        </is>
      </c>
      <c r="J271" t="n">
        <v>4.35</v>
      </c>
      <c r="K271" t="n">
        <v>98.3</v>
      </c>
      <c r="L271">
        <f>IF(K271&gt;=80,"Yes","No")</f>
        <v/>
      </c>
      <c r="M271">
        <f>IF(ISNUMBER(H271),IF(H271&gt;0,1,0),"")</f>
        <v/>
      </c>
    </row>
    <row r="272">
      <c r="A272" t="inlineStr">
        <is>
          <t>SIMULATED_FEA_Commercial_Study</t>
        </is>
      </c>
      <c r="B272" t="inlineStr">
        <is>
          <t>V06</t>
        </is>
      </c>
      <c r="C272" t="inlineStr">
        <is>
          <t>Stimulus</t>
        </is>
      </c>
      <c r="D272" t="inlineStr">
        <is>
          <t>Baseline</t>
        </is>
      </c>
      <c r="E272" t="n">
        <v>60</v>
      </c>
      <c r="F272" t="inlineStr">
        <is>
          <t>Joy</t>
        </is>
      </c>
      <c r="G272" t="n">
        <v>50</v>
      </c>
      <c r="H272" t="n">
        <v>0</v>
      </c>
      <c r="I272" t="n">
        <v>0</v>
      </c>
      <c r="J272" t="inlineStr">
        <is>
          <t>NA</t>
        </is>
      </c>
      <c r="K272" t="n">
        <v>95.5</v>
      </c>
      <c r="L272">
        <f>IF(K272&gt;=80,"Yes","No")</f>
        <v/>
      </c>
      <c r="M272">
        <f>IF(ISNUMBER(H272),IF(H272&gt;0,1,0),"")</f>
        <v/>
      </c>
    </row>
    <row r="273">
      <c r="A273" t="inlineStr">
        <is>
          <t>SIMULATED_FEA_Commercial_Study</t>
        </is>
      </c>
      <c r="B273" t="inlineStr">
        <is>
          <t>V06</t>
        </is>
      </c>
      <c r="C273" t="inlineStr">
        <is>
          <t>Stimulus</t>
        </is>
      </c>
      <c r="D273" t="inlineStr">
        <is>
          <t>Baseline</t>
        </is>
      </c>
      <c r="E273" t="n">
        <v>60</v>
      </c>
      <c r="F273" t="inlineStr">
        <is>
          <t>Surprise</t>
        </is>
      </c>
      <c r="G273" t="n">
        <v>50</v>
      </c>
      <c r="H273" t="n">
        <v>0</v>
      </c>
      <c r="I273" t="n">
        <v>0</v>
      </c>
      <c r="J273" t="inlineStr">
        <is>
          <t>NA</t>
        </is>
      </c>
      <c r="K273" t="n">
        <v>95.5</v>
      </c>
      <c r="L273">
        <f>IF(K273&gt;=80,"Yes","No")</f>
        <v/>
      </c>
      <c r="M273">
        <f>IF(ISNUMBER(H273),IF(H273&gt;0,1,0),"")</f>
        <v/>
      </c>
    </row>
    <row r="274">
      <c r="A274" t="inlineStr">
        <is>
          <t>SIMULATED_FEA_Commercial_Study</t>
        </is>
      </c>
      <c r="B274" t="inlineStr">
        <is>
          <t>V06</t>
        </is>
      </c>
      <c r="C274" t="inlineStr">
        <is>
          <t>Stimulus</t>
        </is>
      </c>
      <c r="D274" t="inlineStr">
        <is>
          <t>Baseline</t>
        </is>
      </c>
      <c r="E274" t="n">
        <v>60</v>
      </c>
      <c r="F274" t="inlineStr">
        <is>
          <t>Brow Furrow</t>
        </is>
      </c>
      <c r="G274" t="n">
        <v>50</v>
      </c>
      <c r="H274" t="n">
        <v>10.5</v>
      </c>
      <c r="I274" t="n">
        <v>3</v>
      </c>
      <c r="J274" t="inlineStr">
        <is>
          <t>NA</t>
        </is>
      </c>
      <c r="K274" t="n">
        <v>95.5</v>
      </c>
      <c r="L274">
        <f>IF(K274&gt;=80,"Yes","No")</f>
        <v/>
      </c>
      <c r="M274">
        <f>IF(ISNUMBER(H274),IF(H274&gt;0,1,0),"")</f>
        <v/>
      </c>
    </row>
    <row r="275">
      <c r="A275" t="inlineStr">
        <is>
          <t>SIMULATED_FEA_Commercial_Study</t>
        </is>
      </c>
      <c r="B275" t="inlineStr">
        <is>
          <t>V06</t>
        </is>
      </c>
      <c r="C275" t="inlineStr">
        <is>
          <t>Stimulus</t>
        </is>
      </c>
      <c r="D275" t="inlineStr">
        <is>
          <t>Baseline</t>
        </is>
      </c>
      <c r="E275" t="n">
        <v>60</v>
      </c>
      <c r="F275" t="inlineStr">
        <is>
          <t>Positive Valence</t>
        </is>
      </c>
      <c r="G275" t="n">
        <v>50</v>
      </c>
      <c r="H275" t="n">
        <v>0</v>
      </c>
      <c r="I275" t="n">
        <v>0</v>
      </c>
      <c r="J275" t="inlineStr">
        <is>
          <t>NA</t>
        </is>
      </c>
      <c r="K275" t="n">
        <v>95.5</v>
      </c>
      <c r="L275">
        <f>IF(K275&gt;=80,"Yes","No")</f>
        <v/>
      </c>
      <c r="M275">
        <f>IF(ISNUMBER(H275),IF(H275&gt;0,1,0),"")</f>
        <v/>
      </c>
    </row>
    <row r="276">
      <c r="A276" t="inlineStr">
        <is>
          <t>SIMULATED_FEA_Commercial_Study</t>
        </is>
      </c>
      <c r="B276" t="inlineStr">
        <is>
          <t>V06</t>
        </is>
      </c>
      <c r="C276" t="inlineStr">
        <is>
          <t>Stimulus</t>
        </is>
      </c>
      <c r="D276" t="inlineStr">
        <is>
          <t>Baseline</t>
        </is>
      </c>
      <c r="E276" t="n">
        <v>60</v>
      </c>
      <c r="F276" t="inlineStr">
        <is>
          <t>Negative Valence</t>
        </is>
      </c>
      <c r="G276" t="n">
        <v>-50</v>
      </c>
      <c r="H276" t="n">
        <v>0</v>
      </c>
      <c r="I276" t="n">
        <v>0</v>
      </c>
      <c r="J276" t="inlineStr">
        <is>
          <t>NA</t>
        </is>
      </c>
      <c r="K276" t="n">
        <v>95.5</v>
      </c>
      <c r="L276">
        <f>IF(K276&gt;=80,"Yes","No")</f>
        <v/>
      </c>
      <c r="M276">
        <f>IF(ISNUMBER(H276),IF(H276&gt;0,1,0),"")</f>
        <v/>
      </c>
    </row>
    <row r="277">
      <c r="A277" t="inlineStr">
        <is>
          <t>SIMULATED_FEA_Commercial_Study</t>
        </is>
      </c>
      <c r="B277" t="inlineStr">
        <is>
          <t>V06</t>
        </is>
      </c>
      <c r="C277" t="inlineStr">
        <is>
          <t>Stimulus</t>
        </is>
      </c>
      <c r="D277" t="inlineStr">
        <is>
          <t>Baseline</t>
        </is>
      </c>
      <c r="E277" t="n">
        <v>60</v>
      </c>
      <c r="F277" t="inlineStr">
        <is>
          <t>Engagement</t>
        </is>
      </c>
      <c r="G277" t="inlineStr">
        <is>
          <t>NA</t>
        </is>
      </c>
      <c r="H277" t="inlineStr">
        <is>
          <t>NA</t>
        </is>
      </c>
      <c r="I277" t="inlineStr">
        <is>
          <t>NA</t>
        </is>
      </c>
      <c r="J277" t="n">
        <v>7.53</v>
      </c>
      <c r="K277" t="n">
        <v>95.5</v>
      </c>
      <c r="L277">
        <f>IF(K277&gt;=80,"Yes","No")</f>
        <v/>
      </c>
      <c r="M277">
        <f>IF(ISNUMBER(H277),IF(H277&gt;0,1,0),"")</f>
        <v/>
      </c>
    </row>
    <row r="278">
      <c r="A278" t="inlineStr">
        <is>
          <t>SIMULATED_FEA_Commercial_Study</t>
        </is>
      </c>
      <c r="B278" t="inlineStr">
        <is>
          <t>V06</t>
        </is>
      </c>
      <c r="C278" t="inlineStr">
        <is>
          <t>Stimulus</t>
        </is>
      </c>
      <c r="D278" t="inlineStr">
        <is>
          <t>Commercial</t>
        </is>
      </c>
      <c r="E278" t="n">
        <v>60</v>
      </c>
      <c r="F278" t="inlineStr">
        <is>
          <t>Joy</t>
        </is>
      </c>
      <c r="G278" t="n">
        <v>50</v>
      </c>
      <c r="H278" t="n">
        <v>0</v>
      </c>
      <c r="I278" t="n">
        <v>0</v>
      </c>
      <c r="J278" t="inlineStr">
        <is>
          <t>NA</t>
        </is>
      </c>
      <c r="K278" t="n">
        <v>95.5</v>
      </c>
      <c r="L278">
        <f>IF(K278&gt;=80,"Yes","No")</f>
        <v/>
      </c>
      <c r="M278">
        <f>IF(ISNUMBER(H278),IF(H278&gt;0,1,0),"")</f>
        <v/>
      </c>
    </row>
    <row r="279">
      <c r="A279" t="inlineStr">
        <is>
          <t>SIMULATED_FEA_Commercial_Study</t>
        </is>
      </c>
      <c r="B279" t="inlineStr">
        <is>
          <t>V06</t>
        </is>
      </c>
      <c r="C279" t="inlineStr">
        <is>
          <t>Stimulus</t>
        </is>
      </c>
      <c r="D279" t="inlineStr">
        <is>
          <t>Commercial</t>
        </is>
      </c>
      <c r="E279" t="n">
        <v>60</v>
      </c>
      <c r="F279" t="inlineStr">
        <is>
          <t>Surprise</t>
        </is>
      </c>
      <c r="G279" t="n">
        <v>50</v>
      </c>
      <c r="H279" t="n">
        <v>2.17</v>
      </c>
      <c r="I279" t="n">
        <v>2</v>
      </c>
      <c r="J279" t="inlineStr">
        <is>
          <t>NA</t>
        </is>
      </c>
      <c r="K279" t="n">
        <v>95.5</v>
      </c>
      <c r="L279">
        <f>IF(K279&gt;=80,"Yes","No")</f>
        <v/>
      </c>
      <c r="M279">
        <f>IF(ISNUMBER(H279),IF(H279&gt;0,1,0),"")</f>
        <v/>
      </c>
    </row>
    <row r="280">
      <c r="A280" t="inlineStr">
        <is>
          <t>SIMULATED_FEA_Commercial_Study</t>
        </is>
      </c>
      <c r="B280" t="inlineStr">
        <is>
          <t>V06</t>
        </is>
      </c>
      <c r="C280" t="inlineStr">
        <is>
          <t>Stimulus</t>
        </is>
      </c>
      <c r="D280" t="inlineStr">
        <is>
          <t>Commercial</t>
        </is>
      </c>
      <c r="E280" t="n">
        <v>60</v>
      </c>
      <c r="F280" t="inlineStr">
        <is>
          <t>Brow Furrow</t>
        </is>
      </c>
      <c r="G280" t="n">
        <v>50</v>
      </c>
      <c r="H280" t="n">
        <v>8.779999999999999</v>
      </c>
      <c r="I280" t="n">
        <v>2</v>
      </c>
      <c r="J280" t="inlineStr">
        <is>
          <t>NA</t>
        </is>
      </c>
      <c r="K280" t="n">
        <v>95.5</v>
      </c>
      <c r="L280">
        <f>IF(K280&gt;=80,"Yes","No")</f>
        <v/>
      </c>
      <c r="M280">
        <f>IF(ISNUMBER(H280),IF(H280&gt;0,1,0),"")</f>
        <v/>
      </c>
    </row>
    <row r="281">
      <c r="A281" t="inlineStr">
        <is>
          <t>SIMULATED_FEA_Commercial_Study</t>
        </is>
      </c>
      <c r="B281" t="inlineStr">
        <is>
          <t>V06</t>
        </is>
      </c>
      <c r="C281" t="inlineStr">
        <is>
          <t>Stimulus</t>
        </is>
      </c>
      <c r="D281" t="inlineStr">
        <is>
          <t>Commercial</t>
        </is>
      </c>
      <c r="E281" t="n">
        <v>60</v>
      </c>
      <c r="F281" t="inlineStr">
        <is>
          <t>Positive Valence</t>
        </is>
      </c>
      <c r="G281" t="n">
        <v>50</v>
      </c>
      <c r="H281" t="n">
        <v>0</v>
      </c>
      <c r="I281" t="n">
        <v>0</v>
      </c>
      <c r="J281" t="inlineStr">
        <is>
          <t>NA</t>
        </is>
      </c>
      <c r="K281" t="n">
        <v>95.5</v>
      </c>
      <c r="L281">
        <f>IF(K281&gt;=80,"Yes","No")</f>
        <v/>
      </c>
      <c r="M281">
        <f>IF(ISNUMBER(H281),IF(H281&gt;0,1,0),"")</f>
        <v/>
      </c>
    </row>
    <row r="282">
      <c r="A282" t="inlineStr">
        <is>
          <t>SIMULATED_FEA_Commercial_Study</t>
        </is>
      </c>
      <c r="B282" t="inlineStr">
        <is>
          <t>V06</t>
        </is>
      </c>
      <c r="C282" t="inlineStr">
        <is>
          <t>Stimulus</t>
        </is>
      </c>
      <c r="D282" t="inlineStr">
        <is>
          <t>Commercial</t>
        </is>
      </c>
      <c r="E282" t="n">
        <v>60</v>
      </c>
      <c r="F282" t="inlineStr">
        <is>
          <t>Negative Valence</t>
        </is>
      </c>
      <c r="G282" t="n">
        <v>-50</v>
      </c>
      <c r="H282" t="n">
        <v>0</v>
      </c>
      <c r="I282" t="n">
        <v>0</v>
      </c>
      <c r="J282" t="inlineStr">
        <is>
          <t>NA</t>
        </is>
      </c>
      <c r="K282" t="n">
        <v>95.5</v>
      </c>
      <c r="L282">
        <f>IF(K282&gt;=80,"Yes","No")</f>
        <v/>
      </c>
      <c r="M282">
        <f>IF(ISNUMBER(H282),IF(H282&gt;0,1,0),"")</f>
        <v/>
      </c>
    </row>
    <row r="283">
      <c r="A283" t="inlineStr">
        <is>
          <t>SIMULATED_FEA_Commercial_Study</t>
        </is>
      </c>
      <c r="B283" t="inlineStr">
        <is>
          <t>V06</t>
        </is>
      </c>
      <c r="C283" t="inlineStr">
        <is>
          <t>Stimulus</t>
        </is>
      </c>
      <c r="D283" t="inlineStr">
        <is>
          <t>Commercial</t>
        </is>
      </c>
      <c r="E283" t="n">
        <v>60</v>
      </c>
      <c r="F283" t="inlineStr">
        <is>
          <t>Engagement</t>
        </is>
      </c>
      <c r="G283" t="inlineStr">
        <is>
          <t>NA</t>
        </is>
      </c>
      <c r="H283" t="inlineStr">
        <is>
          <t>NA</t>
        </is>
      </c>
      <c r="I283" t="inlineStr">
        <is>
          <t>NA</t>
        </is>
      </c>
      <c r="J283" t="n">
        <v>8.99</v>
      </c>
      <c r="K283" t="n">
        <v>95.5</v>
      </c>
      <c r="L283">
        <f>IF(K283&gt;=80,"Yes","No")</f>
        <v/>
      </c>
      <c r="M283">
        <f>IF(ISNUMBER(H283),IF(H283&gt;0,1,0),"")</f>
        <v/>
      </c>
    </row>
    <row r="284">
      <c r="A284" t="inlineStr">
        <is>
          <t>SIMULATED_FEA_Commercial_Study</t>
        </is>
      </c>
      <c r="B284" t="inlineStr">
        <is>
          <t>V06</t>
        </is>
      </c>
      <c r="C284" t="inlineStr">
        <is>
          <t>Stimulus</t>
        </is>
      </c>
      <c r="D284" t="inlineStr">
        <is>
          <t>Recovery</t>
        </is>
      </c>
      <c r="E284" t="n">
        <v>15</v>
      </c>
      <c r="F284" t="inlineStr">
        <is>
          <t>Joy</t>
        </is>
      </c>
      <c r="G284" t="n">
        <v>50</v>
      </c>
      <c r="H284" t="n">
        <v>0</v>
      </c>
      <c r="I284" t="n">
        <v>0</v>
      </c>
      <c r="J284" t="inlineStr">
        <is>
          <t>NA</t>
        </is>
      </c>
      <c r="K284" t="n">
        <v>95.5</v>
      </c>
      <c r="L284">
        <f>IF(K284&gt;=80,"Yes","No")</f>
        <v/>
      </c>
      <c r="M284">
        <f>IF(ISNUMBER(H284),IF(H284&gt;0,1,0),"")</f>
        <v/>
      </c>
    </row>
    <row r="285">
      <c r="A285" t="inlineStr">
        <is>
          <t>SIMULATED_FEA_Commercial_Study</t>
        </is>
      </c>
      <c r="B285" t="inlineStr">
        <is>
          <t>V06</t>
        </is>
      </c>
      <c r="C285" t="inlineStr">
        <is>
          <t>Stimulus</t>
        </is>
      </c>
      <c r="D285" t="inlineStr">
        <is>
          <t>Recovery</t>
        </is>
      </c>
      <c r="E285" t="n">
        <v>15</v>
      </c>
      <c r="F285" t="inlineStr">
        <is>
          <t>Surprise</t>
        </is>
      </c>
      <c r="G285" t="n">
        <v>50</v>
      </c>
      <c r="H285" t="n">
        <v>12.67</v>
      </c>
      <c r="I285" t="n">
        <v>2</v>
      </c>
      <c r="J285" t="inlineStr">
        <is>
          <t>NA</t>
        </is>
      </c>
      <c r="K285" t="n">
        <v>95.5</v>
      </c>
      <c r="L285">
        <f>IF(K285&gt;=80,"Yes","No")</f>
        <v/>
      </c>
      <c r="M285">
        <f>IF(ISNUMBER(H285),IF(H285&gt;0,1,0),"")</f>
        <v/>
      </c>
    </row>
    <row r="286">
      <c r="A286" t="inlineStr">
        <is>
          <t>SIMULATED_FEA_Commercial_Study</t>
        </is>
      </c>
      <c r="B286" t="inlineStr">
        <is>
          <t>V06</t>
        </is>
      </c>
      <c r="C286" t="inlineStr">
        <is>
          <t>Stimulus</t>
        </is>
      </c>
      <c r="D286" t="inlineStr">
        <is>
          <t>Recovery</t>
        </is>
      </c>
      <c r="E286" t="n">
        <v>15</v>
      </c>
      <c r="F286" t="inlineStr">
        <is>
          <t>Brow Furrow</t>
        </is>
      </c>
      <c r="G286" t="n">
        <v>50</v>
      </c>
      <c r="H286" t="n">
        <v>0</v>
      </c>
      <c r="I286" t="n">
        <v>0</v>
      </c>
      <c r="J286" t="inlineStr">
        <is>
          <t>NA</t>
        </is>
      </c>
      <c r="K286" t="n">
        <v>95.5</v>
      </c>
      <c r="L286">
        <f>IF(K286&gt;=80,"Yes","No")</f>
        <v/>
      </c>
      <c r="M286">
        <f>IF(ISNUMBER(H286),IF(H286&gt;0,1,0),"")</f>
        <v/>
      </c>
    </row>
    <row r="287">
      <c r="A287" t="inlineStr">
        <is>
          <t>SIMULATED_FEA_Commercial_Study</t>
        </is>
      </c>
      <c r="B287" t="inlineStr">
        <is>
          <t>V06</t>
        </is>
      </c>
      <c r="C287" t="inlineStr">
        <is>
          <t>Stimulus</t>
        </is>
      </c>
      <c r="D287" t="inlineStr">
        <is>
          <t>Recovery</t>
        </is>
      </c>
      <c r="E287" t="n">
        <v>15</v>
      </c>
      <c r="F287" t="inlineStr">
        <is>
          <t>Positive Valence</t>
        </is>
      </c>
      <c r="G287" t="n">
        <v>50</v>
      </c>
      <c r="H287" t="n">
        <v>0</v>
      </c>
      <c r="I287" t="n">
        <v>0</v>
      </c>
      <c r="J287" t="inlineStr">
        <is>
          <t>NA</t>
        </is>
      </c>
      <c r="K287" t="n">
        <v>95.5</v>
      </c>
      <c r="L287">
        <f>IF(K287&gt;=80,"Yes","No")</f>
        <v/>
      </c>
      <c r="M287">
        <f>IF(ISNUMBER(H287),IF(H287&gt;0,1,0),"")</f>
        <v/>
      </c>
    </row>
    <row r="288">
      <c r="A288" t="inlineStr">
        <is>
          <t>SIMULATED_FEA_Commercial_Study</t>
        </is>
      </c>
      <c r="B288" t="inlineStr">
        <is>
          <t>V06</t>
        </is>
      </c>
      <c r="C288" t="inlineStr">
        <is>
          <t>Stimulus</t>
        </is>
      </c>
      <c r="D288" t="inlineStr">
        <is>
          <t>Recovery</t>
        </is>
      </c>
      <c r="E288" t="n">
        <v>15</v>
      </c>
      <c r="F288" t="inlineStr">
        <is>
          <t>Negative Valence</t>
        </is>
      </c>
      <c r="G288" t="n">
        <v>-50</v>
      </c>
      <c r="H288" t="n">
        <v>0</v>
      </c>
      <c r="I288" t="n">
        <v>0</v>
      </c>
      <c r="J288" t="inlineStr">
        <is>
          <t>NA</t>
        </is>
      </c>
      <c r="K288" t="n">
        <v>95.5</v>
      </c>
      <c r="L288">
        <f>IF(K288&gt;=80,"Yes","No")</f>
        <v/>
      </c>
      <c r="M288">
        <f>IF(ISNUMBER(H288),IF(H288&gt;0,1,0),"")</f>
        <v/>
      </c>
    </row>
    <row r="289">
      <c r="A289" t="inlineStr">
        <is>
          <t>SIMULATED_FEA_Commercial_Study</t>
        </is>
      </c>
      <c r="B289" t="inlineStr">
        <is>
          <t>V06</t>
        </is>
      </c>
      <c r="C289" t="inlineStr">
        <is>
          <t>Stimulus</t>
        </is>
      </c>
      <c r="D289" t="inlineStr">
        <is>
          <t>Recovery</t>
        </is>
      </c>
      <c r="E289" t="n">
        <v>15</v>
      </c>
      <c r="F289" t="inlineStr">
        <is>
          <t>Engagement</t>
        </is>
      </c>
      <c r="G289" t="inlineStr">
        <is>
          <t>NA</t>
        </is>
      </c>
      <c r="H289" t="inlineStr">
        <is>
          <t>NA</t>
        </is>
      </c>
      <c r="I289" t="inlineStr">
        <is>
          <t>NA</t>
        </is>
      </c>
      <c r="J289" t="n">
        <v>11.92</v>
      </c>
      <c r="K289" t="n">
        <v>95.5</v>
      </c>
      <c r="L289">
        <f>IF(K289&gt;=80,"Yes","No")</f>
        <v/>
      </c>
      <c r="M289">
        <f>IF(ISNUMBER(H289),IF(H289&gt;0,1,0),"")</f>
        <v/>
      </c>
    </row>
    <row r="290">
      <c r="A290" t="inlineStr">
        <is>
          <t>SIMULATED_FEA_Commercial_Study</t>
        </is>
      </c>
      <c r="B290" t="inlineStr">
        <is>
          <t>V06</t>
        </is>
      </c>
      <c r="C290" t="inlineStr">
        <is>
          <t>Annotation</t>
        </is>
      </c>
      <c r="D290" t="inlineStr">
        <is>
          <t>Bin_01</t>
        </is>
      </c>
      <c r="E290" t="n">
        <v>10</v>
      </c>
      <c r="F290" t="inlineStr">
        <is>
          <t>Joy</t>
        </is>
      </c>
      <c r="G290" t="n">
        <v>50</v>
      </c>
      <c r="H290" t="n">
        <v>0</v>
      </c>
      <c r="I290" t="n">
        <v>0</v>
      </c>
      <c r="J290" t="inlineStr">
        <is>
          <t>NA</t>
        </is>
      </c>
      <c r="K290" t="n">
        <v>95.5</v>
      </c>
      <c r="L290">
        <f>IF(K290&gt;=80,"Yes","No")</f>
        <v/>
      </c>
      <c r="M290">
        <f>IF(ISNUMBER(H290),IF(H290&gt;0,1,0),"")</f>
        <v/>
      </c>
    </row>
    <row r="291">
      <c r="A291" t="inlineStr">
        <is>
          <t>SIMULATED_FEA_Commercial_Study</t>
        </is>
      </c>
      <c r="B291" t="inlineStr">
        <is>
          <t>V06</t>
        </is>
      </c>
      <c r="C291" t="inlineStr">
        <is>
          <t>Annotation</t>
        </is>
      </c>
      <c r="D291" t="inlineStr">
        <is>
          <t>Bin_01</t>
        </is>
      </c>
      <c r="E291" t="n">
        <v>10</v>
      </c>
      <c r="F291" t="inlineStr">
        <is>
          <t>Surprise</t>
        </is>
      </c>
      <c r="G291" t="n">
        <v>50</v>
      </c>
      <c r="H291" t="n">
        <v>0</v>
      </c>
      <c r="I291" t="n">
        <v>0</v>
      </c>
      <c r="J291" t="inlineStr">
        <is>
          <t>NA</t>
        </is>
      </c>
      <c r="K291" t="n">
        <v>95.5</v>
      </c>
      <c r="L291">
        <f>IF(K291&gt;=80,"Yes","No")</f>
        <v/>
      </c>
      <c r="M291">
        <f>IF(ISNUMBER(H291),IF(H291&gt;0,1,0),"")</f>
        <v/>
      </c>
    </row>
    <row r="292">
      <c r="A292" t="inlineStr">
        <is>
          <t>SIMULATED_FEA_Commercial_Study</t>
        </is>
      </c>
      <c r="B292" t="inlineStr">
        <is>
          <t>V06</t>
        </is>
      </c>
      <c r="C292" t="inlineStr">
        <is>
          <t>Annotation</t>
        </is>
      </c>
      <c r="D292" t="inlineStr">
        <is>
          <t>Bin_01</t>
        </is>
      </c>
      <c r="E292" t="n">
        <v>10</v>
      </c>
      <c r="F292" t="inlineStr">
        <is>
          <t>Brow Furrow</t>
        </is>
      </c>
      <c r="G292" t="n">
        <v>50</v>
      </c>
      <c r="H292" t="n">
        <v>0</v>
      </c>
      <c r="I292" t="n">
        <v>0</v>
      </c>
      <c r="J292" t="inlineStr">
        <is>
          <t>NA</t>
        </is>
      </c>
      <c r="K292" t="n">
        <v>95.5</v>
      </c>
      <c r="L292">
        <f>IF(K292&gt;=80,"Yes","No")</f>
        <v/>
      </c>
      <c r="M292">
        <f>IF(ISNUMBER(H292),IF(H292&gt;0,1,0),"")</f>
        <v/>
      </c>
    </row>
    <row r="293">
      <c r="A293" t="inlineStr">
        <is>
          <t>SIMULATED_FEA_Commercial_Study</t>
        </is>
      </c>
      <c r="B293" t="inlineStr">
        <is>
          <t>V06</t>
        </is>
      </c>
      <c r="C293" t="inlineStr">
        <is>
          <t>Annotation</t>
        </is>
      </c>
      <c r="D293" t="inlineStr">
        <is>
          <t>Bin_01</t>
        </is>
      </c>
      <c r="E293" t="n">
        <v>10</v>
      </c>
      <c r="F293" t="inlineStr">
        <is>
          <t>Positive Valence</t>
        </is>
      </c>
      <c r="G293" t="n">
        <v>50</v>
      </c>
      <c r="H293" t="n">
        <v>0</v>
      </c>
      <c r="I293" t="n">
        <v>0</v>
      </c>
      <c r="J293" t="inlineStr">
        <is>
          <t>NA</t>
        </is>
      </c>
      <c r="K293" t="n">
        <v>95.5</v>
      </c>
      <c r="L293">
        <f>IF(K293&gt;=80,"Yes","No")</f>
        <v/>
      </c>
      <c r="M293">
        <f>IF(ISNUMBER(H293),IF(H293&gt;0,1,0),"")</f>
        <v/>
      </c>
    </row>
    <row r="294">
      <c r="A294" t="inlineStr">
        <is>
          <t>SIMULATED_FEA_Commercial_Study</t>
        </is>
      </c>
      <c r="B294" t="inlineStr">
        <is>
          <t>V06</t>
        </is>
      </c>
      <c r="C294" t="inlineStr">
        <is>
          <t>Annotation</t>
        </is>
      </c>
      <c r="D294" t="inlineStr">
        <is>
          <t>Bin_01</t>
        </is>
      </c>
      <c r="E294" t="n">
        <v>10</v>
      </c>
      <c r="F294" t="inlineStr">
        <is>
          <t>Negative Valence</t>
        </is>
      </c>
      <c r="G294" t="n">
        <v>-50</v>
      </c>
      <c r="H294" t="n">
        <v>0</v>
      </c>
      <c r="I294" t="n">
        <v>0</v>
      </c>
      <c r="J294" t="inlineStr">
        <is>
          <t>NA</t>
        </is>
      </c>
      <c r="K294" t="n">
        <v>95.5</v>
      </c>
      <c r="L294">
        <f>IF(K294&gt;=80,"Yes","No")</f>
        <v/>
      </c>
      <c r="M294">
        <f>IF(ISNUMBER(H294),IF(H294&gt;0,1,0),"")</f>
        <v/>
      </c>
    </row>
    <row r="295">
      <c r="A295" t="inlineStr">
        <is>
          <t>SIMULATED_FEA_Commercial_Study</t>
        </is>
      </c>
      <c r="B295" t="inlineStr">
        <is>
          <t>V06</t>
        </is>
      </c>
      <c r="C295" t="inlineStr">
        <is>
          <t>Annotation</t>
        </is>
      </c>
      <c r="D295" t="inlineStr">
        <is>
          <t>Bin_01</t>
        </is>
      </c>
      <c r="E295" t="n">
        <v>10</v>
      </c>
      <c r="F295" t="inlineStr">
        <is>
          <t>Engagement</t>
        </is>
      </c>
      <c r="G295" t="inlineStr">
        <is>
          <t>NA</t>
        </is>
      </c>
      <c r="H295" t="inlineStr">
        <is>
          <t>NA</t>
        </is>
      </c>
      <c r="I295" t="inlineStr">
        <is>
          <t>NA</t>
        </is>
      </c>
      <c r="J295" t="n">
        <v>3.26</v>
      </c>
      <c r="K295" t="n">
        <v>95.5</v>
      </c>
      <c r="L295">
        <f>IF(K295&gt;=80,"Yes","No")</f>
        <v/>
      </c>
      <c r="M295">
        <f>IF(ISNUMBER(H295),IF(H295&gt;0,1,0),"")</f>
        <v/>
      </c>
    </row>
    <row r="296">
      <c r="A296" t="inlineStr">
        <is>
          <t>SIMULATED_FEA_Commercial_Study</t>
        </is>
      </c>
      <c r="B296" t="inlineStr">
        <is>
          <t>V06</t>
        </is>
      </c>
      <c r="C296" t="inlineStr">
        <is>
          <t>Annotation</t>
        </is>
      </c>
      <c r="D296" t="inlineStr">
        <is>
          <t>Bin_02</t>
        </is>
      </c>
      <c r="E296" t="n">
        <v>10</v>
      </c>
      <c r="F296" t="inlineStr">
        <is>
          <t>Joy</t>
        </is>
      </c>
      <c r="G296" t="n">
        <v>50</v>
      </c>
      <c r="H296" t="n">
        <v>0</v>
      </c>
      <c r="I296" t="n">
        <v>0</v>
      </c>
      <c r="J296" t="inlineStr">
        <is>
          <t>NA</t>
        </is>
      </c>
      <c r="K296" t="n">
        <v>95.5</v>
      </c>
      <c r="L296">
        <f>IF(K296&gt;=80,"Yes","No")</f>
        <v/>
      </c>
      <c r="M296">
        <f>IF(ISNUMBER(H296),IF(H296&gt;0,1,0),"")</f>
        <v/>
      </c>
    </row>
    <row r="297">
      <c r="A297" t="inlineStr">
        <is>
          <t>SIMULATED_FEA_Commercial_Study</t>
        </is>
      </c>
      <c r="B297" t="inlineStr">
        <is>
          <t>V06</t>
        </is>
      </c>
      <c r="C297" t="inlineStr">
        <is>
          <t>Annotation</t>
        </is>
      </c>
      <c r="D297" t="inlineStr">
        <is>
          <t>Bin_02</t>
        </is>
      </c>
      <c r="E297" t="n">
        <v>10</v>
      </c>
      <c r="F297" t="inlineStr">
        <is>
          <t>Surprise</t>
        </is>
      </c>
      <c r="G297" t="n">
        <v>50</v>
      </c>
      <c r="H297" t="n">
        <v>5</v>
      </c>
      <c r="I297" t="n">
        <v>1</v>
      </c>
      <c r="J297" t="inlineStr">
        <is>
          <t>NA</t>
        </is>
      </c>
      <c r="K297" t="n">
        <v>95.5</v>
      </c>
      <c r="L297">
        <f>IF(K297&gt;=80,"Yes","No")</f>
        <v/>
      </c>
      <c r="M297">
        <f>IF(ISNUMBER(H297),IF(H297&gt;0,1,0),"")</f>
        <v/>
      </c>
    </row>
    <row r="298">
      <c r="A298" t="inlineStr">
        <is>
          <t>SIMULATED_FEA_Commercial_Study</t>
        </is>
      </c>
      <c r="B298" t="inlineStr">
        <is>
          <t>V06</t>
        </is>
      </c>
      <c r="C298" t="inlineStr">
        <is>
          <t>Annotation</t>
        </is>
      </c>
      <c r="D298" t="inlineStr">
        <is>
          <t>Bin_02</t>
        </is>
      </c>
      <c r="E298" t="n">
        <v>10</v>
      </c>
      <c r="F298" t="inlineStr">
        <is>
          <t>Brow Furrow</t>
        </is>
      </c>
      <c r="G298" t="n">
        <v>50</v>
      </c>
      <c r="H298" t="n">
        <v>0</v>
      </c>
      <c r="I298" t="n">
        <v>0</v>
      </c>
      <c r="J298" t="inlineStr">
        <is>
          <t>NA</t>
        </is>
      </c>
      <c r="K298" t="n">
        <v>95.5</v>
      </c>
      <c r="L298">
        <f>IF(K298&gt;=80,"Yes","No")</f>
        <v/>
      </c>
      <c r="M298">
        <f>IF(ISNUMBER(H298),IF(H298&gt;0,1,0),"")</f>
        <v/>
      </c>
    </row>
    <row r="299">
      <c r="A299" t="inlineStr">
        <is>
          <t>SIMULATED_FEA_Commercial_Study</t>
        </is>
      </c>
      <c r="B299" t="inlineStr">
        <is>
          <t>V06</t>
        </is>
      </c>
      <c r="C299" t="inlineStr">
        <is>
          <t>Annotation</t>
        </is>
      </c>
      <c r="D299" t="inlineStr">
        <is>
          <t>Bin_02</t>
        </is>
      </c>
      <c r="E299" t="n">
        <v>10</v>
      </c>
      <c r="F299" t="inlineStr">
        <is>
          <t>Positive Valence</t>
        </is>
      </c>
      <c r="G299" t="n">
        <v>50</v>
      </c>
      <c r="H299" t="n">
        <v>0</v>
      </c>
      <c r="I299" t="n">
        <v>0</v>
      </c>
      <c r="J299" t="inlineStr">
        <is>
          <t>NA</t>
        </is>
      </c>
      <c r="K299" t="n">
        <v>95.5</v>
      </c>
      <c r="L299">
        <f>IF(K299&gt;=80,"Yes","No")</f>
        <v/>
      </c>
      <c r="M299">
        <f>IF(ISNUMBER(H299),IF(H299&gt;0,1,0),"")</f>
        <v/>
      </c>
    </row>
    <row r="300">
      <c r="A300" t="inlineStr">
        <is>
          <t>SIMULATED_FEA_Commercial_Study</t>
        </is>
      </c>
      <c r="B300" t="inlineStr">
        <is>
          <t>V06</t>
        </is>
      </c>
      <c r="C300" t="inlineStr">
        <is>
          <t>Annotation</t>
        </is>
      </c>
      <c r="D300" t="inlineStr">
        <is>
          <t>Bin_02</t>
        </is>
      </c>
      <c r="E300" t="n">
        <v>10</v>
      </c>
      <c r="F300" t="inlineStr">
        <is>
          <t>Negative Valence</t>
        </is>
      </c>
      <c r="G300" t="n">
        <v>-50</v>
      </c>
      <c r="H300" t="n">
        <v>0</v>
      </c>
      <c r="I300" t="n">
        <v>0</v>
      </c>
      <c r="J300" t="inlineStr">
        <is>
          <t>NA</t>
        </is>
      </c>
      <c r="K300" t="n">
        <v>95.5</v>
      </c>
      <c r="L300">
        <f>IF(K300&gt;=80,"Yes","No")</f>
        <v/>
      </c>
      <c r="M300">
        <f>IF(ISNUMBER(H300),IF(H300&gt;0,1,0),"")</f>
        <v/>
      </c>
    </row>
    <row r="301">
      <c r="A301" t="inlineStr">
        <is>
          <t>SIMULATED_FEA_Commercial_Study</t>
        </is>
      </c>
      <c r="B301" t="inlineStr">
        <is>
          <t>V06</t>
        </is>
      </c>
      <c r="C301" t="inlineStr">
        <is>
          <t>Annotation</t>
        </is>
      </c>
      <c r="D301" t="inlineStr">
        <is>
          <t>Bin_02</t>
        </is>
      </c>
      <c r="E301" t="n">
        <v>10</v>
      </c>
      <c r="F301" t="inlineStr">
        <is>
          <t>Engagement</t>
        </is>
      </c>
      <c r="G301" t="inlineStr">
        <is>
          <t>NA</t>
        </is>
      </c>
      <c r="H301" t="inlineStr">
        <is>
          <t>NA</t>
        </is>
      </c>
      <c r="I301" t="inlineStr">
        <is>
          <t>NA</t>
        </is>
      </c>
      <c r="J301" t="n">
        <v>12.01</v>
      </c>
      <c r="K301" t="n">
        <v>95.5</v>
      </c>
      <c r="L301">
        <f>IF(K301&gt;=80,"Yes","No")</f>
        <v/>
      </c>
      <c r="M301">
        <f>IF(ISNUMBER(H301),IF(H301&gt;0,1,0),"")</f>
        <v/>
      </c>
    </row>
    <row r="302">
      <c r="A302" t="inlineStr">
        <is>
          <t>SIMULATED_FEA_Commercial_Study</t>
        </is>
      </c>
      <c r="B302" t="inlineStr">
        <is>
          <t>V06</t>
        </is>
      </c>
      <c r="C302" t="inlineStr">
        <is>
          <t>Annotation</t>
        </is>
      </c>
      <c r="D302" t="inlineStr">
        <is>
          <t>Bin_03</t>
        </is>
      </c>
      <c r="E302" t="n">
        <v>10</v>
      </c>
      <c r="F302" t="inlineStr">
        <is>
          <t>Joy</t>
        </is>
      </c>
      <c r="G302" t="n">
        <v>50</v>
      </c>
      <c r="H302" t="n">
        <v>0</v>
      </c>
      <c r="I302" t="n">
        <v>0</v>
      </c>
      <c r="J302" t="inlineStr">
        <is>
          <t>NA</t>
        </is>
      </c>
      <c r="K302" t="n">
        <v>95.5</v>
      </c>
      <c r="L302">
        <f>IF(K302&gt;=80,"Yes","No")</f>
        <v/>
      </c>
      <c r="M302">
        <f>IF(ISNUMBER(H302),IF(H302&gt;0,1,0),"")</f>
        <v/>
      </c>
    </row>
    <row r="303">
      <c r="A303" t="inlineStr">
        <is>
          <t>SIMULATED_FEA_Commercial_Study</t>
        </is>
      </c>
      <c r="B303" t="inlineStr">
        <is>
          <t>V06</t>
        </is>
      </c>
      <c r="C303" t="inlineStr">
        <is>
          <t>Annotation</t>
        </is>
      </c>
      <c r="D303" t="inlineStr">
        <is>
          <t>Bin_03</t>
        </is>
      </c>
      <c r="E303" t="n">
        <v>10</v>
      </c>
      <c r="F303" t="inlineStr">
        <is>
          <t>Surprise</t>
        </is>
      </c>
      <c r="G303" t="n">
        <v>50</v>
      </c>
      <c r="H303" t="n">
        <v>8</v>
      </c>
      <c r="I303" t="n">
        <v>1</v>
      </c>
      <c r="J303" t="inlineStr">
        <is>
          <t>NA</t>
        </is>
      </c>
      <c r="K303" t="n">
        <v>95.5</v>
      </c>
      <c r="L303">
        <f>IF(K303&gt;=80,"Yes","No")</f>
        <v/>
      </c>
      <c r="M303">
        <f>IF(ISNUMBER(H303),IF(H303&gt;0,1,0),"")</f>
        <v/>
      </c>
    </row>
    <row r="304">
      <c r="A304" t="inlineStr">
        <is>
          <t>SIMULATED_FEA_Commercial_Study</t>
        </is>
      </c>
      <c r="B304" t="inlineStr">
        <is>
          <t>V06</t>
        </is>
      </c>
      <c r="C304" t="inlineStr">
        <is>
          <t>Annotation</t>
        </is>
      </c>
      <c r="D304" t="inlineStr">
        <is>
          <t>Bin_03</t>
        </is>
      </c>
      <c r="E304" t="n">
        <v>10</v>
      </c>
      <c r="F304" t="inlineStr">
        <is>
          <t>Brow Furrow</t>
        </is>
      </c>
      <c r="G304" t="n">
        <v>50</v>
      </c>
      <c r="H304" t="n">
        <v>0</v>
      </c>
      <c r="I304" t="n">
        <v>0</v>
      </c>
      <c r="J304" t="inlineStr">
        <is>
          <t>NA</t>
        </is>
      </c>
      <c r="K304" t="n">
        <v>95.5</v>
      </c>
      <c r="L304">
        <f>IF(K304&gt;=80,"Yes","No")</f>
        <v/>
      </c>
      <c r="M304">
        <f>IF(ISNUMBER(H304),IF(H304&gt;0,1,0),"")</f>
        <v/>
      </c>
    </row>
    <row r="305">
      <c r="A305" t="inlineStr">
        <is>
          <t>SIMULATED_FEA_Commercial_Study</t>
        </is>
      </c>
      <c r="B305" t="inlineStr">
        <is>
          <t>V06</t>
        </is>
      </c>
      <c r="C305" t="inlineStr">
        <is>
          <t>Annotation</t>
        </is>
      </c>
      <c r="D305" t="inlineStr">
        <is>
          <t>Bin_03</t>
        </is>
      </c>
      <c r="E305" t="n">
        <v>10</v>
      </c>
      <c r="F305" t="inlineStr">
        <is>
          <t>Positive Valence</t>
        </is>
      </c>
      <c r="G305" t="n">
        <v>50</v>
      </c>
      <c r="H305" t="n">
        <v>0</v>
      </c>
      <c r="I305" t="n">
        <v>0</v>
      </c>
      <c r="J305" t="inlineStr">
        <is>
          <t>NA</t>
        </is>
      </c>
      <c r="K305" t="n">
        <v>95.5</v>
      </c>
      <c r="L305">
        <f>IF(K305&gt;=80,"Yes","No")</f>
        <v/>
      </c>
      <c r="M305">
        <f>IF(ISNUMBER(H305),IF(H305&gt;0,1,0),"")</f>
        <v/>
      </c>
    </row>
    <row r="306">
      <c r="A306" t="inlineStr">
        <is>
          <t>SIMULATED_FEA_Commercial_Study</t>
        </is>
      </c>
      <c r="B306" t="inlineStr">
        <is>
          <t>V06</t>
        </is>
      </c>
      <c r="C306" t="inlineStr">
        <is>
          <t>Annotation</t>
        </is>
      </c>
      <c r="D306" t="inlineStr">
        <is>
          <t>Bin_03</t>
        </is>
      </c>
      <c r="E306" t="n">
        <v>10</v>
      </c>
      <c r="F306" t="inlineStr">
        <is>
          <t>Negative Valence</t>
        </is>
      </c>
      <c r="G306" t="n">
        <v>-50</v>
      </c>
      <c r="H306" t="n">
        <v>0</v>
      </c>
      <c r="I306" t="n">
        <v>0</v>
      </c>
      <c r="J306" t="inlineStr">
        <is>
          <t>NA</t>
        </is>
      </c>
      <c r="K306" t="n">
        <v>95.5</v>
      </c>
      <c r="L306">
        <f>IF(K306&gt;=80,"Yes","No")</f>
        <v/>
      </c>
      <c r="M306">
        <f>IF(ISNUMBER(H306),IF(H306&gt;0,1,0),"")</f>
        <v/>
      </c>
    </row>
    <row r="307">
      <c r="A307" t="inlineStr">
        <is>
          <t>SIMULATED_FEA_Commercial_Study</t>
        </is>
      </c>
      <c r="B307" t="inlineStr">
        <is>
          <t>V06</t>
        </is>
      </c>
      <c r="C307" t="inlineStr">
        <is>
          <t>Annotation</t>
        </is>
      </c>
      <c r="D307" t="inlineStr">
        <is>
          <t>Bin_03</t>
        </is>
      </c>
      <c r="E307" t="n">
        <v>10</v>
      </c>
      <c r="F307" t="inlineStr">
        <is>
          <t>Engagement</t>
        </is>
      </c>
      <c r="G307" t="inlineStr">
        <is>
          <t>NA</t>
        </is>
      </c>
      <c r="H307" t="inlineStr">
        <is>
          <t>NA</t>
        </is>
      </c>
      <c r="I307" t="inlineStr">
        <is>
          <t>NA</t>
        </is>
      </c>
      <c r="J307" t="n">
        <v>8.359999999999999</v>
      </c>
      <c r="K307" t="n">
        <v>95.5</v>
      </c>
      <c r="L307">
        <f>IF(K307&gt;=80,"Yes","No")</f>
        <v/>
      </c>
      <c r="M307">
        <f>IF(ISNUMBER(H307),IF(H307&gt;0,1,0),"")</f>
        <v/>
      </c>
    </row>
    <row r="308">
      <c r="A308" t="inlineStr">
        <is>
          <t>SIMULATED_FEA_Commercial_Study</t>
        </is>
      </c>
      <c r="B308" t="inlineStr">
        <is>
          <t>V06</t>
        </is>
      </c>
      <c r="C308" t="inlineStr">
        <is>
          <t>Annotation</t>
        </is>
      </c>
      <c r="D308" t="inlineStr">
        <is>
          <t>Bin_04</t>
        </is>
      </c>
      <c r="E308" t="n">
        <v>10</v>
      </c>
      <c r="F308" t="inlineStr">
        <is>
          <t>Joy</t>
        </is>
      </c>
      <c r="G308" t="n">
        <v>50</v>
      </c>
      <c r="H308" t="n">
        <v>0</v>
      </c>
      <c r="I308" t="n">
        <v>0</v>
      </c>
      <c r="J308" t="inlineStr">
        <is>
          <t>NA</t>
        </is>
      </c>
      <c r="K308" t="n">
        <v>95.5</v>
      </c>
      <c r="L308">
        <f>IF(K308&gt;=80,"Yes","No")</f>
        <v/>
      </c>
      <c r="M308">
        <f>IF(ISNUMBER(H308),IF(H308&gt;0,1,0),"")</f>
        <v/>
      </c>
    </row>
    <row r="309">
      <c r="A309" t="inlineStr">
        <is>
          <t>SIMULATED_FEA_Commercial_Study</t>
        </is>
      </c>
      <c r="B309" t="inlineStr">
        <is>
          <t>V06</t>
        </is>
      </c>
      <c r="C309" t="inlineStr">
        <is>
          <t>Annotation</t>
        </is>
      </c>
      <c r="D309" t="inlineStr">
        <is>
          <t>Bin_04</t>
        </is>
      </c>
      <c r="E309" t="n">
        <v>10</v>
      </c>
      <c r="F309" t="inlineStr">
        <is>
          <t>Surprise</t>
        </is>
      </c>
      <c r="G309" t="n">
        <v>50</v>
      </c>
      <c r="H309" t="n">
        <v>0</v>
      </c>
      <c r="I309" t="n">
        <v>0</v>
      </c>
      <c r="J309" t="inlineStr">
        <is>
          <t>NA</t>
        </is>
      </c>
      <c r="K309" t="n">
        <v>95.5</v>
      </c>
      <c r="L309">
        <f>IF(K309&gt;=80,"Yes","No")</f>
        <v/>
      </c>
      <c r="M309">
        <f>IF(ISNUMBER(H309),IF(H309&gt;0,1,0),"")</f>
        <v/>
      </c>
    </row>
    <row r="310">
      <c r="A310" t="inlineStr">
        <is>
          <t>SIMULATED_FEA_Commercial_Study</t>
        </is>
      </c>
      <c r="B310" t="inlineStr">
        <is>
          <t>V06</t>
        </is>
      </c>
      <c r="C310" t="inlineStr">
        <is>
          <t>Annotation</t>
        </is>
      </c>
      <c r="D310" t="inlineStr">
        <is>
          <t>Bin_04</t>
        </is>
      </c>
      <c r="E310" t="n">
        <v>10</v>
      </c>
      <c r="F310" t="inlineStr">
        <is>
          <t>Brow Furrow</t>
        </is>
      </c>
      <c r="G310" t="n">
        <v>50</v>
      </c>
      <c r="H310" t="n">
        <v>52.67</v>
      </c>
      <c r="I310" t="n">
        <v>2</v>
      </c>
      <c r="J310" t="inlineStr">
        <is>
          <t>NA</t>
        </is>
      </c>
      <c r="K310" t="n">
        <v>95.5</v>
      </c>
      <c r="L310">
        <f>IF(K310&gt;=80,"Yes","No")</f>
        <v/>
      </c>
      <c r="M310">
        <f>IF(ISNUMBER(H310),IF(H310&gt;0,1,0),"")</f>
        <v/>
      </c>
    </row>
    <row r="311">
      <c r="A311" t="inlineStr">
        <is>
          <t>SIMULATED_FEA_Commercial_Study</t>
        </is>
      </c>
      <c r="B311" t="inlineStr">
        <is>
          <t>V06</t>
        </is>
      </c>
      <c r="C311" t="inlineStr">
        <is>
          <t>Annotation</t>
        </is>
      </c>
      <c r="D311" t="inlineStr">
        <is>
          <t>Bin_04</t>
        </is>
      </c>
      <c r="E311" t="n">
        <v>10</v>
      </c>
      <c r="F311" t="inlineStr">
        <is>
          <t>Positive Valence</t>
        </is>
      </c>
      <c r="G311" t="n">
        <v>50</v>
      </c>
      <c r="H311" t="n">
        <v>0</v>
      </c>
      <c r="I311" t="n">
        <v>0</v>
      </c>
      <c r="J311" t="inlineStr">
        <is>
          <t>NA</t>
        </is>
      </c>
      <c r="K311" t="n">
        <v>95.5</v>
      </c>
      <c r="L311">
        <f>IF(K311&gt;=80,"Yes","No")</f>
        <v/>
      </c>
      <c r="M311">
        <f>IF(ISNUMBER(H311),IF(H311&gt;0,1,0),"")</f>
        <v/>
      </c>
    </row>
    <row r="312">
      <c r="A312" t="inlineStr">
        <is>
          <t>SIMULATED_FEA_Commercial_Study</t>
        </is>
      </c>
      <c r="B312" t="inlineStr">
        <is>
          <t>V06</t>
        </is>
      </c>
      <c r="C312" t="inlineStr">
        <is>
          <t>Annotation</t>
        </is>
      </c>
      <c r="D312" t="inlineStr">
        <is>
          <t>Bin_04</t>
        </is>
      </c>
      <c r="E312" t="n">
        <v>10</v>
      </c>
      <c r="F312" t="inlineStr">
        <is>
          <t>Negative Valence</t>
        </is>
      </c>
      <c r="G312" t="n">
        <v>-50</v>
      </c>
      <c r="H312" t="n">
        <v>0</v>
      </c>
      <c r="I312" t="n">
        <v>0</v>
      </c>
      <c r="J312" t="inlineStr">
        <is>
          <t>NA</t>
        </is>
      </c>
      <c r="K312" t="n">
        <v>95.5</v>
      </c>
      <c r="L312">
        <f>IF(K312&gt;=80,"Yes","No")</f>
        <v/>
      </c>
      <c r="M312">
        <f>IF(ISNUMBER(H312),IF(H312&gt;0,1,0),"")</f>
        <v/>
      </c>
    </row>
    <row r="313">
      <c r="A313" t="inlineStr">
        <is>
          <t>SIMULATED_FEA_Commercial_Study</t>
        </is>
      </c>
      <c r="B313" t="inlineStr">
        <is>
          <t>V06</t>
        </is>
      </c>
      <c r="C313" t="inlineStr">
        <is>
          <t>Annotation</t>
        </is>
      </c>
      <c r="D313" t="inlineStr">
        <is>
          <t>Bin_04</t>
        </is>
      </c>
      <c r="E313" t="n">
        <v>10</v>
      </c>
      <c r="F313" t="inlineStr">
        <is>
          <t>Engagement</t>
        </is>
      </c>
      <c r="G313" t="inlineStr">
        <is>
          <t>NA</t>
        </is>
      </c>
      <c r="H313" t="inlineStr">
        <is>
          <t>NA</t>
        </is>
      </c>
      <c r="I313" t="inlineStr">
        <is>
          <t>NA</t>
        </is>
      </c>
      <c r="J313" t="n">
        <v>21.48</v>
      </c>
      <c r="K313" t="n">
        <v>95.5</v>
      </c>
      <c r="L313">
        <f>IF(K313&gt;=80,"Yes","No")</f>
        <v/>
      </c>
      <c r="M313">
        <f>IF(ISNUMBER(H313),IF(H313&gt;0,1,0),"")</f>
        <v/>
      </c>
    </row>
    <row r="314">
      <c r="A314" t="inlineStr">
        <is>
          <t>SIMULATED_FEA_Commercial_Study</t>
        </is>
      </c>
      <c r="B314" t="inlineStr">
        <is>
          <t>V06</t>
        </is>
      </c>
      <c r="C314" t="inlineStr">
        <is>
          <t>Annotation</t>
        </is>
      </c>
      <c r="D314" t="inlineStr">
        <is>
          <t>Bin_05</t>
        </is>
      </c>
      <c r="E314" t="n">
        <v>10</v>
      </c>
      <c r="F314" t="inlineStr">
        <is>
          <t>Joy</t>
        </is>
      </c>
      <c r="G314" t="n">
        <v>50</v>
      </c>
      <c r="H314" t="n">
        <v>0</v>
      </c>
      <c r="I314" t="n">
        <v>0</v>
      </c>
      <c r="J314" t="inlineStr">
        <is>
          <t>NA</t>
        </is>
      </c>
      <c r="K314" t="n">
        <v>95.5</v>
      </c>
      <c r="L314">
        <f>IF(K314&gt;=80,"Yes","No")</f>
        <v/>
      </c>
      <c r="M314">
        <f>IF(ISNUMBER(H314),IF(H314&gt;0,1,0),"")</f>
        <v/>
      </c>
    </row>
    <row r="315">
      <c r="A315" t="inlineStr">
        <is>
          <t>SIMULATED_FEA_Commercial_Study</t>
        </is>
      </c>
      <c r="B315" t="inlineStr">
        <is>
          <t>V06</t>
        </is>
      </c>
      <c r="C315" t="inlineStr">
        <is>
          <t>Annotation</t>
        </is>
      </c>
      <c r="D315" t="inlineStr">
        <is>
          <t>Bin_05</t>
        </is>
      </c>
      <c r="E315" t="n">
        <v>10</v>
      </c>
      <c r="F315" t="inlineStr">
        <is>
          <t>Surprise</t>
        </is>
      </c>
      <c r="G315" t="n">
        <v>50</v>
      </c>
      <c r="H315" t="n">
        <v>0</v>
      </c>
      <c r="I315" t="n">
        <v>0</v>
      </c>
      <c r="J315" t="inlineStr">
        <is>
          <t>NA</t>
        </is>
      </c>
      <c r="K315" t="n">
        <v>95.5</v>
      </c>
      <c r="L315">
        <f>IF(K315&gt;=80,"Yes","No")</f>
        <v/>
      </c>
      <c r="M315">
        <f>IF(ISNUMBER(H315),IF(H315&gt;0,1,0),"")</f>
        <v/>
      </c>
    </row>
    <row r="316">
      <c r="A316" t="inlineStr">
        <is>
          <t>SIMULATED_FEA_Commercial_Study</t>
        </is>
      </c>
      <c r="B316" t="inlineStr">
        <is>
          <t>V06</t>
        </is>
      </c>
      <c r="C316" t="inlineStr">
        <is>
          <t>Annotation</t>
        </is>
      </c>
      <c r="D316" t="inlineStr">
        <is>
          <t>Bin_05</t>
        </is>
      </c>
      <c r="E316" t="n">
        <v>10</v>
      </c>
      <c r="F316" t="inlineStr">
        <is>
          <t>Brow Furrow</t>
        </is>
      </c>
      <c r="G316" t="n">
        <v>50</v>
      </c>
      <c r="H316" t="n">
        <v>0</v>
      </c>
      <c r="I316" t="n">
        <v>0</v>
      </c>
      <c r="J316" t="inlineStr">
        <is>
          <t>NA</t>
        </is>
      </c>
      <c r="K316" t="n">
        <v>95.5</v>
      </c>
      <c r="L316">
        <f>IF(K316&gt;=80,"Yes","No")</f>
        <v/>
      </c>
      <c r="M316">
        <f>IF(ISNUMBER(H316),IF(H316&gt;0,1,0),"")</f>
        <v/>
      </c>
    </row>
    <row r="317">
      <c r="A317" t="inlineStr">
        <is>
          <t>SIMULATED_FEA_Commercial_Study</t>
        </is>
      </c>
      <c r="B317" t="inlineStr">
        <is>
          <t>V06</t>
        </is>
      </c>
      <c r="C317" t="inlineStr">
        <is>
          <t>Annotation</t>
        </is>
      </c>
      <c r="D317" t="inlineStr">
        <is>
          <t>Bin_05</t>
        </is>
      </c>
      <c r="E317" t="n">
        <v>10</v>
      </c>
      <c r="F317" t="inlineStr">
        <is>
          <t>Positive Valence</t>
        </is>
      </c>
      <c r="G317" t="n">
        <v>50</v>
      </c>
      <c r="H317" t="n">
        <v>0</v>
      </c>
      <c r="I317" t="n">
        <v>0</v>
      </c>
      <c r="J317" t="inlineStr">
        <is>
          <t>NA</t>
        </is>
      </c>
      <c r="K317" t="n">
        <v>95.5</v>
      </c>
      <c r="L317">
        <f>IF(K317&gt;=80,"Yes","No")</f>
        <v/>
      </c>
      <c r="M317">
        <f>IF(ISNUMBER(H317),IF(H317&gt;0,1,0),"")</f>
        <v/>
      </c>
    </row>
    <row r="318">
      <c r="A318" t="inlineStr">
        <is>
          <t>SIMULATED_FEA_Commercial_Study</t>
        </is>
      </c>
      <c r="B318" t="inlineStr">
        <is>
          <t>V06</t>
        </is>
      </c>
      <c r="C318" t="inlineStr">
        <is>
          <t>Annotation</t>
        </is>
      </c>
      <c r="D318" t="inlineStr">
        <is>
          <t>Bin_05</t>
        </is>
      </c>
      <c r="E318" t="n">
        <v>10</v>
      </c>
      <c r="F318" t="inlineStr">
        <is>
          <t>Negative Valence</t>
        </is>
      </c>
      <c r="G318" t="n">
        <v>-50</v>
      </c>
      <c r="H318" t="n">
        <v>0</v>
      </c>
      <c r="I318" t="n">
        <v>0</v>
      </c>
      <c r="J318" t="inlineStr">
        <is>
          <t>NA</t>
        </is>
      </c>
      <c r="K318" t="n">
        <v>95.5</v>
      </c>
      <c r="L318">
        <f>IF(K318&gt;=80,"Yes","No")</f>
        <v/>
      </c>
      <c r="M318">
        <f>IF(ISNUMBER(H318),IF(H318&gt;0,1,0),"")</f>
        <v/>
      </c>
    </row>
    <row r="319">
      <c r="A319" t="inlineStr">
        <is>
          <t>SIMULATED_FEA_Commercial_Study</t>
        </is>
      </c>
      <c r="B319" t="inlineStr">
        <is>
          <t>V06</t>
        </is>
      </c>
      <c r="C319" t="inlineStr">
        <is>
          <t>Annotation</t>
        </is>
      </c>
      <c r="D319" t="inlineStr">
        <is>
          <t>Bin_05</t>
        </is>
      </c>
      <c r="E319" t="n">
        <v>10</v>
      </c>
      <c r="F319" t="inlineStr">
        <is>
          <t>Engagement</t>
        </is>
      </c>
      <c r="G319" t="inlineStr">
        <is>
          <t>NA</t>
        </is>
      </c>
      <c r="H319" t="inlineStr">
        <is>
          <t>NA</t>
        </is>
      </c>
      <c r="I319" t="inlineStr">
        <is>
          <t>NA</t>
        </is>
      </c>
      <c r="J319" t="n">
        <v>3.59</v>
      </c>
      <c r="K319" t="n">
        <v>95.5</v>
      </c>
      <c r="L319">
        <f>IF(K319&gt;=80,"Yes","No")</f>
        <v/>
      </c>
      <c r="M319">
        <f>IF(ISNUMBER(H319),IF(H319&gt;0,1,0),"")</f>
        <v/>
      </c>
    </row>
    <row r="320">
      <c r="A320" t="inlineStr">
        <is>
          <t>SIMULATED_FEA_Commercial_Study</t>
        </is>
      </c>
      <c r="B320" t="inlineStr">
        <is>
          <t>V06</t>
        </is>
      </c>
      <c r="C320" t="inlineStr">
        <is>
          <t>Annotation</t>
        </is>
      </c>
      <c r="D320" t="inlineStr">
        <is>
          <t>Bin_06</t>
        </is>
      </c>
      <c r="E320" t="n">
        <v>10</v>
      </c>
      <c r="F320" t="inlineStr">
        <is>
          <t>Joy</t>
        </is>
      </c>
      <c r="G320" t="n">
        <v>50</v>
      </c>
      <c r="H320" t="n">
        <v>0</v>
      </c>
      <c r="I320" t="n">
        <v>0</v>
      </c>
      <c r="J320" t="inlineStr">
        <is>
          <t>NA</t>
        </is>
      </c>
      <c r="K320" t="n">
        <v>95.5</v>
      </c>
      <c r="L320">
        <f>IF(K320&gt;=80,"Yes","No")</f>
        <v/>
      </c>
      <c r="M320">
        <f>IF(ISNUMBER(H320),IF(H320&gt;0,1,0),"")</f>
        <v/>
      </c>
    </row>
    <row r="321">
      <c r="A321" t="inlineStr">
        <is>
          <t>SIMULATED_FEA_Commercial_Study</t>
        </is>
      </c>
      <c r="B321" t="inlineStr">
        <is>
          <t>V06</t>
        </is>
      </c>
      <c r="C321" t="inlineStr">
        <is>
          <t>Annotation</t>
        </is>
      </c>
      <c r="D321" t="inlineStr">
        <is>
          <t>Bin_06</t>
        </is>
      </c>
      <c r="E321" t="n">
        <v>10</v>
      </c>
      <c r="F321" t="inlineStr">
        <is>
          <t>Surprise</t>
        </is>
      </c>
      <c r="G321" t="n">
        <v>50</v>
      </c>
      <c r="H321" t="n">
        <v>0</v>
      </c>
      <c r="I321" t="n">
        <v>0</v>
      </c>
      <c r="J321" t="inlineStr">
        <is>
          <t>NA</t>
        </is>
      </c>
      <c r="K321" t="n">
        <v>95.5</v>
      </c>
      <c r="L321">
        <f>IF(K321&gt;=80,"Yes","No")</f>
        <v/>
      </c>
      <c r="M321">
        <f>IF(ISNUMBER(H321),IF(H321&gt;0,1,0),"")</f>
        <v/>
      </c>
    </row>
    <row r="322">
      <c r="A322" t="inlineStr">
        <is>
          <t>SIMULATED_FEA_Commercial_Study</t>
        </is>
      </c>
      <c r="B322" t="inlineStr">
        <is>
          <t>V06</t>
        </is>
      </c>
      <c r="C322" t="inlineStr">
        <is>
          <t>Annotation</t>
        </is>
      </c>
      <c r="D322" t="inlineStr">
        <is>
          <t>Bin_06</t>
        </is>
      </c>
      <c r="E322" t="n">
        <v>10</v>
      </c>
      <c r="F322" t="inlineStr">
        <is>
          <t>Brow Furrow</t>
        </is>
      </c>
      <c r="G322" t="n">
        <v>50</v>
      </c>
      <c r="H322" t="n">
        <v>0</v>
      </c>
      <c r="I322" t="n">
        <v>0</v>
      </c>
      <c r="J322" t="inlineStr">
        <is>
          <t>NA</t>
        </is>
      </c>
      <c r="K322" t="n">
        <v>95.5</v>
      </c>
      <c r="L322">
        <f>IF(K322&gt;=80,"Yes","No")</f>
        <v/>
      </c>
      <c r="M322">
        <f>IF(ISNUMBER(H322),IF(H322&gt;0,1,0),"")</f>
        <v/>
      </c>
    </row>
    <row r="323">
      <c r="A323" t="inlineStr">
        <is>
          <t>SIMULATED_FEA_Commercial_Study</t>
        </is>
      </c>
      <c r="B323" t="inlineStr">
        <is>
          <t>V06</t>
        </is>
      </c>
      <c r="C323" t="inlineStr">
        <is>
          <t>Annotation</t>
        </is>
      </c>
      <c r="D323" t="inlineStr">
        <is>
          <t>Bin_06</t>
        </is>
      </c>
      <c r="E323" t="n">
        <v>10</v>
      </c>
      <c r="F323" t="inlineStr">
        <is>
          <t>Positive Valence</t>
        </is>
      </c>
      <c r="G323" t="n">
        <v>50</v>
      </c>
      <c r="H323" t="n">
        <v>0</v>
      </c>
      <c r="I323" t="n">
        <v>0</v>
      </c>
      <c r="J323" t="inlineStr">
        <is>
          <t>NA</t>
        </is>
      </c>
      <c r="K323" t="n">
        <v>95.5</v>
      </c>
      <c r="L323">
        <f>IF(K323&gt;=80,"Yes","No")</f>
        <v/>
      </c>
      <c r="M323">
        <f>IF(ISNUMBER(H323),IF(H323&gt;0,1,0),"")</f>
        <v/>
      </c>
    </row>
    <row r="324">
      <c r="A324" t="inlineStr">
        <is>
          <t>SIMULATED_FEA_Commercial_Study</t>
        </is>
      </c>
      <c r="B324" t="inlineStr">
        <is>
          <t>V06</t>
        </is>
      </c>
      <c r="C324" t="inlineStr">
        <is>
          <t>Annotation</t>
        </is>
      </c>
      <c r="D324" t="inlineStr">
        <is>
          <t>Bin_06</t>
        </is>
      </c>
      <c r="E324" t="n">
        <v>10</v>
      </c>
      <c r="F324" t="inlineStr">
        <is>
          <t>Negative Valence</t>
        </is>
      </c>
      <c r="G324" t="n">
        <v>-50</v>
      </c>
      <c r="H324" t="n">
        <v>0</v>
      </c>
      <c r="I324" t="n">
        <v>0</v>
      </c>
      <c r="J324" t="inlineStr">
        <is>
          <t>NA</t>
        </is>
      </c>
      <c r="K324" t="n">
        <v>95.5</v>
      </c>
      <c r="L324">
        <f>IF(K324&gt;=80,"Yes","No")</f>
        <v/>
      </c>
      <c r="M324">
        <f>IF(ISNUMBER(H324),IF(H324&gt;0,1,0),"")</f>
        <v/>
      </c>
    </row>
    <row r="325">
      <c r="A325" t="inlineStr">
        <is>
          <t>SIMULATED_FEA_Commercial_Study</t>
        </is>
      </c>
      <c r="B325" t="inlineStr">
        <is>
          <t>V06</t>
        </is>
      </c>
      <c r="C325" t="inlineStr">
        <is>
          <t>Annotation</t>
        </is>
      </c>
      <c r="D325" t="inlineStr">
        <is>
          <t>Bin_06</t>
        </is>
      </c>
      <c r="E325" t="n">
        <v>10</v>
      </c>
      <c r="F325" t="inlineStr">
        <is>
          <t>Engagement</t>
        </is>
      </c>
      <c r="G325" t="inlineStr">
        <is>
          <t>NA</t>
        </is>
      </c>
      <c r="H325" t="inlineStr">
        <is>
          <t>NA</t>
        </is>
      </c>
      <c r="I325" t="inlineStr">
        <is>
          <t>NA</t>
        </is>
      </c>
      <c r="J325" t="n">
        <v>4.88</v>
      </c>
      <c r="K325" t="n">
        <v>95.5</v>
      </c>
      <c r="L325">
        <f>IF(K325&gt;=80,"Yes","No")</f>
        <v/>
      </c>
      <c r="M325">
        <f>IF(ISNUMBER(H325),IF(H325&gt;0,1,0),"")</f>
        <v/>
      </c>
    </row>
    <row r="326">
      <c r="A326" t="inlineStr">
        <is>
          <t>SIMULATED_FEA_Commercial_Study</t>
        </is>
      </c>
      <c r="B326" t="inlineStr">
        <is>
          <t>V07</t>
        </is>
      </c>
      <c r="C326" t="inlineStr">
        <is>
          <t>Stimulus</t>
        </is>
      </c>
      <c r="D326" t="inlineStr">
        <is>
          <t>Baseline</t>
        </is>
      </c>
      <c r="E326" t="n">
        <v>60</v>
      </c>
      <c r="F326" t="inlineStr">
        <is>
          <t>Joy</t>
        </is>
      </c>
      <c r="G326" t="n">
        <v>50</v>
      </c>
      <c r="H326" t="n">
        <v>0</v>
      </c>
      <c r="I326" t="n">
        <v>0</v>
      </c>
      <c r="J326" t="inlineStr">
        <is>
          <t>NA</t>
        </is>
      </c>
      <c r="K326" t="n">
        <v>61</v>
      </c>
      <c r="L326">
        <f>IF(K326&gt;=80,"Yes","No")</f>
        <v/>
      </c>
      <c r="M326">
        <f>IF(ISNUMBER(H326),IF(H326&gt;0,1,0),"")</f>
        <v/>
      </c>
    </row>
    <row r="327">
      <c r="A327" t="inlineStr">
        <is>
          <t>SIMULATED_FEA_Commercial_Study</t>
        </is>
      </c>
      <c r="B327" t="inlineStr">
        <is>
          <t>V07</t>
        </is>
      </c>
      <c r="C327" t="inlineStr">
        <is>
          <t>Stimulus</t>
        </is>
      </c>
      <c r="D327" t="inlineStr">
        <is>
          <t>Baseline</t>
        </is>
      </c>
      <c r="E327" t="n">
        <v>60</v>
      </c>
      <c r="F327" t="inlineStr">
        <is>
          <t>Surprise</t>
        </is>
      </c>
      <c r="G327" t="n">
        <v>50</v>
      </c>
      <c r="H327" t="n">
        <v>2.61</v>
      </c>
      <c r="I327" t="n">
        <v>1</v>
      </c>
      <c r="J327" t="inlineStr">
        <is>
          <t>NA</t>
        </is>
      </c>
      <c r="K327" t="n">
        <v>61</v>
      </c>
      <c r="L327">
        <f>IF(K327&gt;=80,"Yes","No")</f>
        <v/>
      </c>
      <c r="M327">
        <f>IF(ISNUMBER(H327),IF(H327&gt;0,1,0),"")</f>
        <v/>
      </c>
    </row>
    <row r="328">
      <c r="A328" t="inlineStr">
        <is>
          <t>SIMULATED_FEA_Commercial_Study</t>
        </is>
      </c>
      <c r="B328" t="inlineStr">
        <is>
          <t>V07</t>
        </is>
      </c>
      <c r="C328" t="inlineStr">
        <is>
          <t>Stimulus</t>
        </is>
      </c>
      <c r="D328" t="inlineStr">
        <is>
          <t>Baseline</t>
        </is>
      </c>
      <c r="E328" t="n">
        <v>60</v>
      </c>
      <c r="F328" t="inlineStr">
        <is>
          <t>Brow Furrow</t>
        </is>
      </c>
      <c r="G328" t="n">
        <v>50</v>
      </c>
      <c r="H328" t="n">
        <v>0</v>
      </c>
      <c r="I328" t="n">
        <v>0</v>
      </c>
      <c r="J328" t="inlineStr">
        <is>
          <t>NA</t>
        </is>
      </c>
      <c r="K328" t="n">
        <v>61</v>
      </c>
      <c r="L328">
        <f>IF(K328&gt;=80,"Yes","No")</f>
        <v/>
      </c>
      <c r="M328">
        <f>IF(ISNUMBER(H328),IF(H328&gt;0,1,0),"")</f>
        <v/>
      </c>
    </row>
    <row r="329">
      <c r="A329" t="inlineStr">
        <is>
          <t>SIMULATED_FEA_Commercial_Study</t>
        </is>
      </c>
      <c r="B329" t="inlineStr">
        <is>
          <t>V07</t>
        </is>
      </c>
      <c r="C329" t="inlineStr">
        <is>
          <t>Stimulus</t>
        </is>
      </c>
      <c r="D329" t="inlineStr">
        <is>
          <t>Baseline</t>
        </is>
      </c>
      <c r="E329" t="n">
        <v>60</v>
      </c>
      <c r="F329" t="inlineStr">
        <is>
          <t>Positive Valence</t>
        </is>
      </c>
      <c r="G329" t="n">
        <v>50</v>
      </c>
      <c r="H329" t="n">
        <v>0</v>
      </c>
      <c r="I329" t="n">
        <v>0</v>
      </c>
      <c r="J329" t="inlineStr">
        <is>
          <t>NA</t>
        </is>
      </c>
      <c r="K329" t="n">
        <v>61</v>
      </c>
      <c r="L329">
        <f>IF(K329&gt;=80,"Yes","No")</f>
        <v/>
      </c>
      <c r="M329">
        <f>IF(ISNUMBER(H329),IF(H329&gt;0,1,0),"")</f>
        <v/>
      </c>
    </row>
    <row r="330">
      <c r="A330" t="inlineStr">
        <is>
          <t>SIMULATED_FEA_Commercial_Study</t>
        </is>
      </c>
      <c r="B330" t="inlineStr">
        <is>
          <t>V07</t>
        </is>
      </c>
      <c r="C330" t="inlineStr">
        <is>
          <t>Stimulus</t>
        </is>
      </c>
      <c r="D330" t="inlineStr">
        <is>
          <t>Baseline</t>
        </is>
      </c>
      <c r="E330" t="n">
        <v>60</v>
      </c>
      <c r="F330" t="inlineStr">
        <is>
          <t>Negative Valence</t>
        </is>
      </c>
      <c r="G330" t="n">
        <v>-50</v>
      </c>
      <c r="H330" t="n">
        <v>0</v>
      </c>
      <c r="I330" t="n">
        <v>0</v>
      </c>
      <c r="J330" t="inlineStr">
        <is>
          <t>NA</t>
        </is>
      </c>
      <c r="K330" t="n">
        <v>61</v>
      </c>
      <c r="L330">
        <f>IF(K330&gt;=80,"Yes","No")</f>
        <v/>
      </c>
      <c r="M330">
        <f>IF(ISNUMBER(H330),IF(H330&gt;0,1,0),"")</f>
        <v/>
      </c>
    </row>
    <row r="331">
      <c r="A331" t="inlineStr">
        <is>
          <t>SIMULATED_FEA_Commercial_Study</t>
        </is>
      </c>
      <c r="B331" t="inlineStr">
        <is>
          <t>V07</t>
        </is>
      </c>
      <c r="C331" t="inlineStr">
        <is>
          <t>Stimulus</t>
        </is>
      </c>
      <c r="D331" t="inlineStr">
        <is>
          <t>Baseline</t>
        </is>
      </c>
      <c r="E331" t="n">
        <v>60</v>
      </c>
      <c r="F331" t="inlineStr">
        <is>
          <t>Engagement</t>
        </is>
      </c>
      <c r="G331" t="inlineStr">
        <is>
          <t>NA</t>
        </is>
      </c>
      <c r="H331" t="inlineStr">
        <is>
          <t>NA</t>
        </is>
      </c>
      <c r="I331" t="inlineStr">
        <is>
          <t>NA</t>
        </is>
      </c>
      <c r="J331" t="n">
        <v>7.36</v>
      </c>
      <c r="K331" t="n">
        <v>61</v>
      </c>
      <c r="L331">
        <f>IF(K331&gt;=80,"Yes","No")</f>
        <v/>
      </c>
      <c r="M331">
        <f>IF(ISNUMBER(H331),IF(H331&gt;0,1,0),"")</f>
        <v/>
      </c>
    </row>
    <row r="332">
      <c r="A332" t="inlineStr">
        <is>
          <t>SIMULATED_FEA_Commercial_Study</t>
        </is>
      </c>
      <c r="B332" t="inlineStr">
        <is>
          <t>V07</t>
        </is>
      </c>
      <c r="C332" t="inlineStr">
        <is>
          <t>Stimulus</t>
        </is>
      </c>
      <c r="D332" t="inlineStr">
        <is>
          <t>Commercial</t>
        </is>
      </c>
      <c r="E332" t="n">
        <v>60</v>
      </c>
      <c r="F332" t="inlineStr">
        <is>
          <t>Joy</t>
        </is>
      </c>
      <c r="G332" t="n">
        <v>50</v>
      </c>
      <c r="H332" t="n">
        <v>0</v>
      </c>
      <c r="I332" t="n">
        <v>0</v>
      </c>
      <c r="J332" t="inlineStr">
        <is>
          <t>NA</t>
        </is>
      </c>
      <c r="K332" t="n">
        <v>61</v>
      </c>
      <c r="L332">
        <f>IF(K332&gt;=80,"Yes","No")</f>
        <v/>
      </c>
      <c r="M332">
        <f>IF(ISNUMBER(H332),IF(H332&gt;0,1,0),"")</f>
        <v/>
      </c>
    </row>
    <row r="333">
      <c r="A333" t="inlineStr">
        <is>
          <t>SIMULATED_FEA_Commercial_Study</t>
        </is>
      </c>
      <c r="B333" t="inlineStr">
        <is>
          <t>V07</t>
        </is>
      </c>
      <c r="C333" t="inlineStr">
        <is>
          <t>Stimulus</t>
        </is>
      </c>
      <c r="D333" t="inlineStr">
        <is>
          <t>Commercial</t>
        </is>
      </c>
      <c r="E333" t="n">
        <v>60</v>
      </c>
      <c r="F333" t="inlineStr">
        <is>
          <t>Surprise</t>
        </is>
      </c>
      <c r="G333" t="n">
        <v>50</v>
      </c>
      <c r="H333" t="n">
        <v>1.56</v>
      </c>
      <c r="I333" t="n">
        <v>1</v>
      </c>
      <c r="J333" t="inlineStr">
        <is>
          <t>NA</t>
        </is>
      </c>
      <c r="K333" t="n">
        <v>61</v>
      </c>
      <c r="L333">
        <f>IF(K333&gt;=80,"Yes","No")</f>
        <v/>
      </c>
      <c r="M333">
        <f>IF(ISNUMBER(H333),IF(H333&gt;0,1,0),"")</f>
        <v/>
      </c>
    </row>
    <row r="334">
      <c r="A334" t="inlineStr">
        <is>
          <t>SIMULATED_FEA_Commercial_Study</t>
        </is>
      </c>
      <c r="B334" t="inlineStr">
        <is>
          <t>V07</t>
        </is>
      </c>
      <c r="C334" t="inlineStr">
        <is>
          <t>Stimulus</t>
        </is>
      </c>
      <c r="D334" t="inlineStr">
        <is>
          <t>Commercial</t>
        </is>
      </c>
      <c r="E334" t="n">
        <v>60</v>
      </c>
      <c r="F334" t="inlineStr">
        <is>
          <t>Brow Furrow</t>
        </is>
      </c>
      <c r="G334" t="n">
        <v>50</v>
      </c>
      <c r="H334" t="n">
        <v>0.11</v>
      </c>
      <c r="I334" t="n">
        <v>1</v>
      </c>
      <c r="J334" t="inlineStr">
        <is>
          <t>NA</t>
        </is>
      </c>
      <c r="K334" t="n">
        <v>61</v>
      </c>
      <c r="L334">
        <f>IF(K334&gt;=80,"Yes","No")</f>
        <v/>
      </c>
      <c r="M334">
        <f>IF(ISNUMBER(H334),IF(H334&gt;0,1,0),"")</f>
        <v/>
      </c>
    </row>
    <row r="335">
      <c r="A335" t="inlineStr">
        <is>
          <t>SIMULATED_FEA_Commercial_Study</t>
        </is>
      </c>
      <c r="B335" t="inlineStr">
        <is>
          <t>V07</t>
        </is>
      </c>
      <c r="C335" t="inlineStr">
        <is>
          <t>Stimulus</t>
        </is>
      </c>
      <c r="D335" t="inlineStr">
        <is>
          <t>Commercial</t>
        </is>
      </c>
      <c r="E335" t="n">
        <v>60</v>
      </c>
      <c r="F335" t="inlineStr">
        <is>
          <t>Positive Valence</t>
        </is>
      </c>
      <c r="G335" t="n">
        <v>50</v>
      </c>
      <c r="H335" t="n">
        <v>0</v>
      </c>
      <c r="I335" t="n">
        <v>0</v>
      </c>
      <c r="J335" t="inlineStr">
        <is>
          <t>NA</t>
        </is>
      </c>
      <c r="K335" t="n">
        <v>61</v>
      </c>
      <c r="L335">
        <f>IF(K335&gt;=80,"Yes","No")</f>
        <v/>
      </c>
      <c r="M335">
        <f>IF(ISNUMBER(H335),IF(H335&gt;0,1,0),"")</f>
        <v/>
      </c>
    </row>
    <row r="336">
      <c r="A336" t="inlineStr">
        <is>
          <t>SIMULATED_FEA_Commercial_Study</t>
        </is>
      </c>
      <c r="B336" t="inlineStr">
        <is>
          <t>V07</t>
        </is>
      </c>
      <c r="C336" t="inlineStr">
        <is>
          <t>Stimulus</t>
        </is>
      </c>
      <c r="D336" t="inlineStr">
        <is>
          <t>Commercial</t>
        </is>
      </c>
      <c r="E336" t="n">
        <v>60</v>
      </c>
      <c r="F336" t="inlineStr">
        <is>
          <t>Negative Valence</t>
        </is>
      </c>
      <c r="G336" t="n">
        <v>-50</v>
      </c>
      <c r="H336" t="n">
        <v>0</v>
      </c>
      <c r="I336" t="n">
        <v>0</v>
      </c>
      <c r="J336" t="inlineStr">
        <is>
          <t>NA</t>
        </is>
      </c>
      <c r="K336" t="n">
        <v>61</v>
      </c>
      <c r="L336">
        <f>IF(K336&gt;=80,"Yes","No")</f>
        <v/>
      </c>
      <c r="M336">
        <f>IF(ISNUMBER(H336),IF(H336&gt;0,1,0),"")</f>
        <v/>
      </c>
    </row>
    <row r="337">
      <c r="A337" t="inlineStr">
        <is>
          <t>SIMULATED_FEA_Commercial_Study</t>
        </is>
      </c>
      <c r="B337" t="inlineStr">
        <is>
          <t>V07</t>
        </is>
      </c>
      <c r="C337" t="inlineStr">
        <is>
          <t>Stimulus</t>
        </is>
      </c>
      <c r="D337" t="inlineStr">
        <is>
          <t>Commercial</t>
        </is>
      </c>
      <c r="E337" t="n">
        <v>60</v>
      </c>
      <c r="F337" t="inlineStr">
        <is>
          <t>Engagement</t>
        </is>
      </c>
      <c r="G337" t="inlineStr">
        <is>
          <t>NA</t>
        </is>
      </c>
      <c r="H337" t="inlineStr">
        <is>
          <t>NA</t>
        </is>
      </c>
      <c r="I337" t="inlineStr">
        <is>
          <t>NA</t>
        </is>
      </c>
      <c r="J337" t="n">
        <v>6.81</v>
      </c>
      <c r="K337" t="n">
        <v>61</v>
      </c>
      <c r="L337">
        <f>IF(K337&gt;=80,"Yes","No")</f>
        <v/>
      </c>
      <c r="M337">
        <f>IF(ISNUMBER(H337),IF(H337&gt;0,1,0),"")</f>
        <v/>
      </c>
    </row>
    <row r="338">
      <c r="A338" t="inlineStr">
        <is>
          <t>SIMULATED_FEA_Commercial_Study</t>
        </is>
      </c>
      <c r="B338" t="inlineStr">
        <is>
          <t>V07</t>
        </is>
      </c>
      <c r="C338" t="inlineStr">
        <is>
          <t>Stimulus</t>
        </is>
      </c>
      <c r="D338" t="inlineStr">
        <is>
          <t>Recovery</t>
        </is>
      </c>
      <c r="E338" t="n">
        <v>15</v>
      </c>
      <c r="F338" t="inlineStr">
        <is>
          <t>Joy</t>
        </is>
      </c>
      <c r="G338" t="n">
        <v>50</v>
      </c>
      <c r="H338" t="n">
        <v>0</v>
      </c>
      <c r="I338" t="n">
        <v>0</v>
      </c>
      <c r="J338" t="inlineStr">
        <is>
          <t>NA</t>
        </is>
      </c>
      <c r="K338" t="n">
        <v>61</v>
      </c>
      <c r="L338">
        <f>IF(K338&gt;=80,"Yes","No")</f>
        <v/>
      </c>
      <c r="M338">
        <f>IF(ISNUMBER(H338),IF(H338&gt;0,1,0),"")</f>
        <v/>
      </c>
    </row>
    <row r="339">
      <c r="A339" t="inlineStr">
        <is>
          <t>SIMULATED_FEA_Commercial_Study</t>
        </is>
      </c>
      <c r="B339" t="inlineStr">
        <is>
          <t>V07</t>
        </is>
      </c>
      <c r="C339" t="inlineStr">
        <is>
          <t>Stimulus</t>
        </is>
      </c>
      <c r="D339" t="inlineStr">
        <is>
          <t>Recovery</t>
        </is>
      </c>
      <c r="E339" t="n">
        <v>15</v>
      </c>
      <c r="F339" t="inlineStr">
        <is>
          <t>Surprise</t>
        </is>
      </c>
      <c r="G339" t="n">
        <v>50</v>
      </c>
      <c r="H339" t="n">
        <v>0</v>
      </c>
      <c r="I339" t="n">
        <v>0</v>
      </c>
      <c r="J339" t="inlineStr">
        <is>
          <t>NA</t>
        </is>
      </c>
      <c r="K339" t="n">
        <v>61</v>
      </c>
      <c r="L339">
        <f>IF(K339&gt;=80,"Yes","No")</f>
        <v/>
      </c>
      <c r="M339">
        <f>IF(ISNUMBER(H339),IF(H339&gt;0,1,0),"")</f>
        <v/>
      </c>
    </row>
    <row r="340">
      <c r="A340" t="inlineStr">
        <is>
          <t>SIMULATED_FEA_Commercial_Study</t>
        </is>
      </c>
      <c r="B340" t="inlineStr">
        <is>
          <t>V07</t>
        </is>
      </c>
      <c r="C340" t="inlineStr">
        <is>
          <t>Stimulus</t>
        </is>
      </c>
      <c r="D340" t="inlineStr">
        <is>
          <t>Recovery</t>
        </is>
      </c>
      <c r="E340" t="n">
        <v>15</v>
      </c>
      <c r="F340" t="inlineStr">
        <is>
          <t>Brow Furrow</t>
        </is>
      </c>
      <c r="G340" t="n">
        <v>50</v>
      </c>
      <c r="H340" t="n">
        <v>0</v>
      </c>
      <c r="I340" t="n">
        <v>0</v>
      </c>
      <c r="J340" t="inlineStr">
        <is>
          <t>NA</t>
        </is>
      </c>
      <c r="K340" t="n">
        <v>61</v>
      </c>
      <c r="L340">
        <f>IF(K340&gt;=80,"Yes","No")</f>
        <v/>
      </c>
      <c r="M340">
        <f>IF(ISNUMBER(H340),IF(H340&gt;0,1,0),"")</f>
        <v/>
      </c>
    </row>
    <row r="341">
      <c r="A341" t="inlineStr">
        <is>
          <t>SIMULATED_FEA_Commercial_Study</t>
        </is>
      </c>
      <c r="B341" t="inlineStr">
        <is>
          <t>V07</t>
        </is>
      </c>
      <c r="C341" t="inlineStr">
        <is>
          <t>Stimulus</t>
        </is>
      </c>
      <c r="D341" t="inlineStr">
        <is>
          <t>Recovery</t>
        </is>
      </c>
      <c r="E341" t="n">
        <v>15</v>
      </c>
      <c r="F341" t="inlineStr">
        <is>
          <t>Positive Valence</t>
        </is>
      </c>
      <c r="G341" t="n">
        <v>50</v>
      </c>
      <c r="H341" t="n">
        <v>0</v>
      </c>
      <c r="I341" t="n">
        <v>0</v>
      </c>
      <c r="J341" t="inlineStr">
        <is>
          <t>NA</t>
        </is>
      </c>
      <c r="K341" t="n">
        <v>61</v>
      </c>
      <c r="L341">
        <f>IF(K341&gt;=80,"Yes","No")</f>
        <v/>
      </c>
      <c r="M341">
        <f>IF(ISNUMBER(H341),IF(H341&gt;0,1,0),"")</f>
        <v/>
      </c>
    </row>
    <row r="342">
      <c r="A342" t="inlineStr">
        <is>
          <t>SIMULATED_FEA_Commercial_Study</t>
        </is>
      </c>
      <c r="B342" t="inlineStr">
        <is>
          <t>V07</t>
        </is>
      </c>
      <c r="C342" t="inlineStr">
        <is>
          <t>Stimulus</t>
        </is>
      </c>
      <c r="D342" t="inlineStr">
        <is>
          <t>Recovery</t>
        </is>
      </c>
      <c r="E342" t="n">
        <v>15</v>
      </c>
      <c r="F342" t="inlineStr">
        <is>
          <t>Negative Valence</t>
        </is>
      </c>
      <c r="G342" t="n">
        <v>-50</v>
      </c>
      <c r="H342" t="n">
        <v>0</v>
      </c>
      <c r="I342" t="n">
        <v>0</v>
      </c>
      <c r="J342" t="inlineStr">
        <is>
          <t>NA</t>
        </is>
      </c>
      <c r="K342" t="n">
        <v>61</v>
      </c>
      <c r="L342">
        <f>IF(K342&gt;=80,"Yes","No")</f>
        <v/>
      </c>
      <c r="M342">
        <f>IF(ISNUMBER(H342),IF(H342&gt;0,1,0),"")</f>
        <v/>
      </c>
    </row>
    <row r="343">
      <c r="A343" t="inlineStr">
        <is>
          <t>SIMULATED_FEA_Commercial_Study</t>
        </is>
      </c>
      <c r="B343" t="inlineStr">
        <is>
          <t>V07</t>
        </is>
      </c>
      <c r="C343" t="inlineStr">
        <is>
          <t>Stimulus</t>
        </is>
      </c>
      <c r="D343" t="inlineStr">
        <is>
          <t>Recovery</t>
        </is>
      </c>
      <c r="E343" t="n">
        <v>15</v>
      </c>
      <c r="F343" t="inlineStr">
        <is>
          <t>Engagement</t>
        </is>
      </c>
      <c r="G343" t="inlineStr">
        <is>
          <t>NA</t>
        </is>
      </c>
      <c r="H343" t="inlineStr">
        <is>
          <t>NA</t>
        </is>
      </c>
      <c r="I343" t="inlineStr">
        <is>
          <t>NA</t>
        </is>
      </c>
      <c r="J343" t="n">
        <v>4.81</v>
      </c>
      <c r="K343" t="n">
        <v>61</v>
      </c>
      <c r="L343">
        <f>IF(K343&gt;=80,"Yes","No")</f>
        <v/>
      </c>
      <c r="M343">
        <f>IF(ISNUMBER(H343),IF(H343&gt;0,1,0),"")</f>
        <v/>
      </c>
    </row>
    <row r="344">
      <c r="A344" t="inlineStr">
        <is>
          <t>SIMULATED_FEA_Commercial_Study</t>
        </is>
      </c>
      <c r="B344" t="inlineStr">
        <is>
          <t>V07</t>
        </is>
      </c>
      <c r="C344" t="inlineStr">
        <is>
          <t>Annotation</t>
        </is>
      </c>
      <c r="D344" t="inlineStr">
        <is>
          <t>Bin_01</t>
        </is>
      </c>
      <c r="E344" t="n">
        <v>10</v>
      </c>
      <c r="F344" t="inlineStr">
        <is>
          <t>Joy</t>
        </is>
      </c>
      <c r="G344" t="n">
        <v>50</v>
      </c>
      <c r="H344" t="n">
        <v>0</v>
      </c>
      <c r="I344" t="n">
        <v>0</v>
      </c>
      <c r="J344" t="inlineStr">
        <is>
          <t>NA</t>
        </is>
      </c>
      <c r="K344" t="n">
        <v>61</v>
      </c>
      <c r="L344">
        <f>IF(K344&gt;=80,"Yes","No")</f>
        <v/>
      </c>
      <c r="M344">
        <f>IF(ISNUMBER(H344),IF(H344&gt;0,1,0),"")</f>
        <v/>
      </c>
    </row>
    <row r="345">
      <c r="A345" t="inlineStr">
        <is>
          <t>SIMULATED_FEA_Commercial_Study</t>
        </is>
      </c>
      <c r="B345" t="inlineStr">
        <is>
          <t>V07</t>
        </is>
      </c>
      <c r="C345" t="inlineStr">
        <is>
          <t>Annotation</t>
        </is>
      </c>
      <c r="D345" t="inlineStr">
        <is>
          <t>Bin_01</t>
        </is>
      </c>
      <c r="E345" t="n">
        <v>10</v>
      </c>
      <c r="F345" t="inlineStr">
        <is>
          <t>Surprise</t>
        </is>
      </c>
      <c r="G345" t="n">
        <v>50</v>
      </c>
      <c r="H345" t="n">
        <v>0</v>
      </c>
      <c r="I345" t="n">
        <v>0</v>
      </c>
      <c r="J345" t="inlineStr">
        <is>
          <t>NA</t>
        </is>
      </c>
      <c r="K345" t="n">
        <v>61</v>
      </c>
      <c r="L345">
        <f>IF(K345&gt;=80,"Yes","No")</f>
        <v/>
      </c>
      <c r="M345">
        <f>IF(ISNUMBER(H345),IF(H345&gt;0,1,0),"")</f>
        <v/>
      </c>
    </row>
    <row r="346">
      <c r="A346" t="inlineStr">
        <is>
          <t>SIMULATED_FEA_Commercial_Study</t>
        </is>
      </c>
      <c r="B346" t="inlineStr">
        <is>
          <t>V07</t>
        </is>
      </c>
      <c r="C346" t="inlineStr">
        <is>
          <t>Annotation</t>
        </is>
      </c>
      <c r="D346" t="inlineStr">
        <is>
          <t>Bin_01</t>
        </is>
      </c>
      <c r="E346" t="n">
        <v>10</v>
      </c>
      <c r="F346" t="inlineStr">
        <is>
          <t>Brow Furrow</t>
        </is>
      </c>
      <c r="G346" t="n">
        <v>50</v>
      </c>
      <c r="H346" t="n">
        <v>0</v>
      </c>
      <c r="I346" t="n">
        <v>0</v>
      </c>
      <c r="J346" t="inlineStr">
        <is>
          <t>NA</t>
        </is>
      </c>
      <c r="K346" t="n">
        <v>61</v>
      </c>
      <c r="L346">
        <f>IF(K346&gt;=80,"Yes","No")</f>
        <v/>
      </c>
      <c r="M346">
        <f>IF(ISNUMBER(H346),IF(H346&gt;0,1,0),"")</f>
        <v/>
      </c>
    </row>
    <row r="347">
      <c r="A347" t="inlineStr">
        <is>
          <t>SIMULATED_FEA_Commercial_Study</t>
        </is>
      </c>
      <c r="B347" t="inlineStr">
        <is>
          <t>V07</t>
        </is>
      </c>
      <c r="C347" t="inlineStr">
        <is>
          <t>Annotation</t>
        </is>
      </c>
      <c r="D347" t="inlineStr">
        <is>
          <t>Bin_01</t>
        </is>
      </c>
      <c r="E347" t="n">
        <v>10</v>
      </c>
      <c r="F347" t="inlineStr">
        <is>
          <t>Positive Valence</t>
        </is>
      </c>
      <c r="G347" t="n">
        <v>50</v>
      </c>
      <c r="H347" t="n">
        <v>0</v>
      </c>
      <c r="I347" t="n">
        <v>0</v>
      </c>
      <c r="J347" t="inlineStr">
        <is>
          <t>NA</t>
        </is>
      </c>
      <c r="K347" t="n">
        <v>61</v>
      </c>
      <c r="L347">
        <f>IF(K347&gt;=80,"Yes","No")</f>
        <v/>
      </c>
      <c r="M347">
        <f>IF(ISNUMBER(H347),IF(H347&gt;0,1,0),"")</f>
        <v/>
      </c>
    </row>
    <row r="348">
      <c r="A348" t="inlineStr">
        <is>
          <t>SIMULATED_FEA_Commercial_Study</t>
        </is>
      </c>
      <c r="B348" t="inlineStr">
        <is>
          <t>V07</t>
        </is>
      </c>
      <c r="C348" t="inlineStr">
        <is>
          <t>Annotation</t>
        </is>
      </c>
      <c r="D348" t="inlineStr">
        <is>
          <t>Bin_01</t>
        </is>
      </c>
      <c r="E348" t="n">
        <v>10</v>
      </c>
      <c r="F348" t="inlineStr">
        <is>
          <t>Negative Valence</t>
        </is>
      </c>
      <c r="G348" t="n">
        <v>-50</v>
      </c>
      <c r="H348" t="n">
        <v>0</v>
      </c>
      <c r="I348" t="n">
        <v>0</v>
      </c>
      <c r="J348" t="inlineStr">
        <is>
          <t>NA</t>
        </is>
      </c>
      <c r="K348" t="n">
        <v>61</v>
      </c>
      <c r="L348">
        <f>IF(K348&gt;=80,"Yes","No")</f>
        <v/>
      </c>
      <c r="M348">
        <f>IF(ISNUMBER(H348),IF(H348&gt;0,1,0),"")</f>
        <v/>
      </c>
    </row>
    <row r="349">
      <c r="A349" t="inlineStr">
        <is>
          <t>SIMULATED_FEA_Commercial_Study</t>
        </is>
      </c>
      <c r="B349" t="inlineStr">
        <is>
          <t>V07</t>
        </is>
      </c>
      <c r="C349" t="inlineStr">
        <is>
          <t>Annotation</t>
        </is>
      </c>
      <c r="D349" t="inlineStr">
        <is>
          <t>Bin_01</t>
        </is>
      </c>
      <c r="E349" t="n">
        <v>10</v>
      </c>
      <c r="F349" t="inlineStr">
        <is>
          <t>Engagement</t>
        </is>
      </c>
      <c r="G349" t="inlineStr">
        <is>
          <t>NA</t>
        </is>
      </c>
      <c r="H349" t="inlineStr">
        <is>
          <t>NA</t>
        </is>
      </c>
      <c r="I349" t="inlineStr">
        <is>
          <t>NA</t>
        </is>
      </c>
      <c r="J349" t="n">
        <v>5.06</v>
      </c>
      <c r="K349" t="n">
        <v>61</v>
      </c>
      <c r="L349">
        <f>IF(K349&gt;=80,"Yes","No")</f>
        <v/>
      </c>
      <c r="M349">
        <f>IF(ISNUMBER(H349),IF(H349&gt;0,1,0),"")</f>
        <v/>
      </c>
    </row>
    <row r="350">
      <c r="A350" t="inlineStr">
        <is>
          <t>SIMULATED_FEA_Commercial_Study</t>
        </is>
      </c>
      <c r="B350" t="inlineStr">
        <is>
          <t>V07</t>
        </is>
      </c>
      <c r="C350" t="inlineStr">
        <is>
          <t>Annotation</t>
        </is>
      </c>
      <c r="D350" t="inlineStr">
        <is>
          <t>Bin_02</t>
        </is>
      </c>
      <c r="E350" t="n">
        <v>10</v>
      </c>
      <c r="F350" t="inlineStr">
        <is>
          <t>Joy</t>
        </is>
      </c>
      <c r="G350" t="n">
        <v>50</v>
      </c>
      <c r="H350" t="n">
        <v>0</v>
      </c>
      <c r="I350" t="n">
        <v>0</v>
      </c>
      <c r="J350" t="inlineStr">
        <is>
          <t>NA</t>
        </is>
      </c>
      <c r="K350" t="n">
        <v>61</v>
      </c>
      <c r="L350">
        <f>IF(K350&gt;=80,"Yes","No")</f>
        <v/>
      </c>
      <c r="M350">
        <f>IF(ISNUMBER(H350),IF(H350&gt;0,1,0),"")</f>
        <v/>
      </c>
    </row>
    <row r="351">
      <c r="A351" t="inlineStr">
        <is>
          <t>SIMULATED_FEA_Commercial_Study</t>
        </is>
      </c>
      <c r="B351" t="inlineStr">
        <is>
          <t>V07</t>
        </is>
      </c>
      <c r="C351" t="inlineStr">
        <is>
          <t>Annotation</t>
        </is>
      </c>
      <c r="D351" t="inlineStr">
        <is>
          <t>Bin_02</t>
        </is>
      </c>
      <c r="E351" t="n">
        <v>10</v>
      </c>
      <c r="F351" t="inlineStr">
        <is>
          <t>Surprise</t>
        </is>
      </c>
      <c r="G351" t="n">
        <v>50</v>
      </c>
      <c r="H351" t="n">
        <v>0</v>
      </c>
      <c r="I351" t="n">
        <v>0</v>
      </c>
      <c r="J351" t="inlineStr">
        <is>
          <t>NA</t>
        </is>
      </c>
      <c r="K351" t="n">
        <v>61</v>
      </c>
      <c r="L351">
        <f>IF(K351&gt;=80,"Yes","No")</f>
        <v/>
      </c>
      <c r="M351">
        <f>IF(ISNUMBER(H351),IF(H351&gt;0,1,0),"")</f>
        <v/>
      </c>
    </row>
    <row r="352">
      <c r="A352" t="inlineStr">
        <is>
          <t>SIMULATED_FEA_Commercial_Study</t>
        </is>
      </c>
      <c r="B352" t="inlineStr">
        <is>
          <t>V07</t>
        </is>
      </c>
      <c r="C352" t="inlineStr">
        <is>
          <t>Annotation</t>
        </is>
      </c>
      <c r="D352" t="inlineStr">
        <is>
          <t>Bin_02</t>
        </is>
      </c>
      <c r="E352" t="n">
        <v>10</v>
      </c>
      <c r="F352" t="inlineStr">
        <is>
          <t>Brow Furrow</t>
        </is>
      </c>
      <c r="G352" t="n">
        <v>50</v>
      </c>
      <c r="H352" t="n">
        <v>0</v>
      </c>
      <c r="I352" t="n">
        <v>0</v>
      </c>
      <c r="J352" t="inlineStr">
        <is>
          <t>NA</t>
        </is>
      </c>
      <c r="K352" t="n">
        <v>61</v>
      </c>
      <c r="L352">
        <f>IF(K352&gt;=80,"Yes","No")</f>
        <v/>
      </c>
      <c r="M352">
        <f>IF(ISNUMBER(H352),IF(H352&gt;0,1,0),"")</f>
        <v/>
      </c>
    </row>
    <row r="353">
      <c r="A353" t="inlineStr">
        <is>
          <t>SIMULATED_FEA_Commercial_Study</t>
        </is>
      </c>
      <c r="B353" t="inlineStr">
        <is>
          <t>V07</t>
        </is>
      </c>
      <c r="C353" t="inlineStr">
        <is>
          <t>Annotation</t>
        </is>
      </c>
      <c r="D353" t="inlineStr">
        <is>
          <t>Bin_02</t>
        </is>
      </c>
      <c r="E353" t="n">
        <v>10</v>
      </c>
      <c r="F353" t="inlineStr">
        <is>
          <t>Positive Valence</t>
        </is>
      </c>
      <c r="G353" t="n">
        <v>50</v>
      </c>
      <c r="H353" t="n">
        <v>0</v>
      </c>
      <c r="I353" t="n">
        <v>0</v>
      </c>
      <c r="J353" t="inlineStr">
        <is>
          <t>NA</t>
        </is>
      </c>
      <c r="K353" t="n">
        <v>61</v>
      </c>
      <c r="L353">
        <f>IF(K353&gt;=80,"Yes","No")</f>
        <v/>
      </c>
      <c r="M353">
        <f>IF(ISNUMBER(H353),IF(H353&gt;0,1,0),"")</f>
        <v/>
      </c>
    </row>
    <row r="354">
      <c r="A354" t="inlineStr">
        <is>
          <t>SIMULATED_FEA_Commercial_Study</t>
        </is>
      </c>
      <c r="B354" t="inlineStr">
        <is>
          <t>V07</t>
        </is>
      </c>
      <c r="C354" t="inlineStr">
        <is>
          <t>Annotation</t>
        </is>
      </c>
      <c r="D354" t="inlineStr">
        <is>
          <t>Bin_02</t>
        </is>
      </c>
      <c r="E354" t="n">
        <v>10</v>
      </c>
      <c r="F354" t="inlineStr">
        <is>
          <t>Negative Valence</t>
        </is>
      </c>
      <c r="G354" t="n">
        <v>-50</v>
      </c>
      <c r="H354" t="n">
        <v>0</v>
      </c>
      <c r="I354" t="n">
        <v>0</v>
      </c>
      <c r="J354" t="inlineStr">
        <is>
          <t>NA</t>
        </is>
      </c>
      <c r="K354" t="n">
        <v>61</v>
      </c>
      <c r="L354">
        <f>IF(K354&gt;=80,"Yes","No")</f>
        <v/>
      </c>
      <c r="M354">
        <f>IF(ISNUMBER(H354),IF(H354&gt;0,1,0),"")</f>
        <v/>
      </c>
    </row>
    <row r="355">
      <c r="A355" t="inlineStr">
        <is>
          <t>SIMULATED_FEA_Commercial_Study</t>
        </is>
      </c>
      <c r="B355" t="inlineStr">
        <is>
          <t>V07</t>
        </is>
      </c>
      <c r="C355" t="inlineStr">
        <is>
          <t>Annotation</t>
        </is>
      </c>
      <c r="D355" t="inlineStr">
        <is>
          <t>Bin_02</t>
        </is>
      </c>
      <c r="E355" t="n">
        <v>10</v>
      </c>
      <c r="F355" t="inlineStr">
        <is>
          <t>Engagement</t>
        </is>
      </c>
      <c r="G355" t="inlineStr">
        <is>
          <t>NA</t>
        </is>
      </c>
      <c r="H355" t="inlineStr">
        <is>
          <t>NA</t>
        </is>
      </c>
      <c r="I355" t="inlineStr">
        <is>
          <t>NA</t>
        </is>
      </c>
      <c r="J355" t="n">
        <v>4.48</v>
      </c>
      <c r="K355" t="n">
        <v>61</v>
      </c>
      <c r="L355">
        <f>IF(K355&gt;=80,"Yes","No")</f>
        <v/>
      </c>
      <c r="M355">
        <f>IF(ISNUMBER(H355),IF(H355&gt;0,1,0),"")</f>
        <v/>
      </c>
    </row>
    <row r="356">
      <c r="A356" t="inlineStr">
        <is>
          <t>SIMULATED_FEA_Commercial_Study</t>
        </is>
      </c>
      <c r="B356" t="inlineStr">
        <is>
          <t>V07</t>
        </is>
      </c>
      <c r="C356" t="inlineStr">
        <is>
          <t>Annotation</t>
        </is>
      </c>
      <c r="D356" t="inlineStr">
        <is>
          <t>Bin_03</t>
        </is>
      </c>
      <c r="E356" t="n">
        <v>10</v>
      </c>
      <c r="F356" t="inlineStr">
        <is>
          <t>Joy</t>
        </is>
      </c>
      <c r="G356" t="n">
        <v>50</v>
      </c>
      <c r="H356" t="n">
        <v>0</v>
      </c>
      <c r="I356" t="n">
        <v>0</v>
      </c>
      <c r="J356" t="inlineStr">
        <is>
          <t>NA</t>
        </is>
      </c>
      <c r="K356" t="n">
        <v>61</v>
      </c>
      <c r="L356">
        <f>IF(K356&gt;=80,"Yes","No")</f>
        <v/>
      </c>
      <c r="M356">
        <f>IF(ISNUMBER(H356),IF(H356&gt;0,1,0),"")</f>
        <v/>
      </c>
    </row>
    <row r="357">
      <c r="A357" t="inlineStr">
        <is>
          <t>SIMULATED_FEA_Commercial_Study</t>
        </is>
      </c>
      <c r="B357" t="inlineStr">
        <is>
          <t>V07</t>
        </is>
      </c>
      <c r="C357" t="inlineStr">
        <is>
          <t>Annotation</t>
        </is>
      </c>
      <c r="D357" t="inlineStr">
        <is>
          <t>Bin_03</t>
        </is>
      </c>
      <c r="E357" t="n">
        <v>10</v>
      </c>
      <c r="F357" t="inlineStr">
        <is>
          <t>Surprise</t>
        </is>
      </c>
      <c r="G357" t="n">
        <v>50</v>
      </c>
      <c r="H357" t="n">
        <v>9.33</v>
      </c>
      <c r="I357" t="n">
        <v>1</v>
      </c>
      <c r="J357" t="inlineStr">
        <is>
          <t>NA</t>
        </is>
      </c>
      <c r="K357" t="n">
        <v>61</v>
      </c>
      <c r="L357">
        <f>IF(K357&gt;=80,"Yes","No")</f>
        <v/>
      </c>
      <c r="M357">
        <f>IF(ISNUMBER(H357),IF(H357&gt;0,1,0),"")</f>
        <v/>
      </c>
    </row>
    <row r="358">
      <c r="A358" t="inlineStr">
        <is>
          <t>SIMULATED_FEA_Commercial_Study</t>
        </is>
      </c>
      <c r="B358" t="inlineStr">
        <is>
          <t>V07</t>
        </is>
      </c>
      <c r="C358" t="inlineStr">
        <is>
          <t>Annotation</t>
        </is>
      </c>
      <c r="D358" t="inlineStr">
        <is>
          <t>Bin_03</t>
        </is>
      </c>
      <c r="E358" t="n">
        <v>10</v>
      </c>
      <c r="F358" t="inlineStr">
        <is>
          <t>Brow Furrow</t>
        </is>
      </c>
      <c r="G358" t="n">
        <v>50</v>
      </c>
      <c r="H358" t="n">
        <v>0.67</v>
      </c>
      <c r="I358" t="n">
        <v>1</v>
      </c>
      <c r="J358" t="inlineStr">
        <is>
          <t>NA</t>
        </is>
      </c>
      <c r="K358" t="n">
        <v>61</v>
      </c>
      <c r="L358">
        <f>IF(K358&gt;=80,"Yes","No")</f>
        <v/>
      </c>
      <c r="M358">
        <f>IF(ISNUMBER(H358),IF(H358&gt;0,1,0),"")</f>
        <v/>
      </c>
    </row>
    <row r="359">
      <c r="A359" t="inlineStr">
        <is>
          <t>SIMULATED_FEA_Commercial_Study</t>
        </is>
      </c>
      <c r="B359" t="inlineStr">
        <is>
          <t>V07</t>
        </is>
      </c>
      <c r="C359" t="inlineStr">
        <is>
          <t>Annotation</t>
        </is>
      </c>
      <c r="D359" t="inlineStr">
        <is>
          <t>Bin_03</t>
        </is>
      </c>
      <c r="E359" t="n">
        <v>10</v>
      </c>
      <c r="F359" t="inlineStr">
        <is>
          <t>Positive Valence</t>
        </is>
      </c>
      <c r="G359" t="n">
        <v>50</v>
      </c>
      <c r="H359" t="n">
        <v>0</v>
      </c>
      <c r="I359" t="n">
        <v>0</v>
      </c>
      <c r="J359" t="inlineStr">
        <is>
          <t>NA</t>
        </is>
      </c>
      <c r="K359" t="n">
        <v>61</v>
      </c>
      <c r="L359">
        <f>IF(K359&gt;=80,"Yes","No")</f>
        <v/>
      </c>
      <c r="M359">
        <f>IF(ISNUMBER(H359),IF(H359&gt;0,1,0),"")</f>
        <v/>
      </c>
    </row>
    <row r="360">
      <c r="A360" t="inlineStr">
        <is>
          <t>SIMULATED_FEA_Commercial_Study</t>
        </is>
      </c>
      <c r="B360" t="inlineStr">
        <is>
          <t>V07</t>
        </is>
      </c>
      <c r="C360" t="inlineStr">
        <is>
          <t>Annotation</t>
        </is>
      </c>
      <c r="D360" t="inlineStr">
        <is>
          <t>Bin_03</t>
        </is>
      </c>
      <c r="E360" t="n">
        <v>10</v>
      </c>
      <c r="F360" t="inlineStr">
        <is>
          <t>Negative Valence</t>
        </is>
      </c>
      <c r="G360" t="n">
        <v>-50</v>
      </c>
      <c r="H360" t="n">
        <v>0</v>
      </c>
      <c r="I360" t="n">
        <v>0</v>
      </c>
      <c r="J360" t="inlineStr">
        <is>
          <t>NA</t>
        </is>
      </c>
      <c r="K360" t="n">
        <v>61</v>
      </c>
      <c r="L360">
        <f>IF(K360&gt;=80,"Yes","No")</f>
        <v/>
      </c>
      <c r="M360">
        <f>IF(ISNUMBER(H360),IF(H360&gt;0,1,0),"")</f>
        <v/>
      </c>
    </row>
    <row r="361">
      <c r="A361" t="inlineStr">
        <is>
          <t>SIMULATED_FEA_Commercial_Study</t>
        </is>
      </c>
      <c r="B361" t="inlineStr">
        <is>
          <t>V07</t>
        </is>
      </c>
      <c r="C361" t="inlineStr">
        <is>
          <t>Annotation</t>
        </is>
      </c>
      <c r="D361" t="inlineStr">
        <is>
          <t>Bin_03</t>
        </is>
      </c>
      <c r="E361" t="n">
        <v>10</v>
      </c>
      <c r="F361" t="inlineStr">
        <is>
          <t>Engagement</t>
        </is>
      </c>
      <c r="G361" t="inlineStr">
        <is>
          <t>NA</t>
        </is>
      </c>
      <c r="H361" t="inlineStr">
        <is>
          <t>NA</t>
        </is>
      </c>
      <c r="I361" t="inlineStr">
        <is>
          <t>NA</t>
        </is>
      </c>
      <c r="J361" t="n">
        <v>21.88</v>
      </c>
      <c r="K361" t="n">
        <v>61</v>
      </c>
      <c r="L361">
        <f>IF(K361&gt;=80,"Yes","No")</f>
        <v/>
      </c>
      <c r="M361">
        <f>IF(ISNUMBER(H361),IF(H361&gt;0,1,0),"")</f>
        <v/>
      </c>
    </row>
    <row r="362">
      <c r="A362" t="inlineStr">
        <is>
          <t>SIMULATED_FEA_Commercial_Study</t>
        </is>
      </c>
      <c r="B362" t="inlineStr">
        <is>
          <t>V07</t>
        </is>
      </c>
      <c r="C362" t="inlineStr">
        <is>
          <t>Annotation</t>
        </is>
      </c>
      <c r="D362" t="inlineStr">
        <is>
          <t>Bin_04</t>
        </is>
      </c>
      <c r="E362" t="n">
        <v>10</v>
      </c>
      <c r="F362" t="inlineStr">
        <is>
          <t>Joy</t>
        </is>
      </c>
      <c r="G362" t="n">
        <v>50</v>
      </c>
      <c r="H362" t="n">
        <v>0</v>
      </c>
      <c r="I362" t="n">
        <v>0</v>
      </c>
      <c r="J362" t="inlineStr">
        <is>
          <t>NA</t>
        </is>
      </c>
      <c r="K362" t="n">
        <v>61</v>
      </c>
      <c r="L362">
        <f>IF(K362&gt;=80,"Yes","No")</f>
        <v/>
      </c>
      <c r="M362">
        <f>IF(ISNUMBER(H362),IF(H362&gt;0,1,0),"")</f>
        <v/>
      </c>
    </row>
    <row r="363">
      <c r="A363" t="inlineStr">
        <is>
          <t>SIMULATED_FEA_Commercial_Study</t>
        </is>
      </c>
      <c r="B363" t="inlineStr">
        <is>
          <t>V07</t>
        </is>
      </c>
      <c r="C363" t="inlineStr">
        <is>
          <t>Annotation</t>
        </is>
      </c>
      <c r="D363" t="inlineStr">
        <is>
          <t>Bin_04</t>
        </is>
      </c>
      <c r="E363" t="n">
        <v>10</v>
      </c>
      <c r="F363" t="inlineStr">
        <is>
          <t>Surprise</t>
        </is>
      </c>
      <c r="G363" t="n">
        <v>50</v>
      </c>
      <c r="H363" t="n">
        <v>0</v>
      </c>
      <c r="I363" t="n">
        <v>0</v>
      </c>
      <c r="J363" t="inlineStr">
        <is>
          <t>NA</t>
        </is>
      </c>
      <c r="K363" t="n">
        <v>61</v>
      </c>
      <c r="L363">
        <f>IF(K363&gt;=80,"Yes","No")</f>
        <v/>
      </c>
      <c r="M363">
        <f>IF(ISNUMBER(H363),IF(H363&gt;0,1,0),"")</f>
        <v/>
      </c>
    </row>
    <row r="364">
      <c r="A364" t="inlineStr">
        <is>
          <t>SIMULATED_FEA_Commercial_Study</t>
        </is>
      </c>
      <c r="B364" t="inlineStr">
        <is>
          <t>V07</t>
        </is>
      </c>
      <c r="C364" t="inlineStr">
        <is>
          <t>Annotation</t>
        </is>
      </c>
      <c r="D364" t="inlineStr">
        <is>
          <t>Bin_04</t>
        </is>
      </c>
      <c r="E364" t="n">
        <v>10</v>
      </c>
      <c r="F364" t="inlineStr">
        <is>
          <t>Brow Furrow</t>
        </is>
      </c>
      <c r="G364" t="n">
        <v>50</v>
      </c>
      <c r="H364" t="n">
        <v>0</v>
      </c>
      <c r="I364" t="n">
        <v>0</v>
      </c>
      <c r="J364" t="inlineStr">
        <is>
          <t>NA</t>
        </is>
      </c>
      <c r="K364" t="n">
        <v>61</v>
      </c>
      <c r="L364">
        <f>IF(K364&gt;=80,"Yes","No")</f>
        <v/>
      </c>
      <c r="M364">
        <f>IF(ISNUMBER(H364),IF(H364&gt;0,1,0),"")</f>
        <v/>
      </c>
    </row>
    <row r="365">
      <c r="A365" t="inlineStr">
        <is>
          <t>SIMULATED_FEA_Commercial_Study</t>
        </is>
      </c>
      <c r="B365" t="inlineStr">
        <is>
          <t>V07</t>
        </is>
      </c>
      <c r="C365" t="inlineStr">
        <is>
          <t>Annotation</t>
        </is>
      </c>
      <c r="D365" t="inlineStr">
        <is>
          <t>Bin_04</t>
        </is>
      </c>
      <c r="E365" t="n">
        <v>10</v>
      </c>
      <c r="F365" t="inlineStr">
        <is>
          <t>Positive Valence</t>
        </is>
      </c>
      <c r="G365" t="n">
        <v>50</v>
      </c>
      <c r="H365" t="n">
        <v>0</v>
      </c>
      <c r="I365" t="n">
        <v>0</v>
      </c>
      <c r="J365" t="inlineStr">
        <is>
          <t>NA</t>
        </is>
      </c>
      <c r="K365" t="n">
        <v>61</v>
      </c>
      <c r="L365">
        <f>IF(K365&gt;=80,"Yes","No")</f>
        <v/>
      </c>
      <c r="M365">
        <f>IF(ISNUMBER(H365),IF(H365&gt;0,1,0),"")</f>
        <v/>
      </c>
    </row>
    <row r="366">
      <c r="A366" t="inlineStr">
        <is>
          <t>SIMULATED_FEA_Commercial_Study</t>
        </is>
      </c>
      <c r="B366" t="inlineStr">
        <is>
          <t>V07</t>
        </is>
      </c>
      <c r="C366" t="inlineStr">
        <is>
          <t>Annotation</t>
        </is>
      </c>
      <c r="D366" t="inlineStr">
        <is>
          <t>Bin_04</t>
        </is>
      </c>
      <c r="E366" t="n">
        <v>10</v>
      </c>
      <c r="F366" t="inlineStr">
        <is>
          <t>Negative Valence</t>
        </is>
      </c>
      <c r="G366" t="n">
        <v>-50</v>
      </c>
      <c r="H366" t="n">
        <v>0</v>
      </c>
      <c r="I366" t="n">
        <v>0</v>
      </c>
      <c r="J366" t="inlineStr">
        <is>
          <t>NA</t>
        </is>
      </c>
      <c r="K366" t="n">
        <v>61</v>
      </c>
      <c r="L366">
        <f>IF(K366&gt;=80,"Yes","No")</f>
        <v/>
      </c>
      <c r="M366">
        <f>IF(ISNUMBER(H366),IF(H366&gt;0,1,0),"")</f>
        <v/>
      </c>
    </row>
    <row r="367">
      <c r="A367" t="inlineStr">
        <is>
          <t>SIMULATED_FEA_Commercial_Study</t>
        </is>
      </c>
      <c r="B367" t="inlineStr">
        <is>
          <t>V07</t>
        </is>
      </c>
      <c r="C367" t="inlineStr">
        <is>
          <t>Annotation</t>
        </is>
      </c>
      <c r="D367" t="inlineStr">
        <is>
          <t>Bin_04</t>
        </is>
      </c>
      <c r="E367" t="n">
        <v>10</v>
      </c>
      <c r="F367" t="inlineStr">
        <is>
          <t>Engagement</t>
        </is>
      </c>
      <c r="G367" t="inlineStr">
        <is>
          <t>NA</t>
        </is>
      </c>
      <c r="H367" t="inlineStr">
        <is>
          <t>NA</t>
        </is>
      </c>
      <c r="I367" t="inlineStr">
        <is>
          <t>NA</t>
        </is>
      </c>
      <c r="J367" t="n">
        <v>6.6</v>
      </c>
      <c r="K367" t="n">
        <v>61</v>
      </c>
      <c r="L367">
        <f>IF(K367&gt;=80,"Yes","No")</f>
        <v/>
      </c>
      <c r="M367">
        <f>IF(ISNUMBER(H367),IF(H367&gt;0,1,0),"")</f>
        <v/>
      </c>
    </row>
    <row r="368">
      <c r="A368" t="inlineStr">
        <is>
          <t>SIMULATED_FEA_Commercial_Study</t>
        </is>
      </c>
      <c r="B368" t="inlineStr">
        <is>
          <t>V07</t>
        </is>
      </c>
      <c r="C368" t="inlineStr">
        <is>
          <t>Annotation</t>
        </is>
      </c>
      <c r="D368" t="inlineStr">
        <is>
          <t>Bin_05</t>
        </is>
      </c>
      <c r="E368" t="n">
        <v>10</v>
      </c>
      <c r="F368" t="inlineStr">
        <is>
          <t>Joy</t>
        </is>
      </c>
      <c r="G368" t="n">
        <v>50</v>
      </c>
      <c r="H368" t="n">
        <v>0</v>
      </c>
      <c r="I368" t="n">
        <v>0</v>
      </c>
      <c r="J368" t="inlineStr">
        <is>
          <t>NA</t>
        </is>
      </c>
      <c r="K368" t="n">
        <v>61</v>
      </c>
      <c r="L368">
        <f>IF(K368&gt;=80,"Yes","No")</f>
        <v/>
      </c>
      <c r="M368">
        <f>IF(ISNUMBER(H368),IF(H368&gt;0,1,0),"")</f>
        <v/>
      </c>
    </row>
    <row r="369">
      <c r="A369" t="inlineStr">
        <is>
          <t>SIMULATED_FEA_Commercial_Study</t>
        </is>
      </c>
      <c r="B369" t="inlineStr">
        <is>
          <t>V07</t>
        </is>
      </c>
      <c r="C369" t="inlineStr">
        <is>
          <t>Annotation</t>
        </is>
      </c>
      <c r="D369" t="inlineStr">
        <is>
          <t>Bin_05</t>
        </is>
      </c>
      <c r="E369" t="n">
        <v>10</v>
      </c>
      <c r="F369" t="inlineStr">
        <is>
          <t>Surprise</t>
        </is>
      </c>
      <c r="G369" t="n">
        <v>50</v>
      </c>
      <c r="H369" t="n">
        <v>0</v>
      </c>
      <c r="I369" t="n">
        <v>0</v>
      </c>
      <c r="J369" t="inlineStr">
        <is>
          <t>NA</t>
        </is>
      </c>
      <c r="K369" t="n">
        <v>61</v>
      </c>
      <c r="L369">
        <f>IF(K369&gt;=80,"Yes","No")</f>
        <v/>
      </c>
      <c r="M369">
        <f>IF(ISNUMBER(H369),IF(H369&gt;0,1,0),"")</f>
        <v/>
      </c>
    </row>
    <row r="370">
      <c r="A370" t="inlineStr">
        <is>
          <t>SIMULATED_FEA_Commercial_Study</t>
        </is>
      </c>
      <c r="B370" t="inlineStr">
        <is>
          <t>V07</t>
        </is>
      </c>
      <c r="C370" t="inlineStr">
        <is>
          <t>Annotation</t>
        </is>
      </c>
      <c r="D370" t="inlineStr">
        <is>
          <t>Bin_05</t>
        </is>
      </c>
      <c r="E370" t="n">
        <v>10</v>
      </c>
      <c r="F370" t="inlineStr">
        <is>
          <t>Brow Furrow</t>
        </is>
      </c>
      <c r="G370" t="n">
        <v>50</v>
      </c>
      <c r="H370" t="n">
        <v>0</v>
      </c>
      <c r="I370" t="n">
        <v>0</v>
      </c>
      <c r="J370" t="inlineStr">
        <is>
          <t>NA</t>
        </is>
      </c>
      <c r="K370" t="n">
        <v>61</v>
      </c>
      <c r="L370">
        <f>IF(K370&gt;=80,"Yes","No")</f>
        <v/>
      </c>
      <c r="M370">
        <f>IF(ISNUMBER(H370),IF(H370&gt;0,1,0),"")</f>
        <v/>
      </c>
    </row>
    <row r="371">
      <c r="A371" t="inlineStr">
        <is>
          <t>SIMULATED_FEA_Commercial_Study</t>
        </is>
      </c>
      <c r="B371" t="inlineStr">
        <is>
          <t>V07</t>
        </is>
      </c>
      <c r="C371" t="inlineStr">
        <is>
          <t>Annotation</t>
        </is>
      </c>
      <c r="D371" t="inlineStr">
        <is>
          <t>Bin_05</t>
        </is>
      </c>
      <c r="E371" t="n">
        <v>10</v>
      </c>
      <c r="F371" t="inlineStr">
        <is>
          <t>Positive Valence</t>
        </is>
      </c>
      <c r="G371" t="n">
        <v>50</v>
      </c>
      <c r="H371" t="n">
        <v>0</v>
      </c>
      <c r="I371" t="n">
        <v>0</v>
      </c>
      <c r="J371" t="inlineStr">
        <is>
          <t>NA</t>
        </is>
      </c>
      <c r="K371" t="n">
        <v>61</v>
      </c>
      <c r="L371">
        <f>IF(K371&gt;=80,"Yes","No")</f>
        <v/>
      </c>
      <c r="M371">
        <f>IF(ISNUMBER(H371),IF(H371&gt;0,1,0),"")</f>
        <v/>
      </c>
    </row>
    <row r="372">
      <c r="A372" t="inlineStr">
        <is>
          <t>SIMULATED_FEA_Commercial_Study</t>
        </is>
      </c>
      <c r="B372" t="inlineStr">
        <is>
          <t>V07</t>
        </is>
      </c>
      <c r="C372" t="inlineStr">
        <is>
          <t>Annotation</t>
        </is>
      </c>
      <c r="D372" t="inlineStr">
        <is>
          <t>Bin_05</t>
        </is>
      </c>
      <c r="E372" t="n">
        <v>10</v>
      </c>
      <c r="F372" t="inlineStr">
        <is>
          <t>Negative Valence</t>
        </is>
      </c>
      <c r="G372" t="n">
        <v>-50</v>
      </c>
      <c r="H372" t="n">
        <v>0</v>
      </c>
      <c r="I372" t="n">
        <v>0</v>
      </c>
      <c r="J372" t="inlineStr">
        <is>
          <t>NA</t>
        </is>
      </c>
      <c r="K372" t="n">
        <v>61</v>
      </c>
      <c r="L372">
        <f>IF(K372&gt;=80,"Yes","No")</f>
        <v/>
      </c>
      <c r="M372">
        <f>IF(ISNUMBER(H372),IF(H372&gt;0,1,0),"")</f>
        <v/>
      </c>
    </row>
    <row r="373">
      <c r="A373" t="inlineStr">
        <is>
          <t>SIMULATED_FEA_Commercial_Study</t>
        </is>
      </c>
      <c r="B373" t="inlineStr">
        <is>
          <t>V07</t>
        </is>
      </c>
      <c r="C373" t="inlineStr">
        <is>
          <t>Annotation</t>
        </is>
      </c>
      <c r="D373" t="inlineStr">
        <is>
          <t>Bin_05</t>
        </is>
      </c>
      <c r="E373" t="n">
        <v>10</v>
      </c>
      <c r="F373" t="inlineStr">
        <is>
          <t>Engagement</t>
        </is>
      </c>
      <c r="G373" t="inlineStr">
        <is>
          <t>NA</t>
        </is>
      </c>
      <c r="H373" t="inlineStr">
        <is>
          <t>NA</t>
        </is>
      </c>
      <c r="I373" t="inlineStr">
        <is>
          <t>NA</t>
        </is>
      </c>
      <c r="J373" t="n">
        <v>4.91</v>
      </c>
      <c r="K373" t="n">
        <v>61</v>
      </c>
      <c r="L373">
        <f>IF(K373&gt;=80,"Yes","No")</f>
        <v/>
      </c>
      <c r="M373">
        <f>IF(ISNUMBER(H373),IF(H373&gt;0,1,0),"")</f>
        <v/>
      </c>
    </row>
    <row r="374">
      <c r="A374" t="inlineStr">
        <is>
          <t>SIMULATED_FEA_Commercial_Study</t>
        </is>
      </c>
      <c r="B374" t="inlineStr">
        <is>
          <t>V07</t>
        </is>
      </c>
      <c r="C374" t="inlineStr">
        <is>
          <t>Annotation</t>
        </is>
      </c>
      <c r="D374" t="inlineStr">
        <is>
          <t>Bin_06</t>
        </is>
      </c>
      <c r="E374" t="n">
        <v>10</v>
      </c>
      <c r="F374" t="inlineStr">
        <is>
          <t>Joy</t>
        </is>
      </c>
      <c r="G374" t="n">
        <v>50</v>
      </c>
      <c r="H374" t="n">
        <v>0</v>
      </c>
      <c r="I374" t="n">
        <v>0</v>
      </c>
      <c r="J374" t="inlineStr">
        <is>
          <t>NA</t>
        </is>
      </c>
      <c r="K374" t="n">
        <v>61</v>
      </c>
      <c r="L374">
        <f>IF(K374&gt;=80,"Yes","No")</f>
        <v/>
      </c>
      <c r="M374">
        <f>IF(ISNUMBER(H374),IF(H374&gt;0,1,0),"")</f>
        <v/>
      </c>
    </row>
    <row r="375">
      <c r="A375" t="inlineStr">
        <is>
          <t>SIMULATED_FEA_Commercial_Study</t>
        </is>
      </c>
      <c r="B375" t="inlineStr">
        <is>
          <t>V07</t>
        </is>
      </c>
      <c r="C375" t="inlineStr">
        <is>
          <t>Annotation</t>
        </is>
      </c>
      <c r="D375" t="inlineStr">
        <is>
          <t>Bin_06</t>
        </is>
      </c>
      <c r="E375" t="n">
        <v>10</v>
      </c>
      <c r="F375" t="inlineStr">
        <is>
          <t>Surprise</t>
        </is>
      </c>
      <c r="G375" t="n">
        <v>50</v>
      </c>
      <c r="H375" t="n">
        <v>0</v>
      </c>
      <c r="I375" t="n">
        <v>0</v>
      </c>
      <c r="J375" t="inlineStr">
        <is>
          <t>NA</t>
        </is>
      </c>
      <c r="K375" t="n">
        <v>61</v>
      </c>
      <c r="L375">
        <f>IF(K375&gt;=80,"Yes","No")</f>
        <v/>
      </c>
      <c r="M375">
        <f>IF(ISNUMBER(H375),IF(H375&gt;0,1,0),"")</f>
        <v/>
      </c>
    </row>
    <row r="376">
      <c r="A376" t="inlineStr">
        <is>
          <t>SIMULATED_FEA_Commercial_Study</t>
        </is>
      </c>
      <c r="B376" t="inlineStr">
        <is>
          <t>V07</t>
        </is>
      </c>
      <c r="C376" t="inlineStr">
        <is>
          <t>Annotation</t>
        </is>
      </c>
      <c r="D376" t="inlineStr">
        <is>
          <t>Bin_06</t>
        </is>
      </c>
      <c r="E376" t="n">
        <v>10</v>
      </c>
      <c r="F376" t="inlineStr">
        <is>
          <t>Brow Furrow</t>
        </is>
      </c>
      <c r="G376" t="n">
        <v>50</v>
      </c>
      <c r="H376" t="n">
        <v>0</v>
      </c>
      <c r="I376" t="n">
        <v>0</v>
      </c>
      <c r="J376" t="inlineStr">
        <is>
          <t>NA</t>
        </is>
      </c>
      <c r="K376" t="n">
        <v>61</v>
      </c>
      <c r="L376">
        <f>IF(K376&gt;=80,"Yes","No")</f>
        <v/>
      </c>
      <c r="M376">
        <f>IF(ISNUMBER(H376),IF(H376&gt;0,1,0),"")</f>
        <v/>
      </c>
    </row>
    <row r="377">
      <c r="A377" t="inlineStr">
        <is>
          <t>SIMULATED_FEA_Commercial_Study</t>
        </is>
      </c>
      <c r="B377" t="inlineStr">
        <is>
          <t>V07</t>
        </is>
      </c>
      <c r="C377" t="inlineStr">
        <is>
          <t>Annotation</t>
        </is>
      </c>
      <c r="D377" t="inlineStr">
        <is>
          <t>Bin_06</t>
        </is>
      </c>
      <c r="E377" t="n">
        <v>10</v>
      </c>
      <c r="F377" t="inlineStr">
        <is>
          <t>Positive Valence</t>
        </is>
      </c>
      <c r="G377" t="n">
        <v>50</v>
      </c>
      <c r="H377" t="n">
        <v>0</v>
      </c>
      <c r="I377" t="n">
        <v>0</v>
      </c>
      <c r="J377" t="inlineStr">
        <is>
          <t>NA</t>
        </is>
      </c>
      <c r="K377" t="n">
        <v>61</v>
      </c>
      <c r="L377">
        <f>IF(K377&gt;=80,"Yes","No")</f>
        <v/>
      </c>
      <c r="M377">
        <f>IF(ISNUMBER(H377),IF(H377&gt;0,1,0),"")</f>
        <v/>
      </c>
    </row>
    <row r="378">
      <c r="A378" t="inlineStr">
        <is>
          <t>SIMULATED_FEA_Commercial_Study</t>
        </is>
      </c>
      <c r="B378" t="inlineStr">
        <is>
          <t>V07</t>
        </is>
      </c>
      <c r="C378" t="inlineStr">
        <is>
          <t>Annotation</t>
        </is>
      </c>
      <c r="D378" t="inlineStr">
        <is>
          <t>Bin_06</t>
        </is>
      </c>
      <c r="E378" t="n">
        <v>10</v>
      </c>
      <c r="F378" t="inlineStr">
        <is>
          <t>Negative Valence</t>
        </is>
      </c>
      <c r="G378" t="n">
        <v>-50</v>
      </c>
      <c r="H378" t="n">
        <v>0</v>
      </c>
      <c r="I378" t="n">
        <v>0</v>
      </c>
      <c r="J378" t="inlineStr">
        <is>
          <t>NA</t>
        </is>
      </c>
      <c r="K378" t="n">
        <v>61</v>
      </c>
      <c r="L378">
        <f>IF(K378&gt;=80,"Yes","No")</f>
        <v/>
      </c>
      <c r="M378">
        <f>IF(ISNUMBER(H378),IF(H378&gt;0,1,0),"")</f>
        <v/>
      </c>
    </row>
    <row r="379">
      <c r="A379" t="inlineStr">
        <is>
          <t>SIMULATED_FEA_Commercial_Study</t>
        </is>
      </c>
      <c r="B379" t="inlineStr">
        <is>
          <t>V07</t>
        </is>
      </c>
      <c r="C379" t="inlineStr">
        <is>
          <t>Annotation</t>
        </is>
      </c>
      <c r="D379" t="inlineStr">
        <is>
          <t>Bin_06</t>
        </is>
      </c>
      <c r="E379" t="n">
        <v>10</v>
      </c>
      <c r="F379" t="inlineStr">
        <is>
          <t>Engagement</t>
        </is>
      </c>
      <c r="G379" t="inlineStr">
        <is>
          <t>NA</t>
        </is>
      </c>
      <c r="H379" t="inlineStr">
        <is>
          <t>NA</t>
        </is>
      </c>
      <c r="I379" t="inlineStr">
        <is>
          <t>NA</t>
        </is>
      </c>
      <c r="J379" t="n">
        <v>5.47</v>
      </c>
      <c r="K379" t="n">
        <v>61</v>
      </c>
      <c r="L379">
        <f>IF(K379&gt;=80,"Yes","No")</f>
        <v/>
      </c>
      <c r="M379">
        <f>IF(ISNUMBER(H379),IF(H379&gt;0,1,0),"")</f>
        <v/>
      </c>
    </row>
    <row r="380">
      <c r="A380" t="inlineStr">
        <is>
          <t>SIMULATED_FEA_Commercial_Study</t>
        </is>
      </c>
      <c r="B380" t="inlineStr">
        <is>
          <t>V08</t>
        </is>
      </c>
      <c r="C380" t="inlineStr">
        <is>
          <t>Stimulus</t>
        </is>
      </c>
      <c r="D380" t="inlineStr">
        <is>
          <t>Baseline</t>
        </is>
      </c>
      <c r="E380" t="n">
        <v>60</v>
      </c>
      <c r="F380" t="inlineStr">
        <is>
          <t>Joy</t>
        </is>
      </c>
      <c r="G380" t="n">
        <v>50</v>
      </c>
      <c r="H380" t="n">
        <v>3.67</v>
      </c>
      <c r="I380" t="n">
        <v>2</v>
      </c>
      <c r="J380" t="inlineStr">
        <is>
          <t>NA</t>
        </is>
      </c>
      <c r="K380" t="n">
        <v>96.8</v>
      </c>
      <c r="L380">
        <f>IF(K380&gt;=80,"Yes","No")</f>
        <v/>
      </c>
      <c r="M380">
        <f>IF(ISNUMBER(H380),IF(H380&gt;0,1,0),"")</f>
        <v/>
      </c>
    </row>
    <row r="381">
      <c r="A381" t="inlineStr">
        <is>
          <t>SIMULATED_FEA_Commercial_Study</t>
        </is>
      </c>
      <c r="B381" t="inlineStr">
        <is>
          <t>V08</t>
        </is>
      </c>
      <c r="C381" t="inlineStr">
        <is>
          <t>Stimulus</t>
        </is>
      </c>
      <c r="D381" t="inlineStr">
        <is>
          <t>Baseline</t>
        </is>
      </c>
      <c r="E381" t="n">
        <v>60</v>
      </c>
      <c r="F381" t="inlineStr">
        <is>
          <t>Surprise</t>
        </is>
      </c>
      <c r="G381" t="n">
        <v>50</v>
      </c>
      <c r="H381" t="n">
        <v>0</v>
      </c>
      <c r="I381" t="n">
        <v>0</v>
      </c>
      <c r="J381" t="inlineStr">
        <is>
          <t>NA</t>
        </is>
      </c>
      <c r="K381" t="n">
        <v>96.8</v>
      </c>
      <c r="L381">
        <f>IF(K381&gt;=80,"Yes","No")</f>
        <v/>
      </c>
      <c r="M381">
        <f>IF(ISNUMBER(H381),IF(H381&gt;0,1,0),"")</f>
        <v/>
      </c>
    </row>
    <row r="382">
      <c r="A382" t="inlineStr">
        <is>
          <t>SIMULATED_FEA_Commercial_Study</t>
        </is>
      </c>
      <c r="B382" t="inlineStr">
        <is>
          <t>V08</t>
        </is>
      </c>
      <c r="C382" t="inlineStr">
        <is>
          <t>Stimulus</t>
        </is>
      </c>
      <c r="D382" t="inlineStr">
        <is>
          <t>Baseline</t>
        </is>
      </c>
      <c r="E382" t="n">
        <v>60</v>
      </c>
      <c r="F382" t="inlineStr">
        <is>
          <t>Brow Furrow</t>
        </is>
      </c>
      <c r="G382" t="n">
        <v>50</v>
      </c>
      <c r="H382" t="n">
        <v>0</v>
      </c>
      <c r="I382" t="n">
        <v>0</v>
      </c>
      <c r="J382" t="inlineStr">
        <is>
          <t>NA</t>
        </is>
      </c>
      <c r="K382" t="n">
        <v>96.8</v>
      </c>
      <c r="L382">
        <f>IF(K382&gt;=80,"Yes","No")</f>
        <v/>
      </c>
      <c r="M382">
        <f>IF(ISNUMBER(H382),IF(H382&gt;0,1,0),"")</f>
        <v/>
      </c>
    </row>
    <row r="383">
      <c r="A383" t="inlineStr">
        <is>
          <t>SIMULATED_FEA_Commercial_Study</t>
        </is>
      </c>
      <c r="B383" t="inlineStr">
        <is>
          <t>V08</t>
        </is>
      </c>
      <c r="C383" t="inlineStr">
        <is>
          <t>Stimulus</t>
        </is>
      </c>
      <c r="D383" t="inlineStr">
        <is>
          <t>Baseline</t>
        </is>
      </c>
      <c r="E383" t="n">
        <v>60</v>
      </c>
      <c r="F383" t="inlineStr">
        <is>
          <t>Positive Valence</t>
        </is>
      </c>
      <c r="G383" t="n">
        <v>50</v>
      </c>
      <c r="H383" t="n">
        <v>2.67</v>
      </c>
      <c r="I383" t="n">
        <v>3</v>
      </c>
      <c r="J383" t="inlineStr">
        <is>
          <t>NA</t>
        </is>
      </c>
      <c r="K383" t="n">
        <v>96.8</v>
      </c>
      <c r="L383">
        <f>IF(K383&gt;=80,"Yes","No")</f>
        <v/>
      </c>
      <c r="M383">
        <f>IF(ISNUMBER(H383),IF(H383&gt;0,1,0),"")</f>
        <v/>
      </c>
    </row>
    <row r="384">
      <c r="A384" t="inlineStr">
        <is>
          <t>SIMULATED_FEA_Commercial_Study</t>
        </is>
      </c>
      <c r="B384" t="inlineStr">
        <is>
          <t>V08</t>
        </is>
      </c>
      <c r="C384" t="inlineStr">
        <is>
          <t>Stimulus</t>
        </is>
      </c>
      <c r="D384" t="inlineStr">
        <is>
          <t>Baseline</t>
        </is>
      </c>
      <c r="E384" t="n">
        <v>60</v>
      </c>
      <c r="F384" t="inlineStr">
        <is>
          <t>Negative Valence</t>
        </is>
      </c>
      <c r="G384" t="n">
        <v>-50</v>
      </c>
      <c r="H384" t="n">
        <v>0</v>
      </c>
      <c r="I384" t="n">
        <v>0</v>
      </c>
      <c r="J384" t="inlineStr">
        <is>
          <t>NA</t>
        </is>
      </c>
      <c r="K384" t="n">
        <v>96.8</v>
      </c>
      <c r="L384">
        <f>IF(K384&gt;=80,"Yes","No")</f>
        <v/>
      </c>
      <c r="M384">
        <f>IF(ISNUMBER(H384),IF(H384&gt;0,1,0),"")</f>
        <v/>
      </c>
    </row>
    <row r="385">
      <c r="A385" t="inlineStr">
        <is>
          <t>SIMULATED_FEA_Commercial_Study</t>
        </is>
      </c>
      <c r="B385" t="inlineStr">
        <is>
          <t>V08</t>
        </is>
      </c>
      <c r="C385" t="inlineStr">
        <is>
          <t>Stimulus</t>
        </is>
      </c>
      <c r="D385" t="inlineStr">
        <is>
          <t>Baseline</t>
        </is>
      </c>
      <c r="E385" t="n">
        <v>60</v>
      </c>
      <c r="F385" t="inlineStr">
        <is>
          <t>Engagement</t>
        </is>
      </c>
      <c r="G385" t="inlineStr">
        <is>
          <t>NA</t>
        </is>
      </c>
      <c r="H385" t="inlineStr">
        <is>
          <t>NA</t>
        </is>
      </c>
      <c r="I385" t="inlineStr">
        <is>
          <t>NA</t>
        </is>
      </c>
      <c r="J385" t="n">
        <v>7.55</v>
      </c>
      <c r="K385" t="n">
        <v>96.8</v>
      </c>
      <c r="L385">
        <f>IF(K385&gt;=80,"Yes","No")</f>
        <v/>
      </c>
      <c r="M385">
        <f>IF(ISNUMBER(H385),IF(H385&gt;0,1,0),"")</f>
        <v/>
      </c>
    </row>
    <row r="386">
      <c r="A386" t="inlineStr">
        <is>
          <t>SIMULATED_FEA_Commercial_Study</t>
        </is>
      </c>
      <c r="B386" t="inlineStr">
        <is>
          <t>V08</t>
        </is>
      </c>
      <c r="C386" t="inlineStr">
        <is>
          <t>Stimulus</t>
        </is>
      </c>
      <c r="D386" t="inlineStr">
        <is>
          <t>Commercial</t>
        </is>
      </c>
      <c r="E386" t="n">
        <v>60</v>
      </c>
      <c r="F386" t="inlineStr">
        <is>
          <t>Joy</t>
        </is>
      </c>
      <c r="G386" t="n">
        <v>50</v>
      </c>
      <c r="H386" t="n">
        <v>0</v>
      </c>
      <c r="I386" t="n">
        <v>0</v>
      </c>
      <c r="J386" t="inlineStr">
        <is>
          <t>NA</t>
        </is>
      </c>
      <c r="K386" t="n">
        <v>96.8</v>
      </c>
      <c r="L386">
        <f>IF(K386&gt;=80,"Yes","No")</f>
        <v/>
      </c>
      <c r="M386">
        <f>IF(ISNUMBER(H386),IF(H386&gt;0,1,0),"")</f>
        <v/>
      </c>
    </row>
    <row r="387">
      <c r="A387" t="inlineStr">
        <is>
          <t>SIMULATED_FEA_Commercial_Study</t>
        </is>
      </c>
      <c r="B387" t="inlineStr">
        <is>
          <t>V08</t>
        </is>
      </c>
      <c r="C387" t="inlineStr">
        <is>
          <t>Stimulus</t>
        </is>
      </c>
      <c r="D387" t="inlineStr">
        <is>
          <t>Commercial</t>
        </is>
      </c>
      <c r="E387" t="n">
        <v>60</v>
      </c>
      <c r="F387" t="inlineStr">
        <is>
          <t>Surprise</t>
        </is>
      </c>
      <c r="G387" t="n">
        <v>50</v>
      </c>
      <c r="H387" t="n">
        <v>2.39</v>
      </c>
      <c r="I387" t="n">
        <v>1</v>
      </c>
      <c r="J387" t="inlineStr">
        <is>
          <t>NA</t>
        </is>
      </c>
      <c r="K387" t="n">
        <v>96.8</v>
      </c>
      <c r="L387">
        <f>IF(K387&gt;=80,"Yes","No")</f>
        <v/>
      </c>
      <c r="M387">
        <f>IF(ISNUMBER(H387),IF(H387&gt;0,1,0),"")</f>
        <v/>
      </c>
    </row>
    <row r="388">
      <c r="A388" t="inlineStr">
        <is>
          <t>SIMULATED_FEA_Commercial_Study</t>
        </is>
      </c>
      <c r="B388" t="inlineStr">
        <is>
          <t>V08</t>
        </is>
      </c>
      <c r="C388" t="inlineStr">
        <is>
          <t>Stimulus</t>
        </is>
      </c>
      <c r="D388" t="inlineStr">
        <is>
          <t>Commercial</t>
        </is>
      </c>
      <c r="E388" t="n">
        <v>60</v>
      </c>
      <c r="F388" t="inlineStr">
        <is>
          <t>Brow Furrow</t>
        </is>
      </c>
      <c r="G388" t="n">
        <v>50</v>
      </c>
      <c r="H388" t="n">
        <v>0</v>
      </c>
      <c r="I388" t="n">
        <v>0</v>
      </c>
      <c r="J388" t="inlineStr">
        <is>
          <t>NA</t>
        </is>
      </c>
      <c r="K388" t="n">
        <v>96.8</v>
      </c>
      <c r="L388">
        <f>IF(K388&gt;=80,"Yes","No")</f>
        <v/>
      </c>
      <c r="M388">
        <f>IF(ISNUMBER(H388),IF(H388&gt;0,1,0),"")</f>
        <v/>
      </c>
    </row>
    <row r="389">
      <c r="A389" t="inlineStr">
        <is>
          <t>SIMULATED_FEA_Commercial_Study</t>
        </is>
      </c>
      <c r="B389" t="inlineStr">
        <is>
          <t>V08</t>
        </is>
      </c>
      <c r="C389" t="inlineStr">
        <is>
          <t>Stimulus</t>
        </is>
      </c>
      <c r="D389" t="inlineStr">
        <is>
          <t>Commercial</t>
        </is>
      </c>
      <c r="E389" t="n">
        <v>60</v>
      </c>
      <c r="F389" t="inlineStr">
        <is>
          <t>Positive Valence</t>
        </is>
      </c>
      <c r="G389" t="n">
        <v>50</v>
      </c>
      <c r="H389" t="n">
        <v>0</v>
      </c>
      <c r="I389" t="n">
        <v>0</v>
      </c>
      <c r="J389" t="inlineStr">
        <is>
          <t>NA</t>
        </is>
      </c>
      <c r="K389" t="n">
        <v>96.8</v>
      </c>
      <c r="L389">
        <f>IF(K389&gt;=80,"Yes","No")</f>
        <v/>
      </c>
      <c r="M389">
        <f>IF(ISNUMBER(H389),IF(H389&gt;0,1,0),"")</f>
        <v/>
      </c>
    </row>
    <row r="390">
      <c r="A390" t="inlineStr">
        <is>
          <t>SIMULATED_FEA_Commercial_Study</t>
        </is>
      </c>
      <c r="B390" t="inlineStr">
        <is>
          <t>V08</t>
        </is>
      </c>
      <c r="C390" t="inlineStr">
        <is>
          <t>Stimulus</t>
        </is>
      </c>
      <c r="D390" t="inlineStr">
        <is>
          <t>Commercial</t>
        </is>
      </c>
      <c r="E390" t="n">
        <v>60</v>
      </c>
      <c r="F390" t="inlineStr">
        <is>
          <t>Negative Valence</t>
        </is>
      </c>
      <c r="G390" t="n">
        <v>-50</v>
      </c>
      <c r="H390" t="n">
        <v>0</v>
      </c>
      <c r="I390" t="n">
        <v>0</v>
      </c>
      <c r="J390" t="inlineStr">
        <is>
          <t>NA</t>
        </is>
      </c>
      <c r="K390" t="n">
        <v>96.8</v>
      </c>
      <c r="L390">
        <f>IF(K390&gt;=80,"Yes","No")</f>
        <v/>
      </c>
      <c r="M390">
        <f>IF(ISNUMBER(H390),IF(H390&gt;0,1,0),"")</f>
        <v/>
      </c>
    </row>
    <row r="391">
      <c r="A391" t="inlineStr">
        <is>
          <t>SIMULATED_FEA_Commercial_Study</t>
        </is>
      </c>
      <c r="B391" t="inlineStr">
        <is>
          <t>V08</t>
        </is>
      </c>
      <c r="C391" t="inlineStr">
        <is>
          <t>Stimulus</t>
        </is>
      </c>
      <c r="D391" t="inlineStr">
        <is>
          <t>Commercial</t>
        </is>
      </c>
      <c r="E391" t="n">
        <v>60</v>
      </c>
      <c r="F391" t="inlineStr">
        <is>
          <t>Engagement</t>
        </is>
      </c>
      <c r="G391" t="inlineStr">
        <is>
          <t>NA</t>
        </is>
      </c>
      <c r="H391" t="inlineStr">
        <is>
          <t>NA</t>
        </is>
      </c>
      <c r="I391" t="inlineStr">
        <is>
          <t>NA</t>
        </is>
      </c>
      <c r="J391" t="n">
        <v>9.59</v>
      </c>
      <c r="K391" t="n">
        <v>96.8</v>
      </c>
      <c r="L391">
        <f>IF(K391&gt;=80,"Yes","No")</f>
        <v/>
      </c>
      <c r="M391">
        <f>IF(ISNUMBER(H391),IF(H391&gt;0,1,0),"")</f>
        <v/>
      </c>
    </row>
    <row r="392">
      <c r="A392" t="inlineStr">
        <is>
          <t>SIMULATED_FEA_Commercial_Study</t>
        </is>
      </c>
      <c r="B392" t="inlineStr">
        <is>
          <t>V08</t>
        </is>
      </c>
      <c r="C392" t="inlineStr">
        <is>
          <t>Stimulus</t>
        </is>
      </c>
      <c r="D392" t="inlineStr">
        <is>
          <t>Recovery</t>
        </is>
      </c>
      <c r="E392" t="n">
        <v>15</v>
      </c>
      <c r="F392" t="inlineStr">
        <is>
          <t>Joy</t>
        </is>
      </c>
      <c r="G392" t="n">
        <v>50</v>
      </c>
      <c r="H392" t="n">
        <v>0</v>
      </c>
      <c r="I392" t="n">
        <v>0</v>
      </c>
      <c r="J392" t="inlineStr">
        <is>
          <t>NA</t>
        </is>
      </c>
      <c r="K392" t="n">
        <v>96.8</v>
      </c>
      <c r="L392">
        <f>IF(K392&gt;=80,"Yes","No")</f>
        <v/>
      </c>
      <c r="M392">
        <f>IF(ISNUMBER(H392),IF(H392&gt;0,1,0),"")</f>
        <v/>
      </c>
    </row>
    <row r="393">
      <c r="A393" t="inlineStr">
        <is>
          <t>SIMULATED_FEA_Commercial_Study</t>
        </is>
      </c>
      <c r="B393" t="inlineStr">
        <is>
          <t>V08</t>
        </is>
      </c>
      <c r="C393" t="inlineStr">
        <is>
          <t>Stimulus</t>
        </is>
      </c>
      <c r="D393" t="inlineStr">
        <is>
          <t>Recovery</t>
        </is>
      </c>
      <c r="E393" t="n">
        <v>15</v>
      </c>
      <c r="F393" t="inlineStr">
        <is>
          <t>Surprise</t>
        </is>
      </c>
      <c r="G393" t="n">
        <v>50</v>
      </c>
      <c r="H393" t="n">
        <v>0</v>
      </c>
      <c r="I393" t="n">
        <v>0</v>
      </c>
      <c r="J393" t="inlineStr">
        <is>
          <t>NA</t>
        </is>
      </c>
      <c r="K393" t="n">
        <v>96.8</v>
      </c>
      <c r="L393">
        <f>IF(K393&gt;=80,"Yes","No")</f>
        <v/>
      </c>
      <c r="M393">
        <f>IF(ISNUMBER(H393),IF(H393&gt;0,1,0),"")</f>
        <v/>
      </c>
    </row>
    <row r="394">
      <c r="A394" t="inlineStr">
        <is>
          <t>SIMULATED_FEA_Commercial_Study</t>
        </is>
      </c>
      <c r="B394" t="inlineStr">
        <is>
          <t>V08</t>
        </is>
      </c>
      <c r="C394" t="inlineStr">
        <is>
          <t>Stimulus</t>
        </is>
      </c>
      <c r="D394" t="inlineStr">
        <is>
          <t>Recovery</t>
        </is>
      </c>
      <c r="E394" t="n">
        <v>15</v>
      </c>
      <c r="F394" t="inlineStr">
        <is>
          <t>Brow Furrow</t>
        </is>
      </c>
      <c r="G394" t="n">
        <v>50</v>
      </c>
      <c r="H394" t="n">
        <v>0</v>
      </c>
      <c r="I394" t="n">
        <v>0</v>
      </c>
      <c r="J394" t="inlineStr">
        <is>
          <t>NA</t>
        </is>
      </c>
      <c r="K394" t="n">
        <v>96.8</v>
      </c>
      <c r="L394">
        <f>IF(K394&gt;=80,"Yes","No")</f>
        <v/>
      </c>
      <c r="M394">
        <f>IF(ISNUMBER(H394),IF(H394&gt;0,1,0),"")</f>
        <v/>
      </c>
    </row>
    <row r="395">
      <c r="A395" t="inlineStr">
        <is>
          <t>SIMULATED_FEA_Commercial_Study</t>
        </is>
      </c>
      <c r="B395" t="inlineStr">
        <is>
          <t>V08</t>
        </is>
      </c>
      <c r="C395" t="inlineStr">
        <is>
          <t>Stimulus</t>
        </is>
      </c>
      <c r="D395" t="inlineStr">
        <is>
          <t>Recovery</t>
        </is>
      </c>
      <c r="E395" t="n">
        <v>15</v>
      </c>
      <c r="F395" t="inlineStr">
        <is>
          <t>Positive Valence</t>
        </is>
      </c>
      <c r="G395" t="n">
        <v>50</v>
      </c>
      <c r="H395" t="n">
        <v>0</v>
      </c>
      <c r="I395" t="n">
        <v>0</v>
      </c>
      <c r="J395" t="inlineStr">
        <is>
          <t>NA</t>
        </is>
      </c>
      <c r="K395" t="n">
        <v>96.8</v>
      </c>
      <c r="L395">
        <f>IF(K395&gt;=80,"Yes","No")</f>
        <v/>
      </c>
      <c r="M395">
        <f>IF(ISNUMBER(H395),IF(H395&gt;0,1,0),"")</f>
        <v/>
      </c>
    </row>
    <row r="396">
      <c r="A396" t="inlineStr">
        <is>
          <t>SIMULATED_FEA_Commercial_Study</t>
        </is>
      </c>
      <c r="B396" t="inlineStr">
        <is>
          <t>V08</t>
        </is>
      </c>
      <c r="C396" t="inlineStr">
        <is>
          <t>Stimulus</t>
        </is>
      </c>
      <c r="D396" t="inlineStr">
        <is>
          <t>Recovery</t>
        </is>
      </c>
      <c r="E396" t="n">
        <v>15</v>
      </c>
      <c r="F396" t="inlineStr">
        <is>
          <t>Negative Valence</t>
        </is>
      </c>
      <c r="G396" t="n">
        <v>-50</v>
      </c>
      <c r="H396" t="n">
        <v>0</v>
      </c>
      <c r="I396" t="n">
        <v>0</v>
      </c>
      <c r="J396" t="inlineStr">
        <is>
          <t>NA</t>
        </is>
      </c>
      <c r="K396" t="n">
        <v>96.8</v>
      </c>
      <c r="L396">
        <f>IF(K396&gt;=80,"Yes","No")</f>
        <v/>
      </c>
      <c r="M396">
        <f>IF(ISNUMBER(H396),IF(H396&gt;0,1,0),"")</f>
        <v/>
      </c>
    </row>
    <row r="397">
      <c r="A397" t="inlineStr">
        <is>
          <t>SIMULATED_FEA_Commercial_Study</t>
        </is>
      </c>
      <c r="B397" t="inlineStr">
        <is>
          <t>V08</t>
        </is>
      </c>
      <c r="C397" t="inlineStr">
        <is>
          <t>Stimulus</t>
        </is>
      </c>
      <c r="D397" t="inlineStr">
        <is>
          <t>Recovery</t>
        </is>
      </c>
      <c r="E397" t="n">
        <v>15</v>
      </c>
      <c r="F397" t="inlineStr">
        <is>
          <t>Engagement</t>
        </is>
      </c>
      <c r="G397" t="inlineStr">
        <is>
          <t>NA</t>
        </is>
      </c>
      <c r="H397" t="inlineStr">
        <is>
          <t>NA</t>
        </is>
      </c>
      <c r="I397" t="inlineStr">
        <is>
          <t>NA</t>
        </is>
      </c>
      <c r="J397" t="n">
        <v>5.3</v>
      </c>
      <c r="K397" t="n">
        <v>96.8</v>
      </c>
      <c r="L397">
        <f>IF(K397&gt;=80,"Yes","No")</f>
        <v/>
      </c>
      <c r="M397">
        <f>IF(ISNUMBER(H397),IF(H397&gt;0,1,0),"")</f>
        <v/>
      </c>
    </row>
    <row r="398">
      <c r="A398" t="inlineStr">
        <is>
          <t>SIMULATED_FEA_Commercial_Study</t>
        </is>
      </c>
      <c r="B398" t="inlineStr">
        <is>
          <t>V08</t>
        </is>
      </c>
      <c r="C398" t="inlineStr">
        <is>
          <t>Annotation</t>
        </is>
      </c>
      <c r="D398" t="inlineStr">
        <is>
          <t>Bin_01</t>
        </is>
      </c>
      <c r="E398" t="n">
        <v>10</v>
      </c>
      <c r="F398" t="inlineStr">
        <is>
          <t>Joy</t>
        </is>
      </c>
      <c r="G398" t="n">
        <v>50</v>
      </c>
      <c r="H398" t="n">
        <v>0</v>
      </c>
      <c r="I398" t="n">
        <v>0</v>
      </c>
      <c r="J398" t="inlineStr">
        <is>
          <t>NA</t>
        </is>
      </c>
      <c r="K398" t="n">
        <v>96.8</v>
      </c>
      <c r="L398">
        <f>IF(K398&gt;=80,"Yes","No")</f>
        <v/>
      </c>
      <c r="M398">
        <f>IF(ISNUMBER(H398),IF(H398&gt;0,1,0),"")</f>
        <v/>
      </c>
    </row>
    <row r="399">
      <c r="A399" t="inlineStr">
        <is>
          <t>SIMULATED_FEA_Commercial_Study</t>
        </is>
      </c>
      <c r="B399" t="inlineStr">
        <is>
          <t>V08</t>
        </is>
      </c>
      <c r="C399" t="inlineStr">
        <is>
          <t>Annotation</t>
        </is>
      </c>
      <c r="D399" t="inlineStr">
        <is>
          <t>Bin_01</t>
        </is>
      </c>
      <c r="E399" t="n">
        <v>10</v>
      </c>
      <c r="F399" t="inlineStr">
        <is>
          <t>Surprise</t>
        </is>
      </c>
      <c r="G399" t="n">
        <v>50</v>
      </c>
      <c r="H399" t="n">
        <v>0</v>
      </c>
      <c r="I399" t="n">
        <v>0</v>
      </c>
      <c r="J399" t="inlineStr">
        <is>
          <t>NA</t>
        </is>
      </c>
      <c r="K399" t="n">
        <v>96.8</v>
      </c>
      <c r="L399">
        <f>IF(K399&gt;=80,"Yes","No")</f>
        <v/>
      </c>
      <c r="M399">
        <f>IF(ISNUMBER(H399),IF(H399&gt;0,1,0),"")</f>
        <v/>
      </c>
    </row>
    <row r="400">
      <c r="A400" t="inlineStr">
        <is>
          <t>SIMULATED_FEA_Commercial_Study</t>
        </is>
      </c>
      <c r="B400" t="inlineStr">
        <is>
          <t>V08</t>
        </is>
      </c>
      <c r="C400" t="inlineStr">
        <is>
          <t>Annotation</t>
        </is>
      </c>
      <c r="D400" t="inlineStr">
        <is>
          <t>Bin_01</t>
        </is>
      </c>
      <c r="E400" t="n">
        <v>10</v>
      </c>
      <c r="F400" t="inlineStr">
        <is>
          <t>Brow Furrow</t>
        </is>
      </c>
      <c r="G400" t="n">
        <v>50</v>
      </c>
      <c r="H400" t="n">
        <v>0</v>
      </c>
      <c r="I400" t="n">
        <v>0</v>
      </c>
      <c r="J400" t="inlineStr">
        <is>
          <t>NA</t>
        </is>
      </c>
      <c r="K400" t="n">
        <v>96.8</v>
      </c>
      <c r="L400">
        <f>IF(K400&gt;=80,"Yes","No")</f>
        <v/>
      </c>
      <c r="M400">
        <f>IF(ISNUMBER(H400),IF(H400&gt;0,1,0),"")</f>
        <v/>
      </c>
    </row>
    <row r="401">
      <c r="A401" t="inlineStr">
        <is>
          <t>SIMULATED_FEA_Commercial_Study</t>
        </is>
      </c>
      <c r="B401" t="inlineStr">
        <is>
          <t>V08</t>
        </is>
      </c>
      <c r="C401" t="inlineStr">
        <is>
          <t>Annotation</t>
        </is>
      </c>
      <c r="D401" t="inlineStr">
        <is>
          <t>Bin_01</t>
        </is>
      </c>
      <c r="E401" t="n">
        <v>10</v>
      </c>
      <c r="F401" t="inlineStr">
        <is>
          <t>Positive Valence</t>
        </is>
      </c>
      <c r="G401" t="n">
        <v>50</v>
      </c>
      <c r="H401" t="n">
        <v>0</v>
      </c>
      <c r="I401" t="n">
        <v>0</v>
      </c>
      <c r="J401" t="inlineStr">
        <is>
          <t>NA</t>
        </is>
      </c>
      <c r="K401" t="n">
        <v>96.8</v>
      </c>
      <c r="L401">
        <f>IF(K401&gt;=80,"Yes","No")</f>
        <v/>
      </c>
      <c r="M401">
        <f>IF(ISNUMBER(H401),IF(H401&gt;0,1,0),"")</f>
        <v/>
      </c>
    </row>
    <row r="402">
      <c r="A402" t="inlineStr">
        <is>
          <t>SIMULATED_FEA_Commercial_Study</t>
        </is>
      </c>
      <c r="B402" t="inlineStr">
        <is>
          <t>V08</t>
        </is>
      </c>
      <c r="C402" t="inlineStr">
        <is>
          <t>Annotation</t>
        </is>
      </c>
      <c r="D402" t="inlineStr">
        <is>
          <t>Bin_01</t>
        </is>
      </c>
      <c r="E402" t="n">
        <v>10</v>
      </c>
      <c r="F402" t="inlineStr">
        <is>
          <t>Negative Valence</t>
        </is>
      </c>
      <c r="G402" t="n">
        <v>-50</v>
      </c>
      <c r="H402" t="n">
        <v>0</v>
      </c>
      <c r="I402" t="n">
        <v>0</v>
      </c>
      <c r="J402" t="inlineStr">
        <is>
          <t>NA</t>
        </is>
      </c>
      <c r="K402" t="n">
        <v>96.8</v>
      </c>
      <c r="L402">
        <f>IF(K402&gt;=80,"Yes","No")</f>
        <v/>
      </c>
      <c r="M402">
        <f>IF(ISNUMBER(H402),IF(H402&gt;0,1,0),"")</f>
        <v/>
      </c>
    </row>
    <row r="403">
      <c r="A403" t="inlineStr">
        <is>
          <t>SIMULATED_FEA_Commercial_Study</t>
        </is>
      </c>
      <c r="B403" t="inlineStr">
        <is>
          <t>V08</t>
        </is>
      </c>
      <c r="C403" t="inlineStr">
        <is>
          <t>Annotation</t>
        </is>
      </c>
      <c r="D403" t="inlineStr">
        <is>
          <t>Bin_01</t>
        </is>
      </c>
      <c r="E403" t="n">
        <v>10</v>
      </c>
      <c r="F403" t="inlineStr">
        <is>
          <t>Engagement</t>
        </is>
      </c>
      <c r="G403" t="inlineStr">
        <is>
          <t>NA</t>
        </is>
      </c>
      <c r="H403" t="inlineStr">
        <is>
          <t>NA</t>
        </is>
      </c>
      <c r="I403" t="inlineStr">
        <is>
          <t>NA</t>
        </is>
      </c>
      <c r="J403" t="n">
        <v>10.32</v>
      </c>
      <c r="K403" t="n">
        <v>96.8</v>
      </c>
      <c r="L403">
        <f>IF(K403&gt;=80,"Yes","No")</f>
        <v/>
      </c>
      <c r="M403">
        <f>IF(ISNUMBER(H403),IF(H403&gt;0,1,0),"")</f>
        <v/>
      </c>
    </row>
    <row r="404">
      <c r="A404" t="inlineStr">
        <is>
          <t>SIMULATED_FEA_Commercial_Study</t>
        </is>
      </c>
      <c r="B404" t="inlineStr">
        <is>
          <t>V08</t>
        </is>
      </c>
      <c r="C404" t="inlineStr">
        <is>
          <t>Annotation</t>
        </is>
      </c>
      <c r="D404" t="inlineStr">
        <is>
          <t>Bin_02</t>
        </is>
      </c>
      <c r="E404" t="n">
        <v>10</v>
      </c>
      <c r="F404" t="inlineStr">
        <is>
          <t>Joy</t>
        </is>
      </c>
      <c r="G404" t="n">
        <v>50</v>
      </c>
      <c r="H404" t="n">
        <v>0</v>
      </c>
      <c r="I404" t="n">
        <v>0</v>
      </c>
      <c r="J404" t="inlineStr">
        <is>
          <t>NA</t>
        </is>
      </c>
      <c r="K404" t="n">
        <v>96.8</v>
      </c>
      <c r="L404">
        <f>IF(K404&gt;=80,"Yes","No")</f>
        <v/>
      </c>
      <c r="M404">
        <f>IF(ISNUMBER(H404),IF(H404&gt;0,1,0),"")</f>
        <v/>
      </c>
    </row>
    <row r="405">
      <c r="A405" t="inlineStr">
        <is>
          <t>SIMULATED_FEA_Commercial_Study</t>
        </is>
      </c>
      <c r="B405" t="inlineStr">
        <is>
          <t>V08</t>
        </is>
      </c>
      <c r="C405" t="inlineStr">
        <is>
          <t>Annotation</t>
        </is>
      </c>
      <c r="D405" t="inlineStr">
        <is>
          <t>Bin_02</t>
        </is>
      </c>
      <c r="E405" t="n">
        <v>10</v>
      </c>
      <c r="F405" t="inlineStr">
        <is>
          <t>Surprise</t>
        </is>
      </c>
      <c r="G405" t="n">
        <v>50</v>
      </c>
      <c r="H405" t="n">
        <v>0</v>
      </c>
      <c r="I405" t="n">
        <v>0</v>
      </c>
      <c r="J405" t="inlineStr">
        <is>
          <t>NA</t>
        </is>
      </c>
      <c r="K405" t="n">
        <v>96.8</v>
      </c>
      <c r="L405">
        <f>IF(K405&gt;=80,"Yes","No")</f>
        <v/>
      </c>
      <c r="M405">
        <f>IF(ISNUMBER(H405),IF(H405&gt;0,1,0),"")</f>
        <v/>
      </c>
    </row>
    <row r="406">
      <c r="A406" t="inlineStr">
        <is>
          <t>SIMULATED_FEA_Commercial_Study</t>
        </is>
      </c>
      <c r="B406" t="inlineStr">
        <is>
          <t>V08</t>
        </is>
      </c>
      <c r="C406" t="inlineStr">
        <is>
          <t>Annotation</t>
        </is>
      </c>
      <c r="D406" t="inlineStr">
        <is>
          <t>Bin_02</t>
        </is>
      </c>
      <c r="E406" t="n">
        <v>10</v>
      </c>
      <c r="F406" t="inlineStr">
        <is>
          <t>Brow Furrow</t>
        </is>
      </c>
      <c r="G406" t="n">
        <v>50</v>
      </c>
      <c r="H406" t="n">
        <v>0</v>
      </c>
      <c r="I406" t="n">
        <v>0</v>
      </c>
      <c r="J406" t="inlineStr">
        <is>
          <t>NA</t>
        </is>
      </c>
      <c r="K406" t="n">
        <v>96.8</v>
      </c>
      <c r="L406">
        <f>IF(K406&gt;=80,"Yes","No")</f>
        <v/>
      </c>
      <c r="M406">
        <f>IF(ISNUMBER(H406),IF(H406&gt;0,1,0),"")</f>
        <v/>
      </c>
    </row>
    <row r="407">
      <c r="A407" t="inlineStr">
        <is>
          <t>SIMULATED_FEA_Commercial_Study</t>
        </is>
      </c>
      <c r="B407" t="inlineStr">
        <is>
          <t>V08</t>
        </is>
      </c>
      <c r="C407" t="inlineStr">
        <is>
          <t>Annotation</t>
        </is>
      </c>
      <c r="D407" t="inlineStr">
        <is>
          <t>Bin_02</t>
        </is>
      </c>
      <c r="E407" t="n">
        <v>10</v>
      </c>
      <c r="F407" t="inlineStr">
        <is>
          <t>Positive Valence</t>
        </is>
      </c>
      <c r="G407" t="n">
        <v>50</v>
      </c>
      <c r="H407" t="n">
        <v>0</v>
      </c>
      <c r="I407" t="n">
        <v>0</v>
      </c>
      <c r="J407" t="inlineStr">
        <is>
          <t>NA</t>
        </is>
      </c>
      <c r="K407" t="n">
        <v>96.8</v>
      </c>
      <c r="L407">
        <f>IF(K407&gt;=80,"Yes","No")</f>
        <v/>
      </c>
      <c r="M407">
        <f>IF(ISNUMBER(H407),IF(H407&gt;0,1,0),"")</f>
        <v/>
      </c>
    </row>
    <row r="408">
      <c r="A408" t="inlineStr">
        <is>
          <t>SIMULATED_FEA_Commercial_Study</t>
        </is>
      </c>
      <c r="B408" t="inlineStr">
        <is>
          <t>V08</t>
        </is>
      </c>
      <c r="C408" t="inlineStr">
        <is>
          <t>Annotation</t>
        </is>
      </c>
      <c r="D408" t="inlineStr">
        <is>
          <t>Bin_02</t>
        </is>
      </c>
      <c r="E408" t="n">
        <v>10</v>
      </c>
      <c r="F408" t="inlineStr">
        <is>
          <t>Negative Valence</t>
        </is>
      </c>
      <c r="G408" t="n">
        <v>-50</v>
      </c>
      <c r="H408" t="n">
        <v>0</v>
      </c>
      <c r="I408" t="n">
        <v>0</v>
      </c>
      <c r="J408" t="inlineStr">
        <is>
          <t>NA</t>
        </is>
      </c>
      <c r="K408" t="n">
        <v>96.8</v>
      </c>
      <c r="L408">
        <f>IF(K408&gt;=80,"Yes","No")</f>
        <v/>
      </c>
      <c r="M408">
        <f>IF(ISNUMBER(H408),IF(H408&gt;0,1,0),"")</f>
        <v/>
      </c>
    </row>
    <row r="409">
      <c r="A409" t="inlineStr">
        <is>
          <t>SIMULATED_FEA_Commercial_Study</t>
        </is>
      </c>
      <c r="B409" t="inlineStr">
        <is>
          <t>V08</t>
        </is>
      </c>
      <c r="C409" t="inlineStr">
        <is>
          <t>Annotation</t>
        </is>
      </c>
      <c r="D409" t="inlineStr">
        <is>
          <t>Bin_02</t>
        </is>
      </c>
      <c r="E409" t="n">
        <v>10</v>
      </c>
      <c r="F409" t="inlineStr">
        <is>
          <t>Engagement</t>
        </is>
      </c>
      <c r="G409" t="inlineStr">
        <is>
          <t>NA</t>
        </is>
      </c>
      <c r="H409" t="inlineStr">
        <is>
          <t>NA</t>
        </is>
      </c>
      <c r="I409" t="inlineStr">
        <is>
          <t>NA</t>
        </is>
      </c>
      <c r="J409" t="n">
        <v>9.83</v>
      </c>
      <c r="K409" t="n">
        <v>96.8</v>
      </c>
      <c r="L409">
        <f>IF(K409&gt;=80,"Yes","No")</f>
        <v/>
      </c>
      <c r="M409">
        <f>IF(ISNUMBER(H409),IF(H409&gt;0,1,0),"")</f>
        <v/>
      </c>
    </row>
    <row r="410">
      <c r="A410" t="inlineStr">
        <is>
          <t>SIMULATED_FEA_Commercial_Study</t>
        </is>
      </c>
      <c r="B410" t="inlineStr">
        <is>
          <t>V08</t>
        </is>
      </c>
      <c r="C410" t="inlineStr">
        <is>
          <t>Annotation</t>
        </is>
      </c>
      <c r="D410" t="inlineStr">
        <is>
          <t>Bin_03</t>
        </is>
      </c>
      <c r="E410" t="n">
        <v>10</v>
      </c>
      <c r="F410" t="inlineStr">
        <is>
          <t>Joy</t>
        </is>
      </c>
      <c r="G410" t="n">
        <v>50</v>
      </c>
      <c r="H410" t="n">
        <v>0</v>
      </c>
      <c r="I410" t="n">
        <v>0</v>
      </c>
      <c r="J410" t="inlineStr">
        <is>
          <t>NA</t>
        </is>
      </c>
      <c r="K410" t="n">
        <v>96.8</v>
      </c>
      <c r="L410">
        <f>IF(K410&gt;=80,"Yes","No")</f>
        <v/>
      </c>
      <c r="M410">
        <f>IF(ISNUMBER(H410),IF(H410&gt;0,1,0),"")</f>
        <v/>
      </c>
    </row>
    <row r="411">
      <c r="A411" t="inlineStr">
        <is>
          <t>SIMULATED_FEA_Commercial_Study</t>
        </is>
      </c>
      <c r="B411" t="inlineStr">
        <is>
          <t>V08</t>
        </is>
      </c>
      <c r="C411" t="inlineStr">
        <is>
          <t>Annotation</t>
        </is>
      </c>
      <c r="D411" t="inlineStr">
        <is>
          <t>Bin_03</t>
        </is>
      </c>
      <c r="E411" t="n">
        <v>10</v>
      </c>
      <c r="F411" t="inlineStr">
        <is>
          <t>Surprise</t>
        </is>
      </c>
      <c r="G411" t="n">
        <v>50</v>
      </c>
      <c r="H411" t="n">
        <v>0</v>
      </c>
      <c r="I411" t="n">
        <v>0</v>
      </c>
      <c r="J411" t="inlineStr">
        <is>
          <t>NA</t>
        </is>
      </c>
      <c r="K411" t="n">
        <v>96.8</v>
      </c>
      <c r="L411">
        <f>IF(K411&gt;=80,"Yes","No")</f>
        <v/>
      </c>
      <c r="M411">
        <f>IF(ISNUMBER(H411),IF(H411&gt;0,1,0),"")</f>
        <v/>
      </c>
    </row>
    <row r="412">
      <c r="A412" t="inlineStr">
        <is>
          <t>SIMULATED_FEA_Commercial_Study</t>
        </is>
      </c>
      <c r="B412" t="inlineStr">
        <is>
          <t>V08</t>
        </is>
      </c>
      <c r="C412" t="inlineStr">
        <is>
          <t>Annotation</t>
        </is>
      </c>
      <c r="D412" t="inlineStr">
        <is>
          <t>Bin_03</t>
        </is>
      </c>
      <c r="E412" t="n">
        <v>10</v>
      </c>
      <c r="F412" t="inlineStr">
        <is>
          <t>Brow Furrow</t>
        </is>
      </c>
      <c r="G412" t="n">
        <v>50</v>
      </c>
      <c r="H412" t="n">
        <v>0</v>
      </c>
      <c r="I412" t="n">
        <v>0</v>
      </c>
      <c r="J412" t="inlineStr">
        <is>
          <t>NA</t>
        </is>
      </c>
      <c r="K412" t="n">
        <v>96.8</v>
      </c>
      <c r="L412">
        <f>IF(K412&gt;=80,"Yes","No")</f>
        <v/>
      </c>
      <c r="M412">
        <f>IF(ISNUMBER(H412),IF(H412&gt;0,1,0),"")</f>
        <v/>
      </c>
    </row>
    <row r="413">
      <c r="A413" t="inlineStr">
        <is>
          <t>SIMULATED_FEA_Commercial_Study</t>
        </is>
      </c>
      <c r="B413" t="inlineStr">
        <is>
          <t>V08</t>
        </is>
      </c>
      <c r="C413" t="inlineStr">
        <is>
          <t>Annotation</t>
        </is>
      </c>
      <c r="D413" t="inlineStr">
        <is>
          <t>Bin_03</t>
        </is>
      </c>
      <c r="E413" t="n">
        <v>10</v>
      </c>
      <c r="F413" t="inlineStr">
        <is>
          <t>Positive Valence</t>
        </is>
      </c>
      <c r="G413" t="n">
        <v>50</v>
      </c>
      <c r="H413" t="n">
        <v>0</v>
      </c>
      <c r="I413" t="n">
        <v>0</v>
      </c>
      <c r="J413" t="inlineStr">
        <is>
          <t>NA</t>
        </is>
      </c>
      <c r="K413" t="n">
        <v>96.8</v>
      </c>
      <c r="L413">
        <f>IF(K413&gt;=80,"Yes","No")</f>
        <v/>
      </c>
      <c r="M413">
        <f>IF(ISNUMBER(H413),IF(H413&gt;0,1,0),"")</f>
        <v/>
      </c>
    </row>
    <row r="414">
      <c r="A414" t="inlineStr">
        <is>
          <t>SIMULATED_FEA_Commercial_Study</t>
        </is>
      </c>
      <c r="B414" t="inlineStr">
        <is>
          <t>V08</t>
        </is>
      </c>
      <c r="C414" t="inlineStr">
        <is>
          <t>Annotation</t>
        </is>
      </c>
      <c r="D414" t="inlineStr">
        <is>
          <t>Bin_03</t>
        </is>
      </c>
      <c r="E414" t="n">
        <v>10</v>
      </c>
      <c r="F414" t="inlineStr">
        <is>
          <t>Negative Valence</t>
        </is>
      </c>
      <c r="G414" t="n">
        <v>-50</v>
      </c>
      <c r="H414" t="n">
        <v>0</v>
      </c>
      <c r="I414" t="n">
        <v>0</v>
      </c>
      <c r="J414" t="inlineStr">
        <is>
          <t>NA</t>
        </is>
      </c>
      <c r="K414" t="n">
        <v>96.8</v>
      </c>
      <c r="L414">
        <f>IF(K414&gt;=80,"Yes","No")</f>
        <v/>
      </c>
      <c r="M414">
        <f>IF(ISNUMBER(H414),IF(H414&gt;0,1,0),"")</f>
        <v/>
      </c>
    </row>
    <row r="415">
      <c r="A415" t="inlineStr">
        <is>
          <t>SIMULATED_FEA_Commercial_Study</t>
        </is>
      </c>
      <c r="B415" t="inlineStr">
        <is>
          <t>V08</t>
        </is>
      </c>
      <c r="C415" t="inlineStr">
        <is>
          <t>Annotation</t>
        </is>
      </c>
      <c r="D415" t="inlineStr">
        <is>
          <t>Bin_03</t>
        </is>
      </c>
      <c r="E415" t="n">
        <v>10</v>
      </c>
      <c r="F415" t="inlineStr">
        <is>
          <t>Engagement</t>
        </is>
      </c>
      <c r="G415" t="inlineStr">
        <is>
          <t>NA</t>
        </is>
      </c>
      <c r="H415" t="inlineStr">
        <is>
          <t>NA</t>
        </is>
      </c>
      <c r="I415" t="inlineStr">
        <is>
          <t>NA</t>
        </is>
      </c>
      <c r="J415" t="n">
        <v>7.98</v>
      </c>
      <c r="K415" t="n">
        <v>96.8</v>
      </c>
      <c r="L415">
        <f>IF(K415&gt;=80,"Yes","No")</f>
        <v/>
      </c>
      <c r="M415">
        <f>IF(ISNUMBER(H415),IF(H415&gt;0,1,0),"")</f>
        <v/>
      </c>
    </row>
    <row r="416">
      <c r="A416" t="inlineStr">
        <is>
          <t>SIMULATED_FEA_Commercial_Study</t>
        </is>
      </c>
      <c r="B416" t="inlineStr">
        <is>
          <t>V08</t>
        </is>
      </c>
      <c r="C416" t="inlineStr">
        <is>
          <t>Annotation</t>
        </is>
      </c>
      <c r="D416" t="inlineStr">
        <is>
          <t>Bin_04</t>
        </is>
      </c>
      <c r="E416" t="n">
        <v>10</v>
      </c>
      <c r="F416" t="inlineStr">
        <is>
          <t>Joy</t>
        </is>
      </c>
      <c r="G416" t="n">
        <v>50</v>
      </c>
      <c r="H416" t="n">
        <v>0</v>
      </c>
      <c r="I416" t="n">
        <v>0</v>
      </c>
      <c r="J416" t="inlineStr">
        <is>
          <t>NA</t>
        </is>
      </c>
      <c r="K416" t="n">
        <v>96.8</v>
      </c>
      <c r="L416">
        <f>IF(K416&gt;=80,"Yes","No")</f>
        <v/>
      </c>
      <c r="M416">
        <f>IF(ISNUMBER(H416),IF(H416&gt;0,1,0),"")</f>
        <v/>
      </c>
    </row>
    <row r="417">
      <c r="A417" t="inlineStr">
        <is>
          <t>SIMULATED_FEA_Commercial_Study</t>
        </is>
      </c>
      <c r="B417" t="inlineStr">
        <is>
          <t>V08</t>
        </is>
      </c>
      <c r="C417" t="inlineStr">
        <is>
          <t>Annotation</t>
        </is>
      </c>
      <c r="D417" t="inlineStr">
        <is>
          <t>Bin_04</t>
        </is>
      </c>
      <c r="E417" t="n">
        <v>10</v>
      </c>
      <c r="F417" t="inlineStr">
        <is>
          <t>Surprise</t>
        </is>
      </c>
      <c r="G417" t="n">
        <v>50</v>
      </c>
      <c r="H417" t="n">
        <v>14.33</v>
      </c>
      <c r="I417" t="n">
        <v>1</v>
      </c>
      <c r="J417" t="inlineStr">
        <is>
          <t>NA</t>
        </is>
      </c>
      <c r="K417" t="n">
        <v>96.8</v>
      </c>
      <c r="L417">
        <f>IF(K417&gt;=80,"Yes","No")</f>
        <v/>
      </c>
      <c r="M417">
        <f>IF(ISNUMBER(H417),IF(H417&gt;0,1,0),"")</f>
        <v/>
      </c>
    </row>
    <row r="418">
      <c r="A418" t="inlineStr">
        <is>
          <t>SIMULATED_FEA_Commercial_Study</t>
        </is>
      </c>
      <c r="B418" t="inlineStr">
        <is>
          <t>V08</t>
        </is>
      </c>
      <c r="C418" t="inlineStr">
        <is>
          <t>Annotation</t>
        </is>
      </c>
      <c r="D418" t="inlineStr">
        <is>
          <t>Bin_04</t>
        </is>
      </c>
      <c r="E418" t="n">
        <v>10</v>
      </c>
      <c r="F418" t="inlineStr">
        <is>
          <t>Brow Furrow</t>
        </is>
      </c>
      <c r="G418" t="n">
        <v>50</v>
      </c>
      <c r="H418" t="n">
        <v>0</v>
      </c>
      <c r="I418" t="n">
        <v>0</v>
      </c>
      <c r="J418" t="inlineStr">
        <is>
          <t>NA</t>
        </is>
      </c>
      <c r="K418" t="n">
        <v>96.8</v>
      </c>
      <c r="L418">
        <f>IF(K418&gt;=80,"Yes","No")</f>
        <v/>
      </c>
      <c r="M418">
        <f>IF(ISNUMBER(H418),IF(H418&gt;0,1,0),"")</f>
        <v/>
      </c>
    </row>
    <row r="419">
      <c r="A419" t="inlineStr">
        <is>
          <t>SIMULATED_FEA_Commercial_Study</t>
        </is>
      </c>
      <c r="B419" t="inlineStr">
        <is>
          <t>V08</t>
        </is>
      </c>
      <c r="C419" t="inlineStr">
        <is>
          <t>Annotation</t>
        </is>
      </c>
      <c r="D419" t="inlineStr">
        <is>
          <t>Bin_04</t>
        </is>
      </c>
      <c r="E419" t="n">
        <v>10</v>
      </c>
      <c r="F419" t="inlineStr">
        <is>
          <t>Positive Valence</t>
        </is>
      </c>
      <c r="G419" t="n">
        <v>50</v>
      </c>
      <c r="H419" t="n">
        <v>0</v>
      </c>
      <c r="I419" t="n">
        <v>0</v>
      </c>
      <c r="J419" t="inlineStr">
        <is>
          <t>NA</t>
        </is>
      </c>
      <c r="K419" t="n">
        <v>96.8</v>
      </c>
      <c r="L419">
        <f>IF(K419&gt;=80,"Yes","No")</f>
        <v/>
      </c>
      <c r="M419">
        <f>IF(ISNUMBER(H419),IF(H419&gt;0,1,0),"")</f>
        <v/>
      </c>
    </row>
    <row r="420">
      <c r="A420" t="inlineStr">
        <is>
          <t>SIMULATED_FEA_Commercial_Study</t>
        </is>
      </c>
      <c r="B420" t="inlineStr">
        <is>
          <t>V08</t>
        </is>
      </c>
      <c r="C420" t="inlineStr">
        <is>
          <t>Annotation</t>
        </is>
      </c>
      <c r="D420" t="inlineStr">
        <is>
          <t>Bin_04</t>
        </is>
      </c>
      <c r="E420" t="n">
        <v>10</v>
      </c>
      <c r="F420" t="inlineStr">
        <is>
          <t>Negative Valence</t>
        </is>
      </c>
      <c r="G420" t="n">
        <v>-50</v>
      </c>
      <c r="H420" t="n">
        <v>0</v>
      </c>
      <c r="I420" t="n">
        <v>0</v>
      </c>
      <c r="J420" t="inlineStr">
        <is>
          <t>NA</t>
        </is>
      </c>
      <c r="K420" t="n">
        <v>96.8</v>
      </c>
      <c r="L420">
        <f>IF(K420&gt;=80,"Yes","No")</f>
        <v/>
      </c>
      <c r="M420">
        <f>IF(ISNUMBER(H420),IF(H420&gt;0,1,0),"")</f>
        <v/>
      </c>
    </row>
    <row r="421">
      <c r="A421" t="inlineStr">
        <is>
          <t>SIMULATED_FEA_Commercial_Study</t>
        </is>
      </c>
      <c r="B421" t="inlineStr">
        <is>
          <t>V08</t>
        </is>
      </c>
      <c r="C421" t="inlineStr">
        <is>
          <t>Annotation</t>
        </is>
      </c>
      <c r="D421" t="inlineStr">
        <is>
          <t>Bin_04</t>
        </is>
      </c>
      <c r="E421" t="n">
        <v>10</v>
      </c>
      <c r="F421" t="inlineStr">
        <is>
          <t>Engagement</t>
        </is>
      </c>
      <c r="G421" t="inlineStr">
        <is>
          <t>NA</t>
        </is>
      </c>
      <c r="H421" t="inlineStr">
        <is>
          <t>NA</t>
        </is>
      </c>
      <c r="I421" t="inlineStr">
        <is>
          <t>NA</t>
        </is>
      </c>
      <c r="J421" t="n">
        <v>14.42</v>
      </c>
      <c r="K421" t="n">
        <v>96.8</v>
      </c>
      <c r="L421">
        <f>IF(K421&gt;=80,"Yes","No")</f>
        <v/>
      </c>
      <c r="M421">
        <f>IF(ISNUMBER(H421),IF(H421&gt;0,1,0),"")</f>
        <v/>
      </c>
    </row>
    <row r="422">
      <c r="A422" t="inlineStr">
        <is>
          <t>SIMULATED_FEA_Commercial_Study</t>
        </is>
      </c>
      <c r="B422" t="inlineStr">
        <is>
          <t>V08</t>
        </is>
      </c>
      <c r="C422" t="inlineStr">
        <is>
          <t>Annotation</t>
        </is>
      </c>
      <c r="D422" t="inlineStr">
        <is>
          <t>Bin_05</t>
        </is>
      </c>
      <c r="E422" t="n">
        <v>10</v>
      </c>
      <c r="F422" t="inlineStr">
        <is>
          <t>Joy</t>
        </is>
      </c>
      <c r="G422" t="n">
        <v>50</v>
      </c>
      <c r="H422" t="n">
        <v>0</v>
      </c>
      <c r="I422" t="n">
        <v>0</v>
      </c>
      <c r="J422" t="inlineStr">
        <is>
          <t>NA</t>
        </is>
      </c>
      <c r="K422" t="n">
        <v>96.8</v>
      </c>
      <c r="L422">
        <f>IF(K422&gt;=80,"Yes","No")</f>
        <v/>
      </c>
      <c r="M422">
        <f>IF(ISNUMBER(H422),IF(H422&gt;0,1,0),"")</f>
        <v/>
      </c>
    </row>
    <row r="423">
      <c r="A423" t="inlineStr">
        <is>
          <t>SIMULATED_FEA_Commercial_Study</t>
        </is>
      </c>
      <c r="B423" t="inlineStr">
        <is>
          <t>V08</t>
        </is>
      </c>
      <c r="C423" t="inlineStr">
        <is>
          <t>Annotation</t>
        </is>
      </c>
      <c r="D423" t="inlineStr">
        <is>
          <t>Bin_05</t>
        </is>
      </c>
      <c r="E423" t="n">
        <v>10</v>
      </c>
      <c r="F423" t="inlineStr">
        <is>
          <t>Surprise</t>
        </is>
      </c>
      <c r="G423" t="n">
        <v>50</v>
      </c>
      <c r="H423" t="n">
        <v>0</v>
      </c>
      <c r="I423" t="n">
        <v>0</v>
      </c>
      <c r="J423" t="inlineStr">
        <is>
          <t>NA</t>
        </is>
      </c>
      <c r="K423" t="n">
        <v>96.8</v>
      </c>
      <c r="L423">
        <f>IF(K423&gt;=80,"Yes","No")</f>
        <v/>
      </c>
      <c r="M423">
        <f>IF(ISNUMBER(H423),IF(H423&gt;0,1,0),"")</f>
        <v/>
      </c>
    </row>
    <row r="424">
      <c r="A424" t="inlineStr">
        <is>
          <t>SIMULATED_FEA_Commercial_Study</t>
        </is>
      </c>
      <c r="B424" t="inlineStr">
        <is>
          <t>V08</t>
        </is>
      </c>
      <c r="C424" t="inlineStr">
        <is>
          <t>Annotation</t>
        </is>
      </c>
      <c r="D424" t="inlineStr">
        <is>
          <t>Bin_05</t>
        </is>
      </c>
      <c r="E424" t="n">
        <v>10</v>
      </c>
      <c r="F424" t="inlineStr">
        <is>
          <t>Brow Furrow</t>
        </is>
      </c>
      <c r="G424" t="n">
        <v>50</v>
      </c>
      <c r="H424" t="n">
        <v>0</v>
      </c>
      <c r="I424" t="n">
        <v>0</v>
      </c>
      <c r="J424" t="inlineStr">
        <is>
          <t>NA</t>
        </is>
      </c>
      <c r="K424" t="n">
        <v>96.8</v>
      </c>
      <c r="L424">
        <f>IF(K424&gt;=80,"Yes","No")</f>
        <v/>
      </c>
      <c r="M424">
        <f>IF(ISNUMBER(H424),IF(H424&gt;0,1,0),"")</f>
        <v/>
      </c>
    </row>
    <row r="425">
      <c r="A425" t="inlineStr">
        <is>
          <t>SIMULATED_FEA_Commercial_Study</t>
        </is>
      </c>
      <c r="B425" t="inlineStr">
        <is>
          <t>V08</t>
        </is>
      </c>
      <c r="C425" t="inlineStr">
        <is>
          <t>Annotation</t>
        </is>
      </c>
      <c r="D425" t="inlineStr">
        <is>
          <t>Bin_05</t>
        </is>
      </c>
      <c r="E425" t="n">
        <v>10</v>
      </c>
      <c r="F425" t="inlineStr">
        <is>
          <t>Positive Valence</t>
        </is>
      </c>
      <c r="G425" t="n">
        <v>50</v>
      </c>
      <c r="H425" t="n">
        <v>0</v>
      </c>
      <c r="I425" t="n">
        <v>0</v>
      </c>
      <c r="J425" t="inlineStr">
        <is>
          <t>NA</t>
        </is>
      </c>
      <c r="K425" t="n">
        <v>96.8</v>
      </c>
      <c r="L425">
        <f>IF(K425&gt;=80,"Yes","No")</f>
        <v/>
      </c>
      <c r="M425">
        <f>IF(ISNUMBER(H425),IF(H425&gt;0,1,0),"")</f>
        <v/>
      </c>
    </row>
    <row r="426">
      <c r="A426" t="inlineStr">
        <is>
          <t>SIMULATED_FEA_Commercial_Study</t>
        </is>
      </c>
      <c r="B426" t="inlineStr">
        <is>
          <t>V08</t>
        </is>
      </c>
      <c r="C426" t="inlineStr">
        <is>
          <t>Annotation</t>
        </is>
      </c>
      <c r="D426" t="inlineStr">
        <is>
          <t>Bin_05</t>
        </is>
      </c>
      <c r="E426" t="n">
        <v>10</v>
      </c>
      <c r="F426" t="inlineStr">
        <is>
          <t>Negative Valence</t>
        </is>
      </c>
      <c r="G426" t="n">
        <v>-50</v>
      </c>
      <c r="H426" t="n">
        <v>0</v>
      </c>
      <c r="I426" t="n">
        <v>0</v>
      </c>
      <c r="J426" t="inlineStr">
        <is>
          <t>NA</t>
        </is>
      </c>
      <c r="K426" t="n">
        <v>96.8</v>
      </c>
      <c r="L426">
        <f>IF(K426&gt;=80,"Yes","No")</f>
        <v/>
      </c>
      <c r="M426">
        <f>IF(ISNUMBER(H426),IF(H426&gt;0,1,0),"")</f>
        <v/>
      </c>
    </row>
    <row r="427">
      <c r="A427" t="inlineStr">
        <is>
          <t>SIMULATED_FEA_Commercial_Study</t>
        </is>
      </c>
      <c r="B427" t="inlineStr">
        <is>
          <t>V08</t>
        </is>
      </c>
      <c r="C427" t="inlineStr">
        <is>
          <t>Annotation</t>
        </is>
      </c>
      <c r="D427" t="inlineStr">
        <is>
          <t>Bin_05</t>
        </is>
      </c>
      <c r="E427" t="n">
        <v>10</v>
      </c>
      <c r="F427" t="inlineStr">
        <is>
          <t>Engagement</t>
        </is>
      </c>
      <c r="G427" t="inlineStr">
        <is>
          <t>NA</t>
        </is>
      </c>
      <c r="H427" t="inlineStr">
        <is>
          <t>NA</t>
        </is>
      </c>
      <c r="I427" t="inlineStr">
        <is>
          <t>NA</t>
        </is>
      </c>
      <c r="J427" t="n">
        <v>6.37</v>
      </c>
      <c r="K427" t="n">
        <v>96.8</v>
      </c>
      <c r="L427">
        <f>IF(K427&gt;=80,"Yes","No")</f>
        <v/>
      </c>
      <c r="M427">
        <f>IF(ISNUMBER(H427),IF(H427&gt;0,1,0),"")</f>
        <v/>
      </c>
    </row>
    <row r="428">
      <c r="A428" t="inlineStr">
        <is>
          <t>SIMULATED_FEA_Commercial_Study</t>
        </is>
      </c>
      <c r="B428" t="inlineStr">
        <is>
          <t>V08</t>
        </is>
      </c>
      <c r="C428" t="inlineStr">
        <is>
          <t>Annotation</t>
        </is>
      </c>
      <c r="D428" t="inlineStr">
        <is>
          <t>Bin_06</t>
        </is>
      </c>
      <c r="E428" t="n">
        <v>10</v>
      </c>
      <c r="F428" t="inlineStr">
        <is>
          <t>Joy</t>
        </is>
      </c>
      <c r="G428" t="n">
        <v>50</v>
      </c>
      <c r="H428" t="n">
        <v>0</v>
      </c>
      <c r="I428" t="n">
        <v>0</v>
      </c>
      <c r="J428" t="inlineStr">
        <is>
          <t>NA</t>
        </is>
      </c>
      <c r="K428" t="n">
        <v>96.8</v>
      </c>
      <c r="L428">
        <f>IF(K428&gt;=80,"Yes","No")</f>
        <v/>
      </c>
      <c r="M428">
        <f>IF(ISNUMBER(H428),IF(H428&gt;0,1,0),"")</f>
        <v/>
      </c>
    </row>
    <row r="429">
      <c r="A429" t="inlineStr">
        <is>
          <t>SIMULATED_FEA_Commercial_Study</t>
        </is>
      </c>
      <c r="B429" t="inlineStr">
        <is>
          <t>V08</t>
        </is>
      </c>
      <c r="C429" t="inlineStr">
        <is>
          <t>Annotation</t>
        </is>
      </c>
      <c r="D429" t="inlineStr">
        <is>
          <t>Bin_06</t>
        </is>
      </c>
      <c r="E429" t="n">
        <v>10</v>
      </c>
      <c r="F429" t="inlineStr">
        <is>
          <t>Surprise</t>
        </is>
      </c>
      <c r="G429" t="n">
        <v>50</v>
      </c>
      <c r="H429" t="n">
        <v>0</v>
      </c>
      <c r="I429" t="n">
        <v>0</v>
      </c>
      <c r="J429" t="inlineStr">
        <is>
          <t>NA</t>
        </is>
      </c>
      <c r="K429" t="n">
        <v>96.8</v>
      </c>
      <c r="L429">
        <f>IF(K429&gt;=80,"Yes","No")</f>
        <v/>
      </c>
      <c r="M429">
        <f>IF(ISNUMBER(H429),IF(H429&gt;0,1,0),"")</f>
        <v/>
      </c>
    </row>
    <row r="430">
      <c r="A430" t="inlineStr">
        <is>
          <t>SIMULATED_FEA_Commercial_Study</t>
        </is>
      </c>
      <c r="B430" t="inlineStr">
        <is>
          <t>V08</t>
        </is>
      </c>
      <c r="C430" t="inlineStr">
        <is>
          <t>Annotation</t>
        </is>
      </c>
      <c r="D430" t="inlineStr">
        <is>
          <t>Bin_06</t>
        </is>
      </c>
      <c r="E430" t="n">
        <v>10</v>
      </c>
      <c r="F430" t="inlineStr">
        <is>
          <t>Brow Furrow</t>
        </is>
      </c>
      <c r="G430" t="n">
        <v>50</v>
      </c>
      <c r="H430" t="n">
        <v>0</v>
      </c>
      <c r="I430" t="n">
        <v>0</v>
      </c>
      <c r="J430" t="inlineStr">
        <is>
          <t>NA</t>
        </is>
      </c>
      <c r="K430" t="n">
        <v>96.8</v>
      </c>
      <c r="L430">
        <f>IF(K430&gt;=80,"Yes","No")</f>
        <v/>
      </c>
      <c r="M430">
        <f>IF(ISNUMBER(H430),IF(H430&gt;0,1,0),"")</f>
        <v/>
      </c>
    </row>
    <row r="431">
      <c r="A431" t="inlineStr">
        <is>
          <t>SIMULATED_FEA_Commercial_Study</t>
        </is>
      </c>
      <c r="B431" t="inlineStr">
        <is>
          <t>V08</t>
        </is>
      </c>
      <c r="C431" t="inlineStr">
        <is>
          <t>Annotation</t>
        </is>
      </c>
      <c r="D431" t="inlineStr">
        <is>
          <t>Bin_06</t>
        </is>
      </c>
      <c r="E431" t="n">
        <v>10</v>
      </c>
      <c r="F431" t="inlineStr">
        <is>
          <t>Positive Valence</t>
        </is>
      </c>
      <c r="G431" t="n">
        <v>50</v>
      </c>
      <c r="H431" t="n">
        <v>0</v>
      </c>
      <c r="I431" t="n">
        <v>0</v>
      </c>
      <c r="J431" t="inlineStr">
        <is>
          <t>NA</t>
        </is>
      </c>
      <c r="K431" t="n">
        <v>96.8</v>
      </c>
      <c r="L431">
        <f>IF(K431&gt;=80,"Yes","No")</f>
        <v/>
      </c>
      <c r="M431">
        <f>IF(ISNUMBER(H431),IF(H431&gt;0,1,0),"")</f>
        <v/>
      </c>
    </row>
    <row r="432">
      <c r="A432" t="inlineStr">
        <is>
          <t>SIMULATED_FEA_Commercial_Study</t>
        </is>
      </c>
      <c r="B432" t="inlineStr">
        <is>
          <t>V08</t>
        </is>
      </c>
      <c r="C432" t="inlineStr">
        <is>
          <t>Annotation</t>
        </is>
      </c>
      <c r="D432" t="inlineStr">
        <is>
          <t>Bin_06</t>
        </is>
      </c>
      <c r="E432" t="n">
        <v>10</v>
      </c>
      <c r="F432" t="inlineStr">
        <is>
          <t>Negative Valence</t>
        </is>
      </c>
      <c r="G432" t="n">
        <v>-50</v>
      </c>
      <c r="H432" t="n">
        <v>0</v>
      </c>
      <c r="I432" t="n">
        <v>0</v>
      </c>
      <c r="J432" t="inlineStr">
        <is>
          <t>NA</t>
        </is>
      </c>
      <c r="K432" t="n">
        <v>96.8</v>
      </c>
      <c r="L432">
        <f>IF(K432&gt;=80,"Yes","No")</f>
        <v/>
      </c>
      <c r="M432">
        <f>IF(ISNUMBER(H432),IF(H432&gt;0,1,0),"")</f>
        <v/>
      </c>
    </row>
    <row r="433">
      <c r="A433" t="inlineStr">
        <is>
          <t>SIMULATED_FEA_Commercial_Study</t>
        </is>
      </c>
      <c r="B433" t="inlineStr">
        <is>
          <t>V08</t>
        </is>
      </c>
      <c r="C433" t="inlineStr">
        <is>
          <t>Annotation</t>
        </is>
      </c>
      <c r="D433" t="inlineStr">
        <is>
          <t>Bin_06</t>
        </is>
      </c>
      <c r="E433" t="n">
        <v>10</v>
      </c>
      <c r="F433" t="inlineStr">
        <is>
          <t>Engagement</t>
        </is>
      </c>
      <c r="G433" t="inlineStr">
        <is>
          <t>NA</t>
        </is>
      </c>
      <c r="H433" t="inlineStr">
        <is>
          <t>NA</t>
        </is>
      </c>
      <c r="I433" t="inlineStr">
        <is>
          <t>NA</t>
        </is>
      </c>
      <c r="J433" t="n">
        <v>8.31</v>
      </c>
      <c r="K433" t="n">
        <v>96.8</v>
      </c>
      <c r="L433">
        <f>IF(K433&gt;=80,"Yes","No")</f>
        <v/>
      </c>
      <c r="M433">
        <f>IF(ISNUMBER(H433),IF(H433&gt;0,1,0),"")</f>
        <v/>
      </c>
    </row>
    <row r="434">
      <c r="A434" t="inlineStr">
        <is>
          <t>SIMULATED_FEA_Commercial_Study</t>
        </is>
      </c>
      <c r="B434" t="inlineStr">
        <is>
          <t>V09</t>
        </is>
      </c>
      <c r="C434" t="inlineStr">
        <is>
          <t>Stimulus</t>
        </is>
      </c>
      <c r="D434" t="inlineStr">
        <is>
          <t>Baseline</t>
        </is>
      </c>
      <c r="E434" t="n">
        <v>60</v>
      </c>
      <c r="F434" t="inlineStr">
        <is>
          <t>Joy</t>
        </is>
      </c>
      <c r="G434" t="n">
        <v>50</v>
      </c>
      <c r="H434" t="n">
        <v>0</v>
      </c>
      <c r="I434" t="n">
        <v>0</v>
      </c>
      <c r="J434" t="inlineStr">
        <is>
          <t>NA</t>
        </is>
      </c>
      <c r="K434" t="n">
        <v>96</v>
      </c>
      <c r="L434">
        <f>IF(K434&gt;=80,"Yes","No")</f>
        <v/>
      </c>
      <c r="M434">
        <f>IF(ISNUMBER(H434),IF(H434&gt;0,1,0),"")</f>
        <v/>
      </c>
    </row>
    <row r="435">
      <c r="A435" t="inlineStr">
        <is>
          <t>SIMULATED_FEA_Commercial_Study</t>
        </is>
      </c>
      <c r="B435" t="inlineStr">
        <is>
          <t>V09</t>
        </is>
      </c>
      <c r="C435" t="inlineStr">
        <is>
          <t>Stimulus</t>
        </is>
      </c>
      <c r="D435" t="inlineStr">
        <is>
          <t>Baseline</t>
        </is>
      </c>
      <c r="E435" t="n">
        <v>60</v>
      </c>
      <c r="F435" t="inlineStr">
        <is>
          <t>Surprise</t>
        </is>
      </c>
      <c r="G435" t="n">
        <v>50</v>
      </c>
      <c r="H435" t="n">
        <v>2.44</v>
      </c>
      <c r="I435" t="n">
        <v>1</v>
      </c>
      <c r="J435" t="inlineStr">
        <is>
          <t>NA</t>
        </is>
      </c>
      <c r="K435" t="n">
        <v>96</v>
      </c>
      <c r="L435">
        <f>IF(K435&gt;=80,"Yes","No")</f>
        <v/>
      </c>
      <c r="M435">
        <f>IF(ISNUMBER(H435),IF(H435&gt;0,1,0),"")</f>
        <v/>
      </c>
    </row>
    <row r="436">
      <c r="A436" t="inlineStr">
        <is>
          <t>SIMULATED_FEA_Commercial_Study</t>
        </is>
      </c>
      <c r="B436" t="inlineStr">
        <is>
          <t>V09</t>
        </is>
      </c>
      <c r="C436" t="inlineStr">
        <is>
          <t>Stimulus</t>
        </is>
      </c>
      <c r="D436" t="inlineStr">
        <is>
          <t>Baseline</t>
        </is>
      </c>
      <c r="E436" t="n">
        <v>60</v>
      </c>
      <c r="F436" t="inlineStr">
        <is>
          <t>Brow Furrow</t>
        </is>
      </c>
      <c r="G436" t="n">
        <v>50</v>
      </c>
      <c r="H436" t="n">
        <v>7.22</v>
      </c>
      <c r="I436" t="n">
        <v>2</v>
      </c>
      <c r="J436" t="inlineStr">
        <is>
          <t>NA</t>
        </is>
      </c>
      <c r="K436" t="n">
        <v>96</v>
      </c>
      <c r="L436">
        <f>IF(K436&gt;=80,"Yes","No")</f>
        <v/>
      </c>
      <c r="M436">
        <f>IF(ISNUMBER(H436),IF(H436&gt;0,1,0),"")</f>
        <v/>
      </c>
    </row>
    <row r="437">
      <c r="A437" t="inlineStr">
        <is>
          <t>SIMULATED_FEA_Commercial_Study</t>
        </is>
      </c>
      <c r="B437" t="inlineStr">
        <is>
          <t>V09</t>
        </is>
      </c>
      <c r="C437" t="inlineStr">
        <is>
          <t>Stimulus</t>
        </is>
      </c>
      <c r="D437" t="inlineStr">
        <is>
          <t>Baseline</t>
        </is>
      </c>
      <c r="E437" t="n">
        <v>60</v>
      </c>
      <c r="F437" t="inlineStr">
        <is>
          <t>Positive Valence</t>
        </is>
      </c>
      <c r="G437" t="n">
        <v>50</v>
      </c>
      <c r="H437" t="n">
        <v>1.39</v>
      </c>
      <c r="I437" t="n">
        <v>1</v>
      </c>
      <c r="J437" t="inlineStr">
        <is>
          <t>NA</t>
        </is>
      </c>
      <c r="K437" t="n">
        <v>96</v>
      </c>
      <c r="L437">
        <f>IF(K437&gt;=80,"Yes","No")</f>
        <v/>
      </c>
      <c r="M437">
        <f>IF(ISNUMBER(H437),IF(H437&gt;0,1,0),"")</f>
        <v/>
      </c>
    </row>
    <row r="438">
      <c r="A438" t="inlineStr">
        <is>
          <t>SIMULATED_FEA_Commercial_Study</t>
        </is>
      </c>
      <c r="B438" t="inlineStr">
        <is>
          <t>V09</t>
        </is>
      </c>
      <c r="C438" t="inlineStr">
        <is>
          <t>Stimulus</t>
        </is>
      </c>
      <c r="D438" t="inlineStr">
        <is>
          <t>Baseline</t>
        </is>
      </c>
      <c r="E438" t="n">
        <v>60</v>
      </c>
      <c r="F438" t="inlineStr">
        <is>
          <t>Negative Valence</t>
        </is>
      </c>
      <c r="G438" t="n">
        <v>-50</v>
      </c>
      <c r="H438" t="n">
        <v>0</v>
      </c>
      <c r="I438" t="n">
        <v>0</v>
      </c>
      <c r="J438" t="inlineStr">
        <is>
          <t>NA</t>
        </is>
      </c>
      <c r="K438" t="n">
        <v>96</v>
      </c>
      <c r="L438">
        <f>IF(K438&gt;=80,"Yes","No")</f>
        <v/>
      </c>
      <c r="M438">
        <f>IF(ISNUMBER(H438),IF(H438&gt;0,1,0),"")</f>
        <v/>
      </c>
    </row>
    <row r="439">
      <c r="A439" t="inlineStr">
        <is>
          <t>SIMULATED_FEA_Commercial_Study</t>
        </is>
      </c>
      <c r="B439" t="inlineStr">
        <is>
          <t>V09</t>
        </is>
      </c>
      <c r="C439" t="inlineStr">
        <is>
          <t>Stimulus</t>
        </is>
      </c>
      <c r="D439" t="inlineStr">
        <is>
          <t>Baseline</t>
        </is>
      </c>
      <c r="E439" t="n">
        <v>60</v>
      </c>
      <c r="F439" t="inlineStr">
        <is>
          <t>Engagement</t>
        </is>
      </c>
      <c r="G439" t="inlineStr">
        <is>
          <t>NA</t>
        </is>
      </c>
      <c r="H439" t="inlineStr">
        <is>
          <t>NA</t>
        </is>
      </c>
      <c r="I439" t="inlineStr">
        <is>
          <t>NA</t>
        </is>
      </c>
      <c r="J439" t="n">
        <v>9.99</v>
      </c>
      <c r="K439" t="n">
        <v>96</v>
      </c>
      <c r="L439">
        <f>IF(K439&gt;=80,"Yes","No")</f>
        <v/>
      </c>
      <c r="M439">
        <f>IF(ISNUMBER(H439),IF(H439&gt;0,1,0),"")</f>
        <v/>
      </c>
    </row>
    <row r="440">
      <c r="A440" t="inlineStr">
        <is>
          <t>SIMULATED_FEA_Commercial_Study</t>
        </is>
      </c>
      <c r="B440" t="inlineStr">
        <is>
          <t>V09</t>
        </is>
      </c>
      <c r="C440" t="inlineStr">
        <is>
          <t>Stimulus</t>
        </is>
      </c>
      <c r="D440" t="inlineStr">
        <is>
          <t>Commercial</t>
        </is>
      </c>
      <c r="E440" t="n">
        <v>60</v>
      </c>
      <c r="F440" t="inlineStr">
        <is>
          <t>Joy</t>
        </is>
      </c>
      <c r="G440" t="n">
        <v>50</v>
      </c>
      <c r="H440" t="n">
        <v>0.89</v>
      </c>
      <c r="I440" t="n">
        <v>1</v>
      </c>
      <c r="J440" t="inlineStr">
        <is>
          <t>NA</t>
        </is>
      </c>
      <c r="K440" t="n">
        <v>96</v>
      </c>
      <c r="L440">
        <f>IF(K440&gt;=80,"Yes","No")</f>
        <v/>
      </c>
      <c r="M440">
        <f>IF(ISNUMBER(H440),IF(H440&gt;0,1,0),"")</f>
        <v/>
      </c>
    </row>
    <row r="441">
      <c r="A441" t="inlineStr">
        <is>
          <t>SIMULATED_FEA_Commercial_Study</t>
        </is>
      </c>
      <c r="B441" t="inlineStr">
        <is>
          <t>V09</t>
        </is>
      </c>
      <c r="C441" t="inlineStr">
        <is>
          <t>Stimulus</t>
        </is>
      </c>
      <c r="D441" t="inlineStr">
        <is>
          <t>Commercial</t>
        </is>
      </c>
      <c r="E441" t="n">
        <v>60</v>
      </c>
      <c r="F441" t="inlineStr">
        <is>
          <t>Surprise</t>
        </is>
      </c>
      <c r="G441" t="n">
        <v>50</v>
      </c>
      <c r="H441" t="n">
        <v>3.67</v>
      </c>
      <c r="I441" t="n">
        <v>4</v>
      </c>
      <c r="J441" t="inlineStr">
        <is>
          <t>NA</t>
        </is>
      </c>
      <c r="K441" t="n">
        <v>96</v>
      </c>
      <c r="L441">
        <f>IF(K441&gt;=80,"Yes","No")</f>
        <v/>
      </c>
      <c r="M441">
        <f>IF(ISNUMBER(H441),IF(H441&gt;0,1,0),"")</f>
        <v/>
      </c>
    </row>
    <row r="442">
      <c r="A442" t="inlineStr">
        <is>
          <t>SIMULATED_FEA_Commercial_Study</t>
        </is>
      </c>
      <c r="B442" t="inlineStr">
        <is>
          <t>V09</t>
        </is>
      </c>
      <c r="C442" t="inlineStr">
        <is>
          <t>Stimulus</t>
        </is>
      </c>
      <c r="D442" t="inlineStr">
        <is>
          <t>Commercial</t>
        </is>
      </c>
      <c r="E442" t="n">
        <v>60</v>
      </c>
      <c r="F442" t="inlineStr">
        <is>
          <t>Brow Furrow</t>
        </is>
      </c>
      <c r="G442" t="n">
        <v>50</v>
      </c>
      <c r="H442" t="n">
        <v>6.33</v>
      </c>
      <c r="I442" t="n">
        <v>4</v>
      </c>
      <c r="J442" t="inlineStr">
        <is>
          <t>NA</t>
        </is>
      </c>
      <c r="K442" t="n">
        <v>96</v>
      </c>
      <c r="L442">
        <f>IF(K442&gt;=80,"Yes","No")</f>
        <v/>
      </c>
      <c r="M442">
        <f>IF(ISNUMBER(H442),IF(H442&gt;0,1,0),"")</f>
        <v/>
      </c>
    </row>
    <row r="443">
      <c r="A443" t="inlineStr">
        <is>
          <t>SIMULATED_FEA_Commercial_Study</t>
        </is>
      </c>
      <c r="B443" t="inlineStr">
        <is>
          <t>V09</t>
        </is>
      </c>
      <c r="C443" t="inlineStr">
        <is>
          <t>Stimulus</t>
        </is>
      </c>
      <c r="D443" t="inlineStr">
        <is>
          <t>Commercial</t>
        </is>
      </c>
      <c r="E443" t="n">
        <v>60</v>
      </c>
      <c r="F443" t="inlineStr">
        <is>
          <t>Positive Valence</t>
        </is>
      </c>
      <c r="G443" t="n">
        <v>50</v>
      </c>
      <c r="H443" t="n">
        <v>0.5</v>
      </c>
      <c r="I443" t="n">
        <v>1</v>
      </c>
      <c r="J443" t="inlineStr">
        <is>
          <t>NA</t>
        </is>
      </c>
      <c r="K443" t="n">
        <v>96</v>
      </c>
      <c r="L443">
        <f>IF(K443&gt;=80,"Yes","No")</f>
        <v/>
      </c>
      <c r="M443">
        <f>IF(ISNUMBER(H443),IF(H443&gt;0,1,0),"")</f>
        <v/>
      </c>
    </row>
    <row r="444">
      <c r="A444" t="inlineStr">
        <is>
          <t>SIMULATED_FEA_Commercial_Study</t>
        </is>
      </c>
      <c r="B444" t="inlineStr">
        <is>
          <t>V09</t>
        </is>
      </c>
      <c r="C444" t="inlineStr">
        <is>
          <t>Stimulus</t>
        </is>
      </c>
      <c r="D444" t="inlineStr">
        <is>
          <t>Commercial</t>
        </is>
      </c>
      <c r="E444" t="n">
        <v>60</v>
      </c>
      <c r="F444" t="inlineStr">
        <is>
          <t>Negative Valence</t>
        </is>
      </c>
      <c r="G444" t="n">
        <v>-50</v>
      </c>
      <c r="H444" t="n">
        <v>0</v>
      </c>
      <c r="I444" t="n">
        <v>0</v>
      </c>
      <c r="J444" t="inlineStr">
        <is>
          <t>NA</t>
        </is>
      </c>
      <c r="K444" t="n">
        <v>96</v>
      </c>
      <c r="L444">
        <f>IF(K444&gt;=80,"Yes","No")</f>
        <v/>
      </c>
      <c r="M444">
        <f>IF(ISNUMBER(H444),IF(H444&gt;0,1,0),"")</f>
        <v/>
      </c>
    </row>
    <row r="445">
      <c r="A445" t="inlineStr">
        <is>
          <t>SIMULATED_FEA_Commercial_Study</t>
        </is>
      </c>
      <c r="B445" t="inlineStr">
        <is>
          <t>V09</t>
        </is>
      </c>
      <c r="C445" t="inlineStr">
        <is>
          <t>Stimulus</t>
        </is>
      </c>
      <c r="D445" t="inlineStr">
        <is>
          <t>Commercial</t>
        </is>
      </c>
      <c r="E445" t="n">
        <v>60</v>
      </c>
      <c r="F445" t="inlineStr">
        <is>
          <t>Engagement</t>
        </is>
      </c>
      <c r="G445" t="inlineStr">
        <is>
          <t>NA</t>
        </is>
      </c>
      <c r="H445" t="inlineStr">
        <is>
          <t>NA</t>
        </is>
      </c>
      <c r="I445" t="inlineStr">
        <is>
          <t>NA</t>
        </is>
      </c>
      <c r="J445" t="n">
        <v>13.21</v>
      </c>
      <c r="K445" t="n">
        <v>96</v>
      </c>
      <c r="L445">
        <f>IF(K445&gt;=80,"Yes","No")</f>
        <v/>
      </c>
      <c r="M445">
        <f>IF(ISNUMBER(H445),IF(H445&gt;0,1,0),"")</f>
        <v/>
      </c>
    </row>
    <row r="446">
      <c r="A446" t="inlineStr">
        <is>
          <t>SIMULATED_FEA_Commercial_Study</t>
        </is>
      </c>
      <c r="B446" t="inlineStr">
        <is>
          <t>V09</t>
        </is>
      </c>
      <c r="C446" t="inlineStr">
        <is>
          <t>Stimulus</t>
        </is>
      </c>
      <c r="D446" t="inlineStr">
        <is>
          <t>Recovery</t>
        </is>
      </c>
      <c r="E446" t="n">
        <v>15</v>
      </c>
      <c r="F446" t="inlineStr">
        <is>
          <t>Joy</t>
        </is>
      </c>
      <c r="G446" t="n">
        <v>50</v>
      </c>
      <c r="H446" t="n">
        <v>0</v>
      </c>
      <c r="I446" t="n">
        <v>0</v>
      </c>
      <c r="J446" t="inlineStr">
        <is>
          <t>NA</t>
        </is>
      </c>
      <c r="K446" t="n">
        <v>96</v>
      </c>
      <c r="L446">
        <f>IF(K446&gt;=80,"Yes","No")</f>
        <v/>
      </c>
      <c r="M446">
        <f>IF(ISNUMBER(H446),IF(H446&gt;0,1,0),"")</f>
        <v/>
      </c>
    </row>
    <row r="447">
      <c r="A447" t="inlineStr">
        <is>
          <t>SIMULATED_FEA_Commercial_Study</t>
        </is>
      </c>
      <c r="B447" t="inlineStr">
        <is>
          <t>V09</t>
        </is>
      </c>
      <c r="C447" t="inlineStr">
        <is>
          <t>Stimulus</t>
        </is>
      </c>
      <c r="D447" t="inlineStr">
        <is>
          <t>Recovery</t>
        </is>
      </c>
      <c r="E447" t="n">
        <v>15</v>
      </c>
      <c r="F447" t="inlineStr">
        <is>
          <t>Surprise</t>
        </is>
      </c>
      <c r="G447" t="n">
        <v>50</v>
      </c>
      <c r="H447" t="n">
        <v>2</v>
      </c>
      <c r="I447" t="n">
        <v>1</v>
      </c>
      <c r="J447" t="inlineStr">
        <is>
          <t>NA</t>
        </is>
      </c>
      <c r="K447" t="n">
        <v>96</v>
      </c>
      <c r="L447">
        <f>IF(K447&gt;=80,"Yes","No")</f>
        <v/>
      </c>
      <c r="M447">
        <f>IF(ISNUMBER(H447),IF(H447&gt;0,1,0),"")</f>
        <v/>
      </c>
    </row>
    <row r="448">
      <c r="A448" t="inlineStr">
        <is>
          <t>SIMULATED_FEA_Commercial_Study</t>
        </is>
      </c>
      <c r="B448" t="inlineStr">
        <is>
          <t>V09</t>
        </is>
      </c>
      <c r="C448" t="inlineStr">
        <is>
          <t>Stimulus</t>
        </is>
      </c>
      <c r="D448" t="inlineStr">
        <is>
          <t>Recovery</t>
        </is>
      </c>
      <c r="E448" t="n">
        <v>15</v>
      </c>
      <c r="F448" t="inlineStr">
        <is>
          <t>Brow Furrow</t>
        </is>
      </c>
      <c r="G448" t="n">
        <v>50</v>
      </c>
      <c r="H448" t="n">
        <v>0</v>
      </c>
      <c r="I448" t="n">
        <v>0</v>
      </c>
      <c r="J448" t="inlineStr">
        <is>
          <t>NA</t>
        </is>
      </c>
      <c r="K448" t="n">
        <v>96</v>
      </c>
      <c r="L448">
        <f>IF(K448&gt;=80,"Yes","No")</f>
        <v/>
      </c>
      <c r="M448">
        <f>IF(ISNUMBER(H448),IF(H448&gt;0,1,0),"")</f>
        <v/>
      </c>
    </row>
    <row r="449">
      <c r="A449" t="inlineStr">
        <is>
          <t>SIMULATED_FEA_Commercial_Study</t>
        </is>
      </c>
      <c r="B449" t="inlineStr">
        <is>
          <t>V09</t>
        </is>
      </c>
      <c r="C449" t="inlineStr">
        <is>
          <t>Stimulus</t>
        </is>
      </c>
      <c r="D449" t="inlineStr">
        <is>
          <t>Recovery</t>
        </is>
      </c>
      <c r="E449" t="n">
        <v>15</v>
      </c>
      <c r="F449" t="inlineStr">
        <is>
          <t>Positive Valence</t>
        </is>
      </c>
      <c r="G449" t="n">
        <v>50</v>
      </c>
      <c r="H449" t="n">
        <v>0</v>
      </c>
      <c r="I449" t="n">
        <v>0</v>
      </c>
      <c r="J449" t="inlineStr">
        <is>
          <t>NA</t>
        </is>
      </c>
      <c r="K449" t="n">
        <v>96</v>
      </c>
      <c r="L449">
        <f>IF(K449&gt;=80,"Yes","No")</f>
        <v/>
      </c>
      <c r="M449">
        <f>IF(ISNUMBER(H449),IF(H449&gt;0,1,0),"")</f>
        <v/>
      </c>
    </row>
    <row r="450">
      <c r="A450" t="inlineStr">
        <is>
          <t>SIMULATED_FEA_Commercial_Study</t>
        </is>
      </c>
      <c r="B450" t="inlineStr">
        <is>
          <t>V09</t>
        </is>
      </c>
      <c r="C450" t="inlineStr">
        <is>
          <t>Stimulus</t>
        </is>
      </c>
      <c r="D450" t="inlineStr">
        <is>
          <t>Recovery</t>
        </is>
      </c>
      <c r="E450" t="n">
        <v>15</v>
      </c>
      <c r="F450" t="inlineStr">
        <is>
          <t>Negative Valence</t>
        </is>
      </c>
      <c r="G450" t="n">
        <v>-50</v>
      </c>
      <c r="H450" t="n">
        <v>0</v>
      </c>
      <c r="I450" t="n">
        <v>0</v>
      </c>
      <c r="J450" t="inlineStr">
        <is>
          <t>NA</t>
        </is>
      </c>
      <c r="K450" t="n">
        <v>96</v>
      </c>
      <c r="L450">
        <f>IF(K450&gt;=80,"Yes","No")</f>
        <v/>
      </c>
      <c r="M450">
        <f>IF(ISNUMBER(H450),IF(H450&gt;0,1,0),"")</f>
        <v/>
      </c>
    </row>
    <row r="451">
      <c r="A451" t="inlineStr">
        <is>
          <t>SIMULATED_FEA_Commercial_Study</t>
        </is>
      </c>
      <c r="B451" t="inlineStr">
        <is>
          <t>V09</t>
        </is>
      </c>
      <c r="C451" t="inlineStr">
        <is>
          <t>Stimulus</t>
        </is>
      </c>
      <c r="D451" t="inlineStr">
        <is>
          <t>Recovery</t>
        </is>
      </c>
      <c r="E451" t="n">
        <v>15</v>
      </c>
      <c r="F451" t="inlineStr">
        <is>
          <t>Engagement</t>
        </is>
      </c>
      <c r="G451" t="inlineStr">
        <is>
          <t>NA</t>
        </is>
      </c>
      <c r="H451" t="inlineStr">
        <is>
          <t>NA</t>
        </is>
      </c>
      <c r="I451" t="inlineStr">
        <is>
          <t>NA</t>
        </is>
      </c>
      <c r="J451" t="n">
        <v>7.12</v>
      </c>
      <c r="K451" t="n">
        <v>96</v>
      </c>
      <c r="L451">
        <f>IF(K451&gt;=80,"Yes","No")</f>
        <v/>
      </c>
      <c r="M451">
        <f>IF(ISNUMBER(H451),IF(H451&gt;0,1,0),"")</f>
        <v/>
      </c>
    </row>
    <row r="452">
      <c r="A452" t="inlineStr">
        <is>
          <t>SIMULATED_FEA_Commercial_Study</t>
        </is>
      </c>
      <c r="B452" t="inlineStr">
        <is>
          <t>V09</t>
        </is>
      </c>
      <c r="C452" t="inlineStr">
        <is>
          <t>Annotation</t>
        </is>
      </c>
      <c r="D452" t="inlineStr">
        <is>
          <t>Bin_01</t>
        </is>
      </c>
      <c r="E452" t="n">
        <v>10</v>
      </c>
      <c r="F452" t="inlineStr">
        <is>
          <t>Joy</t>
        </is>
      </c>
      <c r="G452" t="n">
        <v>50</v>
      </c>
      <c r="H452" t="n">
        <v>0</v>
      </c>
      <c r="I452" t="n">
        <v>0</v>
      </c>
      <c r="J452" t="inlineStr">
        <is>
          <t>NA</t>
        </is>
      </c>
      <c r="K452" t="n">
        <v>96</v>
      </c>
      <c r="L452">
        <f>IF(K452&gt;=80,"Yes","No")</f>
        <v/>
      </c>
      <c r="M452">
        <f>IF(ISNUMBER(H452),IF(H452&gt;0,1,0),"")</f>
        <v/>
      </c>
    </row>
    <row r="453">
      <c r="A453" t="inlineStr">
        <is>
          <t>SIMULATED_FEA_Commercial_Study</t>
        </is>
      </c>
      <c r="B453" t="inlineStr">
        <is>
          <t>V09</t>
        </is>
      </c>
      <c r="C453" t="inlineStr">
        <is>
          <t>Annotation</t>
        </is>
      </c>
      <c r="D453" t="inlineStr">
        <is>
          <t>Bin_01</t>
        </is>
      </c>
      <c r="E453" t="n">
        <v>10</v>
      </c>
      <c r="F453" t="inlineStr">
        <is>
          <t>Surprise</t>
        </is>
      </c>
      <c r="G453" t="n">
        <v>50</v>
      </c>
      <c r="H453" t="n">
        <v>0</v>
      </c>
      <c r="I453" t="n">
        <v>0</v>
      </c>
      <c r="J453" t="inlineStr">
        <is>
          <t>NA</t>
        </is>
      </c>
      <c r="K453" t="n">
        <v>96</v>
      </c>
      <c r="L453">
        <f>IF(K453&gt;=80,"Yes","No")</f>
        <v/>
      </c>
      <c r="M453">
        <f>IF(ISNUMBER(H453),IF(H453&gt;0,1,0),"")</f>
        <v/>
      </c>
    </row>
    <row r="454">
      <c r="A454" t="inlineStr">
        <is>
          <t>SIMULATED_FEA_Commercial_Study</t>
        </is>
      </c>
      <c r="B454" t="inlineStr">
        <is>
          <t>V09</t>
        </is>
      </c>
      <c r="C454" t="inlineStr">
        <is>
          <t>Annotation</t>
        </is>
      </c>
      <c r="D454" t="inlineStr">
        <is>
          <t>Bin_01</t>
        </is>
      </c>
      <c r="E454" t="n">
        <v>10</v>
      </c>
      <c r="F454" t="inlineStr">
        <is>
          <t>Brow Furrow</t>
        </is>
      </c>
      <c r="G454" t="n">
        <v>50</v>
      </c>
      <c r="H454" t="n">
        <v>0</v>
      </c>
      <c r="I454" t="n">
        <v>0</v>
      </c>
      <c r="J454" t="inlineStr">
        <is>
          <t>NA</t>
        </is>
      </c>
      <c r="K454" t="n">
        <v>96</v>
      </c>
      <c r="L454">
        <f>IF(K454&gt;=80,"Yes","No")</f>
        <v/>
      </c>
      <c r="M454">
        <f>IF(ISNUMBER(H454),IF(H454&gt;0,1,0),"")</f>
        <v/>
      </c>
    </row>
    <row r="455">
      <c r="A455" t="inlineStr">
        <is>
          <t>SIMULATED_FEA_Commercial_Study</t>
        </is>
      </c>
      <c r="B455" t="inlineStr">
        <is>
          <t>V09</t>
        </is>
      </c>
      <c r="C455" t="inlineStr">
        <is>
          <t>Annotation</t>
        </is>
      </c>
      <c r="D455" t="inlineStr">
        <is>
          <t>Bin_01</t>
        </is>
      </c>
      <c r="E455" t="n">
        <v>10</v>
      </c>
      <c r="F455" t="inlineStr">
        <is>
          <t>Positive Valence</t>
        </is>
      </c>
      <c r="G455" t="n">
        <v>50</v>
      </c>
      <c r="H455" t="n">
        <v>0</v>
      </c>
      <c r="I455" t="n">
        <v>0</v>
      </c>
      <c r="J455" t="inlineStr">
        <is>
          <t>NA</t>
        </is>
      </c>
      <c r="K455" t="n">
        <v>96</v>
      </c>
      <c r="L455">
        <f>IF(K455&gt;=80,"Yes","No")</f>
        <v/>
      </c>
      <c r="M455">
        <f>IF(ISNUMBER(H455),IF(H455&gt;0,1,0),"")</f>
        <v/>
      </c>
    </row>
    <row r="456">
      <c r="A456" t="inlineStr">
        <is>
          <t>SIMULATED_FEA_Commercial_Study</t>
        </is>
      </c>
      <c r="B456" t="inlineStr">
        <is>
          <t>V09</t>
        </is>
      </c>
      <c r="C456" t="inlineStr">
        <is>
          <t>Annotation</t>
        </is>
      </c>
      <c r="D456" t="inlineStr">
        <is>
          <t>Bin_01</t>
        </is>
      </c>
      <c r="E456" t="n">
        <v>10</v>
      </c>
      <c r="F456" t="inlineStr">
        <is>
          <t>Negative Valence</t>
        </is>
      </c>
      <c r="G456" t="n">
        <v>-50</v>
      </c>
      <c r="H456" t="n">
        <v>0</v>
      </c>
      <c r="I456" t="n">
        <v>0</v>
      </c>
      <c r="J456" t="inlineStr">
        <is>
          <t>NA</t>
        </is>
      </c>
      <c r="K456" t="n">
        <v>96</v>
      </c>
      <c r="L456">
        <f>IF(K456&gt;=80,"Yes","No")</f>
        <v/>
      </c>
      <c r="M456">
        <f>IF(ISNUMBER(H456),IF(H456&gt;0,1,0),"")</f>
        <v/>
      </c>
    </row>
    <row r="457">
      <c r="A457" t="inlineStr">
        <is>
          <t>SIMULATED_FEA_Commercial_Study</t>
        </is>
      </c>
      <c r="B457" t="inlineStr">
        <is>
          <t>V09</t>
        </is>
      </c>
      <c r="C457" t="inlineStr">
        <is>
          <t>Annotation</t>
        </is>
      </c>
      <c r="D457" t="inlineStr">
        <is>
          <t>Bin_01</t>
        </is>
      </c>
      <c r="E457" t="n">
        <v>10</v>
      </c>
      <c r="F457" t="inlineStr">
        <is>
          <t>Engagement</t>
        </is>
      </c>
      <c r="G457" t="inlineStr">
        <is>
          <t>NA</t>
        </is>
      </c>
      <c r="H457" t="inlineStr">
        <is>
          <t>NA</t>
        </is>
      </c>
      <c r="I457" t="inlineStr">
        <is>
          <t>NA</t>
        </is>
      </c>
      <c r="J457" t="n">
        <v>6.81</v>
      </c>
      <c r="K457" t="n">
        <v>96</v>
      </c>
      <c r="L457">
        <f>IF(K457&gt;=80,"Yes","No")</f>
        <v/>
      </c>
      <c r="M457">
        <f>IF(ISNUMBER(H457),IF(H457&gt;0,1,0),"")</f>
        <v/>
      </c>
    </row>
    <row r="458">
      <c r="A458" t="inlineStr">
        <is>
          <t>SIMULATED_FEA_Commercial_Study</t>
        </is>
      </c>
      <c r="B458" t="inlineStr">
        <is>
          <t>V09</t>
        </is>
      </c>
      <c r="C458" t="inlineStr">
        <is>
          <t>Annotation</t>
        </is>
      </c>
      <c r="D458" t="inlineStr">
        <is>
          <t>Bin_02</t>
        </is>
      </c>
      <c r="E458" t="n">
        <v>10</v>
      </c>
      <c r="F458" t="inlineStr">
        <is>
          <t>Joy</t>
        </is>
      </c>
      <c r="G458" t="n">
        <v>50</v>
      </c>
      <c r="H458" t="n">
        <v>0</v>
      </c>
      <c r="I458" t="n">
        <v>0</v>
      </c>
      <c r="J458" t="inlineStr">
        <is>
          <t>NA</t>
        </is>
      </c>
      <c r="K458" t="n">
        <v>96</v>
      </c>
      <c r="L458">
        <f>IF(K458&gt;=80,"Yes","No")</f>
        <v/>
      </c>
      <c r="M458">
        <f>IF(ISNUMBER(H458),IF(H458&gt;0,1,0),"")</f>
        <v/>
      </c>
    </row>
    <row r="459">
      <c r="A459" t="inlineStr">
        <is>
          <t>SIMULATED_FEA_Commercial_Study</t>
        </is>
      </c>
      <c r="B459" t="inlineStr">
        <is>
          <t>V09</t>
        </is>
      </c>
      <c r="C459" t="inlineStr">
        <is>
          <t>Annotation</t>
        </is>
      </c>
      <c r="D459" t="inlineStr">
        <is>
          <t>Bin_02</t>
        </is>
      </c>
      <c r="E459" t="n">
        <v>10</v>
      </c>
      <c r="F459" t="inlineStr">
        <is>
          <t>Surprise</t>
        </is>
      </c>
      <c r="G459" t="n">
        <v>50</v>
      </c>
      <c r="H459" t="n">
        <v>0</v>
      </c>
      <c r="I459" t="n">
        <v>0</v>
      </c>
      <c r="J459" t="inlineStr">
        <is>
          <t>NA</t>
        </is>
      </c>
      <c r="K459" t="n">
        <v>96</v>
      </c>
      <c r="L459">
        <f>IF(K459&gt;=80,"Yes","No")</f>
        <v/>
      </c>
      <c r="M459">
        <f>IF(ISNUMBER(H459),IF(H459&gt;0,1,0),"")</f>
        <v/>
      </c>
    </row>
    <row r="460">
      <c r="A460" t="inlineStr">
        <is>
          <t>SIMULATED_FEA_Commercial_Study</t>
        </is>
      </c>
      <c r="B460" t="inlineStr">
        <is>
          <t>V09</t>
        </is>
      </c>
      <c r="C460" t="inlineStr">
        <is>
          <t>Annotation</t>
        </is>
      </c>
      <c r="D460" t="inlineStr">
        <is>
          <t>Bin_02</t>
        </is>
      </c>
      <c r="E460" t="n">
        <v>10</v>
      </c>
      <c r="F460" t="inlineStr">
        <is>
          <t>Brow Furrow</t>
        </is>
      </c>
      <c r="G460" t="n">
        <v>50</v>
      </c>
      <c r="H460" t="n">
        <v>0</v>
      </c>
      <c r="I460" t="n">
        <v>0</v>
      </c>
      <c r="J460" t="inlineStr">
        <is>
          <t>NA</t>
        </is>
      </c>
      <c r="K460" t="n">
        <v>96</v>
      </c>
      <c r="L460">
        <f>IF(K460&gt;=80,"Yes","No")</f>
        <v/>
      </c>
      <c r="M460">
        <f>IF(ISNUMBER(H460),IF(H460&gt;0,1,0),"")</f>
        <v/>
      </c>
    </row>
    <row r="461">
      <c r="A461" t="inlineStr">
        <is>
          <t>SIMULATED_FEA_Commercial_Study</t>
        </is>
      </c>
      <c r="B461" t="inlineStr">
        <is>
          <t>V09</t>
        </is>
      </c>
      <c r="C461" t="inlineStr">
        <is>
          <t>Annotation</t>
        </is>
      </c>
      <c r="D461" t="inlineStr">
        <is>
          <t>Bin_02</t>
        </is>
      </c>
      <c r="E461" t="n">
        <v>10</v>
      </c>
      <c r="F461" t="inlineStr">
        <is>
          <t>Positive Valence</t>
        </is>
      </c>
      <c r="G461" t="n">
        <v>50</v>
      </c>
      <c r="H461" t="n">
        <v>0</v>
      </c>
      <c r="I461" t="n">
        <v>0</v>
      </c>
      <c r="J461" t="inlineStr">
        <is>
          <t>NA</t>
        </is>
      </c>
      <c r="K461" t="n">
        <v>96</v>
      </c>
      <c r="L461">
        <f>IF(K461&gt;=80,"Yes","No")</f>
        <v/>
      </c>
      <c r="M461">
        <f>IF(ISNUMBER(H461),IF(H461&gt;0,1,0),"")</f>
        <v/>
      </c>
    </row>
    <row r="462">
      <c r="A462" t="inlineStr">
        <is>
          <t>SIMULATED_FEA_Commercial_Study</t>
        </is>
      </c>
      <c r="B462" t="inlineStr">
        <is>
          <t>V09</t>
        </is>
      </c>
      <c r="C462" t="inlineStr">
        <is>
          <t>Annotation</t>
        </is>
      </c>
      <c r="D462" t="inlineStr">
        <is>
          <t>Bin_02</t>
        </is>
      </c>
      <c r="E462" t="n">
        <v>10</v>
      </c>
      <c r="F462" t="inlineStr">
        <is>
          <t>Negative Valence</t>
        </is>
      </c>
      <c r="G462" t="n">
        <v>-50</v>
      </c>
      <c r="H462" t="n">
        <v>0</v>
      </c>
      <c r="I462" t="n">
        <v>0</v>
      </c>
      <c r="J462" t="inlineStr">
        <is>
          <t>NA</t>
        </is>
      </c>
      <c r="K462" t="n">
        <v>96</v>
      </c>
      <c r="L462">
        <f>IF(K462&gt;=80,"Yes","No")</f>
        <v/>
      </c>
      <c r="M462">
        <f>IF(ISNUMBER(H462),IF(H462&gt;0,1,0),"")</f>
        <v/>
      </c>
    </row>
    <row r="463">
      <c r="A463" t="inlineStr">
        <is>
          <t>SIMULATED_FEA_Commercial_Study</t>
        </is>
      </c>
      <c r="B463" t="inlineStr">
        <is>
          <t>V09</t>
        </is>
      </c>
      <c r="C463" t="inlineStr">
        <is>
          <t>Annotation</t>
        </is>
      </c>
      <c r="D463" t="inlineStr">
        <is>
          <t>Bin_02</t>
        </is>
      </c>
      <c r="E463" t="n">
        <v>10</v>
      </c>
      <c r="F463" t="inlineStr">
        <is>
          <t>Engagement</t>
        </is>
      </c>
      <c r="G463" t="inlineStr">
        <is>
          <t>NA</t>
        </is>
      </c>
      <c r="H463" t="inlineStr">
        <is>
          <t>NA</t>
        </is>
      </c>
      <c r="I463" t="inlineStr">
        <is>
          <t>NA</t>
        </is>
      </c>
      <c r="J463" t="n">
        <v>9.289999999999999</v>
      </c>
      <c r="K463" t="n">
        <v>96</v>
      </c>
      <c r="L463">
        <f>IF(K463&gt;=80,"Yes","No")</f>
        <v/>
      </c>
      <c r="M463">
        <f>IF(ISNUMBER(H463),IF(H463&gt;0,1,0),"")</f>
        <v/>
      </c>
    </row>
    <row r="464">
      <c r="A464" t="inlineStr">
        <is>
          <t>SIMULATED_FEA_Commercial_Study</t>
        </is>
      </c>
      <c r="B464" t="inlineStr">
        <is>
          <t>V09</t>
        </is>
      </c>
      <c r="C464" t="inlineStr">
        <is>
          <t>Annotation</t>
        </is>
      </c>
      <c r="D464" t="inlineStr">
        <is>
          <t>Bin_03</t>
        </is>
      </c>
      <c r="E464" t="n">
        <v>10</v>
      </c>
      <c r="F464" t="inlineStr">
        <is>
          <t>Joy</t>
        </is>
      </c>
      <c r="G464" t="n">
        <v>50</v>
      </c>
      <c r="H464" t="n">
        <v>0</v>
      </c>
      <c r="I464" t="n">
        <v>0</v>
      </c>
      <c r="J464" t="inlineStr">
        <is>
          <t>NA</t>
        </is>
      </c>
      <c r="K464" t="n">
        <v>96</v>
      </c>
      <c r="L464">
        <f>IF(K464&gt;=80,"Yes","No")</f>
        <v/>
      </c>
      <c r="M464">
        <f>IF(ISNUMBER(H464),IF(H464&gt;0,1,0),"")</f>
        <v/>
      </c>
    </row>
    <row r="465">
      <c r="A465" t="inlineStr">
        <is>
          <t>SIMULATED_FEA_Commercial_Study</t>
        </is>
      </c>
      <c r="B465" t="inlineStr">
        <is>
          <t>V09</t>
        </is>
      </c>
      <c r="C465" t="inlineStr">
        <is>
          <t>Annotation</t>
        </is>
      </c>
      <c r="D465" t="inlineStr">
        <is>
          <t>Bin_03</t>
        </is>
      </c>
      <c r="E465" t="n">
        <v>10</v>
      </c>
      <c r="F465" t="inlineStr">
        <is>
          <t>Surprise</t>
        </is>
      </c>
      <c r="G465" t="n">
        <v>50</v>
      </c>
      <c r="H465" t="n">
        <v>4</v>
      </c>
      <c r="I465" t="n">
        <v>2</v>
      </c>
      <c r="J465" t="inlineStr">
        <is>
          <t>NA</t>
        </is>
      </c>
      <c r="K465" t="n">
        <v>96</v>
      </c>
      <c r="L465">
        <f>IF(K465&gt;=80,"Yes","No")</f>
        <v/>
      </c>
      <c r="M465">
        <f>IF(ISNUMBER(H465),IF(H465&gt;0,1,0),"")</f>
        <v/>
      </c>
    </row>
    <row r="466">
      <c r="A466" t="inlineStr">
        <is>
          <t>SIMULATED_FEA_Commercial_Study</t>
        </is>
      </c>
      <c r="B466" t="inlineStr">
        <is>
          <t>V09</t>
        </is>
      </c>
      <c r="C466" t="inlineStr">
        <is>
          <t>Annotation</t>
        </is>
      </c>
      <c r="D466" t="inlineStr">
        <is>
          <t>Bin_03</t>
        </is>
      </c>
      <c r="E466" t="n">
        <v>10</v>
      </c>
      <c r="F466" t="inlineStr">
        <is>
          <t>Brow Furrow</t>
        </is>
      </c>
      <c r="G466" t="n">
        <v>50</v>
      </c>
      <c r="H466" t="n">
        <v>13</v>
      </c>
      <c r="I466" t="n">
        <v>3</v>
      </c>
      <c r="J466" t="inlineStr">
        <is>
          <t>NA</t>
        </is>
      </c>
      <c r="K466" t="n">
        <v>96</v>
      </c>
      <c r="L466">
        <f>IF(K466&gt;=80,"Yes","No")</f>
        <v/>
      </c>
      <c r="M466">
        <f>IF(ISNUMBER(H466),IF(H466&gt;0,1,0),"")</f>
        <v/>
      </c>
    </row>
    <row r="467">
      <c r="A467" t="inlineStr">
        <is>
          <t>SIMULATED_FEA_Commercial_Study</t>
        </is>
      </c>
      <c r="B467" t="inlineStr">
        <is>
          <t>V09</t>
        </is>
      </c>
      <c r="C467" t="inlineStr">
        <is>
          <t>Annotation</t>
        </is>
      </c>
      <c r="D467" t="inlineStr">
        <is>
          <t>Bin_03</t>
        </is>
      </c>
      <c r="E467" t="n">
        <v>10</v>
      </c>
      <c r="F467" t="inlineStr">
        <is>
          <t>Positive Valence</t>
        </is>
      </c>
      <c r="G467" t="n">
        <v>50</v>
      </c>
      <c r="H467" t="n">
        <v>0</v>
      </c>
      <c r="I467" t="n">
        <v>0</v>
      </c>
      <c r="J467" t="inlineStr">
        <is>
          <t>NA</t>
        </is>
      </c>
      <c r="K467" t="n">
        <v>96</v>
      </c>
      <c r="L467">
        <f>IF(K467&gt;=80,"Yes","No")</f>
        <v/>
      </c>
      <c r="M467">
        <f>IF(ISNUMBER(H467),IF(H467&gt;0,1,0),"")</f>
        <v/>
      </c>
    </row>
    <row r="468">
      <c r="A468" t="inlineStr">
        <is>
          <t>SIMULATED_FEA_Commercial_Study</t>
        </is>
      </c>
      <c r="B468" t="inlineStr">
        <is>
          <t>V09</t>
        </is>
      </c>
      <c r="C468" t="inlineStr">
        <is>
          <t>Annotation</t>
        </is>
      </c>
      <c r="D468" t="inlineStr">
        <is>
          <t>Bin_03</t>
        </is>
      </c>
      <c r="E468" t="n">
        <v>10</v>
      </c>
      <c r="F468" t="inlineStr">
        <is>
          <t>Negative Valence</t>
        </is>
      </c>
      <c r="G468" t="n">
        <v>-50</v>
      </c>
      <c r="H468" t="n">
        <v>0</v>
      </c>
      <c r="I468" t="n">
        <v>0</v>
      </c>
      <c r="J468" t="inlineStr">
        <is>
          <t>NA</t>
        </is>
      </c>
      <c r="K468" t="n">
        <v>96</v>
      </c>
      <c r="L468">
        <f>IF(K468&gt;=80,"Yes","No")</f>
        <v/>
      </c>
      <c r="M468">
        <f>IF(ISNUMBER(H468),IF(H468&gt;0,1,0),"")</f>
        <v/>
      </c>
    </row>
    <row r="469">
      <c r="A469" t="inlineStr">
        <is>
          <t>SIMULATED_FEA_Commercial_Study</t>
        </is>
      </c>
      <c r="B469" t="inlineStr">
        <is>
          <t>V09</t>
        </is>
      </c>
      <c r="C469" t="inlineStr">
        <is>
          <t>Annotation</t>
        </is>
      </c>
      <c r="D469" t="inlineStr">
        <is>
          <t>Bin_03</t>
        </is>
      </c>
      <c r="E469" t="n">
        <v>10</v>
      </c>
      <c r="F469" t="inlineStr">
        <is>
          <t>Engagement</t>
        </is>
      </c>
      <c r="G469" t="inlineStr">
        <is>
          <t>NA</t>
        </is>
      </c>
      <c r="H469" t="inlineStr">
        <is>
          <t>NA</t>
        </is>
      </c>
      <c r="I469" t="inlineStr">
        <is>
          <t>NA</t>
        </is>
      </c>
      <c r="J469" t="n">
        <v>19.2</v>
      </c>
      <c r="K469" t="n">
        <v>96</v>
      </c>
      <c r="L469">
        <f>IF(K469&gt;=80,"Yes","No")</f>
        <v/>
      </c>
      <c r="M469">
        <f>IF(ISNUMBER(H469),IF(H469&gt;0,1,0),"")</f>
        <v/>
      </c>
    </row>
    <row r="470">
      <c r="A470" t="inlineStr">
        <is>
          <t>SIMULATED_FEA_Commercial_Study</t>
        </is>
      </c>
      <c r="B470" t="inlineStr">
        <is>
          <t>V09</t>
        </is>
      </c>
      <c r="C470" t="inlineStr">
        <is>
          <t>Annotation</t>
        </is>
      </c>
      <c r="D470" t="inlineStr">
        <is>
          <t>Bin_04</t>
        </is>
      </c>
      <c r="E470" t="n">
        <v>10</v>
      </c>
      <c r="F470" t="inlineStr">
        <is>
          <t>Joy</t>
        </is>
      </c>
      <c r="G470" t="n">
        <v>50</v>
      </c>
      <c r="H470" t="n">
        <v>0</v>
      </c>
      <c r="I470" t="n">
        <v>0</v>
      </c>
      <c r="J470" t="inlineStr">
        <is>
          <t>NA</t>
        </is>
      </c>
      <c r="K470" t="n">
        <v>96</v>
      </c>
      <c r="L470">
        <f>IF(K470&gt;=80,"Yes","No")</f>
        <v/>
      </c>
      <c r="M470">
        <f>IF(ISNUMBER(H470),IF(H470&gt;0,1,0),"")</f>
        <v/>
      </c>
    </row>
    <row r="471">
      <c r="A471" t="inlineStr">
        <is>
          <t>SIMULATED_FEA_Commercial_Study</t>
        </is>
      </c>
      <c r="B471" t="inlineStr">
        <is>
          <t>V09</t>
        </is>
      </c>
      <c r="C471" t="inlineStr">
        <is>
          <t>Annotation</t>
        </is>
      </c>
      <c r="D471" t="inlineStr">
        <is>
          <t>Bin_04</t>
        </is>
      </c>
      <c r="E471" t="n">
        <v>10</v>
      </c>
      <c r="F471" t="inlineStr">
        <is>
          <t>Surprise</t>
        </is>
      </c>
      <c r="G471" t="n">
        <v>50</v>
      </c>
      <c r="H471" t="n">
        <v>7</v>
      </c>
      <c r="I471" t="n">
        <v>1</v>
      </c>
      <c r="J471" t="inlineStr">
        <is>
          <t>NA</t>
        </is>
      </c>
      <c r="K471" t="n">
        <v>96</v>
      </c>
      <c r="L471">
        <f>IF(K471&gt;=80,"Yes","No")</f>
        <v/>
      </c>
      <c r="M471">
        <f>IF(ISNUMBER(H471),IF(H471&gt;0,1,0),"")</f>
        <v/>
      </c>
    </row>
    <row r="472">
      <c r="A472" t="inlineStr">
        <is>
          <t>SIMULATED_FEA_Commercial_Study</t>
        </is>
      </c>
      <c r="B472" t="inlineStr">
        <is>
          <t>V09</t>
        </is>
      </c>
      <c r="C472" t="inlineStr">
        <is>
          <t>Annotation</t>
        </is>
      </c>
      <c r="D472" t="inlineStr">
        <is>
          <t>Bin_04</t>
        </is>
      </c>
      <c r="E472" t="n">
        <v>10</v>
      </c>
      <c r="F472" t="inlineStr">
        <is>
          <t>Brow Furrow</t>
        </is>
      </c>
      <c r="G472" t="n">
        <v>50</v>
      </c>
      <c r="H472" t="n">
        <v>0</v>
      </c>
      <c r="I472" t="n">
        <v>0</v>
      </c>
      <c r="J472" t="inlineStr">
        <is>
          <t>NA</t>
        </is>
      </c>
      <c r="K472" t="n">
        <v>96</v>
      </c>
      <c r="L472">
        <f>IF(K472&gt;=80,"Yes","No")</f>
        <v/>
      </c>
      <c r="M472">
        <f>IF(ISNUMBER(H472),IF(H472&gt;0,1,0),"")</f>
        <v/>
      </c>
    </row>
    <row r="473">
      <c r="A473" t="inlineStr">
        <is>
          <t>SIMULATED_FEA_Commercial_Study</t>
        </is>
      </c>
      <c r="B473" t="inlineStr">
        <is>
          <t>V09</t>
        </is>
      </c>
      <c r="C473" t="inlineStr">
        <is>
          <t>Annotation</t>
        </is>
      </c>
      <c r="D473" t="inlineStr">
        <is>
          <t>Bin_04</t>
        </is>
      </c>
      <c r="E473" t="n">
        <v>10</v>
      </c>
      <c r="F473" t="inlineStr">
        <is>
          <t>Positive Valence</t>
        </is>
      </c>
      <c r="G473" t="n">
        <v>50</v>
      </c>
      <c r="H473" t="n">
        <v>0</v>
      </c>
      <c r="I473" t="n">
        <v>0</v>
      </c>
      <c r="J473" t="inlineStr">
        <is>
          <t>NA</t>
        </is>
      </c>
      <c r="K473" t="n">
        <v>96</v>
      </c>
      <c r="L473">
        <f>IF(K473&gt;=80,"Yes","No")</f>
        <v/>
      </c>
      <c r="M473">
        <f>IF(ISNUMBER(H473),IF(H473&gt;0,1,0),"")</f>
        <v/>
      </c>
    </row>
    <row r="474">
      <c r="A474" t="inlineStr">
        <is>
          <t>SIMULATED_FEA_Commercial_Study</t>
        </is>
      </c>
      <c r="B474" t="inlineStr">
        <is>
          <t>V09</t>
        </is>
      </c>
      <c r="C474" t="inlineStr">
        <is>
          <t>Annotation</t>
        </is>
      </c>
      <c r="D474" t="inlineStr">
        <is>
          <t>Bin_04</t>
        </is>
      </c>
      <c r="E474" t="n">
        <v>10</v>
      </c>
      <c r="F474" t="inlineStr">
        <is>
          <t>Negative Valence</t>
        </is>
      </c>
      <c r="G474" t="n">
        <v>-50</v>
      </c>
      <c r="H474" t="n">
        <v>0</v>
      </c>
      <c r="I474" t="n">
        <v>0</v>
      </c>
      <c r="J474" t="inlineStr">
        <is>
          <t>NA</t>
        </is>
      </c>
      <c r="K474" t="n">
        <v>96</v>
      </c>
      <c r="L474">
        <f>IF(K474&gt;=80,"Yes","No")</f>
        <v/>
      </c>
      <c r="M474">
        <f>IF(ISNUMBER(H474),IF(H474&gt;0,1,0),"")</f>
        <v/>
      </c>
    </row>
    <row r="475">
      <c r="A475" t="inlineStr">
        <is>
          <t>SIMULATED_FEA_Commercial_Study</t>
        </is>
      </c>
      <c r="B475" t="inlineStr">
        <is>
          <t>V09</t>
        </is>
      </c>
      <c r="C475" t="inlineStr">
        <is>
          <t>Annotation</t>
        </is>
      </c>
      <c r="D475" t="inlineStr">
        <is>
          <t>Bin_04</t>
        </is>
      </c>
      <c r="E475" t="n">
        <v>10</v>
      </c>
      <c r="F475" t="inlineStr">
        <is>
          <t>Engagement</t>
        </is>
      </c>
      <c r="G475" t="inlineStr">
        <is>
          <t>NA</t>
        </is>
      </c>
      <c r="H475" t="inlineStr">
        <is>
          <t>NA</t>
        </is>
      </c>
      <c r="I475" t="inlineStr">
        <is>
          <t>NA</t>
        </is>
      </c>
      <c r="J475" t="n">
        <v>10.65</v>
      </c>
      <c r="K475" t="n">
        <v>96</v>
      </c>
      <c r="L475">
        <f>IF(K475&gt;=80,"Yes","No")</f>
        <v/>
      </c>
      <c r="M475">
        <f>IF(ISNUMBER(H475),IF(H475&gt;0,1,0),"")</f>
        <v/>
      </c>
    </row>
    <row r="476">
      <c r="A476" t="inlineStr">
        <is>
          <t>SIMULATED_FEA_Commercial_Study</t>
        </is>
      </c>
      <c r="B476" t="inlineStr">
        <is>
          <t>V09</t>
        </is>
      </c>
      <c r="C476" t="inlineStr">
        <is>
          <t>Annotation</t>
        </is>
      </c>
      <c r="D476" t="inlineStr">
        <is>
          <t>Bin_05</t>
        </is>
      </c>
      <c r="E476" t="n">
        <v>10</v>
      </c>
      <c r="F476" t="inlineStr">
        <is>
          <t>Joy</t>
        </is>
      </c>
      <c r="G476" t="n">
        <v>50</v>
      </c>
      <c r="H476" t="n">
        <v>5.33</v>
      </c>
      <c r="I476" t="n">
        <v>1</v>
      </c>
      <c r="J476" t="inlineStr">
        <is>
          <t>NA</t>
        </is>
      </c>
      <c r="K476" t="n">
        <v>96</v>
      </c>
      <c r="L476">
        <f>IF(K476&gt;=80,"Yes","No")</f>
        <v/>
      </c>
      <c r="M476">
        <f>IF(ISNUMBER(H476),IF(H476&gt;0,1,0),"")</f>
        <v/>
      </c>
    </row>
    <row r="477">
      <c r="A477" t="inlineStr">
        <is>
          <t>SIMULATED_FEA_Commercial_Study</t>
        </is>
      </c>
      <c r="B477" t="inlineStr">
        <is>
          <t>V09</t>
        </is>
      </c>
      <c r="C477" t="inlineStr">
        <is>
          <t>Annotation</t>
        </is>
      </c>
      <c r="D477" t="inlineStr">
        <is>
          <t>Bin_05</t>
        </is>
      </c>
      <c r="E477" t="n">
        <v>10</v>
      </c>
      <c r="F477" t="inlineStr">
        <is>
          <t>Surprise</t>
        </is>
      </c>
      <c r="G477" t="n">
        <v>50</v>
      </c>
      <c r="H477" t="n">
        <v>11</v>
      </c>
      <c r="I477" t="n">
        <v>1</v>
      </c>
      <c r="J477" t="inlineStr">
        <is>
          <t>NA</t>
        </is>
      </c>
      <c r="K477" t="n">
        <v>96</v>
      </c>
      <c r="L477">
        <f>IF(K477&gt;=80,"Yes","No")</f>
        <v/>
      </c>
      <c r="M477">
        <f>IF(ISNUMBER(H477),IF(H477&gt;0,1,0),"")</f>
        <v/>
      </c>
    </row>
    <row r="478">
      <c r="A478" t="inlineStr">
        <is>
          <t>SIMULATED_FEA_Commercial_Study</t>
        </is>
      </c>
      <c r="B478" t="inlineStr">
        <is>
          <t>V09</t>
        </is>
      </c>
      <c r="C478" t="inlineStr">
        <is>
          <t>Annotation</t>
        </is>
      </c>
      <c r="D478" t="inlineStr">
        <is>
          <t>Bin_05</t>
        </is>
      </c>
      <c r="E478" t="n">
        <v>10</v>
      </c>
      <c r="F478" t="inlineStr">
        <is>
          <t>Brow Furrow</t>
        </is>
      </c>
      <c r="G478" t="n">
        <v>50</v>
      </c>
      <c r="H478" t="n">
        <v>12</v>
      </c>
      <c r="I478" t="n">
        <v>1</v>
      </c>
      <c r="J478" t="inlineStr">
        <is>
          <t>NA</t>
        </is>
      </c>
      <c r="K478" t="n">
        <v>96</v>
      </c>
      <c r="L478">
        <f>IF(K478&gt;=80,"Yes","No")</f>
        <v/>
      </c>
      <c r="M478">
        <f>IF(ISNUMBER(H478),IF(H478&gt;0,1,0),"")</f>
        <v/>
      </c>
    </row>
    <row r="479">
      <c r="A479" t="inlineStr">
        <is>
          <t>SIMULATED_FEA_Commercial_Study</t>
        </is>
      </c>
      <c r="B479" t="inlineStr">
        <is>
          <t>V09</t>
        </is>
      </c>
      <c r="C479" t="inlineStr">
        <is>
          <t>Annotation</t>
        </is>
      </c>
      <c r="D479" t="inlineStr">
        <is>
          <t>Bin_05</t>
        </is>
      </c>
      <c r="E479" t="n">
        <v>10</v>
      </c>
      <c r="F479" t="inlineStr">
        <is>
          <t>Positive Valence</t>
        </is>
      </c>
      <c r="G479" t="n">
        <v>50</v>
      </c>
      <c r="H479" t="n">
        <v>3</v>
      </c>
      <c r="I479" t="n">
        <v>1</v>
      </c>
      <c r="J479" t="inlineStr">
        <is>
          <t>NA</t>
        </is>
      </c>
      <c r="K479" t="n">
        <v>96</v>
      </c>
      <c r="L479">
        <f>IF(K479&gt;=80,"Yes","No")</f>
        <v/>
      </c>
      <c r="M479">
        <f>IF(ISNUMBER(H479),IF(H479&gt;0,1,0),"")</f>
        <v/>
      </c>
    </row>
    <row r="480">
      <c r="A480" t="inlineStr">
        <is>
          <t>SIMULATED_FEA_Commercial_Study</t>
        </is>
      </c>
      <c r="B480" t="inlineStr">
        <is>
          <t>V09</t>
        </is>
      </c>
      <c r="C480" t="inlineStr">
        <is>
          <t>Annotation</t>
        </is>
      </c>
      <c r="D480" t="inlineStr">
        <is>
          <t>Bin_05</t>
        </is>
      </c>
      <c r="E480" t="n">
        <v>10</v>
      </c>
      <c r="F480" t="inlineStr">
        <is>
          <t>Negative Valence</t>
        </is>
      </c>
      <c r="G480" t="n">
        <v>-50</v>
      </c>
      <c r="H480" t="n">
        <v>0</v>
      </c>
      <c r="I480" t="n">
        <v>0</v>
      </c>
      <c r="J480" t="inlineStr">
        <is>
          <t>NA</t>
        </is>
      </c>
      <c r="K480" t="n">
        <v>96</v>
      </c>
      <c r="L480">
        <f>IF(K480&gt;=80,"Yes","No")</f>
        <v/>
      </c>
      <c r="M480">
        <f>IF(ISNUMBER(H480),IF(H480&gt;0,1,0),"")</f>
        <v/>
      </c>
    </row>
    <row r="481">
      <c r="A481" t="inlineStr">
        <is>
          <t>SIMULATED_FEA_Commercial_Study</t>
        </is>
      </c>
      <c r="B481" t="inlineStr">
        <is>
          <t>V09</t>
        </is>
      </c>
      <c r="C481" t="inlineStr">
        <is>
          <t>Annotation</t>
        </is>
      </c>
      <c r="D481" t="inlineStr">
        <is>
          <t>Bin_05</t>
        </is>
      </c>
      <c r="E481" t="n">
        <v>10</v>
      </c>
      <c r="F481" t="inlineStr">
        <is>
          <t>Engagement</t>
        </is>
      </c>
      <c r="G481" t="inlineStr">
        <is>
          <t>NA</t>
        </is>
      </c>
      <c r="H481" t="inlineStr">
        <is>
          <t>NA</t>
        </is>
      </c>
      <c r="I481" t="inlineStr">
        <is>
          <t>NA</t>
        </is>
      </c>
      <c r="J481" t="n">
        <v>22.61</v>
      </c>
      <c r="K481" t="n">
        <v>96</v>
      </c>
      <c r="L481">
        <f>IF(K481&gt;=80,"Yes","No")</f>
        <v/>
      </c>
      <c r="M481">
        <f>IF(ISNUMBER(H481),IF(H481&gt;0,1,0),"")</f>
        <v/>
      </c>
    </row>
    <row r="482">
      <c r="A482" t="inlineStr">
        <is>
          <t>SIMULATED_FEA_Commercial_Study</t>
        </is>
      </c>
      <c r="B482" t="inlineStr">
        <is>
          <t>V09</t>
        </is>
      </c>
      <c r="C482" t="inlineStr">
        <is>
          <t>Annotation</t>
        </is>
      </c>
      <c r="D482" t="inlineStr">
        <is>
          <t>Bin_06</t>
        </is>
      </c>
      <c r="E482" t="n">
        <v>10</v>
      </c>
      <c r="F482" t="inlineStr">
        <is>
          <t>Joy</t>
        </is>
      </c>
      <c r="G482" t="n">
        <v>50</v>
      </c>
      <c r="H482" t="n">
        <v>0</v>
      </c>
      <c r="I482" t="n">
        <v>0</v>
      </c>
      <c r="J482" t="inlineStr">
        <is>
          <t>NA</t>
        </is>
      </c>
      <c r="K482" t="n">
        <v>96</v>
      </c>
      <c r="L482">
        <f>IF(K482&gt;=80,"Yes","No")</f>
        <v/>
      </c>
      <c r="M482">
        <f>IF(ISNUMBER(H482),IF(H482&gt;0,1,0),"")</f>
        <v/>
      </c>
    </row>
    <row r="483">
      <c r="A483" t="inlineStr">
        <is>
          <t>SIMULATED_FEA_Commercial_Study</t>
        </is>
      </c>
      <c r="B483" t="inlineStr">
        <is>
          <t>V09</t>
        </is>
      </c>
      <c r="C483" t="inlineStr">
        <is>
          <t>Annotation</t>
        </is>
      </c>
      <c r="D483" t="inlineStr">
        <is>
          <t>Bin_06</t>
        </is>
      </c>
      <c r="E483" t="n">
        <v>10</v>
      </c>
      <c r="F483" t="inlineStr">
        <is>
          <t>Surprise</t>
        </is>
      </c>
      <c r="G483" t="n">
        <v>50</v>
      </c>
      <c r="H483" t="n">
        <v>0</v>
      </c>
      <c r="I483" t="n">
        <v>0</v>
      </c>
      <c r="J483" t="inlineStr">
        <is>
          <t>NA</t>
        </is>
      </c>
      <c r="K483" t="n">
        <v>96</v>
      </c>
      <c r="L483">
        <f>IF(K483&gt;=80,"Yes","No")</f>
        <v/>
      </c>
      <c r="M483">
        <f>IF(ISNUMBER(H483),IF(H483&gt;0,1,0),"")</f>
        <v/>
      </c>
    </row>
    <row r="484">
      <c r="A484" t="inlineStr">
        <is>
          <t>SIMULATED_FEA_Commercial_Study</t>
        </is>
      </c>
      <c r="B484" t="inlineStr">
        <is>
          <t>V09</t>
        </is>
      </c>
      <c r="C484" t="inlineStr">
        <is>
          <t>Annotation</t>
        </is>
      </c>
      <c r="D484" t="inlineStr">
        <is>
          <t>Bin_06</t>
        </is>
      </c>
      <c r="E484" t="n">
        <v>10</v>
      </c>
      <c r="F484" t="inlineStr">
        <is>
          <t>Brow Furrow</t>
        </is>
      </c>
      <c r="G484" t="n">
        <v>50</v>
      </c>
      <c r="H484" t="n">
        <v>13</v>
      </c>
      <c r="I484" t="n">
        <v>1</v>
      </c>
      <c r="J484" t="inlineStr">
        <is>
          <t>NA</t>
        </is>
      </c>
      <c r="K484" t="n">
        <v>96</v>
      </c>
      <c r="L484">
        <f>IF(K484&gt;=80,"Yes","No")</f>
        <v/>
      </c>
      <c r="M484">
        <f>IF(ISNUMBER(H484),IF(H484&gt;0,1,0),"")</f>
        <v/>
      </c>
    </row>
    <row r="485">
      <c r="A485" t="inlineStr">
        <is>
          <t>SIMULATED_FEA_Commercial_Study</t>
        </is>
      </c>
      <c r="B485" t="inlineStr">
        <is>
          <t>V09</t>
        </is>
      </c>
      <c r="C485" t="inlineStr">
        <is>
          <t>Annotation</t>
        </is>
      </c>
      <c r="D485" t="inlineStr">
        <is>
          <t>Bin_06</t>
        </is>
      </c>
      <c r="E485" t="n">
        <v>10</v>
      </c>
      <c r="F485" t="inlineStr">
        <is>
          <t>Positive Valence</t>
        </is>
      </c>
      <c r="G485" t="n">
        <v>50</v>
      </c>
      <c r="H485" t="n">
        <v>0</v>
      </c>
      <c r="I485" t="n">
        <v>0</v>
      </c>
      <c r="J485" t="inlineStr">
        <is>
          <t>NA</t>
        </is>
      </c>
      <c r="K485" t="n">
        <v>96</v>
      </c>
      <c r="L485">
        <f>IF(K485&gt;=80,"Yes","No")</f>
        <v/>
      </c>
      <c r="M485">
        <f>IF(ISNUMBER(H485),IF(H485&gt;0,1,0),"")</f>
        <v/>
      </c>
    </row>
    <row r="486">
      <c r="A486" t="inlineStr">
        <is>
          <t>SIMULATED_FEA_Commercial_Study</t>
        </is>
      </c>
      <c r="B486" t="inlineStr">
        <is>
          <t>V09</t>
        </is>
      </c>
      <c r="C486" t="inlineStr">
        <is>
          <t>Annotation</t>
        </is>
      </c>
      <c r="D486" t="inlineStr">
        <is>
          <t>Bin_06</t>
        </is>
      </c>
      <c r="E486" t="n">
        <v>10</v>
      </c>
      <c r="F486" t="inlineStr">
        <is>
          <t>Negative Valence</t>
        </is>
      </c>
      <c r="G486" t="n">
        <v>-50</v>
      </c>
      <c r="H486" t="n">
        <v>0</v>
      </c>
      <c r="I486" t="n">
        <v>0</v>
      </c>
      <c r="J486" t="inlineStr">
        <is>
          <t>NA</t>
        </is>
      </c>
      <c r="K486" t="n">
        <v>96</v>
      </c>
      <c r="L486">
        <f>IF(K486&gt;=80,"Yes","No")</f>
        <v/>
      </c>
      <c r="M486">
        <f>IF(ISNUMBER(H486),IF(H486&gt;0,1,0),"")</f>
        <v/>
      </c>
    </row>
    <row r="487">
      <c r="A487" t="inlineStr">
        <is>
          <t>SIMULATED_FEA_Commercial_Study</t>
        </is>
      </c>
      <c r="B487" t="inlineStr">
        <is>
          <t>V09</t>
        </is>
      </c>
      <c r="C487" t="inlineStr">
        <is>
          <t>Annotation</t>
        </is>
      </c>
      <c r="D487" t="inlineStr">
        <is>
          <t>Bin_06</t>
        </is>
      </c>
      <c r="E487" t="n">
        <v>10</v>
      </c>
      <c r="F487" t="inlineStr">
        <is>
          <t>Engagement</t>
        </is>
      </c>
      <c r="G487" t="inlineStr">
        <is>
          <t>NA</t>
        </is>
      </c>
      <c r="H487" t="inlineStr">
        <is>
          <t>NA</t>
        </is>
      </c>
      <c r="I487" t="inlineStr">
        <is>
          <t>NA</t>
        </is>
      </c>
      <c r="J487" t="n">
        <v>11.45</v>
      </c>
      <c r="K487" t="n">
        <v>96</v>
      </c>
      <c r="L487">
        <f>IF(K487&gt;=80,"Yes","No")</f>
        <v/>
      </c>
      <c r="M487">
        <f>IF(ISNUMBER(H487),IF(H487&gt;0,1,0),"")</f>
        <v/>
      </c>
    </row>
    <row r="488">
      <c r="A488" t="inlineStr">
        <is>
          <t>SIMULATED_FEA_Commercial_Study</t>
        </is>
      </c>
      <c r="B488" t="inlineStr">
        <is>
          <t>V10</t>
        </is>
      </c>
      <c r="C488" t="inlineStr">
        <is>
          <t>Stimulus</t>
        </is>
      </c>
      <c r="D488" t="inlineStr">
        <is>
          <t>Baseline</t>
        </is>
      </c>
      <c r="E488" t="n">
        <v>60</v>
      </c>
      <c r="F488" t="inlineStr">
        <is>
          <t>Joy</t>
        </is>
      </c>
      <c r="G488" t="n">
        <v>50</v>
      </c>
      <c r="H488" t="n">
        <v>0</v>
      </c>
      <c r="I488" t="n">
        <v>0</v>
      </c>
      <c r="J488" t="inlineStr">
        <is>
          <t>NA</t>
        </is>
      </c>
      <c r="K488" t="n">
        <v>90.40000000000001</v>
      </c>
      <c r="L488">
        <f>IF(K488&gt;=80,"Yes","No")</f>
        <v/>
      </c>
      <c r="M488">
        <f>IF(ISNUMBER(H488),IF(H488&gt;0,1,0),"")</f>
        <v/>
      </c>
    </row>
    <row r="489">
      <c r="A489" t="inlineStr">
        <is>
          <t>SIMULATED_FEA_Commercial_Study</t>
        </is>
      </c>
      <c r="B489" t="inlineStr">
        <is>
          <t>V10</t>
        </is>
      </c>
      <c r="C489" t="inlineStr">
        <is>
          <t>Stimulus</t>
        </is>
      </c>
      <c r="D489" t="inlineStr">
        <is>
          <t>Baseline</t>
        </is>
      </c>
      <c r="E489" t="n">
        <v>60</v>
      </c>
      <c r="F489" t="inlineStr">
        <is>
          <t>Surprise</t>
        </is>
      </c>
      <c r="G489" t="n">
        <v>50</v>
      </c>
      <c r="H489" t="n">
        <v>0</v>
      </c>
      <c r="I489" t="n">
        <v>0</v>
      </c>
      <c r="J489" t="inlineStr">
        <is>
          <t>NA</t>
        </is>
      </c>
      <c r="K489" t="n">
        <v>90.40000000000001</v>
      </c>
      <c r="L489">
        <f>IF(K489&gt;=80,"Yes","No")</f>
        <v/>
      </c>
      <c r="M489">
        <f>IF(ISNUMBER(H489),IF(H489&gt;0,1,0),"")</f>
        <v/>
      </c>
    </row>
    <row r="490">
      <c r="A490" t="inlineStr">
        <is>
          <t>SIMULATED_FEA_Commercial_Study</t>
        </is>
      </c>
      <c r="B490" t="inlineStr">
        <is>
          <t>V10</t>
        </is>
      </c>
      <c r="C490" t="inlineStr">
        <is>
          <t>Stimulus</t>
        </is>
      </c>
      <c r="D490" t="inlineStr">
        <is>
          <t>Baseline</t>
        </is>
      </c>
      <c r="E490" t="n">
        <v>60</v>
      </c>
      <c r="F490" t="inlineStr">
        <is>
          <t>Brow Furrow</t>
        </is>
      </c>
      <c r="G490" t="n">
        <v>50</v>
      </c>
      <c r="H490" t="n">
        <v>0</v>
      </c>
      <c r="I490" t="n">
        <v>0</v>
      </c>
      <c r="J490" t="inlineStr">
        <is>
          <t>NA</t>
        </is>
      </c>
      <c r="K490" t="n">
        <v>90.40000000000001</v>
      </c>
      <c r="L490">
        <f>IF(K490&gt;=80,"Yes","No")</f>
        <v/>
      </c>
      <c r="M490">
        <f>IF(ISNUMBER(H490),IF(H490&gt;0,1,0),"")</f>
        <v/>
      </c>
    </row>
    <row r="491">
      <c r="A491" t="inlineStr">
        <is>
          <t>SIMULATED_FEA_Commercial_Study</t>
        </is>
      </c>
      <c r="B491" t="inlineStr">
        <is>
          <t>V10</t>
        </is>
      </c>
      <c r="C491" t="inlineStr">
        <is>
          <t>Stimulus</t>
        </is>
      </c>
      <c r="D491" t="inlineStr">
        <is>
          <t>Baseline</t>
        </is>
      </c>
      <c r="E491" t="n">
        <v>60</v>
      </c>
      <c r="F491" t="inlineStr">
        <is>
          <t>Positive Valence</t>
        </is>
      </c>
      <c r="G491" t="n">
        <v>50</v>
      </c>
      <c r="H491" t="n">
        <v>0</v>
      </c>
      <c r="I491" t="n">
        <v>0</v>
      </c>
      <c r="J491" t="inlineStr">
        <is>
          <t>NA</t>
        </is>
      </c>
      <c r="K491" t="n">
        <v>90.40000000000001</v>
      </c>
      <c r="L491">
        <f>IF(K491&gt;=80,"Yes","No")</f>
        <v/>
      </c>
      <c r="M491">
        <f>IF(ISNUMBER(H491),IF(H491&gt;0,1,0),"")</f>
        <v/>
      </c>
    </row>
    <row r="492">
      <c r="A492" t="inlineStr">
        <is>
          <t>SIMULATED_FEA_Commercial_Study</t>
        </is>
      </c>
      <c r="B492" t="inlineStr">
        <is>
          <t>V10</t>
        </is>
      </c>
      <c r="C492" t="inlineStr">
        <is>
          <t>Stimulus</t>
        </is>
      </c>
      <c r="D492" t="inlineStr">
        <is>
          <t>Baseline</t>
        </is>
      </c>
      <c r="E492" t="n">
        <v>60</v>
      </c>
      <c r="F492" t="inlineStr">
        <is>
          <t>Negative Valence</t>
        </is>
      </c>
      <c r="G492" t="n">
        <v>-50</v>
      </c>
      <c r="H492" t="n">
        <v>0</v>
      </c>
      <c r="I492" t="n">
        <v>0</v>
      </c>
      <c r="J492" t="inlineStr">
        <is>
          <t>NA</t>
        </is>
      </c>
      <c r="K492" t="n">
        <v>90.40000000000001</v>
      </c>
      <c r="L492">
        <f>IF(K492&gt;=80,"Yes","No")</f>
        <v/>
      </c>
      <c r="M492">
        <f>IF(ISNUMBER(H492),IF(H492&gt;0,1,0),"")</f>
        <v/>
      </c>
    </row>
    <row r="493">
      <c r="A493" t="inlineStr">
        <is>
          <t>SIMULATED_FEA_Commercial_Study</t>
        </is>
      </c>
      <c r="B493" t="inlineStr">
        <is>
          <t>V10</t>
        </is>
      </c>
      <c r="C493" t="inlineStr">
        <is>
          <t>Stimulus</t>
        </is>
      </c>
      <c r="D493" t="inlineStr">
        <is>
          <t>Baseline</t>
        </is>
      </c>
      <c r="E493" t="n">
        <v>60</v>
      </c>
      <c r="F493" t="inlineStr">
        <is>
          <t>Engagement</t>
        </is>
      </c>
      <c r="G493" t="inlineStr">
        <is>
          <t>NA</t>
        </is>
      </c>
      <c r="H493" t="inlineStr">
        <is>
          <t>NA</t>
        </is>
      </c>
      <c r="I493" t="inlineStr">
        <is>
          <t>NA</t>
        </is>
      </c>
      <c r="J493" t="n">
        <v>6.23</v>
      </c>
      <c r="K493" t="n">
        <v>90.40000000000001</v>
      </c>
      <c r="L493">
        <f>IF(K493&gt;=80,"Yes","No")</f>
        <v/>
      </c>
      <c r="M493">
        <f>IF(ISNUMBER(H493),IF(H493&gt;0,1,0),"")</f>
        <v/>
      </c>
    </row>
    <row r="494">
      <c r="A494" t="inlineStr">
        <is>
          <t>SIMULATED_FEA_Commercial_Study</t>
        </is>
      </c>
      <c r="B494" t="inlineStr">
        <is>
          <t>V10</t>
        </is>
      </c>
      <c r="C494" t="inlineStr">
        <is>
          <t>Stimulus</t>
        </is>
      </c>
      <c r="D494" t="inlineStr">
        <is>
          <t>Commercial</t>
        </is>
      </c>
      <c r="E494" t="n">
        <v>60</v>
      </c>
      <c r="F494" t="inlineStr">
        <is>
          <t>Joy</t>
        </is>
      </c>
      <c r="G494" t="n">
        <v>50</v>
      </c>
      <c r="H494" t="n">
        <v>15.5</v>
      </c>
      <c r="I494" t="n">
        <v>5</v>
      </c>
      <c r="J494" t="inlineStr">
        <is>
          <t>NA</t>
        </is>
      </c>
      <c r="K494" t="n">
        <v>90.40000000000001</v>
      </c>
      <c r="L494">
        <f>IF(K494&gt;=80,"Yes","No")</f>
        <v/>
      </c>
      <c r="M494">
        <f>IF(ISNUMBER(H494),IF(H494&gt;0,1,0),"")</f>
        <v/>
      </c>
    </row>
    <row r="495">
      <c r="A495" t="inlineStr">
        <is>
          <t>SIMULATED_FEA_Commercial_Study</t>
        </is>
      </c>
      <c r="B495" t="inlineStr">
        <is>
          <t>V10</t>
        </is>
      </c>
      <c r="C495" t="inlineStr">
        <is>
          <t>Stimulus</t>
        </is>
      </c>
      <c r="D495" t="inlineStr">
        <is>
          <t>Commercial</t>
        </is>
      </c>
      <c r="E495" t="n">
        <v>60</v>
      </c>
      <c r="F495" t="inlineStr">
        <is>
          <t>Surprise</t>
        </is>
      </c>
      <c r="G495" t="n">
        <v>50</v>
      </c>
      <c r="H495" t="n">
        <v>2.28</v>
      </c>
      <c r="I495" t="n">
        <v>2</v>
      </c>
      <c r="J495" t="inlineStr">
        <is>
          <t>NA</t>
        </is>
      </c>
      <c r="K495" t="n">
        <v>90.40000000000001</v>
      </c>
      <c r="L495">
        <f>IF(K495&gt;=80,"Yes","No")</f>
        <v/>
      </c>
      <c r="M495">
        <f>IF(ISNUMBER(H495),IF(H495&gt;0,1,0),"")</f>
        <v/>
      </c>
    </row>
    <row r="496">
      <c r="A496" t="inlineStr">
        <is>
          <t>SIMULATED_FEA_Commercial_Study</t>
        </is>
      </c>
      <c r="B496" t="inlineStr">
        <is>
          <t>V10</t>
        </is>
      </c>
      <c r="C496" t="inlineStr">
        <is>
          <t>Stimulus</t>
        </is>
      </c>
      <c r="D496" t="inlineStr">
        <is>
          <t>Commercial</t>
        </is>
      </c>
      <c r="E496" t="n">
        <v>60</v>
      </c>
      <c r="F496" t="inlineStr">
        <is>
          <t>Brow Furrow</t>
        </is>
      </c>
      <c r="G496" t="n">
        <v>50</v>
      </c>
      <c r="H496" t="n">
        <v>4.94</v>
      </c>
      <c r="I496" t="n">
        <v>1</v>
      </c>
      <c r="J496" t="inlineStr">
        <is>
          <t>NA</t>
        </is>
      </c>
      <c r="K496" t="n">
        <v>90.40000000000001</v>
      </c>
      <c r="L496">
        <f>IF(K496&gt;=80,"Yes","No")</f>
        <v/>
      </c>
      <c r="M496">
        <f>IF(ISNUMBER(H496),IF(H496&gt;0,1,0),"")</f>
        <v/>
      </c>
    </row>
    <row r="497">
      <c r="A497" t="inlineStr">
        <is>
          <t>SIMULATED_FEA_Commercial_Study</t>
        </is>
      </c>
      <c r="B497" t="inlineStr">
        <is>
          <t>V10</t>
        </is>
      </c>
      <c r="C497" t="inlineStr">
        <is>
          <t>Stimulus</t>
        </is>
      </c>
      <c r="D497" t="inlineStr">
        <is>
          <t>Commercial</t>
        </is>
      </c>
      <c r="E497" t="n">
        <v>60</v>
      </c>
      <c r="F497" t="inlineStr">
        <is>
          <t>Positive Valence</t>
        </is>
      </c>
      <c r="G497" t="n">
        <v>50</v>
      </c>
      <c r="H497" t="n">
        <v>17.67</v>
      </c>
      <c r="I497" t="n">
        <v>9</v>
      </c>
      <c r="J497" t="inlineStr">
        <is>
          <t>NA</t>
        </is>
      </c>
      <c r="K497" t="n">
        <v>90.40000000000001</v>
      </c>
      <c r="L497">
        <f>IF(K497&gt;=80,"Yes","No")</f>
        <v/>
      </c>
      <c r="M497">
        <f>IF(ISNUMBER(H497),IF(H497&gt;0,1,0),"")</f>
        <v/>
      </c>
    </row>
    <row r="498">
      <c r="A498" t="inlineStr">
        <is>
          <t>SIMULATED_FEA_Commercial_Study</t>
        </is>
      </c>
      <c r="B498" t="inlineStr">
        <is>
          <t>V10</t>
        </is>
      </c>
      <c r="C498" t="inlineStr">
        <is>
          <t>Stimulus</t>
        </is>
      </c>
      <c r="D498" t="inlineStr">
        <is>
          <t>Commercial</t>
        </is>
      </c>
      <c r="E498" t="n">
        <v>60</v>
      </c>
      <c r="F498" t="inlineStr">
        <is>
          <t>Negative Valence</t>
        </is>
      </c>
      <c r="G498" t="n">
        <v>-50</v>
      </c>
      <c r="H498" t="n">
        <v>2.28</v>
      </c>
      <c r="I498" t="n">
        <v>1</v>
      </c>
      <c r="J498" t="inlineStr">
        <is>
          <t>NA</t>
        </is>
      </c>
      <c r="K498" t="n">
        <v>90.40000000000001</v>
      </c>
      <c r="L498">
        <f>IF(K498&gt;=80,"Yes","No")</f>
        <v/>
      </c>
      <c r="M498">
        <f>IF(ISNUMBER(H498),IF(H498&gt;0,1,0),"")</f>
        <v/>
      </c>
    </row>
    <row r="499">
      <c r="A499" t="inlineStr">
        <is>
          <t>SIMULATED_FEA_Commercial_Study</t>
        </is>
      </c>
      <c r="B499" t="inlineStr">
        <is>
          <t>V10</t>
        </is>
      </c>
      <c r="C499" t="inlineStr">
        <is>
          <t>Stimulus</t>
        </is>
      </c>
      <c r="D499" t="inlineStr">
        <is>
          <t>Commercial</t>
        </is>
      </c>
      <c r="E499" t="n">
        <v>60</v>
      </c>
      <c r="F499" t="inlineStr">
        <is>
          <t>Engagement</t>
        </is>
      </c>
      <c r="G499" t="inlineStr">
        <is>
          <t>NA</t>
        </is>
      </c>
      <c r="H499" t="inlineStr">
        <is>
          <t>NA</t>
        </is>
      </c>
      <c r="I499" t="inlineStr">
        <is>
          <t>NA</t>
        </is>
      </c>
      <c r="J499" t="n">
        <v>23.09</v>
      </c>
      <c r="K499" t="n">
        <v>90.40000000000001</v>
      </c>
      <c r="L499">
        <f>IF(K499&gt;=80,"Yes","No")</f>
        <v/>
      </c>
      <c r="M499">
        <f>IF(ISNUMBER(H499),IF(H499&gt;0,1,0),"")</f>
        <v/>
      </c>
    </row>
    <row r="500">
      <c r="A500" t="inlineStr">
        <is>
          <t>SIMULATED_FEA_Commercial_Study</t>
        </is>
      </c>
      <c r="B500" t="inlineStr">
        <is>
          <t>V10</t>
        </is>
      </c>
      <c r="C500" t="inlineStr">
        <is>
          <t>Stimulus</t>
        </is>
      </c>
      <c r="D500" t="inlineStr">
        <is>
          <t>Recovery</t>
        </is>
      </c>
      <c r="E500" t="n">
        <v>15</v>
      </c>
      <c r="F500" t="inlineStr">
        <is>
          <t>Joy</t>
        </is>
      </c>
      <c r="G500" t="n">
        <v>50</v>
      </c>
      <c r="H500" t="n">
        <v>4.44</v>
      </c>
      <c r="I500" t="n">
        <v>2</v>
      </c>
      <c r="J500" t="inlineStr">
        <is>
          <t>NA</t>
        </is>
      </c>
      <c r="K500" t="n">
        <v>90.40000000000001</v>
      </c>
      <c r="L500">
        <f>IF(K500&gt;=80,"Yes","No")</f>
        <v/>
      </c>
      <c r="M500">
        <f>IF(ISNUMBER(H500),IF(H500&gt;0,1,0),"")</f>
        <v/>
      </c>
    </row>
    <row r="501">
      <c r="A501" t="inlineStr">
        <is>
          <t>SIMULATED_FEA_Commercial_Study</t>
        </is>
      </c>
      <c r="B501" t="inlineStr">
        <is>
          <t>V10</t>
        </is>
      </c>
      <c r="C501" t="inlineStr">
        <is>
          <t>Stimulus</t>
        </is>
      </c>
      <c r="D501" t="inlineStr">
        <is>
          <t>Recovery</t>
        </is>
      </c>
      <c r="E501" t="n">
        <v>15</v>
      </c>
      <c r="F501" t="inlineStr">
        <is>
          <t>Surprise</t>
        </is>
      </c>
      <c r="G501" t="n">
        <v>50</v>
      </c>
      <c r="H501" t="n">
        <v>0</v>
      </c>
      <c r="I501" t="n">
        <v>0</v>
      </c>
      <c r="J501" t="inlineStr">
        <is>
          <t>NA</t>
        </is>
      </c>
      <c r="K501" t="n">
        <v>90.40000000000001</v>
      </c>
      <c r="L501">
        <f>IF(K501&gt;=80,"Yes","No")</f>
        <v/>
      </c>
      <c r="M501">
        <f>IF(ISNUMBER(H501),IF(H501&gt;0,1,0),"")</f>
        <v/>
      </c>
    </row>
    <row r="502">
      <c r="A502" t="inlineStr">
        <is>
          <t>SIMULATED_FEA_Commercial_Study</t>
        </is>
      </c>
      <c r="B502" t="inlineStr">
        <is>
          <t>V10</t>
        </is>
      </c>
      <c r="C502" t="inlineStr">
        <is>
          <t>Stimulus</t>
        </is>
      </c>
      <c r="D502" t="inlineStr">
        <is>
          <t>Recovery</t>
        </is>
      </c>
      <c r="E502" t="n">
        <v>15</v>
      </c>
      <c r="F502" t="inlineStr">
        <is>
          <t>Brow Furrow</t>
        </is>
      </c>
      <c r="G502" t="n">
        <v>50</v>
      </c>
      <c r="H502" t="n">
        <v>0</v>
      </c>
      <c r="I502" t="n">
        <v>0</v>
      </c>
      <c r="J502" t="inlineStr">
        <is>
          <t>NA</t>
        </is>
      </c>
      <c r="K502" t="n">
        <v>90.40000000000001</v>
      </c>
      <c r="L502">
        <f>IF(K502&gt;=80,"Yes","No")</f>
        <v/>
      </c>
      <c r="M502">
        <f>IF(ISNUMBER(H502),IF(H502&gt;0,1,0),"")</f>
        <v/>
      </c>
    </row>
    <row r="503">
      <c r="A503" t="inlineStr">
        <is>
          <t>SIMULATED_FEA_Commercial_Study</t>
        </is>
      </c>
      <c r="B503" t="inlineStr">
        <is>
          <t>V10</t>
        </is>
      </c>
      <c r="C503" t="inlineStr">
        <is>
          <t>Stimulus</t>
        </is>
      </c>
      <c r="D503" t="inlineStr">
        <is>
          <t>Recovery</t>
        </is>
      </c>
      <c r="E503" t="n">
        <v>15</v>
      </c>
      <c r="F503" t="inlineStr">
        <is>
          <t>Positive Valence</t>
        </is>
      </c>
      <c r="G503" t="n">
        <v>50</v>
      </c>
      <c r="H503" t="n">
        <v>3.33</v>
      </c>
      <c r="I503" t="n">
        <v>2</v>
      </c>
      <c r="J503" t="inlineStr">
        <is>
          <t>NA</t>
        </is>
      </c>
      <c r="K503" t="n">
        <v>90.40000000000001</v>
      </c>
      <c r="L503">
        <f>IF(K503&gt;=80,"Yes","No")</f>
        <v/>
      </c>
      <c r="M503">
        <f>IF(ISNUMBER(H503),IF(H503&gt;0,1,0),"")</f>
        <v/>
      </c>
    </row>
    <row r="504">
      <c r="A504" t="inlineStr">
        <is>
          <t>SIMULATED_FEA_Commercial_Study</t>
        </is>
      </c>
      <c r="B504" t="inlineStr">
        <is>
          <t>V10</t>
        </is>
      </c>
      <c r="C504" t="inlineStr">
        <is>
          <t>Stimulus</t>
        </is>
      </c>
      <c r="D504" t="inlineStr">
        <is>
          <t>Recovery</t>
        </is>
      </c>
      <c r="E504" t="n">
        <v>15</v>
      </c>
      <c r="F504" t="inlineStr">
        <is>
          <t>Negative Valence</t>
        </is>
      </c>
      <c r="G504" t="n">
        <v>-50</v>
      </c>
      <c r="H504" t="n">
        <v>0</v>
      </c>
      <c r="I504" t="n">
        <v>0</v>
      </c>
      <c r="J504" t="inlineStr">
        <is>
          <t>NA</t>
        </is>
      </c>
      <c r="K504" t="n">
        <v>90.40000000000001</v>
      </c>
      <c r="L504">
        <f>IF(K504&gt;=80,"Yes","No")</f>
        <v/>
      </c>
      <c r="M504">
        <f>IF(ISNUMBER(H504),IF(H504&gt;0,1,0),"")</f>
        <v/>
      </c>
    </row>
    <row r="505">
      <c r="A505" t="inlineStr">
        <is>
          <t>SIMULATED_FEA_Commercial_Study</t>
        </is>
      </c>
      <c r="B505" t="inlineStr">
        <is>
          <t>V10</t>
        </is>
      </c>
      <c r="C505" t="inlineStr">
        <is>
          <t>Stimulus</t>
        </is>
      </c>
      <c r="D505" t="inlineStr">
        <is>
          <t>Recovery</t>
        </is>
      </c>
      <c r="E505" t="n">
        <v>15</v>
      </c>
      <c r="F505" t="inlineStr">
        <is>
          <t>Engagement</t>
        </is>
      </c>
      <c r="G505" t="inlineStr">
        <is>
          <t>NA</t>
        </is>
      </c>
      <c r="H505" t="inlineStr">
        <is>
          <t>NA</t>
        </is>
      </c>
      <c r="I505" t="inlineStr">
        <is>
          <t>NA</t>
        </is>
      </c>
      <c r="J505" t="n">
        <v>10.46</v>
      </c>
      <c r="K505" t="n">
        <v>90.40000000000001</v>
      </c>
      <c r="L505">
        <f>IF(K505&gt;=80,"Yes","No")</f>
        <v/>
      </c>
      <c r="M505">
        <f>IF(ISNUMBER(H505),IF(H505&gt;0,1,0),"")</f>
        <v/>
      </c>
    </row>
    <row r="506">
      <c r="A506" t="inlineStr">
        <is>
          <t>SIMULATED_FEA_Commercial_Study</t>
        </is>
      </c>
      <c r="B506" t="inlineStr">
        <is>
          <t>V10</t>
        </is>
      </c>
      <c r="C506" t="inlineStr">
        <is>
          <t>Annotation</t>
        </is>
      </c>
      <c r="D506" t="inlineStr">
        <is>
          <t>Bin_01</t>
        </is>
      </c>
      <c r="E506" t="n">
        <v>10</v>
      </c>
      <c r="F506" t="inlineStr">
        <is>
          <t>Joy</t>
        </is>
      </c>
      <c r="G506" t="n">
        <v>50</v>
      </c>
      <c r="H506" t="n">
        <v>3.67</v>
      </c>
      <c r="I506" t="n">
        <v>2</v>
      </c>
      <c r="J506" t="inlineStr">
        <is>
          <t>NA</t>
        </is>
      </c>
      <c r="K506" t="n">
        <v>90.40000000000001</v>
      </c>
      <c r="L506">
        <f>IF(K506&gt;=80,"Yes","No")</f>
        <v/>
      </c>
      <c r="M506">
        <f>IF(ISNUMBER(H506),IF(H506&gt;0,1,0),"")</f>
        <v/>
      </c>
    </row>
    <row r="507">
      <c r="A507" t="inlineStr">
        <is>
          <t>SIMULATED_FEA_Commercial_Study</t>
        </is>
      </c>
      <c r="B507" t="inlineStr">
        <is>
          <t>V10</t>
        </is>
      </c>
      <c r="C507" t="inlineStr">
        <is>
          <t>Annotation</t>
        </is>
      </c>
      <c r="D507" t="inlineStr">
        <is>
          <t>Bin_01</t>
        </is>
      </c>
      <c r="E507" t="n">
        <v>10</v>
      </c>
      <c r="F507" t="inlineStr">
        <is>
          <t>Surprise</t>
        </is>
      </c>
      <c r="G507" t="n">
        <v>50</v>
      </c>
      <c r="H507" t="n">
        <v>0</v>
      </c>
      <c r="I507" t="n">
        <v>0</v>
      </c>
      <c r="J507" t="inlineStr">
        <is>
          <t>NA</t>
        </is>
      </c>
      <c r="K507" t="n">
        <v>90.40000000000001</v>
      </c>
      <c r="L507">
        <f>IF(K507&gt;=80,"Yes","No")</f>
        <v/>
      </c>
      <c r="M507">
        <f>IF(ISNUMBER(H507),IF(H507&gt;0,1,0),"")</f>
        <v/>
      </c>
    </row>
    <row r="508">
      <c r="A508" t="inlineStr">
        <is>
          <t>SIMULATED_FEA_Commercial_Study</t>
        </is>
      </c>
      <c r="B508" t="inlineStr">
        <is>
          <t>V10</t>
        </is>
      </c>
      <c r="C508" t="inlineStr">
        <is>
          <t>Annotation</t>
        </is>
      </c>
      <c r="D508" t="inlineStr">
        <is>
          <t>Bin_01</t>
        </is>
      </c>
      <c r="E508" t="n">
        <v>10</v>
      </c>
      <c r="F508" t="inlineStr">
        <is>
          <t>Brow Furrow</t>
        </is>
      </c>
      <c r="G508" t="n">
        <v>50</v>
      </c>
      <c r="H508" t="n">
        <v>0</v>
      </c>
      <c r="I508" t="n">
        <v>0</v>
      </c>
      <c r="J508" t="inlineStr">
        <is>
          <t>NA</t>
        </is>
      </c>
      <c r="K508" t="n">
        <v>90.40000000000001</v>
      </c>
      <c r="L508">
        <f>IF(K508&gt;=80,"Yes","No")</f>
        <v/>
      </c>
      <c r="M508">
        <f>IF(ISNUMBER(H508),IF(H508&gt;0,1,0),"")</f>
        <v/>
      </c>
    </row>
    <row r="509">
      <c r="A509" t="inlineStr">
        <is>
          <t>SIMULATED_FEA_Commercial_Study</t>
        </is>
      </c>
      <c r="B509" t="inlineStr">
        <is>
          <t>V10</t>
        </is>
      </c>
      <c r="C509" t="inlineStr">
        <is>
          <t>Annotation</t>
        </is>
      </c>
      <c r="D509" t="inlineStr">
        <is>
          <t>Bin_01</t>
        </is>
      </c>
      <c r="E509" t="n">
        <v>10</v>
      </c>
      <c r="F509" t="inlineStr">
        <is>
          <t>Positive Valence</t>
        </is>
      </c>
      <c r="G509" t="n">
        <v>50</v>
      </c>
      <c r="H509" t="n">
        <v>3.33</v>
      </c>
      <c r="I509" t="n">
        <v>2</v>
      </c>
      <c r="J509" t="inlineStr">
        <is>
          <t>NA</t>
        </is>
      </c>
      <c r="K509" t="n">
        <v>90.40000000000001</v>
      </c>
      <c r="L509">
        <f>IF(K509&gt;=80,"Yes","No")</f>
        <v/>
      </c>
      <c r="M509">
        <f>IF(ISNUMBER(H509),IF(H509&gt;0,1,0),"")</f>
        <v/>
      </c>
    </row>
    <row r="510">
      <c r="A510" t="inlineStr">
        <is>
          <t>SIMULATED_FEA_Commercial_Study</t>
        </is>
      </c>
      <c r="B510" t="inlineStr">
        <is>
          <t>V10</t>
        </is>
      </c>
      <c r="C510" t="inlineStr">
        <is>
          <t>Annotation</t>
        </is>
      </c>
      <c r="D510" t="inlineStr">
        <is>
          <t>Bin_01</t>
        </is>
      </c>
      <c r="E510" t="n">
        <v>10</v>
      </c>
      <c r="F510" t="inlineStr">
        <is>
          <t>Negative Valence</t>
        </is>
      </c>
      <c r="G510" t="n">
        <v>-50</v>
      </c>
      <c r="H510" t="n">
        <v>0</v>
      </c>
      <c r="I510" t="n">
        <v>0</v>
      </c>
      <c r="J510" t="inlineStr">
        <is>
          <t>NA</t>
        </is>
      </c>
      <c r="K510" t="n">
        <v>90.40000000000001</v>
      </c>
      <c r="L510">
        <f>IF(K510&gt;=80,"Yes","No")</f>
        <v/>
      </c>
      <c r="M510">
        <f>IF(ISNUMBER(H510),IF(H510&gt;0,1,0),"")</f>
        <v/>
      </c>
    </row>
    <row r="511">
      <c r="A511" t="inlineStr">
        <is>
          <t>SIMULATED_FEA_Commercial_Study</t>
        </is>
      </c>
      <c r="B511" t="inlineStr">
        <is>
          <t>V10</t>
        </is>
      </c>
      <c r="C511" t="inlineStr">
        <is>
          <t>Annotation</t>
        </is>
      </c>
      <c r="D511" t="inlineStr">
        <is>
          <t>Bin_01</t>
        </is>
      </c>
      <c r="E511" t="n">
        <v>10</v>
      </c>
      <c r="F511" t="inlineStr">
        <is>
          <t>Engagement</t>
        </is>
      </c>
      <c r="G511" t="inlineStr">
        <is>
          <t>NA</t>
        </is>
      </c>
      <c r="H511" t="inlineStr">
        <is>
          <t>NA</t>
        </is>
      </c>
      <c r="I511" t="inlineStr">
        <is>
          <t>NA</t>
        </is>
      </c>
      <c r="J511" t="n">
        <v>17.48</v>
      </c>
      <c r="K511" t="n">
        <v>90.40000000000001</v>
      </c>
      <c r="L511">
        <f>IF(K511&gt;=80,"Yes","No")</f>
        <v/>
      </c>
      <c r="M511">
        <f>IF(ISNUMBER(H511),IF(H511&gt;0,1,0),"")</f>
        <v/>
      </c>
    </row>
    <row r="512">
      <c r="A512" t="inlineStr">
        <is>
          <t>SIMULATED_FEA_Commercial_Study</t>
        </is>
      </c>
      <c r="B512" t="inlineStr">
        <is>
          <t>V10</t>
        </is>
      </c>
      <c r="C512" t="inlineStr">
        <is>
          <t>Annotation</t>
        </is>
      </c>
      <c r="D512" t="inlineStr">
        <is>
          <t>Bin_02</t>
        </is>
      </c>
      <c r="E512" t="n">
        <v>10</v>
      </c>
      <c r="F512" t="inlineStr">
        <is>
          <t>Joy</t>
        </is>
      </c>
      <c r="G512" t="n">
        <v>50</v>
      </c>
      <c r="H512" t="n">
        <v>0</v>
      </c>
      <c r="I512" t="n">
        <v>0</v>
      </c>
      <c r="J512" t="inlineStr">
        <is>
          <t>NA</t>
        </is>
      </c>
      <c r="K512" t="n">
        <v>90.40000000000001</v>
      </c>
      <c r="L512">
        <f>IF(K512&gt;=80,"Yes","No")</f>
        <v/>
      </c>
      <c r="M512">
        <f>IF(ISNUMBER(H512),IF(H512&gt;0,1,0),"")</f>
        <v/>
      </c>
    </row>
    <row r="513">
      <c r="A513" t="inlineStr">
        <is>
          <t>SIMULATED_FEA_Commercial_Study</t>
        </is>
      </c>
      <c r="B513" t="inlineStr">
        <is>
          <t>V10</t>
        </is>
      </c>
      <c r="C513" t="inlineStr">
        <is>
          <t>Annotation</t>
        </is>
      </c>
      <c r="D513" t="inlineStr">
        <is>
          <t>Bin_02</t>
        </is>
      </c>
      <c r="E513" t="n">
        <v>10</v>
      </c>
      <c r="F513" t="inlineStr">
        <is>
          <t>Surprise</t>
        </is>
      </c>
      <c r="G513" t="n">
        <v>50</v>
      </c>
      <c r="H513" t="n">
        <v>0</v>
      </c>
      <c r="I513" t="n">
        <v>0</v>
      </c>
      <c r="J513" t="inlineStr">
        <is>
          <t>NA</t>
        </is>
      </c>
      <c r="K513" t="n">
        <v>90.40000000000001</v>
      </c>
      <c r="L513">
        <f>IF(K513&gt;=80,"Yes","No")</f>
        <v/>
      </c>
      <c r="M513">
        <f>IF(ISNUMBER(H513),IF(H513&gt;0,1,0),"")</f>
        <v/>
      </c>
    </row>
    <row r="514">
      <c r="A514" t="inlineStr">
        <is>
          <t>SIMULATED_FEA_Commercial_Study</t>
        </is>
      </c>
      <c r="B514" t="inlineStr">
        <is>
          <t>V10</t>
        </is>
      </c>
      <c r="C514" t="inlineStr">
        <is>
          <t>Annotation</t>
        </is>
      </c>
      <c r="D514" t="inlineStr">
        <is>
          <t>Bin_02</t>
        </is>
      </c>
      <c r="E514" t="n">
        <v>10</v>
      </c>
      <c r="F514" t="inlineStr">
        <is>
          <t>Brow Furrow</t>
        </is>
      </c>
      <c r="G514" t="n">
        <v>50</v>
      </c>
      <c r="H514" t="n">
        <v>0</v>
      </c>
      <c r="I514" t="n">
        <v>0</v>
      </c>
      <c r="J514" t="inlineStr">
        <is>
          <t>NA</t>
        </is>
      </c>
      <c r="K514" t="n">
        <v>90.40000000000001</v>
      </c>
      <c r="L514">
        <f>IF(K514&gt;=80,"Yes","No")</f>
        <v/>
      </c>
      <c r="M514">
        <f>IF(ISNUMBER(H514),IF(H514&gt;0,1,0),"")</f>
        <v/>
      </c>
    </row>
    <row r="515">
      <c r="A515" t="inlineStr">
        <is>
          <t>SIMULATED_FEA_Commercial_Study</t>
        </is>
      </c>
      <c r="B515" t="inlineStr">
        <is>
          <t>V10</t>
        </is>
      </c>
      <c r="C515" t="inlineStr">
        <is>
          <t>Annotation</t>
        </is>
      </c>
      <c r="D515" t="inlineStr">
        <is>
          <t>Bin_02</t>
        </is>
      </c>
      <c r="E515" t="n">
        <v>10</v>
      </c>
      <c r="F515" t="inlineStr">
        <is>
          <t>Positive Valence</t>
        </is>
      </c>
      <c r="G515" t="n">
        <v>50</v>
      </c>
      <c r="H515" t="n">
        <v>0</v>
      </c>
      <c r="I515" t="n">
        <v>0</v>
      </c>
      <c r="J515" t="inlineStr">
        <is>
          <t>NA</t>
        </is>
      </c>
      <c r="K515" t="n">
        <v>90.40000000000001</v>
      </c>
      <c r="L515">
        <f>IF(K515&gt;=80,"Yes","No")</f>
        <v/>
      </c>
      <c r="M515">
        <f>IF(ISNUMBER(H515),IF(H515&gt;0,1,0),"")</f>
        <v/>
      </c>
    </row>
    <row r="516">
      <c r="A516" t="inlineStr">
        <is>
          <t>SIMULATED_FEA_Commercial_Study</t>
        </is>
      </c>
      <c r="B516" t="inlineStr">
        <is>
          <t>V10</t>
        </is>
      </c>
      <c r="C516" t="inlineStr">
        <is>
          <t>Annotation</t>
        </is>
      </c>
      <c r="D516" t="inlineStr">
        <is>
          <t>Bin_02</t>
        </is>
      </c>
      <c r="E516" t="n">
        <v>10</v>
      </c>
      <c r="F516" t="inlineStr">
        <is>
          <t>Negative Valence</t>
        </is>
      </c>
      <c r="G516" t="n">
        <v>-50</v>
      </c>
      <c r="H516" t="n">
        <v>0</v>
      </c>
      <c r="I516" t="n">
        <v>0</v>
      </c>
      <c r="J516" t="inlineStr">
        <is>
          <t>NA</t>
        </is>
      </c>
      <c r="K516" t="n">
        <v>90.40000000000001</v>
      </c>
      <c r="L516">
        <f>IF(K516&gt;=80,"Yes","No")</f>
        <v/>
      </c>
      <c r="M516">
        <f>IF(ISNUMBER(H516),IF(H516&gt;0,1,0),"")</f>
        <v/>
      </c>
    </row>
    <row r="517">
      <c r="A517" t="inlineStr">
        <is>
          <t>SIMULATED_FEA_Commercial_Study</t>
        </is>
      </c>
      <c r="B517" t="inlineStr">
        <is>
          <t>V10</t>
        </is>
      </c>
      <c r="C517" t="inlineStr">
        <is>
          <t>Annotation</t>
        </is>
      </c>
      <c r="D517" t="inlineStr">
        <is>
          <t>Bin_02</t>
        </is>
      </c>
      <c r="E517" t="n">
        <v>10</v>
      </c>
      <c r="F517" t="inlineStr">
        <is>
          <t>Engagement</t>
        </is>
      </c>
      <c r="G517" t="inlineStr">
        <is>
          <t>NA</t>
        </is>
      </c>
      <c r="H517" t="inlineStr">
        <is>
          <t>NA</t>
        </is>
      </c>
      <c r="I517" t="inlineStr">
        <is>
          <t>NA</t>
        </is>
      </c>
      <c r="J517" t="n">
        <v>9.529999999999999</v>
      </c>
      <c r="K517" t="n">
        <v>90.40000000000001</v>
      </c>
      <c r="L517">
        <f>IF(K517&gt;=80,"Yes","No")</f>
        <v/>
      </c>
      <c r="M517">
        <f>IF(ISNUMBER(H517),IF(H517&gt;0,1,0),"")</f>
        <v/>
      </c>
    </row>
    <row r="518">
      <c r="A518" t="inlineStr">
        <is>
          <t>SIMULATED_FEA_Commercial_Study</t>
        </is>
      </c>
      <c r="B518" t="inlineStr">
        <is>
          <t>V10</t>
        </is>
      </c>
      <c r="C518" t="inlineStr">
        <is>
          <t>Annotation</t>
        </is>
      </c>
      <c r="D518" t="inlineStr">
        <is>
          <t>Bin_03</t>
        </is>
      </c>
      <c r="E518" t="n">
        <v>10</v>
      </c>
      <c r="F518" t="inlineStr">
        <is>
          <t>Joy</t>
        </is>
      </c>
      <c r="G518" t="n">
        <v>50</v>
      </c>
      <c r="H518" t="n">
        <v>0</v>
      </c>
      <c r="I518" t="n">
        <v>0</v>
      </c>
      <c r="J518" t="inlineStr">
        <is>
          <t>NA</t>
        </is>
      </c>
      <c r="K518" t="n">
        <v>90.40000000000001</v>
      </c>
      <c r="L518">
        <f>IF(K518&gt;=80,"Yes","No")</f>
        <v/>
      </c>
      <c r="M518">
        <f>IF(ISNUMBER(H518),IF(H518&gt;0,1,0),"")</f>
        <v/>
      </c>
    </row>
    <row r="519">
      <c r="A519" t="inlineStr">
        <is>
          <t>SIMULATED_FEA_Commercial_Study</t>
        </is>
      </c>
      <c r="B519" t="inlineStr">
        <is>
          <t>V10</t>
        </is>
      </c>
      <c r="C519" t="inlineStr">
        <is>
          <t>Annotation</t>
        </is>
      </c>
      <c r="D519" t="inlineStr">
        <is>
          <t>Bin_03</t>
        </is>
      </c>
      <c r="E519" t="n">
        <v>10</v>
      </c>
      <c r="F519" t="inlineStr">
        <is>
          <t>Surprise</t>
        </is>
      </c>
      <c r="G519" t="n">
        <v>50</v>
      </c>
      <c r="H519" t="n">
        <v>3.33</v>
      </c>
      <c r="I519" t="n">
        <v>1</v>
      </c>
      <c r="J519" t="inlineStr">
        <is>
          <t>NA</t>
        </is>
      </c>
      <c r="K519" t="n">
        <v>90.40000000000001</v>
      </c>
      <c r="L519">
        <f>IF(K519&gt;=80,"Yes","No")</f>
        <v/>
      </c>
      <c r="M519">
        <f>IF(ISNUMBER(H519),IF(H519&gt;0,1,0),"")</f>
        <v/>
      </c>
    </row>
    <row r="520">
      <c r="A520" t="inlineStr">
        <is>
          <t>SIMULATED_FEA_Commercial_Study</t>
        </is>
      </c>
      <c r="B520" t="inlineStr">
        <is>
          <t>V10</t>
        </is>
      </c>
      <c r="C520" t="inlineStr">
        <is>
          <t>Annotation</t>
        </is>
      </c>
      <c r="D520" t="inlineStr">
        <is>
          <t>Bin_03</t>
        </is>
      </c>
      <c r="E520" t="n">
        <v>10</v>
      </c>
      <c r="F520" t="inlineStr">
        <is>
          <t>Brow Furrow</t>
        </is>
      </c>
      <c r="G520" t="n">
        <v>50</v>
      </c>
      <c r="H520" t="n">
        <v>0</v>
      </c>
      <c r="I520" t="n">
        <v>0</v>
      </c>
      <c r="J520" t="inlineStr">
        <is>
          <t>NA</t>
        </is>
      </c>
      <c r="K520" t="n">
        <v>90.40000000000001</v>
      </c>
      <c r="L520">
        <f>IF(K520&gt;=80,"Yes","No")</f>
        <v/>
      </c>
      <c r="M520">
        <f>IF(ISNUMBER(H520),IF(H520&gt;0,1,0),"")</f>
        <v/>
      </c>
    </row>
    <row r="521">
      <c r="A521" t="inlineStr">
        <is>
          <t>SIMULATED_FEA_Commercial_Study</t>
        </is>
      </c>
      <c r="B521" t="inlineStr">
        <is>
          <t>V10</t>
        </is>
      </c>
      <c r="C521" t="inlineStr">
        <is>
          <t>Annotation</t>
        </is>
      </c>
      <c r="D521" t="inlineStr">
        <is>
          <t>Bin_03</t>
        </is>
      </c>
      <c r="E521" t="n">
        <v>10</v>
      </c>
      <c r="F521" t="inlineStr">
        <is>
          <t>Positive Valence</t>
        </is>
      </c>
      <c r="G521" t="n">
        <v>50</v>
      </c>
      <c r="H521" t="n">
        <v>4</v>
      </c>
      <c r="I521" t="n">
        <v>1</v>
      </c>
      <c r="J521" t="inlineStr">
        <is>
          <t>NA</t>
        </is>
      </c>
      <c r="K521" t="n">
        <v>90.40000000000001</v>
      </c>
      <c r="L521">
        <f>IF(K521&gt;=80,"Yes","No")</f>
        <v/>
      </c>
      <c r="M521">
        <f>IF(ISNUMBER(H521),IF(H521&gt;0,1,0),"")</f>
        <v/>
      </c>
    </row>
    <row r="522">
      <c r="A522" t="inlineStr">
        <is>
          <t>SIMULATED_FEA_Commercial_Study</t>
        </is>
      </c>
      <c r="B522" t="inlineStr">
        <is>
          <t>V10</t>
        </is>
      </c>
      <c r="C522" t="inlineStr">
        <is>
          <t>Annotation</t>
        </is>
      </c>
      <c r="D522" t="inlineStr">
        <is>
          <t>Bin_03</t>
        </is>
      </c>
      <c r="E522" t="n">
        <v>10</v>
      </c>
      <c r="F522" t="inlineStr">
        <is>
          <t>Negative Valence</t>
        </is>
      </c>
      <c r="G522" t="n">
        <v>-50</v>
      </c>
      <c r="H522" t="n">
        <v>0</v>
      </c>
      <c r="I522" t="n">
        <v>0</v>
      </c>
      <c r="J522" t="inlineStr">
        <is>
          <t>NA</t>
        </is>
      </c>
      <c r="K522" t="n">
        <v>90.40000000000001</v>
      </c>
      <c r="L522">
        <f>IF(K522&gt;=80,"Yes","No")</f>
        <v/>
      </c>
      <c r="M522">
        <f>IF(ISNUMBER(H522),IF(H522&gt;0,1,0),"")</f>
        <v/>
      </c>
    </row>
    <row r="523">
      <c r="A523" t="inlineStr">
        <is>
          <t>SIMULATED_FEA_Commercial_Study</t>
        </is>
      </c>
      <c r="B523" t="inlineStr">
        <is>
          <t>V10</t>
        </is>
      </c>
      <c r="C523" t="inlineStr">
        <is>
          <t>Annotation</t>
        </is>
      </c>
      <c r="D523" t="inlineStr">
        <is>
          <t>Bin_03</t>
        </is>
      </c>
      <c r="E523" t="n">
        <v>10</v>
      </c>
      <c r="F523" t="inlineStr">
        <is>
          <t>Engagement</t>
        </is>
      </c>
      <c r="G523" t="inlineStr">
        <is>
          <t>NA</t>
        </is>
      </c>
      <c r="H523" t="inlineStr">
        <is>
          <t>NA</t>
        </is>
      </c>
      <c r="I523" t="inlineStr">
        <is>
          <t>NA</t>
        </is>
      </c>
      <c r="J523" t="n">
        <v>11.18</v>
      </c>
      <c r="K523" t="n">
        <v>90.40000000000001</v>
      </c>
      <c r="L523">
        <f>IF(K523&gt;=80,"Yes","No")</f>
        <v/>
      </c>
      <c r="M523">
        <f>IF(ISNUMBER(H523),IF(H523&gt;0,1,0),"")</f>
        <v/>
      </c>
    </row>
    <row r="524">
      <c r="A524" t="inlineStr">
        <is>
          <t>SIMULATED_FEA_Commercial_Study</t>
        </is>
      </c>
      <c r="B524" t="inlineStr">
        <is>
          <t>V10</t>
        </is>
      </c>
      <c r="C524" t="inlineStr">
        <is>
          <t>Annotation</t>
        </is>
      </c>
      <c r="D524" t="inlineStr">
        <is>
          <t>Bin_04</t>
        </is>
      </c>
      <c r="E524" t="n">
        <v>10</v>
      </c>
      <c r="F524" t="inlineStr">
        <is>
          <t>Joy</t>
        </is>
      </c>
      <c r="G524" t="n">
        <v>50</v>
      </c>
      <c r="H524" t="n">
        <v>0</v>
      </c>
      <c r="I524" t="n">
        <v>0</v>
      </c>
      <c r="J524" t="inlineStr">
        <is>
          <t>NA</t>
        </is>
      </c>
      <c r="K524" t="n">
        <v>90.40000000000001</v>
      </c>
      <c r="L524">
        <f>IF(K524&gt;=80,"Yes","No")</f>
        <v/>
      </c>
      <c r="M524">
        <f>IF(ISNUMBER(H524),IF(H524&gt;0,1,0),"")</f>
        <v/>
      </c>
    </row>
    <row r="525">
      <c r="A525" t="inlineStr">
        <is>
          <t>SIMULATED_FEA_Commercial_Study</t>
        </is>
      </c>
      <c r="B525" t="inlineStr">
        <is>
          <t>V10</t>
        </is>
      </c>
      <c r="C525" t="inlineStr">
        <is>
          <t>Annotation</t>
        </is>
      </c>
      <c r="D525" t="inlineStr">
        <is>
          <t>Bin_04</t>
        </is>
      </c>
      <c r="E525" t="n">
        <v>10</v>
      </c>
      <c r="F525" t="inlineStr">
        <is>
          <t>Surprise</t>
        </is>
      </c>
      <c r="G525" t="n">
        <v>50</v>
      </c>
      <c r="H525" t="n">
        <v>10.33</v>
      </c>
      <c r="I525" t="n">
        <v>1</v>
      </c>
      <c r="J525" t="inlineStr">
        <is>
          <t>NA</t>
        </is>
      </c>
      <c r="K525" t="n">
        <v>90.40000000000001</v>
      </c>
      <c r="L525">
        <f>IF(K525&gt;=80,"Yes","No")</f>
        <v/>
      </c>
      <c r="M525">
        <f>IF(ISNUMBER(H525),IF(H525&gt;0,1,0),"")</f>
        <v/>
      </c>
    </row>
    <row r="526">
      <c r="A526" t="inlineStr">
        <is>
          <t>SIMULATED_FEA_Commercial_Study</t>
        </is>
      </c>
      <c r="B526" t="inlineStr">
        <is>
          <t>V10</t>
        </is>
      </c>
      <c r="C526" t="inlineStr">
        <is>
          <t>Annotation</t>
        </is>
      </c>
      <c r="D526" t="inlineStr">
        <is>
          <t>Bin_04</t>
        </is>
      </c>
      <c r="E526" t="n">
        <v>10</v>
      </c>
      <c r="F526" t="inlineStr">
        <is>
          <t>Brow Furrow</t>
        </is>
      </c>
      <c r="G526" t="n">
        <v>50</v>
      </c>
      <c r="H526" t="n">
        <v>0</v>
      </c>
      <c r="I526" t="n">
        <v>0</v>
      </c>
      <c r="J526" t="inlineStr">
        <is>
          <t>NA</t>
        </is>
      </c>
      <c r="K526" t="n">
        <v>90.40000000000001</v>
      </c>
      <c r="L526">
        <f>IF(K526&gt;=80,"Yes","No")</f>
        <v/>
      </c>
      <c r="M526">
        <f>IF(ISNUMBER(H526),IF(H526&gt;0,1,0),"")</f>
        <v/>
      </c>
    </row>
    <row r="527">
      <c r="A527" t="inlineStr">
        <is>
          <t>SIMULATED_FEA_Commercial_Study</t>
        </is>
      </c>
      <c r="B527" t="inlineStr">
        <is>
          <t>V10</t>
        </is>
      </c>
      <c r="C527" t="inlineStr">
        <is>
          <t>Annotation</t>
        </is>
      </c>
      <c r="D527" t="inlineStr">
        <is>
          <t>Bin_04</t>
        </is>
      </c>
      <c r="E527" t="n">
        <v>10</v>
      </c>
      <c r="F527" t="inlineStr">
        <is>
          <t>Positive Valence</t>
        </is>
      </c>
      <c r="G527" t="n">
        <v>50</v>
      </c>
      <c r="H527" t="n">
        <v>0</v>
      </c>
      <c r="I527" t="n">
        <v>0</v>
      </c>
      <c r="J527" t="inlineStr">
        <is>
          <t>NA</t>
        </is>
      </c>
      <c r="K527" t="n">
        <v>90.40000000000001</v>
      </c>
      <c r="L527">
        <f>IF(K527&gt;=80,"Yes","No")</f>
        <v/>
      </c>
      <c r="M527">
        <f>IF(ISNUMBER(H527),IF(H527&gt;0,1,0),"")</f>
        <v/>
      </c>
    </row>
    <row r="528">
      <c r="A528" t="inlineStr">
        <is>
          <t>SIMULATED_FEA_Commercial_Study</t>
        </is>
      </c>
      <c r="B528" t="inlineStr">
        <is>
          <t>V10</t>
        </is>
      </c>
      <c r="C528" t="inlineStr">
        <is>
          <t>Annotation</t>
        </is>
      </c>
      <c r="D528" t="inlineStr">
        <is>
          <t>Bin_04</t>
        </is>
      </c>
      <c r="E528" t="n">
        <v>10</v>
      </c>
      <c r="F528" t="inlineStr">
        <is>
          <t>Negative Valence</t>
        </is>
      </c>
      <c r="G528" t="n">
        <v>-50</v>
      </c>
      <c r="H528" t="n">
        <v>13.67</v>
      </c>
      <c r="I528" t="n">
        <v>1</v>
      </c>
      <c r="J528" t="inlineStr">
        <is>
          <t>NA</t>
        </is>
      </c>
      <c r="K528" t="n">
        <v>90.40000000000001</v>
      </c>
      <c r="L528">
        <f>IF(K528&gt;=80,"Yes","No")</f>
        <v/>
      </c>
      <c r="M528">
        <f>IF(ISNUMBER(H528),IF(H528&gt;0,1,0),"")</f>
        <v/>
      </c>
    </row>
    <row r="529">
      <c r="A529" t="inlineStr">
        <is>
          <t>SIMULATED_FEA_Commercial_Study</t>
        </is>
      </c>
      <c r="B529" t="inlineStr">
        <is>
          <t>V10</t>
        </is>
      </c>
      <c r="C529" t="inlineStr">
        <is>
          <t>Annotation</t>
        </is>
      </c>
      <c r="D529" t="inlineStr">
        <is>
          <t>Bin_04</t>
        </is>
      </c>
      <c r="E529" t="n">
        <v>10</v>
      </c>
      <c r="F529" t="inlineStr">
        <is>
          <t>Engagement</t>
        </is>
      </c>
      <c r="G529" t="inlineStr">
        <is>
          <t>NA</t>
        </is>
      </c>
      <c r="H529" t="inlineStr">
        <is>
          <t>NA</t>
        </is>
      </c>
      <c r="I529" t="inlineStr">
        <is>
          <t>NA</t>
        </is>
      </c>
      <c r="J529" t="n">
        <v>14.05</v>
      </c>
      <c r="K529" t="n">
        <v>90.40000000000001</v>
      </c>
      <c r="L529">
        <f>IF(K529&gt;=80,"Yes","No")</f>
        <v/>
      </c>
      <c r="M529">
        <f>IF(ISNUMBER(H529),IF(H529&gt;0,1,0),"")</f>
        <v/>
      </c>
    </row>
    <row r="530">
      <c r="A530" t="inlineStr">
        <is>
          <t>SIMULATED_FEA_Commercial_Study</t>
        </is>
      </c>
      <c r="B530" t="inlineStr">
        <is>
          <t>V10</t>
        </is>
      </c>
      <c r="C530" t="inlineStr">
        <is>
          <t>Annotation</t>
        </is>
      </c>
      <c r="D530" t="inlineStr">
        <is>
          <t>Bin_05</t>
        </is>
      </c>
      <c r="E530" t="n">
        <v>10</v>
      </c>
      <c r="F530" t="inlineStr">
        <is>
          <t>Joy</t>
        </is>
      </c>
      <c r="G530" t="n">
        <v>50</v>
      </c>
      <c r="H530" t="n">
        <v>71</v>
      </c>
      <c r="I530" t="n">
        <v>2</v>
      </c>
      <c r="J530" t="inlineStr">
        <is>
          <t>NA</t>
        </is>
      </c>
      <c r="K530" t="n">
        <v>90.40000000000001</v>
      </c>
      <c r="L530">
        <f>IF(K530&gt;=80,"Yes","No")</f>
        <v/>
      </c>
      <c r="M530">
        <f>IF(ISNUMBER(H530),IF(H530&gt;0,1,0),"")</f>
        <v/>
      </c>
    </row>
    <row r="531">
      <c r="A531" t="inlineStr">
        <is>
          <t>SIMULATED_FEA_Commercial_Study</t>
        </is>
      </c>
      <c r="B531" t="inlineStr">
        <is>
          <t>V10</t>
        </is>
      </c>
      <c r="C531" t="inlineStr">
        <is>
          <t>Annotation</t>
        </is>
      </c>
      <c r="D531" t="inlineStr">
        <is>
          <t>Bin_05</t>
        </is>
      </c>
      <c r="E531" t="n">
        <v>10</v>
      </c>
      <c r="F531" t="inlineStr">
        <is>
          <t>Surprise</t>
        </is>
      </c>
      <c r="G531" t="n">
        <v>50</v>
      </c>
      <c r="H531" t="n">
        <v>0</v>
      </c>
      <c r="I531" t="n">
        <v>0</v>
      </c>
      <c r="J531" t="inlineStr">
        <is>
          <t>NA</t>
        </is>
      </c>
      <c r="K531" t="n">
        <v>90.40000000000001</v>
      </c>
      <c r="L531">
        <f>IF(K531&gt;=80,"Yes","No")</f>
        <v/>
      </c>
      <c r="M531">
        <f>IF(ISNUMBER(H531),IF(H531&gt;0,1,0),"")</f>
        <v/>
      </c>
    </row>
    <row r="532">
      <c r="A532" t="inlineStr">
        <is>
          <t>SIMULATED_FEA_Commercial_Study</t>
        </is>
      </c>
      <c r="B532" t="inlineStr">
        <is>
          <t>V10</t>
        </is>
      </c>
      <c r="C532" t="inlineStr">
        <is>
          <t>Annotation</t>
        </is>
      </c>
      <c r="D532" t="inlineStr">
        <is>
          <t>Bin_05</t>
        </is>
      </c>
      <c r="E532" t="n">
        <v>10</v>
      </c>
      <c r="F532" t="inlineStr">
        <is>
          <t>Brow Furrow</t>
        </is>
      </c>
      <c r="G532" t="n">
        <v>50</v>
      </c>
      <c r="H532" t="n">
        <v>29.67</v>
      </c>
      <c r="I532" t="n">
        <v>1</v>
      </c>
      <c r="J532" t="inlineStr">
        <is>
          <t>NA</t>
        </is>
      </c>
      <c r="K532" t="n">
        <v>90.40000000000001</v>
      </c>
      <c r="L532">
        <f>IF(K532&gt;=80,"Yes","No")</f>
        <v/>
      </c>
      <c r="M532">
        <f>IF(ISNUMBER(H532),IF(H532&gt;0,1,0),"")</f>
        <v/>
      </c>
    </row>
    <row r="533">
      <c r="A533" t="inlineStr">
        <is>
          <t>SIMULATED_FEA_Commercial_Study</t>
        </is>
      </c>
      <c r="B533" t="inlineStr">
        <is>
          <t>V10</t>
        </is>
      </c>
      <c r="C533" t="inlineStr">
        <is>
          <t>Annotation</t>
        </is>
      </c>
      <c r="D533" t="inlineStr">
        <is>
          <t>Bin_05</t>
        </is>
      </c>
      <c r="E533" t="n">
        <v>10</v>
      </c>
      <c r="F533" t="inlineStr">
        <is>
          <t>Positive Valence</t>
        </is>
      </c>
      <c r="G533" t="n">
        <v>50</v>
      </c>
      <c r="H533" t="n">
        <v>64.67</v>
      </c>
      <c r="I533" t="n">
        <v>4</v>
      </c>
      <c r="J533" t="inlineStr">
        <is>
          <t>NA</t>
        </is>
      </c>
      <c r="K533" t="n">
        <v>90.40000000000001</v>
      </c>
      <c r="L533">
        <f>IF(K533&gt;=80,"Yes","No")</f>
        <v/>
      </c>
      <c r="M533">
        <f>IF(ISNUMBER(H533),IF(H533&gt;0,1,0),"")</f>
        <v/>
      </c>
    </row>
    <row r="534">
      <c r="A534" t="inlineStr">
        <is>
          <t>SIMULATED_FEA_Commercial_Study</t>
        </is>
      </c>
      <c r="B534" t="inlineStr">
        <is>
          <t>V10</t>
        </is>
      </c>
      <c r="C534" t="inlineStr">
        <is>
          <t>Annotation</t>
        </is>
      </c>
      <c r="D534" t="inlineStr">
        <is>
          <t>Bin_05</t>
        </is>
      </c>
      <c r="E534" t="n">
        <v>10</v>
      </c>
      <c r="F534" t="inlineStr">
        <is>
          <t>Negative Valence</t>
        </is>
      </c>
      <c r="G534" t="n">
        <v>-50</v>
      </c>
      <c r="H534" t="n">
        <v>0</v>
      </c>
      <c r="I534" t="n">
        <v>0</v>
      </c>
      <c r="J534" t="inlineStr">
        <is>
          <t>NA</t>
        </is>
      </c>
      <c r="K534" t="n">
        <v>90.40000000000001</v>
      </c>
      <c r="L534">
        <f>IF(K534&gt;=80,"Yes","No")</f>
        <v/>
      </c>
      <c r="M534">
        <f>IF(ISNUMBER(H534),IF(H534&gt;0,1,0),"")</f>
        <v/>
      </c>
    </row>
    <row r="535">
      <c r="A535" t="inlineStr">
        <is>
          <t>SIMULATED_FEA_Commercial_Study</t>
        </is>
      </c>
      <c r="B535" t="inlineStr">
        <is>
          <t>V10</t>
        </is>
      </c>
      <c r="C535" t="inlineStr">
        <is>
          <t>Annotation</t>
        </is>
      </c>
      <c r="D535" t="inlineStr">
        <is>
          <t>Bin_05</t>
        </is>
      </c>
      <c r="E535" t="n">
        <v>10</v>
      </c>
      <c r="F535" t="inlineStr">
        <is>
          <t>Engagement</t>
        </is>
      </c>
      <c r="G535" t="inlineStr">
        <is>
          <t>NA</t>
        </is>
      </c>
      <c r="H535" t="inlineStr">
        <is>
          <t>NA</t>
        </is>
      </c>
      <c r="I535" t="inlineStr">
        <is>
          <t>NA</t>
        </is>
      </c>
      <c r="J535" t="n">
        <v>57.81</v>
      </c>
      <c r="K535" t="n">
        <v>90.40000000000001</v>
      </c>
      <c r="L535">
        <f>IF(K535&gt;=80,"Yes","No")</f>
        <v/>
      </c>
      <c r="M535">
        <f>IF(ISNUMBER(H535),IF(H535&gt;0,1,0),"")</f>
        <v/>
      </c>
    </row>
    <row r="536">
      <c r="A536" t="inlineStr">
        <is>
          <t>SIMULATED_FEA_Commercial_Study</t>
        </is>
      </c>
      <c r="B536" t="inlineStr">
        <is>
          <t>V10</t>
        </is>
      </c>
      <c r="C536" t="inlineStr">
        <is>
          <t>Annotation</t>
        </is>
      </c>
      <c r="D536" t="inlineStr">
        <is>
          <t>Bin_06</t>
        </is>
      </c>
      <c r="E536" t="n">
        <v>10</v>
      </c>
      <c r="F536" t="inlineStr">
        <is>
          <t>Joy</t>
        </is>
      </c>
      <c r="G536" t="n">
        <v>50</v>
      </c>
      <c r="H536" t="n">
        <v>18.33</v>
      </c>
      <c r="I536" t="n">
        <v>1</v>
      </c>
      <c r="J536" t="inlineStr">
        <is>
          <t>NA</t>
        </is>
      </c>
      <c r="K536" t="n">
        <v>90.40000000000001</v>
      </c>
      <c r="L536">
        <f>IF(K536&gt;=80,"Yes","No")</f>
        <v/>
      </c>
      <c r="M536">
        <f>IF(ISNUMBER(H536),IF(H536&gt;0,1,0),"")</f>
        <v/>
      </c>
    </row>
    <row r="537">
      <c r="A537" t="inlineStr">
        <is>
          <t>SIMULATED_FEA_Commercial_Study</t>
        </is>
      </c>
      <c r="B537" t="inlineStr">
        <is>
          <t>V10</t>
        </is>
      </c>
      <c r="C537" t="inlineStr">
        <is>
          <t>Annotation</t>
        </is>
      </c>
      <c r="D537" t="inlineStr">
        <is>
          <t>Bin_06</t>
        </is>
      </c>
      <c r="E537" t="n">
        <v>10</v>
      </c>
      <c r="F537" t="inlineStr">
        <is>
          <t>Surprise</t>
        </is>
      </c>
      <c r="G537" t="n">
        <v>50</v>
      </c>
      <c r="H537" t="n">
        <v>0</v>
      </c>
      <c r="I537" t="n">
        <v>0</v>
      </c>
      <c r="J537" t="inlineStr">
        <is>
          <t>NA</t>
        </is>
      </c>
      <c r="K537" t="n">
        <v>90.40000000000001</v>
      </c>
      <c r="L537">
        <f>IF(K537&gt;=80,"Yes","No")</f>
        <v/>
      </c>
      <c r="M537">
        <f>IF(ISNUMBER(H537),IF(H537&gt;0,1,0),"")</f>
        <v/>
      </c>
    </row>
    <row r="538">
      <c r="A538" t="inlineStr">
        <is>
          <t>SIMULATED_FEA_Commercial_Study</t>
        </is>
      </c>
      <c r="B538" t="inlineStr">
        <is>
          <t>V10</t>
        </is>
      </c>
      <c r="C538" t="inlineStr">
        <is>
          <t>Annotation</t>
        </is>
      </c>
      <c r="D538" t="inlineStr">
        <is>
          <t>Bin_06</t>
        </is>
      </c>
      <c r="E538" t="n">
        <v>10</v>
      </c>
      <c r="F538" t="inlineStr">
        <is>
          <t>Brow Furrow</t>
        </is>
      </c>
      <c r="G538" t="n">
        <v>50</v>
      </c>
      <c r="H538" t="n">
        <v>0</v>
      </c>
      <c r="I538" t="n">
        <v>0</v>
      </c>
      <c r="J538" t="inlineStr">
        <is>
          <t>NA</t>
        </is>
      </c>
      <c r="K538" t="n">
        <v>90.40000000000001</v>
      </c>
      <c r="L538">
        <f>IF(K538&gt;=80,"Yes","No")</f>
        <v/>
      </c>
      <c r="M538">
        <f>IF(ISNUMBER(H538),IF(H538&gt;0,1,0),"")</f>
        <v/>
      </c>
    </row>
    <row r="539">
      <c r="A539" t="inlineStr">
        <is>
          <t>SIMULATED_FEA_Commercial_Study</t>
        </is>
      </c>
      <c r="B539" t="inlineStr">
        <is>
          <t>V10</t>
        </is>
      </c>
      <c r="C539" t="inlineStr">
        <is>
          <t>Annotation</t>
        </is>
      </c>
      <c r="D539" t="inlineStr">
        <is>
          <t>Bin_06</t>
        </is>
      </c>
      <c r="E539" t="n">
        <v>10</v>
      </c>
      <c r="F539" t="inlineStr">
        <is>
          <t>Positive Valence</t>
        </is>
      </c>
      <c r="G539" t="n">
        <v>50</v>
      </c>
      <c r="H539" t="n">
        <v>34</v>
      </c>
      <c r="I539" t="n">
        <v>3</v>
      </c>
      <c r="J539" t="inlineStr">
        <is>
          <t>NA</t>
        </is>
      </c>
      <c r="K539" t="n">
        <v>90.40000000000001</v>
      </c>
      <c r="L539">
        <f>IF(K539&gt;=80,"Yes","No")</f>
        <v/>
      </c>
      <c r="M539">
        <f>IF(ISNUMBER(H539),IF(H539&gt;0,1,0),"")</f>
        <v/>
      </c>
    </row>
    <row r="540">
      <c r="A540" t="inlineStr">
        <is>
          <t>SIMULATED_FEA_Commercial_Study</t>
        </is>
      </c>
      <c r="B540" t="inlineStr">
        <is>
          <t>V10</t>
        </is>
      </c>
      <c r="C540" t="inlineStr">
        <is>
          <t>Annotation</t>
        </is>
      </c>
      <c r="D540" t="inlineStr">
        <is>
          <t>Bin_06</t>
        </is>
      </c>
      <c r="E540" t="n">
        <v>10</v>
      </c>
      <c r="F540" t="inlineStr">
        <is>
          <t>Negative Valence</t>
        </is>
      </c>
      <c r="G540" t="n">
        <v>-50</v>
      </c>
      <c r="H540" t="n">
        <v>0</v>
      </c>
      <c r="I540" t="n">
        <v>0</v>
      </c>
      <c r="J540" t="inlineStr">
        <is>
          <t>NA</t>
        </is>
      </c>
      <c r="K540" t="n">
        <v>90.40000000000001</v>
      </c>
      <c r="L540">
        <f>IF(K540&gt;=80,"Yes","No")</f>
        <v/>
      </c>
      <c r="M540">
        <f>IF(ISNUMBER(H540),IF(H540&gt;0,1,0),"")</f>
        <v/>
      </c>
    </row>
    <row r="541">
      <c r="A541" t="inlineStr">
        <is>
          <t>SIMULATED_FEA_Commercial_Study</t>
        </is>
      </c>
      <c r="B541" t="inlineStr">
        <is>
          <t>V10</t>
        </is>
      </c>
      <c r="C541" t="inlineStr">
        <is>
          <t>Annotation</t>
        </is>
      </c>
      <c r="D541" t="inlineStr">
        <is>
          <t>Bin_06</t>
        </is>
      </c>
      <c r="E541" t="n">
        <v>10</v>
      </c>
      <c r="F541" t="inlineStr">
        <is>
          <t>Engagement</t>
        </is>
      </c>
      <c r="G541" t="inlineStr">
        <is>
          <t>NA</t>
        </is>
      </c>
      <c r="H541" t="inlineStr">
        <is>
          <t>NA</t>
        </is>
      </c>
      <c r="I541" t="inlineStr">
        <is>
          <t>NA</t>
        </is>
      </c>
      <c r="J541" t="n">
        <v>24.86</v>
      </c>
      <c r="K541" t="n">
        <v>90.40000000000001</v>
      </c>
      <c r="L541">
        <f>IF(K541&gt;=80,"Yes","No")</f>
        <v/>
      </c>
      <c r="M541">
        <f>IF(ISNUMBER(H541),IF(H541&gt;0,1,0),"")</f>
        <v/>
      </c>
    </row>
    <row r="542">
      <c r="A542" t="inlineStr">
        <is>
          <t>SIMULATED_FEA_Commercial_Study</t>
        </is>
      </c>
      <c r="B542" t="inlineStr">
        <is>
          <t>V11</t>
        </is>
      </c>
      <c r="C542" t="inlineStr">
        <is>
          <t>Stimulus</t>
        </is>
      </c>
      <c r="D542" t="inlineStr">
        <is>
          <t>Baseline</t>
        </is>
      </c>
      <c r="E542" t="n">
        <v>60</v>
      </c>
      <c r="F542" t="inlineStr">
        <is>
          <t>Joy</t>
        </is>
      </c>
      <c r="G542" t="n">
        <v>50</v>
      </c>
      <c r="H542" t="n">
        <v>3.89</v>
      </c>
      <c r="I542" t="n">
        <v>1</v>
      </c>
      <c r="J542" t="inlineStr">
        <is>
          <t>NA</t>
        </is>
      </c>
      <c r="K542" t="n">
        <v>91.5</v>
      </c>
      <c r="L542">
        <f>IF(K542&gt;=80,"Yes","No")</f>
        <v/>
      </c>
      <c r="M542">
        <f>IF(ISNUMBER(H542),IF(H542&gt;0,1,0),"")</f>
        <v/>
      </c>
    </row>
    <row r="543">
      <c r="A543" t="inlineStr">
        <is>
          <t>SIMULATED_FEA_Commercial_Study</t>
        </is>
      </c>
      <c r="B543" t="inlineStr">
        <is>
          <t>V11</t>
        </is>
      </c>
      <c r="C543" t="inlineStr">
        <is>
          <t>Stimulus</t>
        </is>
      </c>
      <c r="D543" t="inlineStr">
        <is>
          <t>Baseline</t>
        </is>
      </c>
      <c r="E543" t="n">
        <v>60</v>
      </c>
      <c r="F543" t="inlineStr">
        <is>
          <t>Surprise</t>
        </is>
      </c>
      <c r="G543" t="n">
        <v>50</v>
      </c>
      <c r="H543" t="n">
        <v>0</v>
      </c>
      <c r="I543" t="n">
        <v>0</v>
      </c>
      <c r="J543" t="inlineStr">
        <is>
          <t>NA</t>
        </is>
      </c>
      <c r="K543" t="n">
        <v>91.5</v>
      </c>
      <c r="L543">
        <f>IF(K543&gt;=80,"Yes","No")</f>
        <v/>
      </c>
      <c r="M543">
        <f>IF(ISNUMBER(H543),IF(H543&gt;0,1,0),"")</f>
        <v/>
      </c>
    </row>
    <row r="544">
      <c r="A544" t="inlineStr">
        <is>
          <t>SIMULATED_FEA_Commercial_Study</t>
        </is>
      </c>
      <c r="B544" t="inlineStr">
        <is>
          <t>V11</t>
        </is>
      </c>
      <c r="C544" t="inlineStr">
        <is>
          <t>Stimulus</t>
        </is>
      </c>
      <c r="D544" t="inlineStr">
        <is>
          <t>Baseline</t>
        </is>
      </c>
      <c r="E544" t="n">
        <v>60</v>
      </c>
      <c r="F544" t="inlineStr">
        <is>
          <t>Brow Furrow</t>
        </is>
      </c>
      <c r="G544" t="n">
        <v>50</v>
      </c>
      <c r="H544" t="n">
        <v>8.279999999999999</v>
      </c>
      <c r="I544" t="n">
        <v>2</v>
      </c>
      <c r="J544" t="inlineStr">
        <is>
          <t>NA</t>
        </is>
      </c>
      <c r="K544" t="n">
        <v>91.5</v>
      </c>
      <c r="L544">
        <f>IF(K544&gt;=80,"Yes","No")</f>
        <v/>
      </c>
      <c r="M544">
        <f>IF(ISNUMBER(H544),IF(H544&gt;0,1,0),"")</f>
        <v/>
      </c>
    </row>
    <row r="545">
      <c r="A545" t="inlineStr">
        <is>
          <t>SIMULATED_FEA_Commercial_Study</t>
        </is>
      </c>
      <c r="B545" t="inlineStr">
        <is>
          <t>V11</t>
        </is>
      </c>
      <c r="C545" t="inlineStr">
        <is>
          <t>Stimulus</t>
        </is>
      </c>
      <c r="D545" t="inlineStr">
        <is>
          <t>Baseline</t>
        </is>
      </c>
      <c r="E545" t="n">
        <v>60</v>
      </c>
      <c r="F545" t="inlineStr">
        <is>
          <t>Positive Valence</t>
        </is>
      </c>
      <c r="G545" t="n">
        <v>50</v>
      </c>
      <c r="H545" t="n">
        <v>1.94</v>
      </c>
      <c r="I545" t="n">
        <v>1</v>
      </c>
      <c r="J545" t="inlineStr">
        <is>
          <t>NA</t>
        </is>
      </c>
      <c r="K545" t="n">
        <v>91.5</v>
      </c>
      <c r="L545">
        <f>IF(K545&gt;=80,"Yes","No")</f>
        <v/>
      </c>
      <c r="M545">
        <f>IF(ISNUMBER(H545),IF(H545&gt;0,1,0),"")</f>
        <v/>
      </c>
    </row>
    <row r="546">
      <c r="A546" t="inlineStr">
        <is>
          <t>SIMULATED_FEA_Commercial_Study</t>
        </is>
      </c>
      <c r="B546" t="inlineStr">
        <is>
          <t>V11</t>
        </is>
      </c>
      <c r="C546" t="inlineStr">
        <is>
          <t>Stimulus</t>
        </is>
      </c>
      <c r="D546" t="inlineStr">
        <is>
          <t>Baseline</t>
        </is>
      </c>
      <c r="E546" t="n">
        <v>60</v>
      </c>
      <c r="F546" t="inlineStr">
        <is>
          <t>Negative Valence</t>
        </is>
      </c>
      <c r="G546" t="n">
        <v>-50</v>
      </c>
      <c r="H546" t="n">
        <v>2.44</v>
      </c>
      <c r="I546" t="n">
        <v>1</v>
      </c>
      <c r="J546" t="inlineStr">
        <is>
          <t>NA</t>
        </is>
      </c>
      <c r="K546" t="n">
        <v>91.5</v>
      </c>
      <c r="L546">
        <f>IF(K546&gt;=80,"Yes","No")</f>
        <v/>
      </c>
      <c r="M546">
        <f>IF(ISNUMBER(H546),IF(H546&gt;0,1,0),"")</f>
        <v/>
      </c>
    </row>
    <row r="547">
      <c r="A547" t="inlineStr">
        <is>
          <t>SIMULATED_FEA_Commercial_Study</t>
        </is>
      </c>
      <c r="B547" t="inlineStr">
        <is>
          <t>V11</t>
        </is>
      </c>
      <c r="C547" t="inlineStr">
        <is>
          <t>Stimulus</t>
        </is>
      </c>
      <c r="D547" t="inlineStr">
        <is>
          <t>Baseline</t>
        </is>
      </c>
      <c r="E547" t="n">
        <v>60</v>
      </c>
      <c r="F547" t="inlineStr">
        <is>
          <t>Engagement</t>
        </is>
      </c>
      <c r="G547" t="inlineStr">
        <is>
          <t>NA</t>
        </is>
      </c>
      <c r="H547" t="inlineStr">
        <is>
          <t>NA</t>
        </is>
      </c>
      <c r="I547" t="inlineStr">
        <is>
          <t>NA</t>
        </is>
      </c>
      <c r="J547" t="n">
        <v>9.359999999999999</v>
      </c>
      <c r="K547" t="n">
        <v>91.5</v>
      </c>
      <c r="L547">
        <f>IF(K547&gt;=80,"Yes","No")</f>
        <v/>
      </c>
      <c r="M547">
        <f>IF(ISNUMBER(H547),IF(H547&gt;0,1,0),"")</f>
        <v/>
      </c>
    </row>
    <row r="548">
      <c r="A548" t="inlineStr">
        <is>
          <t>SIMULATED_FEA_Commercial_Study</t>
        </is>
      </c>
      <c r="B548" t="inlineStr">
        <is>
          <t>V11</t>
        </is>
      </c>
      <c r="C548" t="inlineStr">
        <is>
          <t>Stimulus</t>
        </is>
      </c>
      <c r="D548" t="inlineStr">
        <is>
          <t>Commercial</t>
        </is>
      </c>
      <c r="E548" t="n">
        <v>60</v>
      </c>
      <c r="F548" t="inlineStr">
        <is>
          <t>Joy</t>
        </is>
      </c>
      <c r="G548" t="n">
        <v>50</v>
      </c>
      <c r="H548" t="n">
        <v>3.78</v>
      </c>
      <c r="I548" t="n">
        <v>1</v>
      </c>
      <c r="J548" t="inlineStr">
        <is>
          <t>NA</t>
        </is>
      </c>
      <c r="K548" t="n">
        <v>91.5</v>
      </c>
      <c r="L548">
        <f>IF(K548&gt;=80,"Yes","No")</f>
        <v/>
      </c>
      <c r="M548">
        <f>IF(ISNUMBER(H548),IF(H548&gt;0,1,0),"")</f>
        <v/>
      </c>
    </row>
    <row r="549">
      <c r="A549" t="inlineStr">
        <is>
          <t>SIMULATED_FEA_Commercial_Study</t>
        </is>
      </c>
      <c r="B549" t="inlineStr">
        <is>
          <t>V11</t>
        </is>
      </c>
      <c r="C549" t="inlineStr">
        <is>
          <t>Stimulus</t>
        </is>
      </c>
      <c r="D549" t="inlineStr">
        <is>
          <t>Commercial</t>
        </is>
      </c>
      <c r="E549" t="n">
        <v>60</v>
      </c>
      <c r="F549" t="inlineStr">
        <is>
          <t>Surprise</t>
        </is>
      </c>
      <c r="G549" t="n">
        <v>50</v>
      </c>
      <c r="H549" t="n">
        <v>0</v>
      </c>
      <c r="I549" t="n">
        <v>0</v>
      </c>
      <c r="J549" t="inlineStr">
        <is>
          <t>NA</t>
        </is>
      </c>
      <c r="K549" t="n">
        <v>91.5</v>
      </c>
      <c r="L549">
        <f>IF(K549&gt;=80,"Yes","No")</f>
        <v/>
      </c>
      <c r="M549">
        <f>IF(ISNUMBER(H549),IF(H549&gt;0,1,0),"")</f>
        <v/>
      </c>
    </row>
    <row r="550">
      <c r="A550" t="inlineStr">
        <is>
          <t>SIMULATED_FEA_Commercial_Study</t>
        </is>
      </c>
      <c r="B550" t="inlineStr">
        <is>
          <t>V11</t>
        </is>
      </c>
      <c r="C550" t="inlineStr">
        <is>
          <t>Stimulus</t>
        </is>
      </c>
      <c r="D550" t="inlineStr">
        <is>
          <t>Commercial</t>
        </is>
      </c>
      <c r="E550" t="n">
        <v>60</v>
      </c>
      <c r="F550" t="inlineStr">
        <is>
          <t>Brow Furrow</t>
        </is>
      </c>
      <c r="G550" t="n">
        <v>50</v>
      </c>
      <c r="H550" t="n">
        <v>0</v>
      </c>
      <c r="I550" t="n">
        <v>0</v>
      </c>
      <c r="J550" t="inlineStr">
        <is>
          <t>NA</t>
        </is>
      </c>
      <c r="K550" t="n">
        <v>91.5</v>
      </c>
      <c r="L550">
        <f>IF(K550&gt;=80,"Yes","No")</f>
        <v/>
      </c>
      <c r="M550">
        <f>IF(ISNUMBER(H550),IF(H550&gt;0,1,0),"")</f>
        <v/>
      </c>
    </row>
    <row r="551">
      <c r="A551" t="inlineStr">
        <is>
          <t>SIMULATED_FEA_Commercial_Study</t>
        </is>
      </c>
      <c r="B551" t="inlineStr">
        <is>
          <t>V11</t>
        </is>
      </c>
      <c r="C551" t="inlineStr">
        <is>
          <t>Stimulus</t>
        </is>
      </c>
      <c r="D551" t="inlineStr">
        <is>
          <t>Commercial</t>
        </is>
      </c>
      <c r="E551" t="n">
        <v>60</v>
      </c>
      <c r="F551" t="inlineStr">
        <is>
          <t>Positive Valence</t>
        </is>
      </c>
      <c r="G551" t="n">
        <v>50</v>
      </c>
      <c r="H551" t="n">
        <v>3.39</v>
      </c>
      <c r="I551" t="n">
        <v>1</v>
      </c>
      <c r="J551" t="inlineStr">
        <is>
          <t>NA</t>
        </is>
      </c>
      <c r="K551" t="n">
        <v>91.5</v>
      </c>
      <c r="L551">
        <f>IF(K551&gt;=80,"Yes","No")</f>
        <v/>
      </c>
      <c r="M551">
        <f>IF(ISNUMBER(H551),IF(H551&gt;0,1,0),"")</f>
        <v/>
      </c>
    </row>
    <row r="552">
      <c r="A552" t="inlineStr">
        <is>
          <t>SIMULATED_FEA_Commercial_Study</t>
        </is>
      </c>
      <c r="B552" t="inlineStr">
        <is>
          <t>V11</t>
        </is>
      </c>
      <c r="C552" t="inlineStr">
        <is>
          <t>Stimulus</t>
        </is>
      </c>
      <c r="D552" t="inlineStr">
        <is>
          <t>Commercial</t>
        </is>
      </c>
      <c r="E552" t="n">
        <v>60</v>
      </c>
      <c r="F552" t="inlineStr">
        <is>
          <t>Negative Valence</t>
        </is>
      </c>
      <c r="G552" t="n">
        <v>-50</v>
      </c>
      <c r="H552" t="n">
        <v>0.44</v>
      </c>
      <c r="I552" t="n">
        <v>2</v>
      </c>
      <c r="J552" t="inlineStr">
        <is>
          <t>NA</t>
        </is>
      </c>
      <c r="K552" t="n">
        <v>91.5</v>
      </c>
      <c r="L552">
        <f>IF(K552&gt;=80,"Yes","No")</f>
        <v/>
      </c>
      <c r="M552">
        <f>IF(ISNUMBER(H552),IF(H552&gt;0,1,0),"")</f>
        <v/>
      </c>
    </row>
    <row r="553">
      <c r="A553" t="inlineStr">
        <is>
          <t>SIMULATED_FEA_Commercial_Study</t>
        </is>
      </c>
      <c r="B553" t="inlineStr">
        <is>
          <t>V11</t>
        </is>
      </c>
      <c r="C553" t="inlineStr">
        <is>
          <t>Stimulus</t>
        </is>
      </c>
      <c r="D553" t="inlineStr">
        <is>
          <t>Commercial</t>
        </is>
      </c>
      <c r="E553" t="n">
        <v>60</v>
      </c>
      <c r="F553" t="inlineStr">
        <is>
          <t>Engagement</t>
        </is>
      </c>
      <c r="G553" t="inlineStr">
        <is>
          <t>NA</t>
        </is>
      </c>
      <c r="H553" t="inlineStr">
        <is>
          <t>NA</t>
        </is>
      </c>
      <c r="I553" t="inlineStr">
        <is>
          <t>NA</t>
        </is>
      </c>
      <c r="J553" t="n">
        <v>7.41</v>
      </c>
      <c r="K553" t="n">
        <v>91.5</v>
      </c>
      <c r="L553">
        <f>IF(K553&gt;=80,"Yes","No")</f>
        <v/>
      </c>
      <c r="M553">
        <f>IF(ISNUMBER(H553),IF(H553&gt;0,1,0),"")</f>
        <v/>
      </c>
    </row>
    <row r="554">
      <c r="A554" t="inlineStr">
        <is>
          <t>SIMULATED_FEA_Commercial_Study</t>
        </is>
      </c>
      <c r="B554" t="inlineStr">
        <is>
          <t>V11</t>
        </is>
      </c>
      <c r="C554" t="inlineStr">
        <is>
          <t>Stimulus</t>
        </is>
      </c>
      <c r="D554" t="inlineStr">
        <is>
          <t>Recovery</t>
        </is>
      </c>
      <c r="E554" t="n">
        <v>15</v>
      </c>
      <c r="F554" t="inlineStr">
        <is>
          <t>Joy</t>
        </is>
      </c>
      <c r="G554" t="n">
        <v>50</v>
      </c>
      <c r="H554" t="n">
        <v>0</v>
      </c>
      <c r="I554" t="n">
        <v>0</v>
      </c>
      <c r="J554" t="inlineStr">
        <is>
          <t>NA</t>
        </is>
      </c>
      <c r="K554" t="n">
        <v>91.5</v>
      </c>
      <c r="L554">
        <f>IF(K554&gt;=80,"Yes","No")</f>
        <v/>
      </c>
      <c r="M554">
        <f>IF(ISNUMBER(H554),IF(H554&gt;0,1,0),"")</f>
        <v/>
      </c>
    </row>
    <row r="555">
      <c r="A555" t="inlineStr">
        <is>
          <t>SIMULATED_FEA_Commercial_Study</t>
        </is>
      </c>
      <c r="B555" t="inlineStr">
        <is>
          <t>V11</t>
        </is>
      </c>
      <c r="C555" t="inlineStr">
        <is>
          <t>Stimulus</t>
        </is>
      </c>
      <c r="D555" t="inlineStr">
        <is>
          <t>Recovery</t>
        </is>
      </c>
      <c r="E555" t="n">
        <v>15</v>
      </c>
      <c r="F555" t="inlineStr">
        <is>
          <t>Surprise</t>
        </is>
      </c>
      <c r="G555" t="n">
        <v>50</v>
      </c>
      <c r="H555" t="n">
        <v>0</v>
      </c>
      <c r="I555" t="n">
        <v>0</v>
      </c>
      <c r="J555" t="inlineStr">
        <is>
          <t>NA</t>
        </is>
      </c>
      <c r="K555" t="n">
        <v>91.5</v>
      </c>
      <c r="L555">
        <f>IF(K555&gt;=80,"Yes","No")</f>
        <v/>
      </c>
      <c r="M555">
        <f>IF(ISNUMBER(H555),IF(H555&gt;0,1,0),"")</f>
        <v/>
      </c>
    </row>
    <row r="556">
      <c r="A556" t="inlineStr">
        <is>
          <t>SIMULATED_FEA_Commercial_Study</t>
        </is>
      </c>
      <c r="B556" t="inlineStr">
        <is>
          <t>V11</t>
        </is>
      </c>
      <c r="C556" t="inlineStr">
        <is>
          <t>Stimulus</t>
        </is>
      </c>
      <c r="D556" t="inlineStr">
        <is>
          <t>Recovery</t>
        </is>
      </c>
      <c r="E556" t="n">
        <v>15</v>
      </c>
      <c r="F556" t="inlineStr">
        <is>
          <t>Brow Furrow</t>
        </is>
      </c>
      <c r="G556" t="n">
        <v>50</v>
      </c>
      <c r="H556" t="n">
        <v>7.33</v>
      </c>
      <c r="I556" t="n">
        <v>1</v>
      </c>
      <c r="J556" t="inlineStr">
        <is>
          <t>NA</t>
        </is>
      </c>
      <c r="K556" t="n">
        <v>91.5</v>
      </c>
      <c r="L556">
        <f>IF(K556&gt;=80,"Yes","No")</f>
        <v/>
      </c>
      <c r="M556">
        <f>IF(ISNUMBER(H556),IF(H556&gt;0,1,0),"")</f>
        <v/>
      </c>
    </row>
    <row r="557">
      <c r="A557" t="inlineStr">
        <is>
          <t>SIMULATED_FEA_Commercial_Study</t>
        </is>
      </c>
      <c r="B557" t="inlineStr">
        <is>
          <t>V11</t>
        </is>
      </c>
      <c r="C557" t="inlineStr">
        <is>
          <t>Stimulus</t>
        </is>
      </c>
      <c r="D557" t="inlineStr">
        <is>
          <t>Recovery</t>
        </is>
      </c>
      <c r="E557" t="n">
        <v>15</v>
      </c>
      <c r="F557" t="inlineStr">
        <is>
          <t>Positive Valence</t>
        </is>
      </c>
      <c r="G557" t="n">
        <v>50</v>
      </c>
      <c r="H557" t="n">
        <v>0</v>
      </c>
      <c r="I557" t="n">
        <v>0</v>
      </c>
      <c r="J557" t="inlineStr">
        <is>
          <t>NA</t>
        </is>
      </c>
      <c r="K557" t="n">
        <v>91.5</v>
      </c>
      <c r="L557">
        <f>IF(K557&gt;=80,"Yes","No")</f>
        <v/>
      </c>
      <c r="M557">
        <f>IF(ISNUMBER(H557),IF(H557&gt;0,1,0),"")</f>
        <v/>
      </c>
    </row>
    <row r="558">
      <c r="A558" t="inlineStr">
        <is>
          <t>SIMULATED_FEA_Commercial_Study</t>
        </is>
      </c>
      <c r="B558" t="inlineStr">
        <is>
          <t>V11</t>
        </is>
      </c>
      <c r="C558" t="inlineStr">
        <is>
          <t>Stimulus</t>
        </is>
      </c>
      <c r="D558" t="inlineStr">
        <is>
          <t>Recovery</t>
        </is>
      </c>
      <c r="E558" t="n">
        <v>15</v>
      </c>
      <c r="F558" t="inlineStr">
        <is>
          <t>Negative Valence</t>
        </is>
      </c>
      <c r="G558" t="n">
        <v>-50</v>
      </c>
      <c r="H558" t="n">
        <v>0</v>
      </c>
      <c r="I558" t="n">
        <v>0</v>
      </c>
      <c r="J558" t="inlineStr">
        <is>
          <t>NA</t>
        </is>
      </c>
      <c r="K558" t="n">
        <v>91.5</v>
      </c>
      <c r="L558">
        <f>IF(K558&gt;=80,"Yes","No")</f>
        <v/>
      </c>
      <c r="M558">
        <f>IF(ISNUMBER(H558),IF(H558&gt;0,1,0),"")</f>
        <v/>
      </c>
    </row>
    <row r="559">
      <c r="A559" t="inlineStr">
        <is>
          <t>SIMULATED_FEA_Commercial_Study</t>
        </is>
      </c>
      <c r="B559" t="inlineStr">
        <is>
          <t>V11</t>
        </is>
      </c>
      <c r="C559" t="inlineStr">
        <is>
          <t>Stimulus</t>
        </is>
      </c>
      <c r="D559" t="inlineStr">
        <is>
          <t>Recovery</t>
        </is>
      </c>
      <c r="E559" t="n">
        <v>15</v>
      </c>
      <c r="F559" t="inlineStr">
        <is>
          <t>Engagement</t>
        </is>
      </c>
      <c r="G559" t="inlineStr">
        <is>
          <t>NA</t>
        </is>
      </c>
      <c r="H559" t="inlineStr">
        <is>
          <t>NA</t>
        </is>
      </c>
      <c r="I559" t="inlineStr">
        <is>
          <t>NA</t>
        </is>
      </c>
      <c r="J559" t="n">
        <v>9.289999999999999</v>
      </c>
      <c r="K559" t="n">
        <v>91.5</v>
      </c>
      <c r="L559">
        <f>IF(K559&gt;=80,"Yes","No")</f>
        <v/>
      </c>
      <c r="M559">
        <f>IF(ISNUMBER(H559),IF(H559&gt;0,1,0),"")</f>
        <v/>
      </c>
    </row>
    <row r="560">
      <c r="A560" t="inlineStr">
        <is>
          <t>SIMULATED_FEA_Commercial_Study</t>
        </is>
      </c>
      <c r="B560" t="inlineStr">
        <is>
          <t>V11</t>
        </is>
      </c>
      <c r="C560" t="inlineStr">
        <is>
          <t>Annotation</t>
        </is>
      </c>
      <c r="D560" t="inlineStr">
        <is>
          <t>Bin_01</t>
        </is>
      </c>
      <c r="E560" t="n">
        <v>10</v>
      </c>
      <c r="F560" t="inlineStr">
        <is>
          <t>Joy</t>
        </is>
      </c>
      <c r="G560" t="n">
        <v>50</v>
      </c>
      <c r="H560" t="n">
        <v>22.67</v>
      </c>
      <c r="I560" t="n">
        <v>1</v>
      </c>
      <c r="J560" t="inlineStr">
        <is>
          <t>NA</t>
        </is>
      </c>
      <c r="K560" t="n">
        <v>91.5</v>
      </c>
      <c r="L560">
        <f>IF(K560&gt;=80,"Yes","No")</f>
        <v/>
      </c>
      <c r="M560">
        <f>IF(ISNUMBER(H560),IF(H560&gt;0,1,0),"")</f>
        <v/>
      </c>
    </row>
    <row r="561">
      <c r="A561" t="inlineStr">
        <is>
          <t>SIMULATED_FEA_Commercial_Study</t>
        </is>
      </c>
      <c r="B561" t="inlineStr">
        <is>
          <t>V11</t>
        </is>
      </c>
      <c r="C561" t="inlineStr">
        <is>
          <t>Annotation</t>
        </is>
      </c>
      <c r="D561" t="inlineStr">
        <is>
          <t>Bin_01</t>
        </is>
      </c>
      <c r="E561" t="n">
        <v>10</v>
      </c>
      <c r="F561" t="inlineStr">
        <is>
          <t>Surprise</t>
        </is>
      </c>
      <c r="G561" t="n">
        <v>50</v>
      </c>
      <c r="H561" t="n">
        <v>0</v>
      </c>
      <c r="I561" t="n">
        <v>0</v>
      </c>
      <c r="J561" t="inlineStr">
        <is>
          <t>NA</t>
        </is>
      </c>
      <c r="K561" t="n">
        <v>91.5</v>
      </c>
      <c r="L561">
        <f>IF(K561&gt;=80,"Yes","No")</f>
        <v/>
      </c>
      <c r="M561">
        <f>IF(ISNUMBER(H561),IF(H561&gt;0,1,0),"")</f>
        <v/>
      </c>
    </row>
    <row r="562">
      <c r="A562" t="inlineStr">
        <is>
          <t>SIMULATED_FEA_Commercial_Study</t>
        </is>
      </c>
      <c r="B562" t="inlineStr">
        <is>
          <t>V11</t>
        </is>
      </c>
      <c r="C562" t="inlineStr">
        <is>
          <t>Annotation</t>
        </is>
      </c>
      <c r="D562" t="inlineStr">
        <is>
          <t>Bin_01</t>
        </is>
      </c>
      <c r="E562" t="n">
        <v>10</v>
      </c>
      <c r="F562" t="inlineStr">
        <is>
          <t>Brow Furrow</t>
        </is>
      </c>
      <c r="G562" t="n">
        <v>50</v>
      </c>
      <c r="H562" t="n">
        <v>0</v>
      </c>
      <c r="I562" t="n">
        <v>0</v>
      </c>
      <c r="J562" t="inlineStr">
        <is>
          <t>NA</t>
        </is>
      </c>
      <c r="K562" t="n">
        <v>91.5</v>
      </c>
      <c r="L562">
        <f>IF(K562&gt;=80,"Yes","No")</f>
        <v/>
      </c>
      <c r="M562">
        <f>IF(ISNUMBER(H562),IF(H562&gt;0,1,0),"")</f>
        <v/>
      </c>
    </row>
    <row r="563">
      <c r="A563" t="inlineStr">
        <is>
          <t>SIMULATED_FEA_Commercial_Study</t>
        </is>
      </c>
      <c r="B563" t="inlineStr">
        <is>
          <t>V11</t>
        </is>
      </c>
      <c r="C563" t="inlineStr">
        <is>
          <t>Annotation</t>
        </is>
      </c>
      <c r="D563" t="inlineStr">
        <is>
          <t>Bin_01</t>
        </is>
      </c>
      <c r="E563" t="n">
        <v>10</v>
      </c>
      <c r="F563" t="inlineStr">
        <is>
          <t>Positive Valence</t>
        </is>
      </c>
      <c r="G563" t="n">
        <v>50</v>
      </c>
      <c r="H563" t="n">
        <v>20.33</v>
      </c>
      <c r="I563" t="n">
        <v>1</v>
      </c>
      <c r="J563" t="inlineStr">
        <is>
          <t>NA</t>
        </is>
      </c>
      <c r="K563" t="n">
        <v>91.5</v>
      </c>
      <c r="L563">
        <f>IF(K563&gt;=80,"Yes","No")</f>
        <v/>
      </c>
      <c r="M563">
        <f>IF(ISNUMBER(H563),IF(H563&gt;0,1,0),"")</f>
        <v/>
      </c>
    </row>
    <row r="564">
      <c r="A564" t="inlineStr">
        <is>
          <t>SIMULATED_FEA_Commercial_Study</t>
        </is>
      </c>
      <c r="B564" t="inlineStr">
        <is>
          <t>V11</t>
        </is>
      </c>
      <c r="C564" t="inlineStr">
        <is>
          <t>Annotation</t>
        </is>
      </c>
      <c r="D564" t="inlineStr">
        <is>
          <t>Bin_01</t>
        </is>
      </c>
      <c r="E564" t="n">
        <v>10</v>
      </c>
      <c r="F564" t="inlineStr">
        <is>
          <t>Negative Valence</t>
        </is>
      </c>
      <c r="G564" t="n">
        <v>-50</v>
      </c>
      <c r="H564" t="n">
        <v>0</v>
      </c>
      <c r="I564" t="n">
        <v>0</v>
      </c>
      <c r="J564" t="inlineStr">
        <is>
          <t>NA</t>
        </is>
      </c>
      <c r="K564" t="n">
        <v>91.5</v>
      </c>
      <c r="L564">
        <f>IF(K564&gt;=80,"Yes","No")</f>
        <v/>
      </c>
      <c r="M564">
        <f>IF(ISNUMBER(H564),IF(H564&gt;0,1,0),"")</f>
        <v/>
      </c>
    </row>
    <row r="565">
      <c r="A565" t="inlineStr">
        <is>
          <t>SIMULATED_FEA_Commercial_Study</t>
        </is>
      </c>
      <c r="B565" t="inlineStr">
        <is>
          <t>V11</t>
        </is>
      </c>
      <c r="C565" t="inlineStr">
        <is>
          <t>Annotation</t>
        </is>
      </c>
      <c r="D565" t="inlineStr">
        <is>
          <t>Bin_01</t>
        </is>
      </c>
      <c r="E565" t="n">
        <v>10</v>
      </c>
      <c r="F565" t="inlineStr">
        <is>
          <t>Engagement</t>
        </is>
      </c>
      <c r="G565" t="inlineStr">
        <is>
          <t>NA</t>
        </is>
      </c>
      <c r="H565" t="inlineStr">
        <is>
          <t>NA</t>
        </is>
      </c>
      <c r="I565" t="inlineStr">
        <is>
          <t>NA</t>
        </is>
      </c>
      <c r="J565" t="n">
        <v>19.6</v>
      </c>
      <c r="K565" t="n">
        <v>91.5</v>
      </c>
      <c r="L565">
        <f>IF(K565&gt;=80,"Yes","No")</f>
        <v/>
      </c>
      <c r="M565">
        <f>IF(ISNUMBER(H565),IF(H565&gt;0,1,0),"")</f>
        <v/>
      </c>
    </row>
    <row r="566">
      <c r="A566" t="inlineStr">
        <is>
          <t>SIMULATED_FEA_Commercial_Study</t>
        </is>
      </c>
      <c r="B566" t="inlineStr">
        <is>
          <t>V11</t>
        </is>
      </c>
      <c r="C566" t="inlineStr">
        <is>
          <t>Annotation</t>
        </is>
      </c>
      <c r="D566" t="inlineStr">
        <is>
          <t>Bin_02</t>
        </is>
      </c>
      <c r="E566" t="n">
        <v>10</v>
      </c>
      <c r="F566" t="inlineStr">
        <is>
          <t>Joy</t>
        </is>
      </c>
      <c r="G566" t="n">
        <v>50</v>
      </c>
      <c r="H566" t="n">
        <v>0</v>
      </c>
      <c r="I566" t="n">
        <v>0</v>
      </c>
      <c r="J566" t="inlineStr">
        <is>
          <t>NA</t>
        </is>
      </c>
      <c r="K566" t="n">
        <v>91.5</v>
      </c>
      <c r="L566">
        <f>IF(K566&gt;=80,"Yes","No")</f>
        <v/>
      </c>
      <c r="M566">
        <f>IF(ISNUMBER(H566),IF(H566&gt;0,1,0),"")</f>
        <v/>
      </c>
    </row>
    <row r="567">
      <c r="A567" t="inlineStr">
        <is>
          <t>SIMULATED_FEA_Commercial_Study</t>
        </is>
      </c>
      <c r="B567" t="inlineStr">
        <is>
          <t>V11</t>
        </is>
      </c>
      <c r="C567" t="inlineStr">
        <is>
          <t>Annotation</t>
        </is>
      </c>
      <c r="D567" t="inlineStr">
        <is>
          <t>Bin_02</t>
        </is>
      </c>
      <c r="E567" t="n">
        <v>10</v>
      </c>
      <c r="F567" t="inlineStr">
        <is>
          <t>Surprise</t>
        </is>
      </c>
      <c r="G567" t="n">
        <v>50</v>
      </c>
      <c r="H567" t="n">
        <v>0</v>
      </c>
      <c r="I567" t="n">
        <v>0</v>
      </c>
      <c r="J567" t="inlineStr">
        <is>
          <t>NA</t>
        </is>
      </c>
      <c r="K567" t="n">
        <v>91.5</v>
      </c>
      <c r="L567">
        <f>IF(K567&gt;=80,"Yes","No")</f>
        <v/>
      </c>
      <c r="M567">
        <f>IF(ISNUMBER(H567),IF(H567&gt;0,1,0),"")</f>
        <v/>
      </c>
    </row>
    <row r="568">
      <c r="A568" t="inlineStr">
        <is>
          <t>SIMULATED_FEA_Commercial_Study</t>
        </is>
      </c>
      <c r="B568" t="inlineStr">
        <is>
          <t>V11</t>
        </is>
      </c>
      <c r="C568" t="inlineStr">
        <is>
          <t>Annotation</t>
        </is>
      </c>
      <c r="D568" t="inlineStr">
        <is>
          <t>Bin_02</t>
        </is>
      </c>
      <c r="E568" t="n">
        <v>10</v>
      </c>
      <c r="F568" t="inlineStr">
        <is>
          <t>Brow Furrow</t>
        </is>
      </c>
      <c r="G568" t="n">
        <v>50</v>
      </c>
      <c r="H568" t="n">
        <v>0</v>
      </c>
      <c r="I568" t="n">
        <v>0</v>
      </c>
      <c r="J568" t="inlineStr">
        <is>
          <t>NA</t>
        </is>
      </c>
      <c r="K568" t="n">
        <v>91.5</v>
      </c>
      <c r="L568">
        <f>IF(K568&gt;=80,"Yes","No")</f>
        <v/>
      </c>
      <c r="M568">
        <f>IF(ISNUMBER(H568),IF(H568&gt;0,1,0),"")</f>
        <v/>
      </c>
    </row>
    <row r="569">
      <c r="A569" t="inlineStr">
        <is>
          <t>SIMULATED_FEA_Commercial_Study</t>
        </is>
      </c>
      <c r="B569" t="inlineStr">
        <is>
          <t>V11</t>
        </is>
      </c>
      <c r="C569" t="inlineStr">
        <is>
          <t>Annotation</t>
        </is>
      </c>
      <c r="D569" t="inlineStr">
        <is>
          <t>Bin_02</t>
        </is>
      </c>
      <c r="E569" t="n">
        <v>10</v>
      </c>
      <c r="F569" t="inlineStr">
        <is>
          <t>Positive Valence</t>
        </is>
      </c>
      <c r="G569" t="n">
        <v>50</v>
      </c>
      <c r="H569" t="n">
        <v>0</v>
      </c>
      <c r="I569" t="n">
        <v>0</v>
      </c>
      <c r="J569" t="inlineStr">
        <is>
          <t>NA</t>
        </is>
      </c>
      <c r="K569" t="n">
        <v>91.5</v>
      </c>
      <c r="L569">
        <f>IF(K569&gt;=80,"Yes","No")</f>
        <v/>
      </c>
      <c r="M569">
        <f>IF(ISNUMBER(H569),IF(H569&gt;0,1,0),"")</f>
        <v/>
      </c>
    </row>
    <row r="570">
      <c r="A570" t="inlineStr">
        <is>
          <t>SIMULATED_FEA_Commercial_Study</t>
        </is>
      </c>
      <c r="B570" t="inlineStr">
        <is>
          <t>V11</t>
        </is>
      </c>
      <c r="C570" t="inlineStr">
        <is>
          <t>Annotation</t>
        </is>
      </c>
      <c r="D570" t="inlineStr">
        <is>
          <t>Bin_02</t>
        </is>
      </c>
      <c r="E570" t="n">
        <v>10</v>
      </c>
      <c r="F570" t="inlineStr">
        <is>
          <t>Negative Valence</t>
        </is>
      </c>
      <c r="G570" t="n">
        <v>-50</v>
      </c>
      <c r="H570" t="n">
        <v>0</v>
      </c>
      <c r="I570" t="n">
        <v>0</v>
      </c>
      <c r="J570" t="inlineStr">
        <is>
          <t>NA</t>
        </is>
      </c>
      <c r="K570" t="n">
        <v>91.5</v>
      </c>
      <c r="L570">
        <f>IF(K570&gt;=80,"Yes","No")</f>
        <v/>
      </c>
      <c r="M570">
        <f>IF(ISNUMBER(H570),IF(H570&gt;0,1,0),"")</f>
        <v/>
      </c>
    </row>
    <row r="571">
      <c r="A571" t="inlineStr">
        <is>
          <t>SIMULATED_FEA_Commercial_Study</t>
        </is>
      </c>
      <c r="B571" t="inlineStr">
        <is>
          <t>V11</t>
        </is>
      </c>
      <c r="C571" t="inlineStr">
        <is>
          <t>Annotation</t>
        </is>
      </c>
      <c r="D571" t="inlineStr">
        <is>
          <t>Bin_02</t>
        </is>
      </c>
      <c r="E571" t="n">
        <v>10</v>
      </c>
      <c r="F571" t="inlineStr">
        <is>
          <t>Engagement</t>
        </is>
      </c>
      <c r="G571" t="inlineStr">
        <is>
          <t>NA</t>
        </is>
      </c>
      <c r="H571" t="inlineStr">
        <is>
          <t>NA</t>
        </is>
      </c>
      <c r="I571" t="inlineStr">
        <is>
          <t>NA</t>
        </is>
      </c>
      <c r="J571" t="n">
        <v>4.87</v>
      </c>
      <c r="K571" t="n">
        <v>91.5</v>
      </c>
      <c r="L571">
        <f>IF(K571&gt;=80,"Yes","No")</f>
        <v/>
      </c>
      <c r="M571">
        <f>IF(ISNUMBER(H571),IF(H571&gt;0,1,0),"")</f>
        <v/>
      </c>
    </row>
    <row r="572">
      <c r="A572" t="inlineStr">
        <is>
          <t>SIMULATED_FEA_Commercial_Study</t>
        </is>
      </c>
      <c r="B572" t="inlineStr">
        <is>
          <t>V11</t>
        </is>
      </c>
      <c r="C572" t="inlineStr">
        <is>
          <t>Annotation</t>
        </is>
      </c>
      <c r="D572" t="inlineStr">
        <is>
          <t>Bin_03</t>
        </is>
      </c>
      <c r="E572" t="n">
        <v>10</v>
      </c>
      <c r="F572" t="inlineStr">
        <is>
          <t>Joy</t>
        </is>
      </c>
      <c r="G572" t="n">
        <v>50</v>
      </c>
      <c r="H572" t="n">
        <v>0</v>
      </c>
      <c r="I572" t="n">
        <v>0</v>
      </c>
      <c r="J572" t="inlineStr">
        <is>
          <t>NA</t>
        </is>
      </c>
      <c r="K572" t="n">
        <v>91.5</v>
      </c>
      <c r="L572">
        <f>IF(K572&gt;=80,"Yes","No")</f>
        <v/>
      </c>
      <c r="M572">
        <f>IF(ISNUMBER(H572),IF(H572&gt;0,1,0),"")</f>
        <v/>
      </c>
    </row>
    <row r="573">
      <c r="A573" t="inlineStr">
        <is>
          <t>SIMULATED_FEA_Commercial_Study</t>
        </is>
      </c>
      <c r="B573" t="inlineStr">
        <is>
          <t>V11</t>
        </is>
      </c>
      <c r="C573" t="inlineStr">
        <is>
          <t>Annotation</t>
        </is>
      </c>
      <c r="D573" t="inlineStr">
        <is>
          <t>Bin_03</t>
        </is>
      </c>
      <c r="E573" t="n">
        <v>10</v>
      </c>
      <c r="F573" t="inlineStr">
        <is>
          <t>Surprise</t>
        </is>
      </c>
      <c r="G573" t="n">
        <v>50</v>
      </c>
      <c r="H573" t="n">
        <v>0</v>
      </c>
      <c r="I573" t="n">
        <v>0</v>
      </c>
      <c r="J573" t="inlineStr">
        <is>
          <t>NA</t>
        </is>
      </c>
      <c r="K573" t="n">
        <v>91.5</v>
      </c>
      <c r="L573">
        <f>IF(K573&gt;=80,"Yes","No")</f>
        <v/>
      </c>
      <c r="M573">
        <f>IF(ISNUMBER(H573),IF(H573&gt;0,1,0),"")</f>
        <v/>
      </c>
    </row>
    <row r="574">
      <c r="A574" t="inlineStr">
        <is>
          <t>SIMULATED_FEA_Commercial_Study</t>
        </is>
      </c>
      <c r="B574" t="inlineStr">
        <is>
          <t>V11</t>
        </is>
      </c>
      <c r="C574" t="inlineStr">
        <is>
          <t>Annotation</t>
        </is>
      </c>
      <c r="D574" t="inlineStr">
        <is>
          <t>Bin_03</t>
        </is>
      </c>
      <c r="E574" t="n">
        <v>10</v>
      </c>
      <c r="F574" t="inlineStr">
        <is>
          <t>Brow Furrow</t>
        </is>
      </c>
      <c r="G574" t="n">
        <v>50</v>
      </c>
      <c r="H574" t="n">
        <v>0</v>
      </c>
      <c r="I574" t="n">
        <v>0</v>
      </c>
      <c r="J574" t="inlineStr">
        <is>
          <t>NA</t>
        </is>
      </c>
      <c r="K574" t="n">
        <v>91.5</v>
      </c>
      <c r="L574">
        <f>IF(K574&gt;=80,"Yes","No")</f>
        <v/>
      </c>
      <c r="M574">
        <f>IF(ISNUMBER(H574),IF(H574&gt;0,1,0),"")</f>
        <v/>
      </c>
    </row>
    <row r="575">
      <c r="A575" t="inlineStr">
        <is>
          <t>SIMULATED_FEA_Commercial_Study</t>
        </is>
      </c>
      <c r="B575" t="inlineStr">
        <is>
          <t>V11</t>
        </is>
      </c>
      <c r="C575" t="inlineStr">
        <is>
          <t>Annotation</t>
        </is>
      </c>
      <c r="D575" t="inlineStr">
        <is>
          <t>Bin_03</t>
        </is>
      </c>
      <c r="E575" t="n">
        <v>10</v>
      </c>
      <c r="F575" t="inlineStr">
        <is>
          <t>Positive Valence</t>
        </is>
      </c>
      <c r="G575" t="n">
        <v>50</v>
      </c>
      <c r="H575" t="n">
        <v>0</v>
      </c>
      <c r="I575" t="n">
        <v>0</v>
      </c>
      <c r="J575" t="inlineStr">
        <is>
          <t>NA</t>
        </is>
      </c>
      <c r="K575" t="n">
        <v>91.5</v>
      </c>
      <c r="L575">
        <f>IF(K575&gt;=80,"Yes","No")</f>
        <v/>
      </c>
      <c r="M575">
        <f>IF(ISNUMBER(H575),IF(H575&gt;0,1,0),"")</f>
        <v/>
      </c>
    </row>
    <row r="576">
      <c r="A576" t="inlineStr">
        <is>
          <t>SIMULATED_FEA_Commercial_Study</t>
        </is>
      </c>
      <c r="B576" t="inlineStr">
        <is>
          <t>V11</t>
        </is>
      </c>
      <c r="C576" t="inlineStr">
        <is>
          <t>Annotation</t>
        </is>
      </c>
      <c r="D576" t="inlineStr">
        <is>
          <t>Bin_03</t>
        </is>
      </c>
      <c r="E576" t="n">
        <v>10</v>
      </c>
      <c r="F576" t="inlineStr">
        <is>
          <t>Negative Valence</t>
        </is>
      </c>
      <c r="G576" t="n">
        <v>-50</v>
      </c>
      <c r="H576" t="n">
        <v>0</v>
      </c>
      <c r="I576" t="n">
        <v>0</v>
      </c>
      <c r="J576" t="inlineStr">
        <is>
          <t>NA</t>
        </is>
      </c>
      <c r="K576" t="n">
        <v>91.5</v>
      </c>
      <c r="L576">
        <f>IF(K576&gt;=80,"Yes","No")</f>
        <v/>
      </c>
      <c r="M576">
        <f>IF(ISNUMBER(H576),IF(H576&gt;0,1,0),"")</f>
        <v/>
      </c>
    </row>
    <row r="577">
      <c r="A577" t="inlineStr">
        <is>
          <t>SIMULATED_FEA_Commercial_Study</t>
        </is>
      </c>
      <c r="B577" t="inlineStr">
        <is>
          <t>V11</t>
        </is>
      </c>
      <c r="C577" t="inlineStr">
        <is>
          <t>Annotation</t>
        </is>
      </c>
      <c r="D577" t="inlineStr">
        <is>
          <t>Bin_03</t>
        </is>
      </c>
      <c r="E577" t="n">
        <v>10</v>
      </c>
      <c r="F577" t="inlineStr">
        <is>
          <t>Engagement</t>
        </is>
      </c>
      <c r="G577" t="inlineStr">
        <is>
          <t>NA</t>
        </is>
      </c>
      <c r="H577" t="inlineStr">
        <is>
          <t>NA</t>
        </is>
      </c>
      <c r="I577" t="inlineStr">
        <is>
          <t>NA</t>
        </is>
      </c>
      <c r="J577" t="n">
        <v>3.6</v>
      </c>
      <c r="K577" t="n">
        <v>91.5</v>
      </c>
      <c r="L577">
        <f>IF(K577&gt;=80,"Yes","No")</f>
        <v/>
      </c>
      <c r="M577">
        <f>IF(ISNUMBER(H577),IF(H577&gt;0,1,0),"")</f>
        <v/>
      </c>
    </row>
    <row r="578">
      <c r="A578" t="inlineStr">
        <is>
          <t>SIMULATED_FEA_Commercial_Study</t>
        </is>
      </c>
      <c r="B578" t="inlineStr">
        <is>
          <t>V11</t>
        </is>
      </c>
      <c r="C578" t="inlineStr">
        <is>
          <t>Annotation</t>
        </is>
      </c>
      <c r="D578" t="inlineStr">
        <is>
          <t>Bin_04</t>
        </is>
      </c>
      <c r="E578" t="n">
        <v>10</v>
      </c>
      <c r="F578" t="inlineStr">
        <is>
          <t>Joy</t>
        </is>
      </c>
      <c r="G578" t="n">
        <v>50</v>
      </c>
      <c r="H578" t="n">
        <v>0</v>
      </c>
      <c r="I578" t="n">
        <v>0</v>
      </c>
      <c r="J578" t="inlineStr">
        <is>
          <t>NA</t>
        </is>
      </c>
      <c r="K578" t="n">
        <v>91.5</v>
      </c>
      <c r="L578">
        <f>IF(K578&gt;=80,"Yes","No")</f>
        <v/>
      </c>
      <c r="M578">
        <f>IF(ISNUMBER(H578),IF(H578&gt;0,1,0),"")</f>
        <v/>
      </c>
    </row>
    <row r="579">
      <c r="A579" t="inlineStr">
        <is>
          <t>SIMULATED_FEA_Commercial_Study</t>
        </is>
      </c>
      <c r="B579" t="inlineStr">
        <is>
          <t>V11</t>
        </is>
      </c>
      <c r="C579" t="inlineStr">
        <is>
          <t>Annotation</t>
        </is>
      </c>
      <c r="D579" t="inlineStr">
        <is>
          <t>Bin_04</t>
        </is>
      </c>
      <c r="E579" t="n">
        <v>10</v>
      </c>
      <c r="F579" t="inlineStr">
        <is>
          <t>Surprise</t>
        </is>
      </c>
      <c r="G579" t="n">
        <v>50</v>
      </c>
      <c r="H579" t="n">
        <v>0</v>
      </c>
      <c r="I579" t="n">
        <v>0</v>
      </c>
      <c r="J579" t="inlineStr">
        <is>
          <t>NA</t>
        </is>
      </c>
      <c r="K579" t="n">
        <v>91.5</v>
      </c>
      <c r="L579">
        <f>IF(K579&gt;=80,"Yes","No")</f>
        <v/>
      </c>
      <c r="M579">
        <f>IF(ISNUMBER(H579),IF(H579&gt;0,1,0),"")</f>
        <v/>
      </c>
    </row>
    <row r="580">
      <c r="A580" t="inlineStr">
        <is>
          <t>SIMULATED_FEA_Commercial_Study</t>
        </is>
      </c>
      <c r="B580" t="inlineStr">
        <is>
          <t>V11</t>
        </is>
      </c>
      <c r="C580" t="inlineStr">
        <is>
          <t>Annotation</t>
        </is>
      </c>
      <c r="D580" t="inlineStr">
        <is>
          <t>Bin_04</t>
        </is>
      </c>
      <c r="E580" t="n">
        <v>10</v>
      </c>
      <c r="F580" t="inlineStr">
        <is>
          <t>Brow Furrow</t>
        </is>
      </c>
      <c r="G580" t="n">
        <v>50</v>
      </c>
      <c r="H580" t="n">
        <v>0</v>
      </c>
      <c r="I580" t="n">
        <v>0</v>
      </c>
      <c r="J580" t="inlineStr">
        <is>
          <t>NA</t>
        </is>
      </c>
      <c r="K580" t="n">
        <v>91.5</v>
      </c>
      <c r="L580">
        <f>IF(K580&gt;=80,"Yes","No")</f>
        <v/>
      </c>
      <c r="M580">
        <f>IF(ISNUMBER(H580),IF(H580&gt;0,1,0),"")</f>
        <v/>
      </c>
    </row>
    <row r="581">
      <c r="A581" t="inlineStr">
        <is>
          <t>SIMULATED_FEA_Commercial_Study</t>
        </is>
      </c>
      <c r="B581" t="inlineStr">
        <is>
          <t>V11</t>
        </is>
      </c>
      <c r="C581" t="inlineStr">
        <is>
          <t>Annotation</t>
        </is>
      </c>
      <c r="D581" t="inlineStr">
        <is>
          <t>Bin_04</t>
        </is>
      </c>
      <c r="E581" t="n">
        <v>10</v>
      </c>
      <c r="F581" t="inlineStr">
        <is>
          <t>Positive Valence</t>
        </is>
      </c>
      <c r="G581" t="n">
        <v>50</v>
      </c>
      <c r="H581" t="n">
        <v>0</v>
      </c>
      <c r="I581" t="n">
        <v>0</v>
      </c>
      <c r="J581" t="inlineStr">
        <is>
          <t>NA</t>
        </is>
      </c>
      <c r="K581" t="n">
        <v>91.5</v>
      </c>
      <c r="L581">
        <f>IF(K581&gt;=80,"Yes","No")</f>
        <v/>
      </c>
      <c r="M581">
        <f>IF(ISNUMBER(H581),IF(H581&gt;0,1,0),"")</f>
        <v/>
      </c>
    </row>
    <row r="582">
      <c r="A582" t="inlineStr">
        <is>
          <t>SIMULATED_FEA_Commercial_Study</t>
        </is>
      </c>
      <c r="B582" t="inlineStr">
        <is>
          <t>V11</t>
        </is>
      </c>
      <c r="C582" t="inlineStr">
        <is>
          <t>Annotation</t>
        </is>
      </c>
      <c r="D582" t="inlineStr">
        <is>
          <t>Bin_04</t>
        </is>
      </c>
      <c r="E582" t="n">
        <v>10</v>
      </c>
      <c r="F582" t="inlineStr">
        <is>
          <t>Negative Valence</t>
        </is>
      </c>
      <c r="G582" t="n">
        <v>-50</v>
      </c>
      <c r="H582" t="n">
        <v>0</v>
      </c>
      <c r="I582" t="n">
        <v>0</v>
      </c>
      <c r="J582" t="inlineStr">
        <is>
          <t>NA</t>
        </is>
      </c>
      <c r="K582" t="n">
        <v>91.5</v>
      </c>
      <c r="L582">
        <f>IF(K582&gt;=80,"Yes","No")</f>
        <v/>
      </c>
      <c r="M582">
        <f>IF(ISNUMBER(H582),IF(H582&gt;0,1,0),"")</f>
        <v/>
      </c>
    </row>
    <row r="583">
      <c r="A583" t="inlineStr">
        <is>
          <t>SIMULATED_FEA_Commercial_Study</t>
        </is>
      </c>
      <c r="B583" t="inlineStr">
        <is>
          <t>V11</t>
        </is>
      </c>
      <c r="C583" t="inlineStr">
        <is>
          <t>Annotation</t>
        </is>
      </c>
      <c r="D583" t="inlineStr">
        <is>
          <t>Bin_04</t>
        </is>
      </c>
      <c r="E583" t="n">
        <v>10</v>
      </c>
      <c r="F583" t="inlineStr">
        <is>
          <t>Engagement</t>
        </is>
      </c>
      <c r="G583" t="inlineStr">
        <is>
          <t>NA</t>
        </is>
      </c>
      <c r="H583" t="inlineStr">
        <is>
          <t>NA</t>
        </is>
      </c>
      <c r="I583" t="inlineStr">
        <is>
          <t>NA</t>
        </is>
      </c>
      <c r="J583" t="n">
        <v>5.98</v>
      </c>
      <c r="K583" t="n">
        <v>91.5</v>
      </c>
      <c r="L583">
        <f>IF(K583&gt;=80,"Yes","No")</f>
        <v/>
      </c>
      <c r="M583">
        <f>IF(ISNUMBER(H583),IF(H583&gt;0,1,0),"")</f>
        <v/>
      </c>
    </row>
    <row r="584">
      <c r="A584" t="inlineStr">
        <is>
          <t>SIMULATED_FEA_Commercial_Study</t>
        </is>
      </c>
      <c r="B584" t="inlineStr">
        <is>
          <t>V11</t>
        </is>
      </c>
      <c r="C584" t="inlineStr">
        <is>
          <t>Annotation</t>
        </is>
      </c>
      <c r="D584" t="inlineStr">
        <is>
          <t>Bin_05</t>
        </is>
      </c>
      <c r="E584" t="n">
        <v>10</v>
      </c>
      <c r="F584" t="inlineStr">
        <is>
          <t>Joy</t>
        </is>
      </c>
      <c r="G584" t="n">
        <v>50</v>
      </c>
      <c r="H584" t="n">
        <v>0</v>
      </c>
      <c r="I584" t="n">
        <v>0</v>
      </c>
      <c r="J584" t="inlineStr">
        <is>
          <t>NA</t>
        </is>
      </c>
      <c r="K584" t="n">
        <v>91.5</v>
      </c>
      <c r="L584">
        <f>IF(K584&gt;=80,"Yes","No")</f>
        <v/>
      </c>
      <c r="M584">
        <f>IF(ISNUMBER(H584),IF(H584&gt;0,1,0),"")</f>
        <v/>
      </c>
    </row>
    <row r="585">
      <c r="A585" t="inlineStr">
        <is>
          <t>SIMULATED_FEA_Commercial_Study</t>
        </is>
      </c>
      <c r="B585" t="inlineStr">
        <is>
          <t>V11</t>
        </is>
      </c>
      <c r="C585" t="inlineStr">
        <is>
          <t>Annotation</t>
        </is>
      </c>
      <c r="D585" t="inlineStr">
        <is>
          <t>Bin_05</t>
        </is>
      </c>
      <c r="E585" t="n">
        <v>10</v>
      </c>
      <c r="F585" t="inlineStr">
        <is>
          <t>Surprise</t>
        </is>
      </c>
      <c r="G585" t="n">
        <v>50</v>
      </c>
      <c r="H585" t="n">
        <v>0</v>
      </c>
      <c r="I585" t="n">
        <v>0</v>
      </c>
      <c r="J585" t="inlineStr">
        <is>
          <t>NA</t>
        </is>
      </c>
      <c r="K585" t="n">
        <v>91.5</v>
      </c>
      <c r="L585">
        <f>IF(K585&gt;=80,"Yes","No")</f>
        <v/>
      </c>
      <c r="M585">
        <f>IF(ISNUMBER(H585),IF(H585&gt;0,1,0),"")</f>
        <v/>
      </c>
    </row>
    <row r="586">
      <c r="A586" t="inlineStr">
        <is>
          <t>SIMULATED_FEA_Commercial_Study</t>
        </is>
      </c>
      <c r="B586" t="inlineStr">
        <is>
          <t>V11</t>
        </is>
      </c>
      <c r="C586" t="inlineStr">
        <is>
          <t>Annotation</t>
        </is>
      </c>
      <c r="D586" t="inlineStr">
        <is>
          <t>Bin_05</t>
        </is>
      </c>
      <c r="E586" t="n">
        <v>10</v>
      </c>
      <c r="F586" t="inlineStr">
        <is>
          <t>Brow Furrow</t>
        </is>
      </c>
      <c r="G586" t="n">
        <v>50</v>
      </c>
      <c r="H586" t="n">
        <v>0</v>
      </c>
      <c r="I586" t="n">
        <v>0</v>
      </c>
      <c r="J586" t="inlineStr">
        <is>
          <t>NA</t>
        </is>
      </c>
      <c r="K586" t="n">
        <v>91.5</v>
      </c>
      <c r="L586">
        <f>IF(K586&gt;=80,"Yes","No")</f>
        <v/>
      </c>
      <c r="M586">
        <f>IF(ISNUMBER(H586),IF(H586&gt;0,1,0),"")</f>
        <v/>
      </c>
    </row>
    <row r="587">
      <c r="A587" t="inlineStr">
        <is>
          <t>SIMULATED_FEA_Commercial_Study</t>
        </is>
      </c>
      <c r="B587" t="inlineStr">
        <is>
          <t>V11</t>
        </is>
      </c>
      <c r="C587" t="inlineStr">
        <is>
          <t>Annotation</t>
        </is>
      </c>
      <c r="D587" t="inlineStr">
        <is>
          <t>Bin_05</t>
        </is>
      </c>
      <c r="E587" t="n">
        <v>10</v>
      </c>
      <c r="F587" t="inlineStr">
        <is>
          <t>Positive Valence</t>
        </is>
      </c>
      <c r="G587" t="n">
        <v>50</v>
      </c>
      <c r="H587" t="n">
        <v>0</v>
      </c>
      <c r="I587" t="n">
        <v>0</v>
      </c>
      <c r="J587" t="inlineStr">
        <is>
          <t>NA</t>
        </is>
      </c>
      <c r="K587" t="n">
        <v>91.5</v>
      </c>
      <c r="L587">
        <f>IF(K587&gt;=80,"Yes","No")</f>
        <v/>
      </c>
      <c r="M587">
        <f>IF(ISNUMBER(H587),IF(H587&gt;0,1,0),"")</f>
        <v/>
      </c>
    </row>
    <row r="588">
      <c r="A588" t="inlineStr">
        <is>
          <t>SIMULATED_FEA_Commercial_Study</t>
        </is>
      </c>
      <c r="B588" t="inlineStr">
        <is>
          <t>V11</t>
        </is>
      </c>
      <c r="C588" t="inlineStr">
        <is>
          <t>Annotation</t>
        </is>
      </c>
      <c r="D588" t="inlineStr">
        <is>
          <t>Bin_05</t>
        </is>
      </c>
      <c r="E588" t="n">
        <v>10</v>
      </c>
      <c r="F588" t="inlineStr">
        <is>
          <t>Negative Valence</t>
        </is>
      </c>
      <c r="G588" t="n">
        <v>-50</v>
      </c>
      <c r="H588" t="n">
        <v>2.67</v>
      </c>
      <c r="I588" t="n">
        <v>2</v>
      </c>
      <c r="J588" t="inlineStr">
        <is>
          <t>NA</t>
        </is>
      </c>
      <c r="K588" t="n">
        <v>91.5</v>
      </c>
      <c r="L588">
        <f>IF(K588&gt;=80,"Yes","No")</f>
        <v/>
      </c>
      <c r="M588">
        <f>IF(ISNUMBER(H588),IF(H588&gt;0,1,0),"")</f>
        <v/>
      </c>
    </row>
    <row r="589">
      <c r="A589" t="inlineStr">
        <is>
          <t>SIMULATED_FEA_Commercial_Study</t>
        </is>
      </c>
      <c r="B589" t="inlineStr">
        <is>
          <t>V11</t>
        </is>
      </c>
      <c r="C589" t="inlineStr">
        <is>
          <t>Annotation</t>
        </is>
      </c>
      <c r="D589" t="inlineStr">
        <is>
          <t>Bin_05</t>
        </is>
      </c>
      <c r="E589" t="n">
        <v>10</v>
      </c>
      <c r="F589" t="inlineStr">
        <is>
          <t>Engagement</t>
        </is>
      </c>
      <c r="G589" t="inlineStr">
        <is>
          <t>NA</t>
        </is>
      </c>
      <c r="H589" t="inlineStr">
        <is>
          <t>NA</t>
        </is>
      </c>
      <c r="I589" t="inlineStr">
        <is>
          <t>NA</t>
        </is>
      </c>
      <c r="J589" t="n">
        <v>5.7</v>
      </c>
      <c r="K589" t="n">
        <v>91.5</v>
      </c>
      <c r="L589">
        <f>IF(K589&gt;=80,"Yes","No")</f>
        <v/>
      </c>
      <c r="M589">
        <f>IF(ISNUMBER(H589),IF(H589&gt;0,1,0),"")</f>
        <v/>
      </c>
    </row>
    <row r="590">
      <c r="A590" t="inlineStr">
        <is>
          <t>SIMULATED_FEA_Commercial_Study</t>
        </is>
      </c>
      <c r="B590" t="inlineStr">
        <is>
          <t>V11</t>
        </is>
      </c>
      <c r="C590" t="inlineStr">
        <is>
          <t>Annotation</t>
        </is>
      </c>
      <c r="D590" t="inlineStr">
        <is>
          <t>Bin_06</t>
        </is>
      </c>
      <c r="E590" t="n">
        <v>10</v>
      </c>
      <c r="F590" t="inlineStr">
        <is>
          <t>Joy</t>
        </is>
      </c>
      <c r="G590" t="n">
        <v>50</v>
      </c>
      <c r="H590" t="n">
        <v>0</v>
      </c>
      <c r="I590" t="n">
        <v>0</v>
      </c>
      <c r="J590" t="inlineStr">
        <is>
          <t>NA</t>
        </is>
      </c>
      <c r="K590" t="n">
        <v>91.5</v>
      </c>
      <c r="L590">
        <f>IF(K590&gt;=80,"Yes","No")</f>
        <v/>
      </c>
      <c r="M590">
        <f>IF(ISNUMBER(H590),IF(H590&gt;0,1,0),"")</f>
        <v/>
      </c>
    </row>
    <row r="591">
      <c r="A591" t="inlineStr">
        <is>
          <t>SIMULATED_FEA_Commercial_Study</t>
        </is>
      </c>
      <c r="B591" t="inlineStr">
        <is>
          <t>V11</t>
        </is>
      </c>
      <c r="C591" t="inlineStr">
        <is>
          <t>Annotation</t>
        </is>
      </c>
      <c r="D591" t="inlineStr">
        <is>
          <t>Bin_06</t>
        </is>
      </c>
      <c r="E591" t="n">
        <v>10</v>
      </c>
      <c r="F591" t="inlineStr">
        <is>
          <t>Surprise</t>
        </is>
      </c>
      <c r="G591" t="n">
        <v>50</v>
      </c>
      <c r="H591" t="n">
        <v>0</v>
      </c>
      <c r="I591" t="n">
        <v>0</v>
      </c>
      <c r="J591" t="inlineStr">
        <is>
          <t>NA</t>
        </is>
      </c>
      <c r="K591" t="n">
        <v>91.5</v>
      </c>
      <c r="L591">
        <f>IF(K591&gt;=80,"Yes","No")</f>
        <v/>
      </c>
      <c r="M591">
        <f>IF(ISNUMBER(H591),IF(H591&gt;0,1,0),"")</f>
        <v/>
      </c>
    </row>
    <row r="592">
      <c r="A592" t="inlineStr">
        <is>
          <t>SIMULATED_FEA_Commercial_Study</t>
        </is>
      </c>
      <c r="B592" t="inlineStr">
        <is>
          <t>V11</t>
        </is>
      </c>
      <c r="C592" t="inlineStr">
        <is>
          <t>Annotation</t>
        </is>
      </c>
      <c r="D592" t="inlineStr">
        <is>
          <t>Bin_06</t>
        </is>
      </c>
      <c r="E592" t="n">
        <v>10</v>
      </c>
      <c r="F592" t="inlineStr">
        <is>
          <t>Brow Furrow</t>
        </is>
      </c>
      <c r="G592" t="n">
        <v>50</v>
      </c>
      <c r="H592" t="n">
        <v>0</v>
      </c>
      <c r="I592" t="n">
        <v>0</v>
      </c>
      <c r="J592" t="inlineStr">
        <is>
          <t>NA</t>
        </is>
      </c>
      <c r="K592" t="n">
        <v>91.5</v>
      </c>
      <c r="L592">
        <f>IF(K592&gt;=80,"Yes","No")</f>
        <v/>
      </c>
      <c r="M592">
        <f>IF(ISNUMBER(H592),IF(H592&gt;0,1,0),"")</f>
        <v/>
      </c>
    </row>
    <row r="593">
      <c r="A593" t="inlineStr">
        <is>
          <t>SIMULATED_FEA_Commercial_Study</t>
        </is>
      </c>
      <c r="B593" t="inlineStr">
        <is>
          <t>V11</t>
        </is>
      </c>
      <c r="C593" t="inlineStr">
        <is>
          <t>Annotation</t>
        </is>
      </c>
      <c r="D593" t="inlineStr">
        <is>
          <t>Bin_06</t>
        </is>
      </c>
      <c r="E593" t="n">
        <v>10</v>
      </c>
      <c r="F593" t="inlineStr">
        <is>
          <t>Positive Valence</t>
        </is>
      </c>
      <c r="G593" t="n">
        <v>50</v>
      </c>
      <c r="H593" t="n">
        <v>0</v>
      </c>
      <c r="I593" t="n">
        <v>0</v>
      </c>
      <c r="J593" t="inlineStr">
        <is>
          <t>NA</t>
        </is>
      </c>
      <c r="K593" t="n">
        <v>91.5</v>
      </c>
      <c r="L593">
        <f>IF(K593&gt;=80,"Yes","No")</f>
        <v/>
      </c>
      <c r="M593">
        <f>IF(ISNUMBER(H593),IF(H593&gt;0,1,0),"")</f>
        <v/>
      </c>
    </row>
    <row r="594">
      <c r="A594" t="inlineStr">
        <is>
          <t>SIMULATED_FEA_Commercial_Study</t>
        </is>
      </c>
      <c r="B594" t="inlineStr">
        <is>
          <t>V11</t>
        </is>
      </c>
      <c r="C594" t="inlineStr">
        <is>
          <t>Annotation</t>
        </is>
      </c>
      <c r="D594" t="inlineStr">
        <is>
          <t>Bin_06</t>
        </is>
      </c>
      <c r="E594" t="n">
        <v>10</v>
      </c>
      <c r="F594" t="inlineStr">
        <is>
          <t>Negative Valence</t>
        </is>
      </c>
      <c r="G594" t="n">
        <v>-50</v>
      </c>
      <c r="H594" t="n">
        <v>0</v>
      </c>
      <c r="I594" t="n">
        <v>0</v>
      </c>
      <c r="J594" t="inlineStr">
        <is>
          <t>NA</t>
        </is>
      </c>
      <c r="K594" t="n">
        <v>91.5</v>
      </c>
      <c r="L594">
        <f>IF(K594&gt;=80,"Yes","No")</f>
        <v/>
      </c>
      <c r="M594">
        <f>IF(ISNUMBER(H594),IF(H594&gt;0,1,0),"")</f>
        <v/>
      </c>
    </row>
    <row r="595">
      <c r="A595" t="inlineStr">
        <is>
          <t>SIMULATED_FEA_Commercial_Study</t>
        </is>
      </c>
      <c r="B595" t="inlineStr">
        <is>
          <t>V11</t>
        </is>
      </c>
      <c r="C595" t="inlineStr">
        <is>
          <t>Annotation</t>
        </is>
      </c>
      <c r="D595" t="inlineStr">
        <is>
          <t>Bin_06</t>
        </is>
      </c>
      <c r="E595" t="n">
        <v>10</v>
      </c>
      <c r="F595" t="inlineStr">
        <is>
          <t>Engagement</t>
        </is>
      </c>
      <c r="G595" t="inlineStr">
        <is>
          <t>NA</t>
        </is>
      </c>
      <c r="H595" t="inlineStr">
        <is>
          <t>NA</t>
        </is>
      </c>
      <c r="I595" t="inlineStr">
        <is>
          <t>NA</t>
        </is>
      </c>
      <c r="J595" t="n">
        <v>4.89</v>
      </c>
      <c r="K595" t="n">
        <v>91.5</v>
      </c>
      <c r="L595">
        <f>IF(K595&gt;=80,"Yes","No")</f>
        <v/>
      </c>
      <c r="M595">
        <f>IF(ISNUMBER(H595),IF(H595&gt;0,1,0),"")</f>
        <v/>
      </c>
    </row>
    <row r="596">
      <c r="A596" t="inlineStr">
        <is>
          <t>SIMULATED_FEA_Commercial_Study</t>
        </is>
      </c>
      <c r="B596" t="inlineStr">
        <is>
          <t>V12</t>
        </is>
      </c>
      <c r="C596" t="inlineStr">
        <is>
          <t>Stimulus</t>
        </is>
      </c>
      <c r="D596" t="inlineStr">
        <is>
          <t>Baseline</t>
        </is>
      </c>
      <c r="E596" t="n">
        <v>60</v>
      </c>
      <c r="F596" t="inlineStr">
        <is>
          <t>Joy</t>
        </is>
      </c>
      <c r="G596" t="n">
        <v>50</v>
      </c>
      <c r="H596" t="n">
        <v>2.33</v>
      </c>
      <c r="I596" t="n">
        <v>1</v>
      </c>
      <c r="J596" t="inlineStr">
        <is>
          <t>NA</t>
        </is>
      </c>
      <c r="K596" t="n">
        <v>98.5</v>
      </c>
      <c r="L596">
        <f>IF(K596&gt;=80,"Yes","No")</f>
        <v/>
      </c>
      <c r="M596">
        <f>IF(ISNUMBER(H596),IF(H596&gt;0,1,0),"")</f>
        <v/>
      </c>
    </row>
    <row r="597">
      <c r="A597" t="inlineStr">
        <is>
          <t>SIMULATED_FEA_Commercial_Study</t>
        </is>
      </c>
      <c r="B597" t="inlineStr">
        <is>
          <t>V12</t>
        </is>
      </c>
      <c r="C597" t="inlineStr">
        <is>
          <t>Stimulus</t>
        </is>
      </c>
      <c r="D597" t="inlineStr">
        <is>
          <t>Baseline</t>
        </is>
      </c>
      <c r="E597" t="n">
        <v>60</v>
      </c>
      <c r="F597" t="inlineStr">
        <is>
          <t>Surprise</t>
        </is>
      </c>
      <c r="G597" t="n">
        <v>50</v>
      </c>
      <c r="H597" t="n">
        <v>0</v>
      </c>
      <c r="I597" t="n">
        <v>0</v>
      </c>
      <c r="J597" t="inlineStr">
        <is>
          <t>NA</t>
        </is>
      </c>
      <c r="K597" t="n">
        <v>98.5</v>
      </c>
      <c r="L597">
        <f>IF(K597&gt;=80,"Yes","No")</f>
        <v/>
      </c>
      <c r="M597">
        <f>IF(ISNUMBER(H597),IF(H597&gt;0,1,0),"")</f>
        <v/>
      </c>
    </row>
    <row r="598">
      <c r="A598" t="inlineStr">
        <is>
          <t>SIMULATED_FEA_Commercial_Study</t>
        </is>
      </c>
      <c r="B598" t="inlineStr">
        <is>
          <t>V12</t>
        </is>
      </c>
      <c r="C598" t="inlineStr">
        <is>
          <t>Stimulus</t>
        </is>
      </c>
      <c r="D598" t="inlineStr">
        <is>
          <t>Baseline</t>
        </is>
      </c>
      <c r="E598" t="n">
        <v>60</v>
      </c>
      <c r="F598" t="inlineStr">
        <is>
          <t>Brow Furrow</t>
        </is>
      </c>
      <c r="G598" t="n">
        <v>50</v>
      </c>
      <c r="H598" t="n">
        <v>0</v>
      </c>
      <c r="I598" t="n">
        <v>0</v>
      </c>
      <c r="J598" t="inlineStr">
        <is>
          <t>NA</t>
        </is>
      </c>
      <c r="K598" t="n">
        <v>98.5</v>
      </c>
      <c r="L598">
        <f>IF(K598&gt;=80,"Yes","No")</f>
        <v/>
      </c>
      <c r="M598">
        <f>IF(ISNUMBER(H598),IF(H598&gt;0,1,0),"")</f>
        <v/>
      </c>
    </row>
    <row r="599">
      <c r="A599" t="inlineStr">
        <is>
          <t>SIMULATED_FEA_Commercial_Study</t>
        </is>
      </c>
      <c r="B599" t="inlineStr">
        <is>
          <t>V12</t>
        </is>
      </c>
      <c r="C599" t="inlineStr">
        <is>
          <t>Stimulus</t>
        </is>
      </c>
      <c r="D599" t="inlineStr">
        <is>
          <t>Baseline</t>
        </is>
      </c>
      <c r="E599" t="n">
        <v>60</v>
      </c>
      <c r="F599" t="inlineStr">
        <is>
          <t>Positive Valence</t>
        </is>
      </c>
      <c r="G599" t="n">
        <v>50</v>
      </c>
      <c r="H599" t="n">
        <v>2.33</v>
      </c>
      <c r="I599" t="n">
        <v>1</v>
      </c>
      <c r="J599" t="inlineStr">
        <is>
          <t>NA</t>
        </is>
      </c>
      <c r="K599" t="n">
        <v>98.5</v>
      </c>
      <c r="L599">
        <f>IF(K599&gt;=80,"Yes","No")</f>
        <v/>
      </c>
      <c r="M599">
        <f>IF(ISNUMBER(H599),IF(H599&gt;0,1,0),"")</f>
        <v/>
      </c>
    </row>
    <row r="600">
      <c r="A600" t="inlineStr">
        <is>
          <t>SIMULATED_FEA_Commercial_Study</t>
        </is>
      </c>
      <c r="B600" t="inlineStr">
        <is>
          <t>V12</t>
        </is>
      </c>
      <c r="C600" t="inlineStr">
        <is>
          <t>Stimulus</t>
        </is>
      </c>
      <c r="D600" t="inlineStr">
        <is>
          <t>Baseline</t>
        </is>
      </c>
      <c r="E600" t="n">
        <v>60</v>
      </c>
      <c r="F600" t="inlineStr">
        <is>
          <t>Negative Valence</t>
        </is>
      </c>
      <c r="G600" t="n">
        <v>-50</v>
      </c>
      <c r="H600" t="n">
        <v>0</v>
      </c>
      <c r="I600" t="n">
        <v>0</v>
      </c>
      <c r="J600" t="inlineStr">
        <is>
          <t>NA</t>
        </is>
      </c>
      <c r="K600" t="n">
        <v>98.5</v>
      </c>
      <c r="L600">
        <f>IF(K600&gt;=80,"Yes","No")</f>
        <v/>
      </c>
      <c r="M600">
        <f>IF(ISNUMBER(H600),IF(H600&gt;0,1,0),"")</f>
        <v/>
      </c>
    </row>
    <row r="601">
      <c r="A601" t="inlineStr">
        <is>
          <t>SIMULATED_FEA_Commercial_Study</t>
        </is>
      </c>
      <c r="B601" t="inlineStr">
        <is>
          <t>V12</t>
        </is>
      </c>
      <c r="C601" t="inlineStr">
        <is>
          <t>Stimulus</t>
        </is>
      </c>
      <c r="D601" t="inlineStr">
        <is>
          <t>Baseline</t>
        </is>
      </c>
      <c r="E601" t="n">
        <v>60</v>
      </c>
      <c r="F601" t="inlineStr">
        <is>
          <t>Engagement</t>
        </is>
      </c>
      <c r="G601" t="inlineStr">
        <is>
          <t>NA</t>
        </is>
      </c>
      <c r="H601" t="inlineStr">
        <is>
          <t>NA</t>
        </is>
      </c>
      <c r="I601" t="inlineStr">
        <is>
          <t>NA</t>
        </is>
      </c>
      <c r="J601" t="n">
        <v>7.61</v>
      </c>
      <c r="K601" t="n">
        <v>98.5</v>
      </c>
      <c r="L601">
        <f>IF(K601&gt;=80,"Yes","No")</f>
        <v/>
      </c>
      <c r="M601">
        <f>IF(ISNUMBER(H601),IF(H601&gt;0,1,0),"")</f>
        <v/>
      </c>
    </row>
    <row r="602">
      <c r="A602" t="inlineStr">
        <is>
          <t>SIMULATED_FEA_Commercial_Study</t>
        </is>
      </c>
      <c r="B602" t="inlineStr">
        <is>
          <t>V12</t>
        </is>
      </c>
      <c r="C602" t="inlineStr">
        <is>
          <t>Stimulus</t>
        </is>
      </c>
      <c r="D602" t="inlineStr">
        <is>
          <t>Commercial</t>
        </is>
      </c>
      <c r="E602" t="n">
        <v>60</v>
      </c>
      <c r="F602" t="inlineStr">
        <is>
          <t>Joy</t>
        </is>
      </c>
      <c r="G602" t="n">
        <v>50</v>
      </c>
      <c r="H602" t="n">
        <v>3.44</v>
      </c>
      <c r="I602" t="n">
        <v>5</v>
      </c>
      <c r="J602" t="inlineStr">
        <is>
          <t>NA</t>
        </is>
      </c>
      <c r="K602" t="n">
        <v>98.5</v>
      </c>
      <c r="L602">
        <f>IF(K602&gt;=80,"Yes","No")</f>
        <v/>
      </c>
      <c r="M602">
        <f>IF(ISNUMBER(H602),IF(H602&gt;0,1,0),"")</f>
        <v/>
      </c>
    </row>
    <row r="603">
      <c r="A603" t="inlineStr">
        <is>
          <t>SIMULATED_FEA_Commercial_Study</t>
        </is>
      </c>
      <c r="B603" t="inlineStr">
        <is>
          <t>V12</t>
        </is>
      </c>
      <c r="C603" t="inlineStr">
        <is>
          <t>Stimulus</t>
        </is>
      </c>
      <c r="D603" t="inlineStr">
        <is>
          <t>Commercial</t>
        </is>
      </c>
      <c r="E603" t="n">
        <v>60</v>
      </c>
      <c r="F603" t="inlineStr">
        <is>
          <t>Surprise</t>
        </is>
      </c>
      <c r="G603" t="n">
        <v>50</v>
      </c>
      <c r="H603" t="n">
        <v>4.22</v>
      </c>
      <c r="I603" t="n">
        <v>2</v>
      </c>
      <c r="J603" t="inlineStr">
        <is>
          <t>NA</t>
        </is>
      </c>
      <c r="K603" t="n">
        <v>98.5</v>
      </c>
      <c r="L603">
        <f>IF(K603&gt;=80,"Yes","No")</f>
        <v/>
      </c>
      <c r="M603">
        <f>IF(ISNUMBER(H603),IF(H603&gt;0,1,0),"")</f>
        <v/>
      </c>
    </row>
    <row r="604">
      <c r="A604" t="inlineStr">
        <is>
          <t>SIMULATED_FEA_Commercial_Study</t>
        </is>
      </c>
      <c r="B604" t="inlineStr">
        <is>
          <t>V12</t>
        </is>
      </c>
      <c r="C604" t="inlineStr">
        <is>
          <t>Stimulus</t>
        </is>
      </c>
      <c r="D604" t="inlineStr">
        <is>
          <t>Commercial</t>
        </is>
      </c>
      <c r="E604" t="n">
        <v>60</v>
      </c>
      <c r="F604" t="inlineStr">
        <is>
          <t>Brow Furrow</t>
        </is>
      </c>
      <c r="G604" t="n">
        <v>50</v>
      </c>
      <c r="H604" t="n">
        <v>0</v>
      </c>
      <c r="I604" t="n">
        <v>0</v>
      </c>
      <c r="J604" t="inlineStr">
        <is>
          <t>NA</t>
        </is>
      </c>
      <c r="K604" t="n">
        <v>98.5</v>
      </c>
      <c r="L604">
        <f>IF(K604&gt;=80,"Yes","No")</f>
        <v/>
      </c>
      <c r="M604">
        <f>IF(ISNUMBER(H604),IF(H604&gt;0,1,0),"")</f>
        <v/>
      </c>
    </row>
    <row r="605">
      <c r="A605" t="inlineStr">
        <is>
          <t>SIMULATED_FEA_Commercial_Study</t>
        </is>
      </c>
      <c r="B605" t="inlineStr">
        <is>
          <t>V12</t>
        </is>
      </c>
      <c r="C605" t="inlineStr">
        <is>
          <t>Stimulus</t>
        </is>
      </c>
      <c r="D605" t="inlineStr">
        <is>
          <t>Commercial</t>
        </is>
      </c>
      <c r="E605" t="n">
        <v>60</v>
      </c>
      <c r="F605" t="inlineStr">
        <is>
          <t>Positive Valence</t>
        </is>
      </c>
      <c r="G605" t="n">
        <v>50</v>
      </c>
      <c r="H605" t="n">
        <v>4.28</v>
      </c>
      <c r="I605" t="n">
        <v>6</v>
      </c>
      <c r="J605" t="inlineStr">
        <is>
          <t>NA</t>
        </is>
      </c>
      <c r="K605" t="n">
        <v>98.5</v>
      </c>
      <c r="L605">
        <f>IF(K605&gt;=80,"Yes","No")</f>
        <v/>
      </c>
      <c r="M605">
        <f>IF(ISNUMBER(H605),IF(H605&gt;0,1,0),"")</f>
        <v/>
      </c>
    </row>
    <row r="606">
      <c r="A606" t="inlineStr">
        <is>
          <t>SIMULATED_FEA_Commercial_Study</t>
        </is>
      </c>
      <c r="B606" t="inlineStr">
        <is>
          <t>V12</t>
        </is>
      </c>
      <c r="C606" t="inlineStr">
        <is>
          <t>Stimulus</t>
        </is>
      </c>
      <c r="D606" t="inlineStr">
        <is>
          <t>Commercial</t>
        </is>
      </c>
      <c r="E606" t="n">
        <v>60</v>
      </c>
      <c r="F606" t="inlineStr">
        <is>
          <t>Negative Valence</t>
        </is>
      </c>
      <c r="G606" t="n">
        <v>-50</v>
      </c>
      <c r="H606" t="n">
        <v>1.17</v>
      </c>
      <c r="I606" t="n">
        <v>1</v>
      </c>
      <c r="J606" t="inlineStr">
        <is>
          <t>NA</t>
        </is>
      </c>
      <c r="K606" t="n">
        <v>98.5</v>
      </c>
      <c r="L606">
        <f>IF(K606&gt;=80,"Yes","No")</f>
        <v/>
      </c>
      <c r="M606">
        <f>IF(ISNUMBER(H606),IF(H606&gt;0,1,0),"")</f>
        <v/>
      </c>
    </row>
    <row r="607">
      <c r="A607" t="inlineStr">
        <is>
          <t>SIMULATED_FEA_Commercial_Study</t>
        </is>
      </c>
      <c r="B607" t="inlineStr">
        <is>
          <t>V12</t>
        </is>
      </c>
      <c r="C607" t="inlineStr">
        <is>
          <t>Stimulus</t>
        </is>
      </c>
      <c r="D607" t="inlineStr">
        <is>
          <t>Commercial</t>
        </is>
      </c>
      <c r="E607" t="n">
        <v>60</v>
      </c>
      <c r="F607" t="inlineStr">
        <is>
          <t>Engagement</t>
        </is>
      </c>
      <c r="G607" t="inlineStr">
        <is>
          <t>NA</t>
        </is>
      </c>
      <c r="H607" t="inlineStr">
        <is>
          <t>NA</t>
        </is>
      </c>
      <c r="I607" t="inlineStr">
        <is>
          <t>NA</t>
        </is>
      </c>
      <c r="J607" t="n">
        <v>13.93</v>
      </c>
      <c r="K607" t="n">
        <v>98.5</v>
      </c>
      <c r="L607">
        <f>IF(K607&gt;=80,"Yes","No")</f>
        <v/>
      </c>
      <c r="M607">
        <f>IF(ISNUMBER(H607),IF(H607&gt;0,1,0),"")</f>
        <v/>
      </c>
    </row>
    <row r="608">
      <c r="A608" t="inlineStr">
        <is>
          <t>SIMULATED_FEA_Commercial_Study</t>
        </is>
      </c>
      <c r="B608" t="inlineStr">
        <is>
          <t>V12</t>
        </is>
      </c>
      <c r="C608" t="inlineStr">
        <is>
          <t>Stimulus</t>
        </is>
      </c>
      <c r="D608" t="inlineStr">
        <is>
          <t>Recovery</t>
        </is>
      </c>
      <c r="E608" t="n">
        <v>15</v>
      </c>
      <c r="F608" t="inlineStr">
        <is>
          <t>Joy</t>
        </is>
      </c>
      <c r="G608" t="n">
        <v>50</v>
      </c>
      <c r="H608" t="n">
        <v>0</v>
      </c>
      <c r="I608" t="n">
        <v>0</v>
      </c>
      <c r="J608" t="inlineStr">
        <is>
          <t>NA</t>
        </is>
      </c>
      <c r="K608" t="n">
        <v>98.5</v>
      </c>
      <c r="L608">
        <f>IF(K608&gt;=80,"Yes","No")</f>
        <v/>
      </c>
      <c r="M608">
        <f>IF(ISNUMBER(H608),IF(H608&gt;0,1,0),"")</f>
        <v/>
      </c>
    </row>
    <row r="609">
      <c r="A609" t="inlineStr">
        <is>
          <t>SIMULATED_FEA_Commercial_Study</t>
        </is>
      </c>
      <c r="B609" t="inlineStr">
        <is>
          <t>V12</t>
        </is>
      </c>
      <c r="C609" t="inlineStr">
        <is>
          <t>Stimulus</t>
        </is>
      </c>
      <c r="D609" t="inlineStr">
        <is>
          <t>Recovery</t>
        </is>
      </c>
      <c r="E609" t="n">
        <v>15</v>
      </c>
      <c r="F609" t="inlineStr">
        <is>
          <t>Surprise</t>
        </is>
      </c>
      <c r="G609" t="n">
        <v>50</v>
      </c>
      <c r="H609" t="n">
        <v>0</v>
      </c>
      <c r="I609" t="n">
        <v>0</v>
      </c>
      <c r="J609" t="inlineStr">
        <is>
          <t>NA</t>
        </is>
      </c>
      <c r="K609" t="n">
        <v>98.5</v>
      </c>
      <c r="L609">
        <f>IF(K609&gt;=80,"Yes","No")</f>
        <v/>
      </c>
      <c r="M609">
        <f>IF(ISNUMBER(H609),IF(H609&gt;0,1,0),"")</f>
        <v/>
      </c>
    </row>
    <row r="610">
      <c r="A610" t="inlineStr">
        <is>
          <t>SIMULATED_FEA_Commercial_Study</t>
        </is>
      </c>
      <c r="B610" t="inlineStr">
        <is>
          <t>V12</t>
        </is>
      </c>
      <c r="C610" t="inlineStr">
        <is>
          <t>Stimulus</t>
        </is>
      </c>
      <c r="D610" t="inlineStr">
        <is>
          <t>Recovery</t>
        </is>
      </c>
      <c r="E610" t="n">
        <v>15</v>
      </c>
      <c r="F610" t="inlineStr">
        <is>
          <t>Brow Furrow</t>
        </is>
      </c>
      <c r="G610" t="n">
        <v>50</v>
      </c>
      <c r="H610" t="n">
        <v>0</v>
      </c>
      <c r="I610" t="n">
        <v>0</v>
      </c>
      <c r="J610" t="inlineStr">
        <is>
          <t>NA</t>
        </is>
      </c>
      <c r="K610" t="n">
        <v>98.5</v>
      </c>
      <c r="L610">
        <f>IF(K610&gt;=80,"Yes","No")</f>
        <v/>
      </c>
      <c r="M610">
        <f>IF(ISNUMBER(H610),IF(H610&gt;0,1,0),"")</f>
        <v/>
      </c>
    </row>
    <row r="611">
      <c r="A611" t="inlineStr">
        <is>
          <t>SIMULATED_FEA_Commercial_Study</t>
        </is>
      </c>
      <c r="B611" t="inlineStr">
        <is>
          <t>V12</t>
        </is>
      </c>
      <c r="C611" t="inlineStr">
        <is>
          <t>Stimulus</t>
        </is>
      </c>
      <c r="D611" t="inlineStr">
        <is>
          <t>Recovery</t>
        </is>
      </c>
      <c r="E611" t="n">
        <v>15</v>
      </c>
      <c r="F611" t="inlineStr">
        <is>
          <t>Positive Valence</t>
        </is>
      </c>
      <c r="G611" t="n">
        <v>50</v>
      </c>
      <c r="H611" t="n">
        <v>0</v>
      </c>
      <c r="I611" t="n">
        <v>0</v>
      </c>
      <c r="J611" t="inlineStr">
        <is>
          <t>NA</t>
        </is>
      </c>
      <c r="K611" t="n">
        <v>98.5</v>
      </c>
      <c r="L611">
        <f>IF(K611&gt;=80,"Yes","No")</f>
        <v/>
      </c>
      <c r="M611">
        <f>IF(ISNUMBER(H611),IF(H611&gt;0,1,0),"")</f>
        <v/>
      </c>
    </row>
    <row r="612">
      <c r="A612" t="inlineStr">
        <is>
          <t>SIMULATED_FEA_Commercial_Study</t>
        </is>
      </c>
      <c r="B612" t="inlineStr">
        <is>
          <t>V12</t>
        </is>
      </c>
      <c r="C612" t="inlineStr">
        <is>
          <t>Stimulus</t>
        </is>
      </c>
      <c r="D612" t="inlineStr">
        <is>
          <t>Recovery</t>
        </is>
      </c>
      <c r="E612" t="n">
        <v>15</v>
      </c>
      <c r="F612" t="inlineStr">
        <is>
          <t>Negative Valence</t>
        </is>
      </c>
      <c r="G612" t="n">
        <v>-50</v>
      </c>
      <c r="H612" t="n">
        <v>0</v>
      </c>
      <c r="I612" t="n">
        <v>0</v>
      </c>
      <c r="J612" t="inlineStr">
        <is>
          <t>NA</t>
        </is>
      </c>
      <c r="K612" t="n">
        <v>98.5</v>
      </c>
      <c r="L612">
        <f>IF(K612&gt;=80,"Yes","No")</f>
        <v/>
      </c>
      <c r="M612">
        <f>IF(ISNUMBER(H612),IF(H612&gt;0,1,0),"")</f>
        <v/>
      </c>
    </row>
    <row r="613">
      <c r="A613" t="inlineStr">
        <is>
          <t>SIMULATED_FEA_Commercial_Study</t>
        </is>
      </c>
      <c r="B613" t="inlineStr">
        <is>
          <t>V12</t>
        </is>
      </c>
      <c r="C613" t="inlineStr">
        <is>
          <t>Stimulus</t>
        </is>
      </c>
      <c r="D613" t="inlineStr">
        <is>
          <t>Recovery</t>
        </is>
      </c>
      <c r="E613" t="n">
        <v>15</v>
      </c>
      <c r="F613" t="inlineStr">
        <is>
          <t>Engagement</t>
        </is>
      </c>
      <c r="G613" t="inlineStr">
        <is>
          <t>NA</t>
        </is>
      </c>
      <c r="H613" t="inlineStr">
        <is>
          <t>NA</t>
        </is>
      </c>
      <c r="I613" t="inlineStr">
        <is>
          <t>NA</t>
        </is>
      </c>
      <c r="J613" t="n">
        <v>7.36</v>
      </c>
      <c r="K613" t="n">
        <v>98.5</v>
      </c>
      <c r="L613">
        <f>IF(K613&gt;=80,"Yes","No")</f>
        <v/>
      </c>
      <c r="M613">
        <f>IF(ISNUMBER(H613),IF(H613&gt;0,1,0),"")</f>
        <v/>
      </c>
    </row>
    <row r="614">
      <c r="A614" t="inlineStr">
        <is>
          <t>SIMULATED_FEA_Commercial_Study</t>
        </is>
      </c>
      <c r="B614" t="inlineStr">
        <is>
          <t>V12</t>
        </is>
      </c>
      <c r="C614" t="inlineStr">
        <is>
          <t>Annotation</t>
        </is>
      </c>
      <c r="D614" t="inlineStr">
        <is>
          <t>Bin_01</t>
        </is>
      </c>
      <c r="E614" t="n">
        <v>10</v>
      </c>
      <c r="F614" t="inlineStr">
        <is>
          <t>Joy</t>
        </is>
      </c>
      <c r="G614" t="n">
        <v>50</v>
      </c>
      <c r="H614" t="n">
        <v>0</v>
      </c>
      <c r="I614" t="n">
        <v>0</v>
      </c>
      <c r="J614" t="inlineStr">
        <is>
          <t>NA</t>
        </is>
      </c>
      <c r="K614" t="n">
        <v>98.5</v>
      </c>
      <c r="L614">
        <f>IF(K614&gt;=80,"Yes","No")</f>
        <v/>
      </c>
      <c r="M614">
        <f>IF(ISNUMBER(H614),IF(H614&gt;0,1,0),"")</f>
        <v/>
      </c>
    </row>
    <row r="615">
      <c r="A615" t="inlineStr">
        <is>
          <t>SIMULATED_FEA_Commercial_Study</t>
        </is>
      </c>
      <c r="B615" t="inlineStr">
        <is>
          <t>V12</t>
        </is>
      </c>
      <c r="C615" t="inlineStr">
        <is>
          <t>Annotation</t>
        </is>
      </c>
      <c r="D615" t="inlineStr">
        <is>
          <t>Bin_01</t>
        </is>
      </c>
      <c r="E615" t="n">
        <v>10</v>
      </c>
      <c r="F615" t="inlineStr">
        <is>
          <t>Surprise</t>
        </is>
      </c>
      <c r="G615" t="n">
        <v>50</v>
      </c>
      <c r="H615" t="n">
        <v>0</v>
      </c>
      <c r="I615" t="n">
        <v>0</v>
      </c>
      <c r="J615" t="inlineStr">
        <is>
          <t>NA</t>
        </is>
      </c>
      <c r="K615" t="n">
        <v>98.5</v>
      </c>
      <c r="L615">
        <f>IF(K615&gt;=80,"Yes","No")</f>
        <v/>
      </c>
      <c r="M615">
        <f>IF(ISNUMBER(H615),IF(H615&gt;0,1,0),"")</f>
        <v/>
      </c>
    </row>
    <row r="616">
      <c r="A616" t="inlineStr">
        <is>
          <t>SIMULATED_FEA_Commercial_Study</t>
        </is>
      </c>
      <c r="B616" t="inlineStr">
        <is>
          <t>V12</t>
        </is>
      </c>
      <c r="C616" t="inlineStr">
        <is>
          <t>Annotation</t>
        </is>
      </c>
      <c r="D616" t="inlineStr">
        <is>
          <t>Bin_01</t>
        </is>
      </c>
      <c r="E616" t="n">
        <v>10</v>
      </c>
      <c r="F616" t="inlineStr">
        <is>
          <t>Brow Furrow</t>
        </is>
      </c>
      <c r="G616" t="n">
        <v>50</v>
      </c>
      <c r="H616" t="n">
        <v>0</v>
      </c>
      <c r="I616" t="n">
        <v>0</v>
      </c>
      <c r="J616" t="inlineStr">
        <is>
          <t>NA</t>
        </is>
      </c>
      <c r="K616" t="n">
        <v>98.5</v>
      </c>
      <c r="L616">
        <f>IF(K616&gt;=80,"Yes","No")</f>
        <v/>
      </c>
      <c r="M616">
        <f>IF(ISNUMBER(H616),IF(H616&gt;0,1,0),"")</f>
        <v/>
      </c>
    </row>
    <row r="617">
      <c r="A617" t="inlineStr">
        <is>
          <t>SIMULATED_FEA_Commercial_Study</t>
        </is>
      </c>
      <c r="B617" t="inlineStr">
        <is>
          <t>V12</t>
        </is>
      </c>
      <c r="C617" t="inlineStr">
        <is>
          <t>Annotation</t>
        </is>
      </c>
      <c r="D617" t="inlineStr">
        <is>
          <t>Bin_01</t>
        </is>
      </c>
      <c r="E617" t="n">
        <v>10</v>
      </c>
      <c r="F617" t="inlineStr">
        <is>
          <t>Positive Valence</t>
        </is>
      </c>
      <c r="G617" t="n">
        <v>50</v>
      </c>
      <c r="H617" t="n">
        <v>0</v>
      </c>
      <c r="I617" t="n">
        <v>0</v>
      </c>
      <c r="J617" t="inlineStr">
        <is>
          <t>NA</t>
        </is>
      </c>
      <c r="K617" t="n">
        <v>98.5</v>
      </c>
      <c r="L617">
        <f>IF(K617&gt;=80,"Yes","No")</f>
        <v/>
      </c>
      <c r="M617">
        <f>IF(ISNUMBER(H617),IF(H617&gt;0,1,0),"")</f>
        <v/>
      </c>
    </row>
    <row r="618">
      <c r="A618" t="inlineStr">
        <is>
          <t>SIMULATED_FEA_Commercial_Study</t>
        </is>
      </c>
      <c r="B618" t="inlineStr">
        <is>
          <t>V12</t>
        </is>
      </c>
      <c r="C618" t="inlineStr">
        <is>
          <t>Annotation</t>
        </is>
      </c>
      <c r="D618" t="inlineStr">
        <is>
          <t>Bin_01</t>
        </is>
      </c>
      <c r="E618" t="n">
        <v>10</v>
      </c>
      <c r="F618" t="inlineStr">
        <is>
          <t>Negative Valence</t>
        </is>
      </c>
      <c r="G618" t="n">
        <v>-50</v>
      </c>
      <c r="H618" t="n">
        <v>0</v>
      </c>
      <c r="I618" t="n">
        <v>0</v>
      </c>
      <c r="J618" t="inlineStr">
        <is>
          <t>NA</t>
        </is>
      </c>
      <c r="K618" t="n">
        <v>98.5</v>
      </c>
      <c r="L618">
        <f>IF(K618&gt;=80,"Yes","No")</f>
        <v/>
      </c>
      <c r="M618">
        <f>IF(ISNUMBER(H618),IF(H618&gt;0,1,0),"")</f>
        <v/>
      </c>
    </row>
    <row r="619">
      <c r="A619" t="inlineStr">
        <is>
          <t>SIMULATED_FEA_Commercial_Study</t>
        </is>
      </c>
      <c r="B619" t="inlineStr">
        <is>
          <t>V12</t>
        </is>
      </c>
      <c r="C619" t="inlineStr">
        <is>
          <t>Annotation</t>
        </is>
      </c>
      <c r="D619" t="inlineStr">
        <is>
          <t>Bin_01</t>
        </is>
      </c>
      <c r="E619" t="n">
        <v>10</v>
      </c>
      <c r="F619" t="inlineStr">
        <is>
          <t>Engagement</t>
        </is>
      </c>
      <c r="G619" t="inlineStr">
        <is>
          <t>NA</t>
        </is>
      </c>
      <c r="H619" t="inlineStr">
        <is>
          <t>NA</t>
        </is>
      </c>
      <c r="I619" t="inlineStr">
        <is>
          <t>NA</t>
        </is>
      </c>
      <c r="J619" t="n">
        <v>6.28</v>
      </c>
      <c r="K619" t="n">
        <v>98.5</v>
      </c>
      <c r="L619">
        <f>IF(K619&gt;=80,"Yes","No")</f>
        <v/>
      </c>
      <c r="M619">
        <f>IF(ISNUMBER(H619),IF(H619&gt;0,1,0),"")</f>
        <v/>
      </c>
    </row>
    <row r="620">
      <c r="A620" t="inlineStr">
        <is>
          <t>SIMULATED_FEA_Commercial_Study</t>
        </is>
      </c>
      <c r="B620" t="inlineStr">
        <is>
          <t>V12</t>
        </is>
      </c>
      <c r="C620" t="inlineStr">
        <is>
          <t>Annotation</t>
        </is>
      </c>
      <c r="D620" t="inlineStr">
        <is>
          <t>Bin_02</t>
        </is>
      </c>
      <c r="E620" t="n">
        <v>10</v>
      </c>
      <c r="F620" t="inlineStr">
        <is>
          <t>Joy</t>
        </is>
      </c>
      <c r="G620" t="n">
        <v>50</v>
      </c>
      <c r="H620" t="n">
        <v>0</v>
      </c>
      <c r="I620" t="n">
        <v>0</v>
      </c>
      <c r="J620" t="inlineStr">
        <is>
          <t>NA</t>
        </is>
      </c>
      <c r="K620" t="n">
        <v>98.5</v>
      </c>
      <c r="L620">
        <f>IF(K620&gt;=80,"Yes","No")</f>
        <v/>
      </c>
      <c r="M620">
        <f>IF(ISNUMBER(H620),IF(H620&gt;0,1,0),"")</f>
        <v/>
      </c>
    </row>
    <row r="621">
      <c r="A621" t="inlineStr">
        <is>
          <t>SIMULATED_FEA_Commercial_Study</t>
        </is>
      </c>
      <c r="B621" t="inlineStr">
        <is>
          <t>V12</t>
        </is>
      </c>
      <c r="C621" t="inlineStr">
        <is>
          <t>Annotation</t>
        </is>
      </c>
      <c r="D621" t="inlineStr">
        <is>
          <t>Bin_02</t>
        </is>
      </c>
      <c r="E621" t="n">
        <v>10</v>
      </c>
      <c r="F621" t="inlineStr">
        <is>
          <t>Surprise</t>
        </is>
      </c>
      <c r="G621" t="n">
        <v>50</v>
      </c>
      <c r="H621" t="n">
        <v>0</v>
      </c>
      <c r="I621" t="n">
        <v>0</v>
      </c>
      <c r="J621" t="inlineStr">
        <is>
          <t>NA</t>
        </is>
      </c>
      <c r="K621" t="n">
        <v>98.5</v>
      </c>
      <c r="L621">
        <f>IF(K621&gt;=80,"Yes","No")</f>
        <v/>
      </c>
      <c r="M621">
        <f>IF(ISNUMBER(H621),IF(H621&gt;0,1,0),"")</f>
        <v/>
      </c>
    </row>
    <row r="622">
      <c r="A622" t="inlineStr">
        <is>
          <t>SIMULATED_FEA_Commercial_Study</t>
        </is>
      </c>
      <c r="B622" t="inlineStr">
        <is>
          <t>V12</t>
        </is>
      </c>
      <c r="C622" t="inlineStr">
        <is>
          <t>Annotation</t>
        </is>
      </c>
      <c r="D622" t="inlineStr">
        <is>
          <t>Bin_02</t>
        </is>
      </c>
      <c r="E622" t="n">
        <v>10</v>
      </c>
      <c r="F622" t="inlineStr">
        <is>
          <t>Brow Furrow</t>
        </is>
      </c>
      <c r="G622" t="n">
        <v>50</v>
      </c>
      <c r="H622" t="n">
        <v>0</v>
      </c>
      <c r="I622" t="n">
        <v>0</v>
      </c>
      <c r="J622" t="inlineStr">
        <is>
          <t>NA</t>
        </is>
      </c>
      <c r="K622" t="n">
        <v>98.5</v>
      </c>
      <c r="L622">
        <f>IF(K622&gt;=80,"Yes","No")</f>
        <v/>
      </c>
      <c r="M622">
        <f>IF(ISNUMBER(H622),IF(H622&gt;0,1,0),"")</f>
        <v/>
      </c>
    </row>
    <row r="623">
      <c r="A623" t="inlineStr">
        <is>
          <t>SIMULATED_FEA_Commercial_Study</t>
        </is>
      </c>
      <c r="B623" t="inlineStr">
        <is>
          <t>V12</t>
        </is>
      </c>
      <c r="C623" t="inlineStr">
        <is>
          <t>Annotation</t>
        </is>
      </c>
      <c r="D623" t="inlineStr">
        <is>
          <t>Bin_02</t>
        </is>
      </c>
      <c r="E623" t="n">
        <v>10</v>
      </c>
      <c r="F623" t="inlineStr">
        <is>
          <t>Positive Valence</t>
        </is>
      </c>
      <c r="G623" t="n">
        <v>50</v>
      </c>
      <c r="H623" t="n">
        <v>0</v>
      </c>
      <c r="I623" t="n">
        <v>0</v>
      </c>
      <c r="J623" t="inlineStr">
        <is>
          <t>NA</t>
        </is>
      </c>
      <c r="K623" t="n">
        <v>98.5</v>
      </c>
      <c r="L623">
        <f>IF(K623&gt;=80,"Yes","No")</f>
        <v/>
      </c>
      <c r="M623">
        <f>IF(ISNUMBER(H623),IF(H623&gt;0,1,0),"")</f>
        <v/>
      </c>
    </row>
    <row r="624">
      <c r="A624" t="inlineStr">
        <is>
          <t>SIMULATED_FEA_Commercial_Study</t>
        </is>
      </c>
      <c r="B624" t="inlineStr">
        <is>
          <t>V12</t>
        </is>
      </c>
      <c r="C624" t="inlineStr">
        <is>
          <t>Annotation</t>
        </is>
      </c>
      <c r="D624" t="inlineStr">
        <is>
          <t>Bin_02</t>
        </is>
      </c>
      <c r="E624" t="n">
        <v>10</v>
      </c>
      <c r="F624" t="inlineStr">
        <is>
          <t>Negative Valence</t>
        </is>
      </c>
      <c r="G624" t="n">
        <v>-50</v>
      </c>
      <c r="H624" t="n">
        <v>0</v>
      </c>
      <c r="I624" t="n">
        <v>0</v>
      </c>
      <c r="J624" t="inlineStr">
        <is>
          <t>NA</t>
        </is>
      </c>
      <c r="K624" t="n">
        <v>98.5</v>
      </c>
      <c r="L624">
        <f>IF(K624&gt;=80,"Yes","No")</f>
        <v/>
      </c>
      <c r="M624">
        <f>IF(ISNUMBER(H624),IF(H624&gt;0,1,0),"")</f>
        <v/>
      </c>
    </row>
    <row r="625">
      <c r="A625" t="inlineStr">
        <is>
          <t>SIMULATED_FEA_Commercial_Study</t>
        </is>
      </c>
      <c r="B625" t="inlineStr">
        <is>
          <t>V12</t>
        </is>
      </c>
      <c r="C625" t="inlineStr">
        <is>
          <t>Annotation</t>
        </is>
      </c>
      <c r="D625" t="inlineStr">
        <is>
          <t>Bin_02</t>
        </is>
      </c>
      <c r="E625" t="n">
        <v>10</v>
      </c>
      <c r="F625" t="inlineStr">
        <is>
          <t>Engagement</t>
        </is>
      </c>
      <c r="G625" t="inlineStr">
        <is>
          <t>NA</t>
        </is>
      </c>
      <c r="H625" t="inlineStr">
        <is>
          <t>NA</t>
        </is>
      </c>
      <c r="I625" t="inlineStr">
        <is>
          <t>NA</t>
        </is>
      </c>
      <c r="J625" t="n">
        <v>7.21</v>
      </c>
      <c r="K625" t="n">
        <v>98.5</v>
      </c>
      <c r="L625">
        <f>IF(K625&gt;=80,"Yes","No")</f>
        <v/>
      </c>
      <c r="M625">
        <f>IF(ISNUMBER(H625),IF(H625&gt;0,1,0),"")</f>
        <v/>
      </c>
    </row>
    <row r="626">
      <c r="A626" t="inlineStr">
        <is>
          <t>SIMULATED_FEA_Commercial_Study</t>
        </is>
      </c>
      <c r="B626" t="inlineStr">
        <is>
          <t>V12</t>
        </is>
      </c>
      <c r="C626" t="inlineStr">
        <is>
          <t>Annotation</t>
        </is>
      </c>
      <c r="D626" t="inlineStr">
        <is>
          <t>Bin_03</t>
        </is>
      </c>
      <c r="E626" t="n">
        <v>10</v>
      </c>
      <c r="F626" t="inlineStr">
        <is>
          <t>Joy</t>
        </is>
      </c>
      <c r="G626" t="n">
        <v>50</v>
      </c>
      <c r="H626" t="n">
        <v>0</v>
      </c>
      <c r="I626" t="n">
        <v>0</v>
      </c>
      <c r="J626" t="inlineStr">
        <is>
          <t>NA</t>
        </is>
      </c>
      <c r="K626" t="n">
        <v>98.5</v>
      </c>
      <c r="L626">
        <f>IF(K626&gt;=80,"Yes","No")</f>
        <v/>
      </c>
      <c r="M626">
        <f>IF(ISNUMBER(H626),IF(H626&gt;0,1,0),"")</f>
        <v/>
      </c>
    </row>
    <row r="627">
      <c r="A627" t="inlineStr">
        <is>
          <t>SIMULATED_FEA_Commercial_Study</t>
        </is>
      </c>
      <c r="B627" t="inlineStr">
        <is>
          <t>V12</t>
        </is>
      </c>
      <c r="C627" t="inlineStr">
        <is>
          <t>Annotation</t>
        </is>
      </c>
      <c r="D627" t="inlineStr">
        <is>
          <t>Bin_03</t>
        </is>
      </c>
      <c r="E627" t="n">
        <v>10</v>
      </c>
      <c r="F627" t="inlineStr">
        <is>
          <t>Surprise</t>
        </is>
      </c>
      <c r="G627" t="n">
        <v>50</v>
      </c>
      <c r="H627" t="n">
        <v>25.33</v>
      </c>
      <c r="I627" t="n">
        <v>2</v>
      </c>
      <c r="J627" t="inlineStr">
        <is>
          <t>NA</t>
        </is>
      </c>
      <c r="K627" t="n">
        <v>98.5</v>
      </c>
      <c r="L627">
        <f>IF(K627&gt;=80,"Yes","No")</f>
        <v/>
      </c>
      <c r="M627">
        <f>IF(ISNUMBER(H627),IF(H627&gt;0,1,0),"")</f>
        <v/>
      </c>
    </row>
    <row r="628">
      <c r="A628" t="inlineStr">
        <is>
          <t>SIMULATED_FEA_Commercial_Study</t>
        </is>
      </c>
      <c r="B628" t="inlineStr">
        <is>
          <t>V12</t>
        </is>
      </c>
      <c r="C628" t="inlineStr">
        <is>
          <t>Annotation</t>
        </is>
      </c>
      <c r="D628" t="inlineStr">
        <is>
          <t>Bin_03</t>
        </is>
      </c>
      <c r="E628" t="n">
        <v>10</v>
      </c>
      <c r="F628" t="inlineStr">
        <is>
          <t>Brow Furrow</t>
        </is>
      </c>
      <c r="G628" t="n">
        <v>50</v>
      </c>
      <c r="H628" t="n">
        <v>0</v>
      </c>
      <c r="I628" t="n">
        <v>0</v>
      </c>
      <c r="J628" t="inlineStr">
        <is>
          <t>NA</t>
        </is>
      </c>
      <c r="K628" t="n">
        <v>98.5</v>
      </c>
      <c r="L628">
        <f>IF(K628&gt;=80,"Yes","No")</f>
        <v/>
      </c>
      <c r="M628">
        <f>IF(ISNUMBER(H628),IF(H628&gt;0,1,0),"")</f>
        <v/>
      </c>
    </row>
    <row r="629">
      <c r="A629" t="inlineStr">
        <is>
          <t>SIMULATED_FEA_Commercial_Study</t>
        </is>
      </c>
      <c r="B629" t="inlineStr">
        <is>
          <t>V12</t>
        </is>
      </c>
      <c r="C629" t="inlineStr">
        <is>
          <t>Annotation</t>
        </is>
      </c>
      <c r="D629" t="inlineStr">
        <is>
          <t>Bin_03</t>
        </is>
      </c>
      <c r="E629" t="n">
        <v>10</v>
      </c>
      <c r="F629" t="inlineStr">
        <is>
          <t>Positive Valence</t>
        </is>
      </c>
      <c r="G629" t="n">
        <v>50</v>
      </c>
      <c r="H629" t="n">
        <v>0</v>
      </c>
      <c r="I629" t="n">
        <v>0</v>
      </c>
      <c r="J629" t="inlineStr">
        <is>
          <t>NA</t>
        </is>
      </c>
      <c r="K629" t="n">
        <v>98.5</v>
      </c>
      <c r="L629">
        <f>IF(K629&gt;=80,"Yes","No")</f>
        <v/>
      </c>
      <c r="M629">
        <f>IF(ISNUMBER(H629),IF(H629&gt;0,1,0),"")</f>
        <v/>
      </c>
    </row>
    <row r="630">
      <c r="A630" t="inlineStr">
        <is>
          <t>SIMULATED_FEA_Commercial_Study</t>
        </is>
      </c>
      <c r="B630" t="inlineStr">
        <is>
          <t>V12</t>
        </is>
      </c>
      <c r="C630" t="inlineStr">
        <is>
          <t>Annotation</t>
        </is>
      </c>
      <c r="D630" t="inlineStr">
        <is>
          <t>Bin_03</t>
        </is>
      </c>
      <c r="E630" t="n">
        <v>10</v>
      </c>
      <c r="F630" t="inlineStr">
        <is>
          <t>Negative Valence</t>
        </is>
      </c>
      <c r="G630" t="n">
        <v>-50</v>
      </c>
      <c r="H630" t="n">
        <v>0</v>
      </c>
      <c r="I630" t="n">
        <v>0</v>
      </c>
      <c r="J630" t="inlineStr">
        <is>
          <t>NA</t>
        </is>
      </c>
      <c r="K630" t="n">
        <v>98.5</v>
      </c>
      <c r="L630">
        <f>IF(K630&gt;=80,"Yes","No")</f>
        <v/>
      </c>
      <c r="M630">
        <f>IF(ISNUMBER(H630),IF(H630&gt;0,1,0),"")</f>
        <v/>
      </c>
    </row>
    <row r="631">
      <c r="A631" t="inlineStr">
        <is>
          <t>SIMULATED_FEA_Commercial_Study</t>
        </is>
      </c>
      <c r="B631" t="inlineStr">
        <is>
          <t>V12</t>
        </is>
      </c>
      <c r="C631" t="inlineStr">
        <is>
          <t>Annotation</t>
        </is>
      </c>
      <c r="D631" t="inlineStr">
        <is>
          <t>Bin_03</t>
        </is>
      </c>
      <c r="E631" t="n">
        <v>10</v>
      </c>
      <c r="F631" t="inlineStr">
        <is>
          <t>Engagement</t>
        </is>
      </c>
      <c r="G631" t="inlineStr">
        <is>
          <t>NA</t>
        </is>
      </c>
      <c r="H631" t="inlineStr">
        <is>
          <t>NA</t>
        </is>
      </c>
      <c r="I631" t="inlineStr">
        <is>
          <t>NA</t>
        </is>
      </c>
      <c r="J631" t="n">
        <v>20.96</v>
      </c>
      <c r="K631" t="n">
        <v>98.5</v>
      </c>
      <c r="L631">
        <f>IF(K631&gt;=80,"Yes","No")</f>
        <v/>
      </c>
      <c r="M631">
        <f>IF(ISNUMBER(H631),IF(H631&gt;0,1,0),"")</f>
        <v/>
      </c>
    </row>
    <row r="632">
      <c r="A632" t="inlineStr">
        <is>
          <t>SIMULATED_FEA_Commercial_Study</t>
        </is>
      </c>
      <c r="B632" t="inlineStr">
        <is>
          <t>V12</t>
        </is>
      </c>
      <c r="C632" t="inlineStr">
        <is>
          <t>Annotation</t>
        </is>
      </c>
      <c r="D632" t="inlineStr">
        <is>
          <t>Bin_04</t>
        </is>
      </c>
      <c r="E632" t="n">
        <v>10</v>
      </c>
      <c r="F632" t="inlineStr">
        <is>
          <t>Joy</t>
        </is>
      </c>
      <c r="G632" t="n">
        <v>50</v>
      </c>
      <c r="H632" t="n">
        <v>0</v>
      </c>
      <c r="I632" t="n">
        <v>0</v>
      </c>
      <c r="J632" t="inlineStr">
        <is>
          <t>NA</t>
        </is>
      </c>
      <c r="K632" t="n">
        <v>98.5</v>
      </c>
      <c r="L632">
        <f>IF(K632&gt;=80,"Yes","No")</f>
        <v/>
      </c>
      <c r="M632">
        <f>IF(ISNUMBER(H632),IF(H632&gt;0,1,0),"")</f>
        <v/>
      </c>
    </row>
    <row r="633">
      <c r="A633" t="inlineStr">
        <is>
          <t>SIMULATED_FEA_Commercial_Study</t>
        </is>
      </c>
      <c r="B633" t="inlineStr">
        <is>
          <t>V12</t>
        </is>
      </c>
      <c r="C633" t="inlineStr">
        <is>
          <t>Annotation</t>
        </is>
      </c>
      <c r="D633" t="inlineStr">
        <is>
          <t>Bin_04</t>
        </is>
      </c>
      <c r="E633" t="n">
        <v>10</v>
      </c>
      <c r="F633" t="inlineStr">
        <is>
          <t>Surprise</t>
        </is>
      </c>
      <c r="G633" t="n">
        <v>50</v>
      </c>
      <c r="H633" t="n">
        <v>0</v>
      </c>
      <c r="I633" t="n">
        <v>0</v>
      </c>
      <c r="J633" t="inlineStr">
        <is>
          <t>NA</t>
        </is>
      </c>
      <c r="K633" t="n">
        <v>98.5</v>
      </c>
      <c r="L633">
        <f>IF(K633&gt;=80,"Yes","No")</f>
        <v/>
      </c>
      <c r="M633">
        <f>IF(ISNUMBER(H633),IF(H633&gt;0,1,0),"")</f>
        <v/>
      </c>
    </row>
    <row r="634">
      <c r="A634" t="inlineStr">
        <is>
          <t>SIMULATED_FEA_Commercial_Study</t>
        </is>
      </c>
      <c r="B634" t="inlineStr">
        <is>
          <t>V12</t>
        </is>
      </c>
      <c r="C634" t="inlineStr">
        <is>
          <t>Annotation</t>
        </is>
      </c>
      <c r="D634" t="inlineStr">
        <is>
          <t>Bin_04</t>
        </is>
      </c>
      <c r="E634" t="n">
        <v>10</v>
      </c>
      <c r="F634" t="inlineStr">
        <is>
          <t>Brow Furrow</t>
        </is>
      </c>
      <c r="G634" t="n">
        <v>50</v>
      </c>
      <c r="H634" t="n">
        <v>0</v>
      </c>
      <c r="I634" t="n">
        <v>0</v>
      </c>
      <c r="J634" t="inlineStr">
        <is>
          <t>NA</t>
        </is>
      </c>
      <c r="K634" t="n">
        <v>98.5</v>
      </c>
      <c r="L634">
        <f>IF(K634&gt;=80,"Yes","No")</f>
        <v/>
      </c>
      <c r="M634">
        <f>IF(ISNUMBER(H634),IF(H634&gt;0,1,0),"")</f>
        <v/>
      </c>
    </row>
    <row r="635">
      <c r="A635" t="inlineStr">
        <is>
          <t>SIMULATED_FEA_Commercial_Study</t>
        </is>
      </c>
      <c r="B635" t="inlineStr">
        <is>
          <t>V12</t>
        </is>
      </c>
      <c r="C635" t="inlineStr">
        <is>
          <t>Annotation</t>
        </is>
      </c>
      <c r="D635" t="inlineStr">
        <is>
          <t>Bin_04</t>
        </is>
      </c>
      <c r="E635" t="n">
        <v>10</v>
      </c>
      <c r="F635" t="inlineStr">
        <is>
          <t>Positive Valence</t>
        </is>
      </c>
      <c r="G635" t="n">
        <v>50</v>
      </c>
      <c r="H635" t="n">
        <v>0</v>
      </c>
      <c r="I635" t="n">
        <v>0</v>
      </c>
      <c r="J635" t="inlineStr">
        <is>
          <t>NA</t>
        </is>
      </c>
      <c r="K635" t="n">
        <v>98.5</v>
      </c>
      <c r="L635">
        <f>IF(K635&gt;=80,"Yes","No")</f>
        <v/>
      </c>
      <c r="M635">
        <f>IF(ISNUMBER(H635),IF(H635&gt;0,1,0),"")</f>
        <v/>
      </c>
    </row>
    <row r="636">
      <c r="A636" t="inlineStr">
        <is>
          <t>SIMULATED_FEA_Commercial_Study</t>
        </is>
      </c>
      <c r="B636" t="inlineStr">
        <is>
          <t>V12</t>
        </is>
      </c>
      <c r="C636" t="inlineStr">
        <is>
          <t>Annotation</t>
        </is>
      </c>
      <c r="D636" t="inlineStr">
        <is>
          <t>Bin_04</t>
        </is>
      </c>
      <c r="E636" t="n">
        <v>10</v>
      </c>
      <c r="F636" t="inlineStr">
        <is>
          <t>Negative Valence</t>
        </is>
      </c>
      <c r="G636" t="n">
        <v>-50</v>
      </c>
      <c r="H636" t="n">
        <v>0</v>
      </c>
      <c r="I636" t="n">
        <v>0</v>
      </c>
      <c r="J636" t="inlineStr">
        <is>
          <t>NA</t>
        </is>
      </c>
      <c r="K636" t="n">
        <v>98.5</v>
      </c>
      <c r="L636">
        <f>IF(K636&gt;=80,"Yes","No")</f>
        <v/>
      </c>
      <c r="M636">
        <f>IF(ISNUMBER(H636),IF(H636&gt;0,1,0),"")</f>
        <v/>
      </c>
    </row>
    <row r="637">
      <c r="A637" t="inlineStr">
        <is>
          <t>SIMULATED_FEA_Commercial_Study</t>
        </is>
      </c>
      <c r="B637" t="inlineStr">
        <is>
          <t>V12</t>
        </is>
      </c>
      <c r="C637" t="inlineStr">
        <is>
          <t>Annotation</t>
        </is>
      </c>
      <c r="D637" t="inlineStr">
        <is>
          <t>Bin_04</t>
        </is>
      </c>
      <c r="E637" t="n">
        <v>10</v>
      </c>
      <c r="F637" t="inlineStr">
        <is>
          <t>Engagement</t>
        </is>
      </c>
      <c r="G637" t="inlineStr">
        <is>
          <t>NA</t>
        </is>
      </c>
      <c r="H637" t="inlineStr">
        <is>
          <t>NA</t>
        </is>
      </c>
      <c r="I637" t="inlineStr">
        <is>
          <t>NA</t>
        </is>
      </c>
      <c r="J637" t="n">
        <v>11.98</v>
      </c>
      <c r="K637" t="n">
        <v>98.5</v>
      </c>
      <c r="L637">
        <f>IF(K637&gt;=80,"Yes","No")</f>
        <v/>
      </c>
      <c r="M637">
        <f>IF(ISNUMBER(H637),IF(H637&gt;0,1,0),"")</f>
        <v/>
      </c>
    </row>
    <row r="638">
      <c r="A638" t="inlineStr">
        <is>
          <t>SIMULATED_FEA_Commercial_Study</t>
        </is>
      </c>
      <c r="B638" t="inlineStr">
        <is>
          <t>V12</t>
        </is>
      </c>
      <c r="C638" t="inlineStr">
        <is>
          <t>Annotation</t>
        </is>
      </c>
      <c r="D638" t="inlineStr">
        <is>
          <t>Bin_05</t>
        </is>
      </c>
      <c r="E638" t="n">
        <v>10</v>
      </c>
      <c r="F638" t="inlineStr">
        <is>
          <t>Joy</t>
        </is>
      </c>
      <c r="G638" t="n">
        <v>50</v>
      </c>
      <c r="H638" t="n">
        <v>11</v>
      </c>
      <c r="I638" t="n">
        <v>4</v>
      </c>
      <c r="J638" t="inlineStr">
        <is>
          <t>NA</t>
        </is>
      </c>
      <c r="K638" t="n">
        <v>98.5</v>
      </c>
      <c r="L638">
        <f>IF(K638&gt;=80,"Yes","No")</f>
        <v/>
      </c>
      <c r="M638">
        <f>IF(ISNUMBER(H638),IF(H638&gt;0,1,0),"")</f>
        <v/>
      </c>
    </row>
    <row r="639">
      <c r="A639" t="inlineStr">
        <is>
          <t>SIMULATED_FEA_Commercial_Study</t>
        </is>
      </c>
      <c r="B639" t="inlineStr">
        <is>
          <t>V12</t>
        </is>
      </c>
      <c r="C639" t="inlineStr">
        <is>
          <t>Annotation</t>
        </is>
      </c>
      <c r="D639" t="inlineStr">
        <is>
          <t>Bin_05</t>
        </is>
      </c>
      <c r="E639" t="n">
        <v>10</v>
      </c>
      <c r="F639" t="inlineStr">
        <is>
          <t>Surprise</t>
        </is>
      </c>
      <c r="G639" t="n">
        <v>50</v>
      </c>
      <c r="H639" t="n">
        <v>0</v>
      </c>
      <c r="I639" t="n">
        <v>0</v>
      </c>
      <c r="J639" t="inlineStr">
        <is>
          <t>NA</t>
        </is>
      </c>
      <c r="K639" t="n">
        <v>98.5</v>
      </c>
      <c r="L639">
        <f>IF(K639&gt;=80,"Yes","No")</f>
        <v/>
      </c>
      <c r="M639">
        <f>IF(ISNUMBER(H639),IF(H639&gt;0,1,0),"")</f>
        <v/>
      </c>
    </row>
    <row r="640">
      <c r="A640" t="inlineStr">
        <is>
          <t>SIMULATED_FEA_Commercial_Study</t>
        </is>
      </c>
      <c r="B640" t="inlineStr">
        <is>
          <t>V12</t>
        </is>
      </c>
      <c r="C640" t="inlineStr">
        <is>
          <t>Annotation</t>
        </is>
      </c>
      <c r="D640" t="inlineStr">
        <is>
          <t>Bin_05</t>
        </is>
      </c>
      <c r="E640" t="n">
        <v>10</v>
      </c>
      <c r="F640" t="inlineStr">
        <is>
          <t>Brow Furrow</t>
        </is>
      </c>
      <c r="G640" t="n">
        <v>50</v>
      </c>
      <c r="H640" t="n">
        <v>0</v>
      </c>
      <c r="I640" t="n">
        <v>0</v>
      </c>
      <c r="J640" t="inlineStr">
        <is>
          <t>NA</t>
        </is>
      </c>
      <c r="K640" t="n">
        <v>98.5</v>
      </c>
      <c r="L640">
        <f>IF(K640&gt;=80,"Yes","No")</f>
        <v/>
      </c>
      <c r="M640">
        <f>IF(ISNUMBER(H640),IF(H640&gt;0,1,0),"")</f>
        <v/>
      </c>
    </row>
    <row r="641">
      <c r="A641" t="inlineStr">
        <is>
          <t>SIMULATED_FEA_Commercial_Study</t>
        </is>
      </c>
      <c r="B641" t="inlineStr">
        <is>
          <t>V12</t>
        </is>
      </c>
      <c r="C641" t="inlineStr">
        <is>
          <t>Annotation</t>
        </is>
      </c>
      <c r="D641" t="inlineStr">
        <is>
          <t>Bin_05</t>
        </is>
      </c>
      <c r="E641" t="n">
        <v>10</v>
      </c>
      <c r="F641" t="inlineStr">
        <is>
          <t>Positive Valence</t>
        </is>
      </c>
      <c r="G641" t="n">
        <v>50</v>
      </c>
      <c r="H641" t="n">
        <v>7.67</v>
      </c>
      <c r="I641" t="n">
        <v>3</v>
      </c>
      <c r="J641" t="inlineStr">
        <is>
          <t>NA</t>
        </is>
      </c>
      <c r="K641" t="n">
        <v>98.5</v>
      </c>
      <c r="L641">
        <f>IF(K641&gt;=80,"Yes","No")</f>
        <v/>
      </c>
      <c r="M641">
        <f>IF(ISNUMBER(H641),IF(H641&gt;0,1,0),"")</f>
        <v/>
      </c>
    </row>
    <row r="642">
      <c r="A642" t="inlineStr">
        <is>
          <t>SIMULATED_FEA_Commercial_Study</t>
        </is>
      </c>
      <c r="B642" t="inlineStr">
        <is>
          <t>V12</t>
        </is>
      </c>
      <c r="C642" t="inlineStr">
        <is>
          <t>Annotation</t>
        </is>
      </c>
      <c r="D642" t="inlineStr">
        <is>
          <t>Bin_05</t>
        </is>
      </c>
      <c r="E642" t="n">
        <v>10</v>
      </c>
      <c r="F642" t="inlineStr">
        <is>
          <t>Negative Valence</t>
        </is>
      </c>
      <c r="G642" t="n">
        <v>-50</v>
      </c>
      <c r="H642" t="n">
        <v>0</v>
      </c>
      <c r="I642" t="n">
        <v>0</v>
      </c>
      <c r="J642" t="inlineStr">
        <is>
          <t>NA</t>
        </is>
      </c>
      <c r="K642" t="n">
        <v>98.5</v>
      </c>
      <c r="L642">
        <f>IF(K642&gt;=80,"Yes","No")</f>
        <v/>
      </c>
      <c r="M642">
        <f>IF(ISNUMBER(H642),IF(H642&gt;0,1,0),"")</f>
        <v/>
      </c>
    </row>
    <row r="643">
      <c r="A643" t="inlineStr">
        <is>
          <t>SIMULATED_FEA_Commercial_Study</t>
        </is>
      </c>
      <c r="B643" t="inlineStr">
        <is>
          <t>V12</t>
        </is>
      </c>
      <c r="C643" t="inlineStr">
        <is>
          <t>Annotation</t>
        </is>
      </c>
      <c r="D643" t="inlineStr">
        <is>
          <t>Bin_05</t>
        </is>
      </c>
      <c r="E643" t="n">
        <v>10</v>
      </c>
      <c r="F643" t="inlineStr">
        <is>
          <t>Engagement</t>
        </is>
      </c>
      <c r="G643" t="inlineStr">
        <is>
          <t>NA</t>
        </is>
      </c>
      <c r="H643" t="inlineStr">
        <is>
          <t>NA</t>
        </is>
      </c>
      <c r="I643" t="inlineStr">
        <is>
          <t>NA</t>
        </is>
      </c>
      <c r="J643" t="n">
        <v>14.31</v>
      </c>
      <c r="K643" t="n">
        <v>98.5</v>
      </c>
      <c r="L643">
        <f>IF(K643&gt;=80,"Yes","No")</f>
        <v/>
      </c>
      <c r="M643">
        <f>IF(ISNUMBER(H643),IF(H643&gt;0,1,0),"")</f>
        <v/>
      </c>
    </row>
    <row r="644">
      <c r="A644" t="inlineStr">
        <is>
          <t>SIMULATED_FEA_Commercial_Study</t>
        </is>
      </c>
      <c r="B644" t="inlineStr">
        <is>
          <t>V12</t>
        </is>
      </c>
      <c r="C644" t="inlineStr">
        <is>
          <t>Annotation</t>
        </is>
      </c>
      <c r="D644" t="inlineStr">
        <is>
          <t>Bin_06</t>
        </is>
      </c>
      <c r="E644" t="n">
        <v>10</v>
      </c>
      <c r="F644" t="inlineStr">
        <is>
          <t>Joy</t>
        </is>
      </c>
      <c r="G644" t="n">
        <v>50</v>
      </c>
      <c r="H644" t="n">
        <v>9.67</v>
      </c>
      <c r="I644" t="n">
        <v>1</v>
      </c>
      <c r="J644" t="inlineStr">
        <is>
          <t>NA</t>
        </is>
      </c>
      <c r="K644" t="n">
        <v>98.5</v>
      </c>
      <c r="L644">
        <f>IF(K644&gt;=80,"Yes","No")</f>
        <v/>
      </c>
      <c r="M644">
        <f>IF(ISNUMBER(H644),IF(H644&gt;0,1,0),"")</f>
        <v/>
      </c>
    </row>
    <row r="645">
      <c r="A645" t="inlineStr">
        <is>
          <t>SIMULATED_FEA_Commercial_Study</t>
        </is>
      </c>
      <c r="B645" t="inlineStr">
        <is>
          <t>V12</t>
        </is>
      </c>
      <c r="C645" t="inlineStr">
        <is>
          <t>Annotation</t>
        </is>
      </c>
      <c r="D645" t="inlineStr">
        <is>
          <t>Bin_06</t>
        </is>
      </c>
      <c r="E645" t="n">
        <v>10</v>
      </c>
      <c r="F645" t="inlineStr">
        <is>
          <t>Surprise</t>
        </is>
      </c>
      <c r="G645" t="n">
        <v>50</v>
      </c>
      <c r="H645" t="n">
        <v>0</v>
      </c>
      <c r="I645" t="n">
        <v>0</v>
      </c>
      <c r="J645" t="inlineStr">
        <is>
          <t>NA</t>
        </is>
      </c>
      <c r="K645" t="n">
        <v>98.5</v>
      </c>
      <c r="L645">
        <f>IF(K645&gt;=80,"Yes","No")</f>
        <v/>
      </c>
      <c r="M645">
        <f>IF(ISNUMBER(H645),IF(H645&gt;0,1,0),"")</f>
        <v/>
      </c>
    </row>
    <row r="646">
      <c r="A646" t="inlineStr">
        <is>
          <t>SIMULATED_FEA_Commercial_Study</t>
        </is>
      </c>
      <c r="B646" t="inlineStr">
        <is>
          <t>V12</t>
        </is>
      </c>
      <c r="C646" t="inlineStr">
        <is>
          <t>Annotation</t>
        </is>
      </c>
      <c r="D646" t="inlineStr">
        <is>
          <t>Bin_06</t>
        </is>
      </c>
      <c r="E646" t="n">
        <v>10</v>
      </c>
      <c r="F646" t="inlineStr">
        <is>
          <t>Brow Furrow</t>
        </is>
      </c>
      <c r="G646" t="n">
        <v>50</v>
      </c>
      <c r="H646" t="n">
        <v>0</v>
      </c>
      <c r="I646" t="n">
        <v>0</v>
      </c>
      <c r="J646" t="inlineStr">
        <is>
          <t>NA</t>
        </is>
      </c>
      <c r="K646" t="n">
        <v>98.5</v>
      </c>
      <c r="L646">
        <f>IF(K646&gt;=80,"Yes","No")</f>
        <v/>
      </c>
      <c r="M646">
        <f>IF(ISNUMBER(H646),IF(H646&gt;0,1,0),"")</f>
        <v/>
      </c>
    </row>
    <row r="647">
      <c r="A647" t="inlineStr">
        <is>
          <t>SIMULATED_FEA_Commercial_Study</t>
        </is>
      </c>
      <c r="B647" t="inlineStr">
        <is>
          <t>V12</t>
        </is>
      </c>
      <c r="C647" t="inlineStr">
        <is>
          <t>Annotation</t>
        </is>
      </c>
      <c r="D647" t="inlineStr">
        <is>
          <t>Bin_06</t>
        </is>
      </c>
      <c r="E647" t="n">
        <v>10</v>
      </c>
      <c r="F647" t="inlineStr">
        <is>
          <t>Positive Valence</t>
        </is>
      </c>
      <c r="G647" t="n">
        <v>50</v>
      </c>
      <c r="H647" t="n">
        <v>18</v>
      </c>
      <c r="I647" t="n">
        <v>3</v>
      </c>
      <c r="J647" t="inlineStr">
        <is>
          <t>NA</t>
        </is>
      </c>
      <c r="K647" t="n">
        <v>98.5</v>
      </c>
      <c r="L647">
        <f>IF(K647&gt;=80,"Yes","No")</f>
        <v/>
      </c>
      <c r="M647">
        <f>IF(ISNUMBER(H647),IF(H647&gt;0,1,0),"")</f>
        <v/>
      </c>
    </row>
    <row r="648">
      <c r="A648" t="inlineStr">
        <is>
          <t>SIMULATED_FEA_Commercial_Study</t>
        </is>
      </c>
      <c r="B648" t="inlineStr">
        <is>
          <t>V12</t>
        </is>
      </c>
      <c r="C648" t="inlineStr">
        <is>
          <t>Annotation</t>
        </is>
      </c>
      <c r="D648" t="inlineStr">
        <is>
          <t>Bin_06</t>
        </is>
      </c>
      <c r="E648" t="n">
        <v>10</v>
      </c>
      <c r="F648" t="inlineStr">
        <is>
          <t>Negative Valence</t>
        </is>
      </c>
      <c r="G648" t="n">
        <v>-50</v>
      </c>
      <c r="H648" t="n">
        <v>7</v>
      </c>
      <c r="I648" t="n">
        <v>1</v>
      </c>
      <c r="J648" t="inlineStr">
        <is>
          <t>NA</t>
        </is>
      </c>
      <c r="K648" t="n">
        <v>98.5</v>
      </c>
      <c r="L648">
        <f>IF(K648&gt;=80,"Yes","No")</f>
        <v/>
      </c>
      <c r="M648">
        <f>IF(ISNUMBER(H648),IF(H648&gt;0,1,0),"")</f>
        <v/>
      </c>
    </row>
    <row r="649">
      <c r="A649" t="inlineStr">
        <is>
          <t>SIMULATED_FEA_Commercial_Study</t>
        </is>
      </c>
      <c r="B649" t="inlineStr">
        <is>
          <t>V12</t>
        </is>
      </c>
      <c r="C649" t="inlineStr">
        <is>
          <t>Annotation</t>
        </is>
      </c>
      <c r="D649" t="inlineStr">
        <is>
          <t>Bin_06</t>
        </is>
      </c>
      <c r="E649" t="n">
        <v>10</v>
      </c>
      <c r="F649" t="inlineStr">
        <is>
          <t>Engagement</t>
        </is>
      </c>
      <c r="G649" t="inlineStr">
        <is>
          <t>NA</t>
        </is>
      </c>
      <c r="H649" t="inlineStr">
        <is>
          <t>NA</t>
        </is>
      </c>
      <c r="I649" t="inlineStr">
        <is>
          <t>NA</t>
        </is>
      </c>
      <c r="J649" t="n">
        <v>22.82</v>
      </c>
      <c r="K649" t="n">
        <v>98.5</v>
      </c>
      <c r="L649">
        <f>IF(K649&gt;=80,"Yes","No")</f>
        <v/>
      </c>
      <c r="M649">
        <f>IF(ISNUMBER(H649),IF(H649&gt;0,1,0),"")</f>
        <v/>
      </c>
    </row>
    <row r="650">
      <c r="A650" t="inlineStr">
        <is>
          <t>SIMULATED_FEA_Commercial_Study</t>
        </is>
      </c>
      <c r="B650" t="inlineStr">
        <is>
          <t>V13</t>
        </is>
      </c>
      <c r="C650" t="inlineStr">
        <is>
          <t>Stimulus</t>
        </is>
      </c>
      <c r="D650" t="inlineStr">
        <is>
          <t>Baseline</t>
        </is>
      </c>
      <c r="E650" t="n">
        <v>60</v>
      </c>
      <c r="F650" t="inlineStr">
        <is>
          <t>Joy</t>
        </is>
      </c>
      <c r="G650" t="n">
        <v>50</v>
      </c>
      <c r="H650" t="n">
        <v>0</v>
      </c>
      <c r="I650" t="n">
        <v>0</v>
      </c>
      <c r="J650" t="inlineStr">
        <is>
          <t>NA</t>
        </is>
      </c>
      <c r="K650" t="n">
        <v>95.09999999999999</v>
      </c>
      <c r="L650">
        <f>IF(K650&gt;=80,"Yes","No")</f>
        <v/>
      </c>
      <c r="M650">
        <f>IF(ISNUMBER(H650),IF(H650&gt;0,1,0),"")</f>
        <v/>
      </c>
    </row>
    <row r="651">
      <c r="A651" t="inlineStr">
        <is>
          <t>SIMULATED_FEA_Commercial_Study</t>
        </is>
      </c>
      <c r="B651" t="inlineStr">
        <is>
          <t>V13</t>
        </is>
      </c>
      <c r="C651" t="inlineStr">
        <is>
          <t>Stimulus</t>
        </is>
      </c>
      <c r="D651" t="inlineStr">
        <is>
          <t>Baseline</t>
        </is>
      </c>
      <c r="E651" t="n">
        <v>60</v>
      </c>
      <c r="F651" t="inlineStr">
        <is>
          <t>Surprise</t>
        </is>
      </c>
      <c r="G651" t="n">
        <v>50</v>
      </c>
      <c r="H651" t="n">
        <v>1.33</v>
      </c>
      <c r="I651" t="n">
        <v>1</v>
      </c>
      <c r="J651" t="inlineStr">
        <is>
          <t>NA</t>
        </is>
      </c>
      <c r="K651" t="n">
        <v>95.09999999999999</v>
      </c>
      <c r="L651">
        <f>IF(K651&gt;=80,"Yes","No")</f>
        <v/>
      </c>
      <c r="M651">
        <f>IF(ISNUMBER(H651),IF(H651&gt;0,1,0),"")</f>
        <v/>
      </c>
    </row>
    <row r="652">
      <c r="A652" t="inlineStr">
        <is>
          <t>SIMULATED_FEA_Commercial_Study</t>
        </is>
      </c>
      <c r="B652" t="inlineStr">
        <is>
          <t>V13</t>
        </is>
      </c>
      <c r="C652" t="inlineStr">
        <is>
          <t>Stimulus</t>
        </is>
      </c>
      <c r="D652" t="inlineStr">
        <is>
          <t>Baseline</t>
        </is>
      </c>
      <c r="E652" t="n">
        <v>60</v>
      </c>
      <c r="F652" t="inlineStr">
        <is>
          <t>Brow Furrow</t>
        </is>
      </c>
      <c r="G652" t="n">
        <v>50</v>
      </c>
      <c r="H652" t="n">
        <v>0</v>
      </c>
      <c r="I652" t="n">
        <v>0</v>
      </c>
      <c r="J652" t="inlineStr">
        <is>
          <t>NA</t>
        </is>
      </c>
      <c r="K652" t="n">
        <v>95.09999999999999</v>
      </c>
      <c r="L652">
        <f>IF(K652&gt;=80,"Yes","No")</f>
        <v/>
      </c>
      <c r="M652">
        <f>IF(ISNUMBER(H652),IF(H652&gt;0,1,0),"")</f>
        <v/>
      </c>
    </row>
    <row r="653">
      <c r="A653" t="inlineStr">
        <is>
          <t>SIMULATED_FEA_Commercial_Study</t>
        </is>
      </c>
      <c r="B653" t="inlineStr">
        <is>
          <t>V13</t>
        </is>
      </c>
      <c r="C653" t="inlineStr">
        <is>
          <t>Stimulus</t>
        </is>
      </c>
      <c r="D653" t="inlineStr">
        <is>
          <t>Baseline</t>
        </is>
      </c>
      <c r="E653" t="n">
        <v>60</v>
      </c>
      <c r="F653" t="inlineStr">
        <is>
          <t>Positive Valence</t>
        </is>
      </c>
      <c r="G653" t="n">
        <v>50</v>
      </c>
      <c r="H653" t="n">
        <v>0</v>
      </c>
      <c r="I653" t="n">
        <v>0</v>
      </c>
      <c r="J653" t="inlineStr">
        <is>
          <t>NA</t>
        </is>
      </c>
      <c r="K653" t="n">
        <v>95.09999999999999</v>
      </c>
      <c r="L653">
        <f>IF(K653&gt;=80,"Yes","No")</f>
        <v/>
      </c>
      <c r="M653">
        <f>IF(ISNUMBER(H653),IF(H653&gt;0,1,0),"")</f>
        <v/>
      </c>
    </row>
    <row r="654">
      <c r="A654" t="inlineStr">
        <is>
          <t>SIMULATED_FEA_Commercial_Study</t>
        </is>
      </c>
      <c r="B654" t="inlineStr">
        <is>
          <t>V13</t>
        </is>
      </c>
      <c r="C654" t="inlineStr">
        <is>
          <t>Stimulus</t>
        </is>
      </c>
      <c r="D654" t="inlineStr">
        <is>
          <t>Baseline</t>
        </is>
      </c>
      <c r="E654" t="n">
        <v>60</v>
      </c>
      <c r="F654" t="inlineStr">
        <is>
          <t>Negative Valence</t>
        </is>
      </c>
      <c r="G654" t="n">
        <v>-50</v>
      </c>
      <c r="H654" t="n">
        <v>0</v>
      </c>
      <c r="I654" t="n">
        <v>0</v>
      </c>
      <c r="J654" t="inlineStr">
        <is>
          <t>NA</t>
        </is>
      </c>
      <c r="K654" t="n">
        <v>95.09999999999999</v>
      </c>
      <c r="L654">
        <f>IF(K654&gt;=80,"Yes","No")</f>
        <v/>
      </c>
      <c r="M654">
        <f>IF(ISNUMBER(H654),IF(H654&gt;0,1,0),"")</f>
        <v/>
      </c>
    </row>
    <row r="655">
      <c r="A655" t="inlineStr">
        <is>
          <t>SIMULATED_FEA_Commercial_Study</t>
        </is>
      </c>
      <c r="B655" t="inlineStr">
        <is>
          <t>V13</t>
        </is>
      </c>
      <c r="C655" t="inlineStr">
        <is>
          <t>Stimulus</t>
        </is>
      </c>
      <c r="D655" t="inlineStr">
        <is>
          <t>Baseline</t>
        </is>
      </c>
      <c r="E655" t="n">
        <v>60</v>
      </c>
      <c r="F655" t="inlineStr">
        <is>
          <t>Engagement</t>
        </is>
      </c>
      <c r="G655" t="inlineStr">
        <is>
          <t>NA</t>
        </is>
      </c>
      <c r="H655" t="inlineStr">
        <is>
          <t>NA</t>
        </is>
      </c>
      <c r="I655" t="inlineStr">
        <is>
          <t>NA</t>
        </is>
      </c>
      <c r="J655" t="n">
        <v>6.39</v>
      </c>
      <c r="K655" t="n">
        <v>95.09999999999999</v>
      </c>
      <c r="L655">
        <f>IF(K655&gt;=80,"Yes","No")</f>
        <v/>
      </c>
      <c r="M655">
        <f>IF(ISNUMBER(H655),IF(H655&gt;0,1,0),"")</f>
        <v/>
      </c>
    </row>
    <row r="656">
      <c r="A656" t="inlineStr">
        <is>
          <t>SIMULATED_FEA_Commercial_Study</t>
        </is>
      </c>
      <c r="B656" t="inlineStr">
        <is>
          <t>V13</t>
        </is>
      </c>
      <c r="C656" t="inlineStr">
        <is>
          <t>Stimulus</t>
        </is>
      </c>
      <c r="D656" t="inlineStr">
        <is>
          <t>Commercial</t>
        </is>
      </c>
      <c r="E656" t="n">
        <v>60</v>
      </c>
      <c r="F656" t="inlineStr">
        <is>
          <t>Joy</t>
        </is>
      </c>
      <c r="G656" t="n">
        <v>50</v>
      </c>
      <c r="H656" t="n">
        <v>2.33</v>
      </c>
      <c r="I656" t="n">
        <v>1</v>
      </c>
      <c r="J656" t="inlineStr">
        <is>
          <t>NA</t>
        </is>
      </c>
      <c r="K656" t="n">
        <v>95.09999999999999</v>
      </c>
      <c r="L656">
        <f>IF(K656&gt;=80,"Yes","No")</f>
        <v/>
      </c>
      <c r="M656">
        <f>IF(ISNUMBER(H656),IF(H656&gt;0,1,0),"")</f>
        <v/>
      </c>
    </row>
    <row r="657">
      <c r="A657" t="inlineStr">
        <is>
          <t>SIMULATED_FEA_Commercial_Study</t>
        </is>
      </c>
      <c r="B657" t="inlineStr">
        <is>
          <t>V13</t>
        </is>
      </c>
      <c r="C657" t="inlineStr">
        <is>
          <t>Stimulus</t>
        </is>
      </c>
      <c r="D657" t="inlineStr">
        <is>
          <t>Commercial</t>
        </is>
      </c>
      <c r="E657" t="n">
        <v>60</v>
      </c>
      <c r="F657" t="inlineStr">
        <is>
          <t>Surprise</t>
        </is>
      </c>
      <c r="G657" t="n">
        <v>50</v>
      </c>
      <c r="H657" t="n">
        <v>6.11</v>
      </c>
      <c r="I657" t="n">
        <v>3</v>
      </c>
      <c r="J657" t="inlineStr">
        <is>
          <t>NA</t>
        </is>
      </c>
      <c r="K657" t="n">
        <v>95.09999999999999</v>
      </c>
      <c r="L657">
        <f>IF(K657&gt;=80,"Yes","No")</f>
        <v/>
      </c>
      <c r="M657">
        <f>IF(ISNUMBER(H657),IF(H657&gt;0,1,0),"")</f>
        <v/>
      </c>
    </row>
    <row r="658">
      <c r="A658" t="inlineStr">
        <is>
          <t>SIMULATED_FEA_Commercial_Study</t>
        </is>
      </c>
      <c r="B658" t="inlineStr">
        <is>
          <t>V13</t>
        </is>
      </c>
      <c r="C658" t="inlineStr">
        <is>
          <t>Stimulus</t>
        </is>
      </c>
      <c r="D658" t="inlineStr">
        <is>
          <t>Commercial</t>
        </is>
      </c>
      <c r="E658" t="n">
        <v>60</v>
      </c>
      <c r="F658" t="inlineStr">
        <is>
          <t>Brow Furrow</t>
        </is>
      </c>
      <c r="G658" t="n">
        <v>50</v>
      </c>
      <c r="H658" t="n">
        <v>2.06</v>
      </c>
      <c r="I658" t="n">
        <v>1</v>
      </c>
      <c r="J658" t="inlineStr">
        <is>
          <t>NA</t>
        </is>
      </c>
      <c r="K658" t="n">
        <v>95.09999999999999</v>
      </c>
      <c r="L658">
        <f>IF(K658&gt;=80,"Yes","No")</f>
        <v/>
      </c>
      <c r="M658">
        <f>IF(ISNUMBER(H658),IF(H658&gt;0,1,0),"")</f>
        <v/>
      </c>
    </row>
    <row r="659">
      <c r="A659" t="inlineStr">
        <is>
          <t>SIMULATED_FEA_Commercial_Study</t>
        </is>
      </c>
      <c r="B659" t="inlineStr">
        <is>
          <t>V13</t>
        </is>
      </c>
      <c r="C659" t="inlineStr">
        <is>
          <t>Stimulus</t>
        </is>
      </c>
      <c r="D659" t="inlineStr">
        <is>
          <t>Commercial</t>
        </is>
      </c>
      <c r="E659" t="n">
        <v>60</v>
      </c>
      <c r="F659" t="inlineStr">
        <is>
          <t>Positive Valence</t>
        </is>
      </c>
      <c r="G659" t="n">
        <v>50</v>
      </c>
      <c r="H659" t="n">
        <v>2.28</v>
      </c>
      <c r="I659" t="n">
        <v>1</v>
      </c>
      <c r="J659" t="inlineStr">
        <is>
          <t>NA</t>
        </is>
      </c>
      <c r="K659" t="n">
        <v>95.09999999999999</v>
      </c>
      <c r="L659">
        <f>IF(K659&gt;=80,"Yes","No")</f>
        <v/>
      </c>
      <c r="M659">
        <f>IF(ISNUMBER(H659),IF(H659&gt;0,1,0),"")</f>
        <v/>
      </c>
    </row>
    <row r="660">
      <c r="A660" t="inlineStr">
        <is>
          <t>SIMULATED_FEA_Commercial_Study</t>
        </is>
      </c>
      <c r="B660" t="inlineStr">
        <is>
          <t>V13</t>
        </is>
      </c>
      <c r="C660" t="inlineStr">
        <is>
          <t>Stimulus</t>
        </is>
      </c>
      <c r="D660" t="inlineStr">
        <is>
          <t>Commercial</t>
        </is>
      </c>
      <c r="E660" t="n">
        <v>60</v>
      </c>
      <c r="F660" t="inlineStr">
        <is>
          <t>Negative Valence</t>
        </is>
      </c>
      <c r="G660" t="n">
        <v>-50</v>
      </c>
      <c r="H660" t="n">
        <v>0</v>
      </c>
      <c r="I660" t="n">
        <v>0</v>
      </c>
      <c r="J660" t="inlineStr">
        <is>
          <t>NA</t>
        </is>
      </c>
      <c r="K660" t="n">
        <v>95.09999999999999</v>
      </c>
      <c r="L660">
        <f>IF(K660&gt;=80,"Yes","No")</f>
        <v/>
      </c>
      <c r="M660">
        <f>IF(ISNUMBER(H660),IF(H660&gt;0,1,0),"")</f>
        <v/>
      </c>
    </row>
    <row r="661">
      <c r="A661" t="inlineStr">
        <is>
          <t>SIMULATED_FEA_Commercial_Study</t>
        </is>
      </c>
      <c r="B661" t="inlineStr">
        <is>
          <t>V13</t>
        </is>
      </c>
      <c r="C661" t="inlineStr">
        <is>
          <t>Stimulus</t>
        </is>
      </c>
      <c r="D661" t="inlineStr">
        <is>
          <t>Commercial</t>
        </is>
      </c>
      <c r="E661" t="n">
        <v>60</v>
      </c>
      <c r="F661" t="inlineStr">
        <is>
          <t>Engagement</t>
        </is>
      </c>
      <c r="G661" t="inlineStr">
        <is>
          <t>NA</t>
        </is>
      </c>
      <c r="H661" t="inlineStr">
        <is>
          <t>NA</t>
        </is>
      </c>
      <c r="I661" t="inlineStr">
        <is>
          <t>NA</t>
        </is>
      </c>
      <c r="J661" t="n">
        <v>10.69</v>
      </c>
      <c r="K661" t="n">
        <v>95.09999999999999</v>
      </c>
      <c r="L661">
        <f>IF(K661&gt;=80,"Yes","No")</f>
        <v/>
      </c>
      <c r="M661">
        <f>IF(ISNUMBER(H661),IF(H661&gt;0,1,0),"")</f>
        <v/>
      </c>
    </row>
    <row r="662">
      <c r="A662" t="inlineStr">
        <is>
          <t>SIMULATED_FEA_Commercial_Study</t>
        </is>
      </c>
      <c r="B662" t="inlineStr">
        <is>
          <t>V13</t>
        </is>
      </c>
      <c r="C662" t="inlineStr">
        <is>
          <t>Stimulus</t>
        </is>
      </c>
      <c r="D662" t="inlineStr">
        <is>
          <t>Recovery</t>
        </is>
      </c>
      <c r="E662" t="n">
        <v>15</v>
      </c>
      <c r="F662" t="inlineStr">
        <is>
          <t>Joy</t>
        </is>
      </c>
      <c r="G662" t="n">
        <v>50</v>
      </c>
      <c r="H662" t="n">
        <v>0</v>
      </c>
      <c r="I662" t="n">
        <v>0</v>
      </c>
      <c r="J662" t="inlineStr">
        <is>
          <t>NA</t>
        </is>
      </c>
      <c r="K662" t="n">
        <v>95.09999999999999</v>
      </c>
      <c r="L662">
        <f>IF(K662&gt;=80,"Yes","No")</f>
        <v/>
      </c>
      <c r="M662">
        <f>IF(ISNUMBER(H662),IF(H662&gt;0,1,0),"")</f>
        <v/>
      </c>
    </row>
    <row r="663">
      <c r="A663" t="inlineStr">
        <is>
          <t>SIMULATED_FEA_Commercial_Study</t>
        </is>
      </c>
      <c r="B663" t="inlineStr">
        <is>
          <t>V13</t>
        </is>
      </c>
      <c r="C663" t="inlineStr">
        <is>
          <t>Stimulus</t>
        </is>
      </c>
      <c r="D663" t="inlineStr">
        <is>
          <t>Recovery</t>
        </is>
      </c>
      <c r="E663" t="n">
        <v>15</v>
      </c>
      <c r="F663" t="inlineStr">
        <is>
          <t>Surprise</t>
        </is>
      </c>
      <c r="G663" t="n">
        <v>50</v>
      </c>
      <c r="H663" t="n">
        <v>0</v>
      </c>
      <c r="I663" t="n">
        <v>0</v>
      </c>
      <c r="J663" t="inlineStr">
        <is>
          <t>NA</t>
        </is>
      </c>
      <c r="K663" t="n">
        <v>95.09999999999999</v>
      </c>
      <c r="L663">
        <f>IF(K663&gt;=80,"Yes","No")</f>
        <v/>
      </c>
      <c r="M663">
        <f>IF(ISNUMBER(H663),IF(H663&gt;0,1,0),"")</f>
        <v/>
      </c>
    </row>
    <row r="664">
      <c r="A664" t="inlineStr">
        <is>
          <t>SIMULATED_FEA_Commercial_Study</t>
        </is>
      </c>
      <c r="B664" t="inlineStr">
        <is>
          <t>V13</t>
        </is>
      </c>
      <c r="C664" t="inlineStr">
        <is>
          <t>Stimulus</t>
        </is>
      </c>
      <c r="D664" t="inlineStr">
        <is>
          <t>Recovery</t>
        </is>
      </c>
      <c r="E664" t="n">
        <v>15</v>
      </c>
      <c r="F664" t="inlineStr">
        <is>
          <t>Brow Furrow</t>
        </is>
      </c>
      <c r="G664" t="n">
        <v>50</v>
      </c>
      <c r="H664" t="n">
        <v>0</v>
      </c>
      <c r="I664" t="n">
        <v>0</v>
      </c>
      <c r="J664" t="inlineStr">
        <is>
          <t>NA</t>
        </is>
      </c>
      <c r="K664" t="n">
        <v>95.09999999999999</v>
      </c>
      <c r="L664">
        <f>IF(K664&gt;=80,"Yes","No")</f>
        <v/>
      </c>
      <c r="M664">
        <f>IF(ISNUMBER(H664),IF(H664&gt;0,1,0),"")</f>
        <v/>
      </c>
    </row>
    <row r="665">
      <c r="A665" t="inlineStr">
        <is>
          <t>SIMULATED_FEA_Commercial_Study</t>
        </is>
      </c>
      <c r="B665" t="inlineStr">
        <is>
          <t>V13</t>
        </is>
      </c>
      <c r="C665" t="inlineStr">
        <is>
          <t>Stimulus</t>
        </is>
      </c>
      <c r="D665" t="inlineStr">
        <is>
          <t>Recovery</t>
        </is>
      </c>
      <c r="E665" t="n">
        <v>15</v>
      </c>
      <c r="F665" t="inlineStr">
        <is>
          <t>Positive Valence</t>
        </is>
      </c>
      <c r="G665" t="n">
        <v>50</v>
      </c>
      <c r="H665" t="n">
        <v>0</v>
      </c>
      <c r="I665" t="n">
        <v>0</v>
      </c>
      <c r="J665" t="inlineStr">
        <is>
          <t>NA</t>
        </is>
      </c>
      <c r="K665" t="n">
        <v>95.09999999999999</v>
      </c>
      <c r="L665">
        <f>IF(K665&gt;=80,"Yes","No")</f>
        <v/>
      </c>
      <c r="M665">
        <f>IF(ISNUMBER(H665),IF(H665&gt;0,1,0),"")</f>
        <v/>
      </c>
    </row>
    <row r="666">
      <c r="A666" t="inlineStr">
        <is>
          <t>SIMULATED_FEA_Commercial_Study</t>
        </is>
      </c>
      <c r="B666" t="inlineStr">
        <is>
          <t>V13</t>
        </is>
      </c>
      <c r="C666" t="inlineStr">
        <is>
          <t>Stimulus</t>
        </is>
      </c>
      <c r="D666" t="inlineStr">
        <is>
          <t>Recovery</t>
        </is>
      </c>
      <c r="E666" t="n">
        <v>15</v>
      </c>
      <c r="F666" t="inlineStr">
        <is>
          <t>Negative Valence</t>
        </is>
      </c>
      <c r="G666" t="n">
        <v>-50</v>
      </c>
      <c r="H666" t="n">
        <v>0</v>
      </c>
      <c r="I666" t="n">
        <v>0</v>
      </c>
      <c r="J666" t="inlineStr">
        <is>
          <t>NA</t>
        </is>
      </c>
      <c r="K666" t="n">
        <v>95.09999999999999</v>
      </c>
      <c r="L666">
        <f>IF(K666&gt;=80,"Yes","No")</f>
        <v/>
      </c>
      <c r="M666">
        <f>IF(ISNUMBER(H666),IF(H666&gt;0,1,0),"")</f>
        <v/>
      </c>
    </row>
    <row r="667">
      <c r="A667" t="inlineStr">
        <is>
          <t>SIMULATED_FEA_Commercial_Study</t>
        </is>
      </c>
      <c r="B667" t="inlineStr">
        <is>
          <t>V13</t>
        </is>
      </c>
      <c r="C667" t="inlineStr">
        <is>
          <t>Stimulus</t>
        </is>
      </c>
      <c r="D667" t="inlineStr">
        <is>
          <t>Recovery</t>
        </is>
      </c>
      <c r="E667" t="n">
        <v>15</v>
      </c>
      <c r="F667" t="inlineStr">
        <is>
          <t>Engagement</t>
        </is>
      </c>
      <c r="G667" t="inlineStr">
        <is>
          <t>NA</t>
        </is>
      </c>
      <c r="H667" t="inlineStr">
        <is>
          <t>NA</t>
        </is>
      </c>
      <c r="I667" t="inlineStr">
        <is>
          <t>NA</t>
        </is>
      </c>
      <c r="J667" t="n">
        <v>3.95</v>
      </c>
      <c r="K667" t="n">
        <v>95.09999999999999</v>
      </c>
      <c r="L667">
        <f>IF(K667&gt;=80,"Yes","No")</f>
        <v/>
      </c>
      <c r="M667">
        <f>IF(ISNUMBER(H667),IF(H667&gt;0,1,0),"")</f>
        <v/>
      </c>
    </row>
    <row r="668">
      <c r="A668" t="inlineStr">
        <is>
          <t>SIMULATED_FEA_Commercial_Study</t>
        </is>
      </c>
      <c r="B668" t="inlineStr">
        <is>
          <t>V13</t>
        </is>
      </c>
      <c r="C668" t="inlineStr">
        <is>
          <t>Annotation</t>
        </is>
      </c>
      <c r="D668" t="inlineStr">
        <is>
          <t>Bin_01</t>
        </is>
      </c>
      <c r="E668" t="n">
        <v>10</v>
      </c>
      <c r="F668" t="inlineStr">
        <is>
          <t>Joy</t>
        </is>
      </c>
      <c r="G668" t="n">
        <v>50</v>
      </c>
      <c r="H668" t="n">
        <v>0</v>
      </c>
      <c r="I668" t="n">
        <v>0</v>
      </c>
      <c r="J668" t="inlineStr">
        <is>
          <t>NA</t>
        </is>
      </c>
      <c r="K668" t="n">
        <v>95.09999999999999</v>
      </c>
      <c r="L668">
        <f>IF(K668&gt;=80,"Yes","No")</f>
        <v/>
      </c>
      <c r="M668">
        <f>IF(ISNUMBER(H668),IF(H668&gt;0,1,0),"")</f>
        <v/>
      </c>
    </row>
    <row r="669">
      <c r="A669" t="inlineStr">
        <is>
          <t>SIMULATED_FEA_Commercial_Study</t>
        </is>
      </c>
      <c r="B669" t="inlineStr">
        <is>
          <t>V13</t>
        </is>
      </c>
      <c r="C669" t="inlineStr">
        <is>
          <t>Annotation</t>
        </is>
      </c>
      <c r="D669" t="inlineStr">
        <is>
          <t>Bin_01</t>
        </is>
      </c>
      <c r="E669" t="n">
        <v>10</v>
      </c>
      <c r="F669" t="inlineStr">
        <is>
          <t>Surprise</t>
        </is>
      </c>
      <c r="G669" t="n">
        <v>50</v>
      </c>
      <c r="H669" t="n">
        <v>20.33</v>
      </c>
      <c r="I669" t="n">
        <v>1</v>
      </c>
      <c r="J669" t="inlineStr">
        <is>
          <t>NA</t>
        </is>
      </c>
      <c r="K669" t="n">
        <v>95.09999999999999</v>
      </c>
      <c r="L669">
        <f>IF(K669&gt;=80,"Yes","No")</f>
        <v/>
      </c>
      <c r="M669">
        <f>IF(ISNUMBER(H669),IF(H669&gt;0,1,0),"")</f>
        <v/>
      </c>
    </row>
    <row r="670">
      <c r="A670" t="inlineStr">
        <is>
          <t>SIMULATED_FEA_Commercial_Study</t>
        </is>
      </c>
      <c r="B670" t="inlineStr">
        <is>
          <t>V13</t>
        </is>
      </c>
      <c r="C670" t="inlineStr">
        <is>
          <t>Annotation</t>
        </is>
      </c>
      <c r="D670" t="inlineStr">
        <is>
          <t>Bin_01</t>
        </is>
      </c>
      <c r="E670" t="n">
        <v>10</v>
      </c>
      <c r="F670" t="inlineStr">
        <is>
          <t>Brow Furrow</t>
        </is>
      </c>
      <c r="G670" t="n">
        <v>50</v>
      </c>
      <c r="H670" t="n">
        <v>0</v>
      </c>
      <c r="I670" t="n">
        <v>0</v>
      </c>
      <c r="J670" t="inlineStr">
        <is>
          <t>NA</t>
        </is>
      </c>
      <c r="K670" t="n">
        <v>95.09999999999999</v>
      </c>
      <c r="L670">
        <f>IF(K670&gt;=80,"Yes","No")</f>
        <v/>
      </c>
      <c r="M670">
        <f>IF(ISNUMBER(H670),IF(H670&gt;0,1,0),"")</f>
        <v/>
      </c>
    </row>
    <row r="671">
      <c r="A671" t="inlineStr">
        <is>
          <t>SIMULATED_FEA_Commercial_Study</t>
        </is>
      </c>
      <c r="B671" t="inlineStr">
        <is>
          <t>V13</t>
        </is>
      </c>
      <c r="C671" t="inlineStr">
        <is>
          <t>Annotation</t>
        </is>
      </c>
      <c r="D671" t="inlineStr">
        <is>
          <t>Bin_01</t>
        </is>
      </c>
      <c r="E671" t="n">
        <v>10</v>
      </c>
      <c r="F671" t="inlineStr">
        <is>
          <t>Positive Valence</t>
        </is>
      </c>
      <c r="G671" t="n">
        <v>50</v>
      </c>
      <c r="H671" t="n">
        <v>0</v>
      </c>
      <c r="I671" t="n">
        <v>0</v>
      </c>
      <c r="J671" t="inlineStr">
        <is>
          <t>NA</t>
        </is>
      </c>
      <c r="K671" t="n">
        <v>95.09999999999999</v>
      </c>
      <c r="L671">
        <f>IF(K671&gt;=80,"Yes","No")</f>
        <v/>
      </c>
      <c r="M671">
        <f>IF(ISNUMBER(H671),IF(H671&gt;0,1,0),"")</f>
        <v/>
      </c>
    </row>
    <row r="672">
      <c r="A672" t="inlineStr">
        <is>
          <t>SIMULATED_FEA_Commercial_Study</t>
        </is>
      </c>
      <c r="B672" t="inlineStr">
        <is>
          <t>V13</t>
        </is>
      </c>
      <c r="C672" t="inlineStr">
        <is>
          <t>Annotation</t>
        </is>
      </c>
      <c r="D672" t="inlineStr">
        <is>
          <t>Bin_01</t>
        </is>
      </c>
      <c r="E672" t="n">
        <v>10</v>
      </c>
      <c r="F672" t="inlineStr">
        <is>
          <t>Negative Valence</t>
        </is>
      </c>
      <c r="G672" t="n">
        <v>-50</v>
      </c>
      <c r="H672" t="n">
        <v>0</v>
      </c>
      <c r="I672" t="n">
        <v>0</v>
      </c>
      <c r="J672" t="inlineStr">
        <is>
          <t>NA</t>
        </is>
      </c>
      <c r="K672" t="n">
        <v>95.09999999999999</v>
      </c>
      <c r="L672">
        <f>IF(K672&gt;=80,"Yes","No")</f>
        <v/>
      </c>
      <c r="M672">
        <f>IF(ISNUMBER(H672),IF(H672&gt;0,1,0),"")</f>
        <v/>
      </c>
    </row>
    <row r="673">
      <c r="A673" t="inlineStr">
        <is>
          <t>SIMULATED_FEA_Commercial_Study</t>
        </is>
      </c>
      <c r="B673" t="inlineStr">
        <is>
          <t>V13</t>
        </is>
      </c>
      <c r="C673" t="inlineStr">
        <is>
          <t>Annotation</t>
        </is>
      </c>
      <c r="D673" t="inlineStr">
        <is>
          <t>Bin_01</t>
        </is>
      </c>
      <c r="E673" t="n">
        <v>10</v>
      </c>
      <c r="F673" t="inlineStr">
        <is>
          <t>Engagement</t>
        </is>
      </c>
      <c r="G673" t="inlineStr">
        <is>
          <t>NA</t>
        </is>
      </c>
      <c r="H673" t="inlineStr">
        <is>
          <t>NA</t>
        </is>
      </c>
      <c r="I673" t="inlineStr">
        <is>
          <t>NA</t>
        </is>
      </c>
      <c r="J673" t="n">
        <v>16.27</v>
      </c>
      <c r="K673" t="n">
        <v>95.09999999999999</v>
      </c>
      <c r="L673">
        <f>IF(K673&gt;=80,"Yes","No")</f>
        <v/>
      </c>
      <c r="M673">
        <f>IF(ISNUMBER(H673),IF(H673&gt;0,1,0),"")</f>
        <v/>
      </c>
    </row>
    <row r="674">
      <c r="A674" t="inlineStr">
        <is>
          <t>SIMULATED_FEA_Commercial_Study</t>
        </is>
      </c>
      <c r="B674" t="inlineStr">
        <is>
          <t>V13</t>
        </is>
      </c>
      <c r="C674" t="inlineStr">
        <is>
          <t>Annotation</t>
        </is>
      </c>
      <c r="D674" t="inlineStr">
        <is>
          <t>Bin_02</t>
        </is>
      </c>
      <c r="E674" t="n">
        <v>10</v>
      </c>
      <c r="F674" t="inlineStr">
        <is>
          <t>Joy</t>
        </is>
      </c>
      <c r="G674" t="n">
        <v>50</v>
      </c>
      <c r="H674" t="n">
        <v>0</v>
      </c>
      <c r="I674" t="n">
        <v>0</v>
      </c>
      <c r="J674" t="inlineStr">
        <is>
          <t>NA</t>
        </is>
      </c>
      <c r="K674" t="n">
        <v>95.09999999999999</v>
      </c>
      <c r="L674">
        <f>IF(K674&gt;=80,"Yes","No")</f>
        <v/>
      </c>
      <c r="M674">
        <f>IF(ISNUMBER(H674),IF(H674&gt;0,1,0),"")</f>
        <v/>
      </c>
    </row>
    <row r="675">
      <c r="A675" t="inlineStr">
        <is>
          <t>SIMULATED_FEA_Commercial_Study</t>
        </is>
      </c>
      <c r="B675" t="inlineStr">
        <is>
          <t>V13</t>
        </is>
      </c>
      <c r="C675" t="inlineStr">
        <is>
          <t>Annotation</t>
        </is>
      </c>
      <c r="D675" t="inlineStr">
        <is>
          <t>Bin_02</t>
        </is>
      </c>
      <c r="E675" t="n">
        <v>10</v>
      </c>
      <c r="F675" t="inlineStr">
        <is>
          <t>Surprise</t>
        </is>
      </c>
      <c r="G675" t="n">
        <v>50</v>
      </c>
      <c r="H675" t="n">
        <v>0</v>
      </c>
      <c r="I675" t="n">
        <v>0</v>
      </c>
      <c r="J675" t="inlineStr">
        <is>
          <t>NA</t>
        </is>
      </c>
      <c r="K675" t="n">
        <v>95.09999999999999</v>
      </c>
      <c r="L675">
        <f>IF(K675&gt;=80,"Yes","No")</f>
        <v/>
      </c>
      <c r="M675">
        <f>IF(ISNUMBER(H675),IF(H675&gt;0,1,0),"")</f>
        <v/>
      </c>
    </row>
    <row r="676">
      <c r="A676" t="inlineStr">
        <is>
          <t>SIMULATED_FEA_Commercial_Study</t>
        </is>
      </c>
      <c r="B676" t="inlineStr">
        <is>
          <t>V13</t>
        </is>
      </c>
      <c r="C676" t="inlineStr">
        <is>
          <t>Annotation</t>
        </is>
      </c>
      <c r="D676" t="inlineStr">
        <is>
          <t>Bin_02</t>
        </is>
      </c>
      <c r="E676" t="n">
        <v>10</v>
      </c>
      <c r="F676" t="inlineStr">
        <is>
          <t>Brow Furrow</t>
        </is>
      </c>
      <c r="G676" t="n">
        <v>50</v>
      </c>
      <c r="H676" t="n">
        <v>0</v>
      </c>
      <c r="I676" t="n">
        <v>0</v>
      </c>
      <c r="J676" t="inlineStr">
        <is>
          <t>NA</t>
        </is>
      </c>
      <c r="K676" t="n">
        <v>95.09999999999999</v>
      </c>
      <c r="L676">
        <f>IF(K676&gt;=80,"Yes","No")</f>
        <v/>
      </c>
      <c r="M676">
        <f>IF(ISNUMBER(H676),IF(H676&gt;0,1,0),"")</f>
        <v/>
      </c>
    </row>
    <row r="677">
      <c r="A677" t="inlineStr">
        <is>
          <t>SIMULATED_FEA_Commercial_Study</t>
        </is>
      </c>
      <c r="B677" t="inlineStr">
        <is>
          <t>V13</t>
        </is>
      </c>
      <c r="C677" t="inlineStr">
        <is>
          <t>Annotation</t>
        </is>
      </c>
      <c r="D677" t="inlineStr">
        <is>
          <t>Bin_02</t>
        </is>
      </c>
      <c r="E677" t="n">
        <v>10</v>
      </c>
      <c r="F677" t="inlineStr">
        <is>
          <t>Positive Valence</t>
        </is>
      </c>
      <c r="G677" t="n">
        <v>50</v>
      </c>
      <c r="H677" t="n">
        <v>0</v>
      </c>
      <c r="I677" t="n">
        <v>0</v>
      </c>
      <c r="J677" t="inlineStr">
        <is>
          <t>NA</t>
        </is>
      </c>
      <c r="K677" t="n">
        <v>95.09999999999999</v>
      </c>
      <c r="L677">
        <f>IF(K677&gt;=80,"Yes","No")</f>
        <v/>
      </c>
      <c r="M677">
        <f>IF(ISNUMBER(H677),IF(H677&gt;0,1,0),"")</f>
        <v/>
      </c>
    </row>
    <row r="678">
      <c r="A678" t="inlineStr">
        <is>
          <t>SIMULATED_FEA_Commercial_Study</t>
        </is>
      </c>
      <c r="B678" t="inlineStr">
        <is>
          <t>V13</t>
        </is>
      </c>
      <c r="C678" t="inlineStr">
        <is>
          <t>Annotation</t>
        </is>
      </c>
      <c r="D678" t="inlineStr">
        <is>
          <t>Bin_02</t>
        </is>
      </c>
      <c r="E678" t="n">
        <v>10</v>
      </c>
      <c r="F678" t="inlineStr">
        <is>
          <t>Negative Valence</t>
        </is>
      </c>
      <c r="G678" t="n">
        <v>-50</v>
      </c>
      <c r="H678" t="n">
        <v>0</v>
      </c>
      <c r="I678" t="n">
        <v>0</v>
      </c>
      <c r="J678" t="inlineStr">
        <is>
          <t>NA</t>
        </is>
      </c>
      <c r="K678" t="n">
        <v>95.09999999999999</v>
      </c>
      <c r="L678">
        <f>IF(K678&gt;=80,"Yes","No")</f>
        <v/>
      </c>
      <c r="M678">
        <f>IF(ISNUMBER(H678),IF(H678&gt;0,1,0),"")</f>
        <v/>
      </c>
    </row>
    <row r="679">
      <c r="A679" t="inlineStr">
        <is>
          <t>SIMULATED_FEA_Commercial_Study</t>
        </is>
      </c>
      <c r="B679" t="inlineStr">
        <is>
          <t>V13</t>
        </is>
      </c>
      <c r="C679" t="inlineStr">
        <is>
          <t>Annotation</t>
        </is>
      </c>
      <c r="D679" t="inlineStr">
        <is>
          <t>Bin_02</t>
        </is>
      </c>
      <c r="E679" t="n">
        <v>10</v>
      </c>
      <c r="F679" t="inlineStr">
        <is>
          <t>Engagement</t>
        </is>
      </c>
      <c r="G679" t="inlineStr">
        <is>
          <t>NA</t>
        </is>
      </c>
      <c r="H679" t="inlineStr">
        <is>
          <t>NA</t>
        </is>
      </c>
      <c r="I679" t="inlineStr">
        <is>
          <t>NA</t>
        </is>
      </c>
      <c r="J679" t="n">
        <v>5.5</v>
      </c>
      <c r="K679" t="n">
        <v>95.09999999999999</v>
      </c>
      <c r="L679">
        <f>IF(K679&gt;=80,"Yes","No")</f>
        <v/>
      </c>
      <c r="M679">
        <f>IF(ISNUMBER(H679),IF(H679&gt;0,1,0),"")</f>
        <v/>
      </c>
    </row>
    <row r="680">
      <c r="A680" t="inlineStr">
        <is>
          <t>SIMULATED_FEA_Commercial_Study</t>
        </is>
      </c>
      <c r="B680" t="inlineStr">
        <is>
          <t>V13</t>
        </is>
      </c>
      <c r="C680" t="inlineStr">
        <is>
          <t>Annotation</t>
        </is>
      </c>
      <c r="D680" t="inlineStr">
        <is>
          <t>Bin_03</t>
        </is>
      </c>
      <c r="E680" t="n">
        <v>10</v>
      </c>
      <c r="F680" t="inlineStr">
        <is>
          <t>Joy</t>
        </is>
      </c>
      <c r="G680" t="n">
        <v>50</v>
      </c>
      <c r="H680" t="n">
        <v>0</v>
      </c>
      <c r="I680" t="n">
        <v>0</v>
      </c>
      <c r="J680" t="inlineStr">
        <is>
          <t>NA</t>
        </is>
      </c>
      <c r="K680" t="n">
        <v>95.09999999999999</v>
      </c>
      <c r="L680">
        <f>IF(K680&gt;=80,"Yes","No")</f>
        <v/>
      </c>
      <c r="M680">
        <f>IF(ISNUMBER(H680),IF(H680&gt;0,1,0),"")</f>
        <v/>
      </c>
    </row>
    <row r="681">
      <c r="A681" t="inlineStr">
        <is>
          <t>SIMULATED_FEA_Commercial_Study</t>
        </is>
      </c>
      <c r="B681" t="inlineStr">
        <is>
          <t>V13</t>
        </is>
      </c>
      <c r="C681" t="inlineStr">
        <is>
          <t>Annotation</t>
        </is>
      </c>
      <c r="D681" t="inlineStr">
        <is>
          <t>Bin_03</t>
        </is>
      </c>
      <c r="E681" t="n">
        <v>10</v>
      </c>
      <c r="F681" t="inlineStr">
        <is>
          <t>Surprise</t>
        </is>
      </c>
      <c r="G681" t="n">
        <v>50</v>
      </c>
      <c r="H681" t="n">
        <v>16.33</v>
      </c>
      <c r="I681" t="n">
        <v>2</v>
      </c>
      <c r="J681" t="inlineStr">
        <is>
          <t>NA</t>
        </is>
      </c>
      <c r="K681" t="n">
        <v>95.09999999999999</v>
      </c>
      <c r="L681">
        <f>IF(K681&gt;=80,"Yes","No")</f>
        <v/>
      </c>
      <c r="M681">
        <f>IF(ISNUMBER(H681),IF(H681&gt;0,1,0),"")</f>
        <v/>
      </c>
    </row>
    <row r="682">
      <c r="A682" t="inlineStr">
        <is>
          <t>SIMULATED_FEA_Commercial_Study</t>
        </is>
      </c>
      <c r="B682" t="inlineStr">
        <is>
          <t>V13</t>
        </is>
      </c>
      <c r="C682" t="inlineStr">
        <is>
          <t>Annotation</t>
        </is>
      </c>
      <c r="D682" t="inlineStr">
        <is>
          <t>Bin_03</t>
        </is>
      </c>
      <c r="E682" t="n">
        <v>10</v>
      </c>
      <c r="F682" t="inlineStr">
        <is>
          <t>Brow Furrow</t>
        </is>
      </c>
      <c r="G682" t="n">
        <v>50</v>
      </c>
      <c r="H682" t="n">
        <v>0</v>
      </c>
      <c r="I682" t="n">
        <v>0</v>
      </c>
      <c r="J682" t="inlineStr">
        <is>
          <t>NA</t>
        </is>
      </c>
      <c r="K682" t="n">
        <v>95.09999999999999</v>
      </c>
      <c r="L682">
        <f>IF(K682&gt;=80,"Yes","No")</f>
        <v/>
      </c>
      <c r="M682">
        <f>IF(ISNUMBER(H682),IF(H682&gt;0,1,0),"")</f>
        <v/>
      </c>
    </row>
    <row r="683">
      <c r="A683" t="inlineStr">
        <is>
          <t>SIMULATED_FEA_Commercial_Study</t>
        </is>
      </c>
      <c r="B683" t="inlineStr">
        <is>
          <t>V13</t>
        </is>
      </c>
      <c r="C683" t="inlineStr">
        <is>
          <t>Annotation</t>
        </is>
      </c>
      <c r="D683" t="inlineStr">
        <is>
          <t>Bin_03</t>
        </is>
      </c>
      <c r="E683" t="n">
        <v>10</v>
      </c>
      <c r="F683" t="inlineStr">
        <is>
          <t>Positive Valence</t>
        </is>
      </c>
      <c r="G683" t="n">
        <v>50</v>
      </c>
      <c r="H683" t="n">
        <v>0</v>
      </c>
      <c r="I683" t="n">
        <v>0</v>
      </c>
      <c r="J683" t="inlineStr">
        <is>
          <t>NA</t>
        </is>
      </c>
      <c r="K683" t="n">
        <v>95.09999999999999</v>
      </c>
      <c r="L683">
        <f>IF(K683&gt;=80,"Yes","No")</f>
        <v/>
      </c>
      <c r="M683">
        <f>IF(ISNUMBER(H683),IF(H683&gt;0,1,0),"")</f>
        <v/>
      </c>
    </row>
    <row r="684">
      <c r="A684" t="inlineStr">
        <is>
          <t>SIMULATED_FEA_Commercial_Study</t>
        </is>
      </c>
      <c r="B684" t="inlineStr">
        <is>
          <t>V13</t>
        </is>
      </c>
      <c r="C684" t="inlineStr">
        <is>
          <t>Annotation</t>
        </is>
      </c>
      <c r="D684" t="inlineStr">
        <is>
          <t>Bin_03</t>
        </is>
      </c>
      <c r="E684" t="n">
        <v>10</v>
      </c>
      <c r="F684" t="inlineStr">
        <is>
          <t>Negative Valence</t>
        </is>
      </c>
      <c r="G684" t="n">
        <v>-50</v>
      </c>
      <c r="H684" t="n">
        <v>0</v>
      </c>
      <c r="I684" t="n">
        <v>0</v>
      </c>
      <c r="J684" t="inlineStr">
        <is>
          <t>NA</t>
        </is>
      </c>
      <c r="K684" t="n">
        <v>95.09999999999999</v>
      </c>
      <c r="L684">
        <f>IF(K684&gt;=80,"Yes","No")</f>
        <v/>
      </c>
      <c r="M684">
        <f>IF(ISNUMBER(H684),IF(H684&gt;0,1,0),"")</f>
        <v/>
      </c>
    </row>
    <row r="685">
      <c r="A685" t="inlineStr">
        <is>
          <t>SIMULATED_FEA_Commercial_Study</t>
        </is>
      </c>
      <c r="B685" t="inlineStr">
        <is>
          <t>V13</t>
        </is>
      </c>
      <c r="C685" t="inlineStr">
        <is>
          <t>Annotation</t>
        </is>
      </c>
      <c r="D685" t="inlineStr">
        <is>
          <t>Bin_03</t>
        </is>
      </c>
      <c r="E685" t="n">
        <v>10</v>
      </c>
      <c r="F685" t="inlineStr">
        <is>
          <t>Engagement</t>
        </is>
      </c>
      <c r="G685" t="inlineStr">
        <is>
          <t>NA</t>
        </is>
      </c>
      <c r="H685" t="inlineStr">
        <is>
          <t>NA</t>
        </is>
      </c>
      <c r="I685" t="inlineStr">
        <is>
          <t>NA</t>
        </is>
      </c>
      <c r="J685" t="n">
        <v>17.88</v>
      </c>
      <c r="K685" t="n">
        <v>95.09999999999999</v>
      </c>
      <c r="L685">
        <f>IF(K685&gt;=80,"Yes","No")</f>
        <v/>
      </c>
      <c r="M685">
        <f>IF(ISNUMBER(H685),IF(H685&gt;0,1,0),"")</f>
        <v/>
      </c>
    </row>
    <row r="686">
      <c r="A686" t="inlineStr">
        <is>
          <t>SIMULATED_FEA_Commercial_Study</t>
        </is>
      </c>
      <c r="B686" t="inlineStr">
        <is>
          <t>V13</t>
        </is>
      </c>
      <c r="C686" t="inlineStr">
        <is>
          <t>Annotation</t>
        </is>
      </c>
      <c r="D686" t="inlineStr">
        <is>
          <t>Bin_04</t>
        </is>
      </c>
      <c r="E686" t="n">
        <v>10</v>
      </c>
      <c r="F686" t="inlineStr">
        <is>
          <t>Joy</t>
        </is>
      </c>
      <c r="G686" t="n">
        <v>50</v>
      </c>
      <c r="H686" t="n">
        <v>0</v>
      </c>
      <c r="I686" t="n">
        <v>0</v>
      </c>
      <c r="J686" t="inlineStr">
        <is>
          <t>NA</t>
        </is>
      </c>
      <c r="K686" t="n">
        <v>95.09999999999999</v>
      </c>
      <c r="L686">
        <f>IF(K686&gt;=80,"Yes","No")</f>
        <v/>
      </c>
      <c r="M686">
        <f>IF(ISNUMBER(H686),IF(H686&gt;0,1,0),"")</f>
        <v/>
      </c>
    </row>
    <row r="687">
      <c r="A687" t="inlineStr">
        <is>
          <t>SIMULATED_FEA_Commercial_Study</t>
        </is>
      </c>
      <c r="B687" t="inlineStr">
        <is>
          <t>V13</t>
        </is>
      </c>
      <c r="C687" t="inlineStr">
        <is>
          <t>Annotation</t>
        </is>
      </c>
      <c r="D687" t="inlineStr">
        <is>
          <t>Bin_04</t>
        </is>
      </c>
      <c r="E687" t="n">
        <v>10</v>
      </c>
      <c r="F687" t="inlineStr">
        <is>
          <t>Surprise</t>
        </is>
      </c>
      <c r="G687" t="n">
        <v>50</v>
      </c>
      <c r="H687" t="n">
        <v>0</v>
      </c>
      <c r="I687" t="n">
        <v>0</v>
      </c>
      <c r="J687" t="inlineStr">
        <is>
          <t>NA</t>
        </is>
      </c>
      <c r="K687" t="n">
        <v>95.09999999999999</v>
      </c>
      <c r="L687">
        <f>IF(K687&gt;=80,"Yes","No")</f>
        <v/>
      </c>
      <c r="M687">
        <f>IF(ISNUMBER(H687),IF(H687&gt;0,1,0),"")</f>
        <v/>
      </c>
    </row>
    <row r="688">
      <c r="A688" t="inlineStr">
        <is>
          <t>SIMULATED_FEA_Commercial_Study</t>
        </is>
      </c>
      <c r="B688" t="inlineStr">
        <is>
          <t>V13</t>
        </is>
      </c>
      <c r="C688" t="inlineStr">
        <is>
          <t>Annotation</t>
        </is>
      </c>
      <c r="D688" t="inlineStr">
        <is>
          <t>Bin_04</t>
        </is>
      </c>
      <c r="E688" t="n">
        <v>10</v>
      </c>
      <c r="F688" t="inlineStr">
        <is>
          <t>Brow Furrow</t>
        </is>
      </c>
      <c r="G688" t="n">
        <v>50</v>
      </c>
      <c r="H688" t="n">
        <v>12.33</v>
      </c>
      <c r="I688" t="n">
        <v>1</v>
      </c>
      <c r="J688" t="inlineStr">
        <is>
          <t>NA</t>
        </is>
      </c>
      <c r="K688" t="n">
        <v>95.09999999999999</v>
      </c>
      <c r="L688">
        <f>IF(K688&gt;=80,"Yes","No")</f>
        <v/>
      </c>
      <c r="M688">
        <f>IF(ISNUMBER(H688),IF(H688&gt;0,1,0),"")</f>
        <v/>
      </c>
    </row>
    <row r="689">
      <c r="A689" t="inlineStr">
        <is>
          <t>SIMULATED_FEA_Commercial_Study</t>
        </is>
      </c>
      <c r="B689" t="inlineStr">
        <is>
          <t>V13</t>
        </is>
      </c>
      <c r="C689" t="inlineStr">
        <is>
          <t>Annotation</t>
        </is>
      </c>
      <c r="D689" t="inlineStr">
        <is>
          <t>Bin_04</t>
        </is>
      </c>
      <c r="E689" t="n">
        <v>10</v>
      </c>
      <c r="F689" t="inlineStr">
        <is>
          <t>Positive Valence</t>
        </is>
      </c>
      <c r="G689" t="n">
        <v>50</v>
      </c>
      <c r="H689" t="n">
        <v>0</v>
      </c>
      <c r="I689" t="n">
        <v>0</v>
      </c>
      <c r="J689" t="inlineStr">
        <is>
          <t>NA</t>
        </is>
      </c>
      <c r="K689" t="n">
        <v>95.09999999999999</v>
      </c>
      <c r="L689">
        <f>IF(K689&gt;=80,"Yes","No")</f>
        <v/>
      </c>
      <c r="M689">
        <f>IF(ISNUMBER(H689),IF(H689&gt;0,1,0),"")</f>
        <v/>
      </c>
    </row>
    <row r="690">
      <c r="A690" t="inlineStr">
        <is>
          <t>SIMULATED_FEA_Commercial_Study</t>
        </is>
      </c>
      <c r="B690" t="inlineStr">
        <is>
          <t>V13</t>
        </is>
      </c>
      <c r="C690" t="inlineStr">
        <is>
          <t>Annotation</t>
        </is>
      </c>
      <c r="D690" t="inlineStr">
        <is>
          <t>Bin_04</t>
        </is>
      </c>
      <c r="E690" t="n">
        <v>10</v>
      </c>
      <c r="F690" t="inlineStr">
        <is>
          <t>Negative Valence</t>
        </is>
      </c>
      <c r="G690" t="n">
        <v>-50</v>
      </c>
      <c r="H690" t="n">
        <v>0</v>
      </c>
      <c r="I690" t="n">
        <v>0</v>
      </c>
      <c r="J690" t="inlineStr">
        <is>
          <t>NA</t>
        </is>
      </c>
      <c r="K690" t="n">
        <v>95.09999999999999</v>
      </c>
      <c r="L690">
        <f>IF(K690&gt;=80,"Yes","No")</f>
        <v/>
      </c>
      <c r="M690">
        <f>IF(ISNUMBER(H690),IF(H690&gt;0,1,0),"")</f>
        <v/>
      </c>
    </row>
    <row r="691">
      <c r="A691" t="inlineStr">
        <is>
          <t>SIMULATED_FEA_Commercial_Study</t>
        </is>
      </c>
      <c r="B691" t="inlineStr">
        <is>
          <t>V13</t>
        </is>
      </c>
      <c r="C691" t="inlineStr">
        <is>
          <t>Annotation</t>
        </is>
      </c>
      <c r="D691" t="inlineStr">
        <is>
          <t>Bin_04</t>
        </is>
      </c>
      <c r="E691" t="n">
        <v>10</v>
      </c>
      <c r="F691" t="inlineStr">
        <is>
          <t>Engagement</t>
        </is>
      </c>
      <c r="G691" t="inlineStr">
        <is>
          <t>NA</t>
        </is>
      </c>
      <c r="H691" t="inlineStr">
        <is>
          <t>NA</t>
        </is>
      </c>
      <c r="I691" t="inlineStr">
        <is>
          <t>NA</t>
        </is>
      </c>
      <c r="J691" t="n">
        <v>9.85</v>
      </c>
      <c r="K691" t="n">
        <v>95.09999999999999</v>
      </c>
      <c r="L691">
        <f>IF(K691&gt;=80,"Yes","No")</f>
        <v/>
      </c>
      <c r="M691">
        <f>IF(ISNUMBER(H691),IF(H691&gt;0,1,0),"")</f>
        <v/>
      </c>
    </row>
    <row r="692">
      <c r="A692" t="inlineStr">
        <is>
          <t>SIMULATED_FEA_Commercial_Study</t>
        </is>
      </c>
      <c r="B692" t="inlineStr">
        <is>
          <t>V13</t>
        </is>
      </c>
      <c r="C692" t="inlineStr">
        <is>
          <t>Annotation</t>
        </is>
      </c>
      <c r="D692" t="inlineStr">
        <is>
          <t>Bin_05</t>
        </is>
      </c>
      <c r="E692" t="n">
        <v>10</v>
      </c>
      <c r="F692" t="inlineStr">
        <is>
          <t>Joy</t>
        </is>
      </c>
      <c r="G692" t="n">
        <v>50</v>
      </c>
      <c r="H692" t="n">
        <v>0</v>
      </c>
      <c r="I692" t="n">
        <v>0</v>
      </c>
      <c r="J692" t="inlineStr">
        <is>
          <t>NA</t>
        </is>
      </c>
      <c r="K692" t="n">
        <v>95.09999999999999</v>
      </c>
      <c r="L692">
        <f>IF(K692&gt;=80,"Yes","No")</f>
        <v/>
      </c>
      <c r="M692">
        <f>IF(ISNUMBER(H692),IF(H692&gt;0,1,0),"")</f>
        <v/>
      </c>
    </row>
    <row r="693">
      <c r="A693" t="inlineStr">
        <is>
          <t>SIMULATED_FEA_Commercial_Study</t>
        </is>
      </c>
      <c r="B693" t="inlineStr">
        <is>
          <t>V13</t>
        </is>
      </c>
      <c r="C693" t="inlineStr">
        <is>
          <t>Annotation</t>
        </is>
      </c>
      <c r="D693" t="inlineStr">
        <is>
          <t>Bin_05</t>
        </is>
      </c>
      <c r="E693" t="n">
        <v>10</v>
      </c>
      <c r="F693" t="inlineStr">
        <is>
          <t>Surprise</t>
        </is>
      </c>
      <c r="G693" t="n">
        <v>50</v>
      </c>
      <c r="H693" t="n">
        <v>0</v>
      </c>
      <c r="I693" t="n">
        <v>0</v>
      </c>
      <c r="J693" t="inlineStr">
        <is>
          <t>NA</t>
        </is>
      </c>
      <c r="K693" t="n">
        <v>95.09999999999999</v>
      </c>
      <c r="L693">
        <f>IF(K693&gt;=80,"Yes","No")</f>
        <v/>
      </c>
      <c r="M693">
        <f>IF(ISNUMBER(H693),IF(H693&gt;0,1,0),"")</f>
        <v/>
      </c>
    </row>
    <row r="694">
      <c r="A694" t="inlineStr">
        <is>
          <t>SIMULATED_FEA_Commercial_Study</t>
        </is>
      </c>
      <c r="B694" t="inlineStr">
        <is>
          <t>V13</t>
        </is>
      </c>
      <c r="C694" t="inlineStr">
        <is>
          <t>Annotation</t>
        </is>
      </c>
      <c r="D694" t="inlineStr">
        <is>
          <t>Bin_05</t>
        </is>
      </c>
      <c r="E694" t="n">
        <v>10</v>
      </c>
      <c r="F694" t="inlineStr">
        <is>
          <t>Brow Furrow</t>
        </is>
      </c>
      <c r="G694" t="n">
        <v>50</v>
      </c>
      <c r="H694" t="n">
        <v>0</v>
      </c>
      <c r="I694" t="n">
        <v>0</v>
      </c>
      <c r="J694" t="inlineStr">
        <is>
          <t>NA</t>
        </is>
      </c>
      <c r="K694" t="n">
        <v>95.09999999999999</v>
      </c>
      <c r="L694">
        <f>IF(K694&gt;=80,"Yes","No")</f>
        <v/>
      </c>
      <c r="M694">
        <f>IF(ISNUMBER(H694),IF(H694&gt;0,1,0),"")</f>
        <v/>
      </c>
    </row>
    <row r="695">
      <c r="A695" t="inlineStr">
        <is>
          <t>SIMULATED_FEA_Commercial_Study</t>
        </is>
      </c>
      <c r="B695" t="inlineStr">
        <is>
          <t>V13</t>
        </is>
      </c>
      <c r="C695" t="inlineStr">
        <is>
          <t>Annotation</t>
        </is>
      </c>
      <c r="D695" t="inlineStr">
        <is>
          <t>Bin_05</t>
        </is>
      </c>
      <c r="E695" t="n">
        <v>10</v>
      </c>
      <c r="F695" t="inlineStr">
        <is>
          <t>Positive Valence</t>
        </is>
      </c>
      <c r="G695" t="n">
        <v>50</v>
      </c>
      <c r="H695" t="n">
        <v>0</v>
      </c>
      <c r="I695" t="n">
        <v>0</v>
      </c>
      <c r="J695" t="inlineStr">
        <is>
          <t>NA</t>
        </is>
      </c>
      <c r="K695" t="n">
        <v>95.09999999999999</v>
      </c>
      <c r="L695">
        <f>IF(K695&gt;=80,"Yes","No")</f>
        <v/>
      </c>
      <c r="M695">
        <f>IF(ISNUMBER(H695),IF(H695&gt;0,1,0),"")</f>
        <v/>
      </c>
    </row>
    <row r="696">
      <c r="A696" t="inlineStr">
        <is>
          <t>SIMULATED_FEA_Commercial_Study</t>
        </is>
      </c>
      <c r="B696" t="inlineStr">
        <is>
          <t>V13</t>
        </is>
      </c>
      <c r="C696" t="inlineStr">
        <is>
          <t>Annotation</t>
        </is>
      </c>
      <c r="D696" t="inlineStr">
        <is>
          <t>Bin_05</t>
        </is>
      </c>
      <c r="E696" t="n">
        <v>10</v>
      </c>
      <c r="F696" t="inlineStr">
        <is>
          <t>Negative Valence</t>
        </is>
      </c>
      <c r="G696" t="n">
        <v>-50</v>
      </c>
      <c r="H696" t="n">
        <v>0</v>
      </c>
      <c r="I696" t="n">
        <v>0</v>
      </c>
      <c r="J696" t="inlineStr">
        <is>
          <t>NA</t>
        </is>
      </c>
      <c r="K696" t="n">
        <v>95.09999999999999</v>
      </c>
      <c r="L696">
        <f>IF(K696&gt;=80,"Yes","No")</f>
        <v/>
      </c>
      <c r="M696">
        <f>IF(ISNUMBER(H696),IF(H696&gt;0,1,0),"")</f>
        <v/>
      </c>
    </row>
    <row r="697">
      <c r="A697" t="inlineStr">
        <is>
          <t>SIMULATED_FEA_Commercial_Study</t>
        </is>
      </c>
      <c r="B697" t="inlineStr">
        <is>
          <t>V13</t>
        </is>
      </c>
      <c r="C697" t="inlineStr">
        <is>
          <t>Annotation</t>
        </is>
      </c>
      <c r="D697" t="inlineStr">
        <is>
          <t>Bin_05</t>
        </is>
      </c>
      <c r="E697" t="n">
        <v>10</v>
      </c>
      <c r="F697" t="inlineStr">
        <is>
          <t>Engagement</t>
        </is>
      </c>
      <c r="G697" t="inlineStr">
        <is>
          <t>NA</t>
        </is>
      </c>
      <c r="H697" t="inlineStr">
        <is>
          <t>NA</t>
        </is>
      </c>
      <c r="I697" t="inlineStr">
        <is>
          <t>NA</t>
        </is>
      </c>
      <c r="J697" t="n">
        <v>3.83</v>
      </c>
      <c r="K697" t="n">
        <v>95.09999999999999</v>
      </c>
      <c r="L697">
        <f>IF(K697&gt;=80,"Yes","No")</f>
        <v/>
      </c>
      <c r="M697">
        <f>IF(ISNUMBER(H697),IF(H697&gt;0,1,0),"")</f>
        <v/>
      </c>
    </row>
    <row r="698">
      <c r="A698" t="inlineStr">
        <is>
          <t>SIMULATED_FEA_Commercial_Study</t>
        </is>
      </c>
      <c r="B698" t="inlineStr">
        <is>
          <t>V13</t>
        </is>
      </c>
      <c r="C698" t="inlineStr">
        <is>
          <t>Annotation</t>
        </is>
      </c>
      <c r="D698" t="inlineStr">
        <is>
          <t>Bin_06</t>
        </is>
      </c>
      <c r="E698" t="n">
        <v>10</v>
      </c>
      <c r="F698" t="inlineStr">
        <is>
          <t>Joy</t>
        </is>
      </c>
      <c r="G698" t="n">
        <v>50</v>
      </c>
      <c r="H698" t="n">
        <v>14</v>
      </c>
      <c r="I698" t="n">
        <v>1</v>
      </c>
      <c r="J698" t="inlineStr">
        <is>
          <t>NA</t>
        </is>
      </c>
      <c r="K698" t="n">
        <v>95.09999999999999</v>
      </c>
      <c r="L698">
        <f>IF(K698&gt;=80,"Yes","No")</f>
        <v/>
      </c>
      <c r="M698">
        <f>IF(ISNUMBER(H698),IF(H698&gt;0,1,0),"")</f>
        <v/>
      </c>
    </row>
    <row r="699">
      <c r="A699" t="inlineStr">
        <is>
          <t>SIMULATED_FEA_Commercial_Study</t>
        </is>
      </c>
      <c r="B699" t="inlineStr">
        <is>
          <t>V13</t>
        </is>
      </c>
      <c r="C699" t="inlineStr">
        <is>
          <t>Annotation</t>
        </is>
      </c>
      <c r="D699" t="inlineStr">
        <is>
          <t>Bin_06</t>
        </is>
      </c>
      <c r="E699" t="n">
        <v>10</v>
      </c>
      <c r="F699" t="inlineStr">
        <is>
          <t>Surprise</t>
        </is>
      </c>
      <c r="G699" t="n">
        <v>50</v>
      </c>
      <c r="H699" t="n">
        <v>0</v>
      </c>
      <c r="I699" t="n">
        <v>0</v>
      </c>
      <c r="J699" t="inlineStr">
        <is>
          <t>NA</t>
        </is>
      </c>
      <c r="K699" t="n">
        <v>95.09999999999999</v>
      </c>
      <c r="L699">
        <f>IF(K699&gt;=80,"Yes","No")</f>
        <v/>
      </c>
      <c r="M699">
        <f>IF(ISNUMBER(H699),IF(H699&gt;0,1,0),"")</f>
        <v/>
      </c>
    </row>
    <row r="700">
      <c r="A700" t="inlineStr">
        <is>
          <t>SIMULATED_FEA_Commercial_Study</t>
        </is>
      </c>
      <c r="B700" t="inlineStr">
        <is>
          <t>V13</t>
        </is>
      </c>
      <c r="C700" t="inlineStr">
        <is>
          <t>Annotation</t>
        </is>
      </c>
      <c r="D700" t="inlineStr">
        <is>
          <t>Bin_06</t>
        </is>
      </c>
      <c r="E700" t="n">
        <v>10</v>
      </c>
      <c r="F700" t="inlineStr">
        <is>
          <t>Brow Furrow</t>
        </is>
      </c>
      <c r="G700" t="n">
        <v>50</v>
      </c>
      <c r="H700" t="n">
        <v>0</v>
      </c>
      <c r="I700" t="n">
        <v>0</v>
      </c>
      <c r="J700" t="inlineStr">
        <is>
          <t>NA</t>
        </is>
      </c>
      <c r="K700" t="n">
        <v>95.09999999999999</v>
      </c>
      <c r="L700">
        <f>IF(K700&gt;=80,"Yes","No")</f>
        <v/>
      </c>
      <c r="M700">
        <f>IF(ISNUMBER(H700),IF(H700&gt;0,1,0),"")</f>
        <v/>
      </c>
    </row>
    <row r="701">
      <c r="A701" t="inlineStr">
        <is>
          <t>SIMULATED_FEA_Commercial_Study</t>
        </is>
      </c>
      <c r="B701" t="inlineStr">
        <is>
          <t>V13</t>
        </is>
      </c>
      <c r="C701" t="inlineStr">
        <is>
          <t>Annotation</t>
        </is>
      </c>
      <c r="D701" t="inlineStr">
        <is>
          <t>Bin_06</t>
        </is>
      </c>
      <c r="E701" t="n">
        <v>10</v>
      </c>
      <c r="F701" t="inlineStr">
        <is>
          <t>Positive Valence</t>
        </is>
      </c>
      <c r="G701" t="n">
        <v>50</v>
      </c>
      <c r="H701" t="n">
        <v>13.67</v>
      </c>
      <c r="I701" t="n">
        <v>1</v>
      </c>
      <c r="J701" t="inlineStr">
        <is>
          <t>NA</t>
        </is>
      </c>
      <c r="K701" t="n">
        <v>95.09999999999999</v>
      </c>
      <c r="L701">
        <f>IF(K701&gt;=80,"Yes","No")</f>
        <v/>
      </c>
      <c r="M701">
        <f>IF(ISNUMBER(H701),IF(H701&gt;0,1,0),"")</f>
        <v/>
      </c>
    </row>
    <row r="702">
      <c r="A702" t="inlineStr">
        <is>
          <t>SIMULATED_FEA_Commercial_Study</t>
        </is>
      </c>
      <c r="B702" t="inlineStr">
        <is>
          <t>V13</t>
        </is>
      </c>
      <c r="C702" t="inlineStr">
        <is>
          <t>Annotation</t>
        </is>
      </c>
      <c r="D702" t="inlineStr">
        <is>
          <t>Bin_06</t>
        </is>
      </c>
      <c r="E702" t="n">
        <v>10</v>
      </c>
      <c r="F702" t="inlineStr">
        <is>
          <t>Negative Valence</t>
        </is>
      </c>
      <c r="G702" t="n">
        <v>-50</v>
      </c>
      <c r="H702" t="n">
        <v>0</v>
      </c>
      <c r="I702" t="n">
        <v>0</v>
      </c>
      <c r="J702" t="inlineStr">
        <is>
          <t>NA</t>
        </is>
      </c>
      <c r="K702" t="n">
        <v>95.09999999999999</v>
      </c>
      <c r="L702">
        <f>IF(K702&gt;=80,"Yes","No")</f>
        <v/>
      </c>
      <c r="M702">
        <f>IF(ISNUMBER(H702),IF(H702&gt;0,1,0),"")</f>
        <v/>
      </c>
    </row>
    <row r="703">
      <c r="A703" t="inlineStr">
        <is>
          <t>SIMULATED_FEA_Commercial_Study</t>
        </is>
      </c>
      <c r="B703" t="inlineStr">
        <is>
          <t>V13</t>
        </is>
      </c>
      <c r="C703" t="inlineStr">
        <is>
          <t>Annotation</t>
        </is>
      </c>
      <c r="D703" t="inlineStr">
        <is>
          <t>Bin_06</t>
        </is>
      </c>
      <c r="E703" t="n">
        <v>10</v>
      </c>
      <c r="F703" t="inlineStr">
        <is>
          <t>Engagement</t>
        </is>
      </c>
      <c r="G703" t="inlineStr">
        <is>
          <t>NA</t>
        </is>
      </c>
      <c r="H703" t="inlineStr">
        <is>
          <t>NA</t>
        </is>
      </c>
      <c r="I703" t="inlineStr">
        <is>
          <t>NA</t>
        </is>
      </c>
      <c r="J703" t="n">
        <v>11.33</v>
      </c>
      <c r="K703" t="n">
        <v>95.09999999999999</v>
      </c>
      <c r="L703">
        <f>IF(K703&gt;=80,"Yes","No")</f>
        <v/>
      </c>
      <c r="M703">
        <f>IF(ISNUMBER(H703),IF(H703&gt;0,1,0),"")</f>
        <v/>
      </c>
    </row>
    <row r="704">
      <c r="A704" t="inlineStr">
        <is>
          <t>SIMULATED_FEA_Commercial_Study</t>
        </is>
      </c>
      <c r="B704" t="inlineStr">
        <is>
          <t>V14</t>
        </is>
      </c>
      <c r="C704" t="inlineStr">
        <is>
          <t>Stimulus</t>
        </is>
      </c>
      <c r="D704" t="inlineStr">
        <is>
          <t>Baseline</t>
        </is>
      </c>
      <c r="E704" t="n">
        <v>60</v>
      </c>
      <c r="F704" t="inlineStr">
        <is>
          <t>Joy</t>
        </is>
      </c>
      <c r="G704" t="n">
        <v>50</v>
      </c>
      <c r="H704" t="n">
        <v>0</v>
      </c>
      <c r="I704" t="n">
        <v>0</v>
      </c>
      <c r="J704" t="inlineStr">
        <is>
          <t>NA</t>
        </is>
      </c>
      <c r="K704" t="n">
        <v>96.5</v>
      </c>
      <c r="L704">
        <f>IF(K704&gt;=80,"Yes","No")</f>
        <v/>
      </c>
      <c r="M704">
        <f>IF(ISNUMBER(H704),IF(H704&gt;0,1,0),"")</f>
        <v/>
      </c>
    </row>
    <row r="705">
      <c r="A705" t="inlineStr">
        <is>
          <t>SIMULATED_FEA_Commercial_Study</t>
        </is>
      </c>
      <c r="B705" t="inlineStr">
        <is>
          <t>V14</t>
        </is>
      </c>
      <c r="C705" t="inlineStr">
        <is>
          <t>Stimulus</t>
        </is>
      </c>
      <c r="D705" t="inlineStr">
        <is>
          <t>Baseline</t>
        </is>
      </c>
      <c r="E705" t="n">
        <v>60</v>
      </c>
      <c r="F705" t="inlineStr">
        <is>
          <t>Surprise</t>
        </is>
      </c>
      <c r="G705" t="n">
        <v>50</v>
      </c>
      <c r="H705" t="n">
        <v>1.67</v>
      </c>
      <c r="I705" t="n">
        <v>1</v>
      </c>
      <c r="J705" t="inlineStr">
        <is>
          <t>NA</t>
        </is>
      </c>
      <c r="K705" t="n">
        <v>96.5</v>
      </c>
      <c r="L705">
        <f>IF(K705&gt;=80,"Yes","No")</f>
        <v/>
      </c>
      <c r="M705">
        <f>IF(ISNUMBER(H705),IF(H705&gt;0,1,0),"")</f>
        <v/>
      </c>
    </row>
    <row r="706">
      <c r="A706" t="inlineStr">
        <is>
          <t>SIMULATED_FEA_Commercial_Study</t>
        </is>
      </c>
      <c r="B706" t="inlineStr">
        <is>
          <t>V14</t>
        </is>
      </c>
      <c r="C706" t="inlineStr">
        <is>
          <t>Stimulus</t>
        </is>
      </c>
      <c r="D706" t="inlineStr">
        <is>
          <t>Baseline</t>
        </is>
      </c>
      <c r="E706" t="n">
        <v>60</v>
      </c>
      <c r="F706" t="inlineStr">
        <is>
          <t>Brow Furrow</t>
        </is>
      </c>
      <c r="G706" t="n">
        <v>50</v>
      </c>
      <c r="H706" t="n">
        <v>0</v>
      </c>
      <c r="I706" t="n">
        <v>0</v>
      </c>
      <c r="J706" t="inlineStr">
        <is>
          <t>NA</t>
        </is>
      </c>
      <c r="K706" t="n">
        <v>96.5</v>
      </c>
      <c r="L706">
        <f>IF(K706&gt;=80,"Yes","No")</f>
        <v/>
      </c>
      <c r="M706">
        <f>IF(ISNUMBER(H706),IF(H706&gt;0,1,0),"")</f>
        <v/>
      </c>
    </row>
    <row r="707">
      <c r="A707" t="inlineStr">
        <is>
          <t>SIMULATED_FEA_Commercial_Study</t>
        </is>
      </c>
      <c r="B707" t="inlineStr">
        <is>
          <t>V14</t>
        </is>
      </c>
      <c r="C707" t="inlineStr">
        <is>
          <t>Stimulus</t>
        </is>
      </c>
      <c r="D707" t="inlineStr">
        <is>
          <t>Baseline</t>
        </is>
      </c>
      <c r="E707" t="n">
        <v>60</v>
      </c>
      <c r="F707" t="inlineStr">
        <is>
          <t>Positive Valence</t>
        </is>
      </c>
      <c r="G707" t="n">
        <v>50</v>
      </c>
      <c r="H707" t="n">
        <v>0</v>
      </c>
      <c r="I707" t="n">
        <v>0</v>
      </c>
      <c r="J707" t="inlineStr">
        <is>
          <t>NA</t>
        </is>
      </c>
      <c r="K707" t="n">
        <v>96.5</v>
      </c>
      <c r="L707">
        <f>IF(K707&gt;=80,"Yes","No")</f>
        <v/>
      </c>
      <c r="M707">
        <f>IF(ISNUMBER(H707),IF(H707&gt;0,1,0),"")</f>
        <v/>
      </c>
    </row>
    <row r="708">
      <c r="A708" t="inlineStr">
        <is>
          <t>SIMULATED_FEA_Commercial_Study</t>
        </is>
      </c>
      <c r="B708" t="inlineStr">
        <is>
          <t>V14</t>
        </is>
      </c>
      <c r="C708" t="inlineStr">
        <is>
          <t>Stimulus</t>
        </is>
      </c>
      <c r="D708" t="inlineStr">
        <is>
          <t>Baseline</t>
        </is>
      </c>
      <c r="E708" t="n">
        <v>60</v>
      </c>
      <c r="F708" t="inlineStr">
        <is>
          <t>Negative Valence</t>
        </is>
      </c>
      <c r="G708" t="n">
        <v>-50</v>
      </c>
      <c r="H708" t="n">
        <v>0</v>
      </c>
      <c r="I708" t="n">
        <v>0</v>
      </c>
      <c r="J708" t="inlineStr">
        <is>
          <t>NA</t>
        </is>
      </c>
      <c r="K708" t="n">
        <v>96.5</v>
      </c>
      <c r="L708">
        <f>IF(K708&gt;=80,"Yes","No")</f>
        <v/>
      </c>
      <c r="M708">
        <f>IF(ISNUMBER(H708),IF(H708&gt;0,1,0),"")</f>
        <v/>
      </c>
    </row>
    <row r="709">
      <c r="A709" t="inlineStr">
        <is>
          <t>SIMULATED_FEA_Commercial_Study</t>
        </is>
      </c>
      <c r="B709" t="inlineStr">
        <is>
          <t>V14</t>
        </is>
      </c>
      <c r="C709" t="inlineStr">
        <is>
          <t>Stimulus</t>
        </is>
      </c>
      <c r="D709" t="inlineStr">
        <is>
          <t>Baseline</t>
        </is>
      </c>
      <c r="E709" t="n">
        <v>60</v>
      </c>
      <c r="F709" t="inlineStr">
        <is>
          <t>Engagement</t>
        </is>
      </c>
      <c r="G709" t="inlineStr">
        <is>
          <t>NA</t>
        </is>
      </c>
      <c r="H709" t="inlineStr">
        <is>
          <t>NA</t>
        </is>
      </c>
      <c r="I709" t="inlineStr">
        <is>
          <t>NA</t>
        </is>
      </c>
      <c r="J709" t="n">
        <v>6.47</v>
      </c>
      <c r="K709" t="n">
        <v>96.5</v>
      </c>
      <c r="L709">
        <f>IF(K709&gt;=80,"Yes","No")</f>
        <v/>
      </c>
      <c r="M709">
        <f>IF(ISNUMBER(H709),IF(H709&gt;0,1,0),"")</f>
        <v/>
      </c>
    </row>
    <row r="710">
      <c r="A710" t="inlineStr">
        <is>
          <t>SIMULATED_FEA_Commercial_Study</t>
        </is>
      </c>
      <c r="B710" t="inlineStr">
        <is>
          <t>V14</t>
        </is>
      </c>
      <c r="C710" t="inlineStr">
        <is>
          <t>Stimulus</t>
        </is>
      </c>
      <c r="D710" t="inlineStr">
        <is>
          <t>Commercial</t>
        </is>
      </c>
      <c r="E710" t="n">
        <v>60</v>
      </c>
      <c r="F710" t="inlineStr">
        <is>
          <t>Joy</t>
        </is>
      </c>
      <c r="G710" t="n">
        <v>50</v>
      </c>
      <c r="H710" t="n">
        <v>0</v>
      </c>
      <c r="I710" t="n">
        <v>0</v>
      </c>
      <c r="J710" t="inlineStr">
        <is>
          <t>NA</t>
        </is>
      </c>
      <c r="K710" t="n">
        <v>96.5</v>
      </c>
      <c r="L710">
        <f>IF(K710&gt;=80,"Yes","No")</f>
        <v/>
      </c>
      <c r="M710">
        <f>IF(ISNUMBER(H710),IF(H710&gt;0,1,0),"")</f>
        <v/>
      </c>
    </row>
    <row r="711">
      <c r="A711" t="inlineStr">
        <is>
          <t>SIMULATED_FEA_Commercial_Study</t>
        </is>
      </c>
      <c r="B711" t="inlineStr">
        <is>
          <t>V14</t>
        </is>
      </c>
      <c r="C711" t="inlineStr">
        <is>
          <t>Stimulus</t>
        </is>
      </c>
      <c r="D711" t="inlineStr">
        <is>
          <t>Commercial</t>
        </is>
      </c>
      <c r="E711" t="n">
        <v>60</v>
      </c>
      <c r="F711" t="inlineStr">
        <is>
          <t>Surprise</t>
        </is>
      </c>
      <c r="G711" t="n">
        <v>50</v>
      </c>
      <c r="H711" t="n">
        <v>1.67</v>
      </c>
      <c r="I711" t="n">
        <v>1</v>
      </c>
      <c r="J711" t="inlineStr">
        <is>
          <t>NA</t>
        </is>
      </c>
      <c r="K711" t="n">
        <v>96.5</v>
      </c>
      <c r="L711">
        <f>IF(K711&gt;=80,"Yes","No")</f>
        <v/>
      </c>
      <c r="M711">
        <f>IF(ISNUMBER(H711),IF(H711&gt;0,1,0),"")</f>
        <v/>
      </c>
    </row>
    <row r="712">
      <c r="A712" t="inlineStr">
        <is>
          <t>SIMULATED_FEA_Commercial_Study</t>
        </is>
      </c>
      <c r="B712" t="inlineStr">
        <is>
          <t>V14</t>
        </is>
      </c>
      <c r="C712" t="inlineStr">
        <is>
          <t>Stimulus</t>
        </is>
      </c>
      <c r="D712" t="inlineStr">
        <is>
          <t>Commercial</t>
        </is>
      </c>
      <c r="E712" t="n">
        <v>60</v>
      </c>
      <c r="F712" t="inlineStr">
        <is>
          <t>Brow Furrow</t>
        </is>
      </c>
      <c r="G712" t="n">
        <v>50</v>
      </c>
      <c r="H712" t="n">
        <v>0</v>
      </c>
      <c r="I712" t="n">
        <v>0</v>
      </c>
      <c r="J712" t="inlineStr">
        <is>
          <t>NA</t>
        </is>
      </c>
      <c r="K712" t="n">
        <v>96.5</v>
      </c>
      <c r="L712">
        <f>IF(K712&gt;=80,"Yes","No")</f>
        <v/>
      </c>
      <c r="M712">
        <f>IF(ISNUMBER(H712),IF(H712&gt;0,1,0),"")</f>
        <v/>
      </c>
    </row>
    <row r="713">
      <c r="A713" t="inlineStr">
        <is>
          <t>SIMULATED_FEA_Commercial_Study</t>
        </is>
      </c>
      <c r="B713" t="inlineStr">
        <is>
          <t>V14</t>
        </is>
      </c>
      <c r="C713" t="inlineStr">
        <is>
          <t>Stimulus</t>
        </is>
      </c>
      <c r="D713" t="inlineStr">
        <is>
          <t>Commercial</t>
        </is>
      </c>
      <c r="E713" t="n">
        <v>60</v>
      </c>
      <c r="F713" t="inlineStr">
        <is>
          <t>Positive Valence</t>
        </is>
      </c>
      <c r="G713" t="n">
        <v>50</v>
      </c>
      <c r="H713" t="n">
        <v>0.11</v>
      </c>
      <c r="I713" t="n">
        <v>1</v>
      </c>
      <c r="J713" t="inlineStr">
        <is>
          <t>NA</t>
        </is>
      </c>
      <c r="K713" t="n">
        <v>96.5</v>
      </c>
      <c r="L713">
        <f>IF(K713&gt;=80,"Yes","No")</f>
        <v/>
      </c>
      <c r="M713">
        <f>IF(ISNUMBER(H713),IF(H713&gt;0,1,0),"")</f>
        <v/>
      </c>
    </row>
    <row r="714">
      <c r="A714" t="inlineStr">
        <is>
          <t>SIMULATED_FEA_Commercial_Study</t>
        </is>
      </c>
      <c r="B714" t="inlineStr">
        <is>
          <t>V14</t>
        </is>
      </c>
      <c r="C714" t="inlineStr">
        <is>
          <t>Stimulus</t>
        </is>
      </c>
      <c r="D714" t="inlineStr">
        <is>
          <t>Commercial</t>
        </is>
      </c>
      <c r="E714" t="n">
        <v>60</v>
      </c>
      <c r="F714" t="inlineStr">
        <is>
          <t>Negative Valence</t>
        </is>
      </c>
      <c r="G714" t="n">
        <v>-50</v>
      </c>
      <c r="H714" t="n">
        <v>3.06</v>
      </c>
      <c r="I714" t="n">
        <v>2</v>
      </c>
      <c r="J714" t="inlineStr">
        <is>
          <t>NA</t>
        </is>
      </c>
      <c r="K714" t="n">
        <v>96.5</v>
      </c>
      <c r="L714">
        <f>IF(K714&gt;=80,"Yes","No")</f>
        <v/>
      </c>
      <c r="M714">
        <f>IF(ISNUMBER(H714),IF(H714&gt;0,1,0),"")</f>
        <v/>
      </c>
    </row>
    <row r="715">
      <c r="A715" t="inlineStr">
        <is>
          <t>SIMULATED_FEA_Commercial_Study</t>
        </is>
      </c>
      <c r="B715" t="inlineStr">
        <is>
          <t>V14</t>
        </is>
      </c>
      <c r="C715" t="inlineStr">
        <is>
          <t>Stimulus</t>
        </is>
      </c>
      <c r="D715" t="inlineStr">
        <is>
          <t>Commercial</t>
        </is>
      </c>
      <c r="E715" t="n">
        <v>60</v>
      </c>
      <c r="F715" t="inlineStr">
        <is>
          <t>Engagement</t>
        </is>
      </c>
      <c r="G715" t="inlineStr">
        <is>
          <t>NA</t>
        </is>
      </c>
      <c r="H715" t="inlineStr">
        <is>
          <t>NA</t>
        </is>
      </c>
      <c r="I715" t="inlineStr">
        <is>
          <t>NA</t>
        </is>
      </c>
      <c r="J715" t="n">
        <v>6.98</v>
      </c>
      <c r="K715" t="n">
        <v>96.5</v>
      </c>
      <c r="L715">
        <f>IF(K715&gt;=80,"Yes","No")</f>
        <v/>
      </c>
      <c r="M715">
        <f>IF(ISNUMBER(H715),IF(H715&gt;0,1,0),"")</f>
        <v/>
      </c>
    </row>
    <row r="716">
      <c r="A716" t="inlineStr">
        <is>
          <t>SIMULATED_FEA_Commercial_Study</t>
        </is>
      </c>
      <c r="B716" t="inlineStr">
        <is>
          <t>V14</t>
        </is>
      </c>
      <c r="C716" t="inlineStr">
        <is>
          <t>Stimulus</t>
        </is>
      </c>
      <c r="D716" t="inlineStr">
        <is>
          <t>Recovery</t>
        </is>
      </c>
      <c r="E716" t="n">
        <v>15</v>
      </c>
      <c r="F716" t="inlineStr">
        <is>
          <t>Joy</t>
        </is>
      </c>
      <c r="G716" t="n">
        <v>50</v>
      </c>
      <c r="H716" t="n">
        <v>0</v>
      </c>
      <c r="I716" t="n">
        <v>0</v>
      </c>
      <c r="J716" t="inlineStr">
        <is>
          <t>NA</t>
        </is>
      </c>
      <c r="K716" t="n">
        <v>96.5</v>
      </c>
      <c r="L716">
        <f>IF(K716&gt;=80,"Yes","No")</f>
        <v/>
      </c>
      <c r="M716">
        <f>IF(ISNUMBER(H716),IF(H716&gt;0,1,0),"")</f>
        <v/>
      </c>
    </row>
    <row r="717">
      <c r="A717" t="inlineStr">
        <is>
          <t>SIMULATED_FEA_Commercial_Study</t>
        </is>
      </c>
      <c r="B717" t="inlineStr">
        <is>
          <t>V14</t>
        </is>
      </c>
      <c r="C717" t="inlineStr">
        <is>
          <t>Stimulus</t>
        </is>
      </c>
      <c r="D717" t="inlineStr">
        <is>
          <t>Recovery</t>
        </is>
      </c>
      <c r="E717" t="n">
        <v>15</v>
      </c>
      <c r="F717" t="inlineStr">
        <is>
          <t>Surprise</t>
        </is>
      </c>
      <c r="G717" t="n">
        <v>50</v>
      </c>
      <c r="H717" t="n">
        <v>0</v>
      </c>
      <c r="I717" t="n">
        <v>0</v>
      </c>
      <c r="J717" t="inlineStr">
        <is>
          <t>NA</t>
        </is>
      </c>
      <c r="K717" t="n">
        <v>96.5</v>
      </c>
      <c r="L717">
        <f>IF(K717&gt;=80,"Yes","No")</f>
        <v/>
      </c>
      <c r="M717">
        <f>IF(ISNUMBER(H717),IF(H717&gt;0,1,0),"")</f>
        <v/>
      </c>
    </row>
    <row r="718">
      <c r="A718" t="inlineStr">
        <is>
          <t>SIMULATED_FEA_Commercial_Study</t>
        </is>
      </c>
      <c r="B718" t="inlineStr">
        <is>
          <t>V14</t>
        </is>
      </c>
      <c r="C718" t="inlineStr">
        <is>
          <t>Stimulus</t>
        </is>
      </c>
      <c r="D718" t="inlineStr">
        <is>
          <t>Recovery</t>
        </is>
      </c>
      <c r="E718" t="n">
        <v>15</v>
      </c>
      <c r="F718" t="inlineStr">
        <is>
          <t>Brow Furrow</t>
        </is>
      </c>
      <c r="G718" t="n">
        <v>50</v>
      </c>
      <c r="H718" t="n">
        <v>0</v>
      </c>
      <c r="I718" t="n">
        <v>0</v>
      </c>
      <c r="J718" t="inlineStr">
        <is>
          <t>NA</t>
        </is>
      </c>
      <c r="K718" t="n">
        <v>96.5</v>
      </c>
      <c r="L718">
        <f>IF(K718&gt;=80,"Yes","No")</f>
        <v/>
      </c>
      <c r="M718">
        <f>IF(ISNUMBER(H718),IF(H718&gt;0,1,0),"")</f>
        <v/>
      </c>
    </row>
    <row r="719">
      <c r="A719" t="inlineStr">
        <is>
          <t>SIMULATED_FEA_Commercial_Study</t>
        </is>
      </c>
      <c r="B719" t="inlineStr">
        <is>
          <t>V14</t>
        </is>
      </c>
      <c r="C719" t="inlineStr">
        <is>
          <t>Stimulus</t>
        </is>
      </c>
      <c r="D719" t="inlineStr">
        <is>
          <t>Recovery</t>
        </is>
      </c>
      <c r="E719" t="n">
        <v>15</v>
      </c>
      <c r="F719" t="inlineStr">
        <is>
          <t>Positive Valence</t>
        </is>
      </c>
      <c r="G719" t="n">
        <v>50</v>
      </c>
      <c r="H719" t="n">
        <v>0</v>
      </c>
      <c r="I719" t="n">
        <v>0</v>
      </c>
      <c r="J719" t="inlineStr">
        <is>
          <t>NA</t>
        </is>
      </c>
      <c r="K719" t="n">
        <v>96.5</v>
      </c>
      <c r="L719">
        <f>IF(K719&gt;=80,"Yes","No")</f>
        <v/>
      </c>
      <c r="M719">
        <f>IF(ISNUMBER(H719),IF(H719&gt;0,1,0),"")</f>
        <v/>
      </c>
    </row>
    <row r="720">
      <c r="A720" t="inlineStr">
        <is>
          <t>SIMULATED_FEA_Commercial_Study</t>
        </is>
      </c>
      <c r="B720" t="inlineStr">
        <is>
          <t>V14</t>
        </is>
      </c>
      <c r="C720" t="inlineStr">
        <is>
          <t>Stimulus</t>
        </is>
      </c>
      <c r="D720" t="inlineStr">
        <is>
          <t>Recovery</t>
        </is>
      </c>
      <c r="E720" t="n">
        <v>15</v>
      </c>
      <c r="F720" t="inlineStr">
        <is>
          <t>Negative Valence</t>
        </is>
      </c>
      <c r="G720" t="n">
        <v>-50</v>
      </c>
      <c r="H720" t="n">
        <v>0</v>
      </c>
      <c r="I720" t="n">
        <v>0</v>
      </c>
      <c r="J720" t="inlineStr">
        <is>
          <t>NA</t>
        </is>
      </c>
      <c r="K720" t="n">
        <v>96.5</v>
      </c>
      <c r="L720">
        <f>IF(K720&gt;=80,"Yes","No")</f>
        <v/>
      </c>
      <c r="M720">
        <f>IF(ISNUMBER(H720),IF(H720&gt;0,1,0),"")</f>
        <v/>
      </c>
    </row>
    <row r="721">
      <c r="A721" t="inlineStr">
        <is>
          <t>SIMULATED_FEA_Commercial_Study</t>
        </is>
      </c>
      <c r="B721" t="inlineStr">
        <is>
          <t>V14</t>
        </is>
      </c>
      <c r="C721" t="inlineStr">
        <is>
          <t>Stimulus</t>
        </is>
      </c>
      <c r="D721" t="inlineStr">
        <is>
          <t>Recovery</t>
        </is>
      </c>
      <c r="E721" t="n">
        <v>15</v>
      </c>
      <c r="F721" t="inlineStr">
        <is>
          <t>Engagement</t>
        </is>
      </c>
      <c r="G721" t="inlineStr">
        <is>
          <t>NA</t>
        </is>
      </c>
      <c r="H721" t="inlineStr">
        <is>
          <t>NA</t>
        </is>
      </c>
      <c r="I721" t="inlineStr">
        <is>
          <t>NA</t>
        </is>
      </c>
      <c r="J721" t="n">
        <v>4.62</v>
      </c>
      <c r="K721" t="n">
        <v>96.5</v>
      </c>
      <c r="L721">
        <f>IF(K721&gt;=80,"Yes","No")</f>
        <v/>
      </c>
      <c r="M721">
        <f>IF(ISNUMBER(H721),IF(H721&gt;0,1,0),"")</f>
        <v/>
      </c>
    </row>
    <row r="722">
      <c r="A722" t="inlineStr">
        <is>
          <t>SIMULATED_FEA_Commercial_Study</t>
        </is>
      </c>
      <c r="B722" t="inlineStr">
        <is>
          <t>V14</t>
        </is>
      </c>
      <c r="C722" t="inlineStr">
        <is>
          <t>Annotation</t>
        </is>
      </c>
      <c r="D722" t="inlineStr">
        <is>
          <t>Bin_01</t>
        </is>
      </c>
      <c r="E722" t="n">
        <v>10</v>
      </c>
      <c r="F722" t="inlineStr">
        <is>
          <t>Joy</t>
        </is>
      </c>
      <c r="G722" t="n">
        <v>50</v>
      </c>
      <c r="H722" t="n">
        <v>0</v>
      </c>
      <c r="I722" t="n">
        <v>0</v>
      </c>
      <c r="J722" t="inlineStr">
        <is>
          <t>NA</t>
        </is>
      </c>
      <c r="K722" t="n">
        <v>96.5</v>
      </c>
      <c r="L722">
        <f>IF(K722&gt;=80,"Yes","No")</f>
        <v/>
      </c>
      <c r="M722">
        <f>IF(ISNUMBER(H722),IF(H722&gt;0,1,0),"")</f>
        <v/>
      </c>
    </row>
    <row r="723">
      <c r="A723" t="inlineStr">
        <is>
          <t>SIMULATED_FEA_Commercial_Study</t>
        </is>
      </c>
      <c r="B723" t="inlineStr">
        <is>
          <t>V14</t>
        </is>
      </c>
      <c r="C723" t="inlineStr">
        <is>
          <t>Annotation</t>
        </is>
      </c>
      <c r="D723" t="inlineStr">
        <is>
          <t>Bin_01</t>
        </is>
      </c>
      <c r="E723" t="n">
        <v>10</v>
      </c>
      <c r="F723" t="inlineStr">
        <is>
          <t>Surprise</t>
        </is>
      </c>
      <c r="G723" t="n">
        <v>50</v>
      </c>
      <c r="H723" t="n">
        <v>0</v>
      </c>
      <c r="I723" t="n">
        <v>0</v>
      </c>
      <c r="J723" t="inlineStr">
        <is>
          <t>NA</t>
        </is>
      </c>
      <c r="K723" t="n">
        <v>96.5</v>
      </c>
      <c r="L723">
        <f>IF(K723&gt;=80,"Yes","No")</f>
        <v/>
      </c>
      <c r="M723">
        <f>IF(ISNUMBER(H723),IF(H723&gt;0,1,0),"")</f>
        <v/>
      </c>
    </row>
    <row r="724">
      <c r="A724" t="inlineStr">
        <is>
          <t>SIMULATED_FEA_Commercial_Study</t>
        </is>
      </c>
      <c r="B724" t="inlineStr">
        <is>
          <t>V14</t>
        </is>
      </c>
      <c r="C724" t="inlineStr">
        <is>
          <t>Annotation</t>
        </is>
      </c>
      <c r="D724" t="inlineStr">
        <is>
          <t>Bin_01</t>
        </is>
      </c>
      <c r="E724" t="n">
        <v>10</v>
      </c>
      <c r="F724" t="inlineStr">
        <is>
          <t>Brow Furrow</t>
        </is>
      </c>
      <c r="G724" t="n">
        <v>50</v>
      </c>
      <c r="H724" t="n">
        <v>0</v>
      </c>
      <c r="I724" t="n">
        <v>0</v>
      </c>
      <c r="J724" t="inlineStr">
        <is>
          <t>NA</t>
        </is>
      </c>
      <c r="K724" t="n">
        <v>96.5</v>
      </c>
      <c r="L724">
        <f>IF(K724&gt;=80,"Yes","No")</f>
        <v/>
      </c>
      <c r="M724">
        <f>IF(ISNUMBER(H724),IF(H724&gt;0,1,0),"")</f>
        <v/>
      </c>
    </row>
    <row r="725">
      <c r="A725" t="inlineStr">
        <is>
          <t>SIMULATED_FEA_Commercial_Study</t>
        </is>
      </c>
      <c r="B725" t="inlineStr">
        <is>
          <t>V14</t>
        </is>
      </c>
      <c r="C725" t="inlineStr">
        <is>
          <t>Annotation</t>
        </is>
      </c>
      <c r="D725" t="inlineStr">
        <is>
          <t>Bin_01</t>
        </is>
      </c>
      <c r="E725" t="n">
        <v>10</v>
      </c>
      <c r="F725" t="inlineStr">
        <is>
          <t>Positive Valence</t>
        </is>
      </c>
      <c r="G725" t="n">
        <v>50</v>
      </c>
      <c r="H725" t="n">
        <v>0</v>
      </c>
      <c r="I725" t="n">
        <v>0</v>
      </c>
      <c r="J725" t="inlineStr">
        <is>
          <t>NA</t>
        </is>
      </c>
      <c r="K725" t="n">
        <v>96.5</v>
      </c>
      <c r="L725">
        <f>IF(K725&gt;=80,"Yes","No")</f>
        <v/>
      </c>
      <c r="M725">
        <f>IF(ISNUMBER(H725),IF(H725&gt;0,1,0),"")</f>
        <v/>
      </c>
    </row>
    <row r="726">
      <c r="A726" t="inlineStr">
        <is>
          <t>SIMULATED_FEA_Commercial_Study</t>
        </is>
      </c>
      <c r="B726" t="inlineStr">
        <is>
          <t>V14</t>
        </is>
      </c>
      <c r="C726" t="inlineStr">
        <is>
          <t>Annotation</t>
        </is>
      </c>
      <c r="D726" t="inlineStr">
        <is>
          <t>Bin_01</t>
        </is>
      </c>
      <c r="E726" t="n">
        <v>10</v>
      </c>
      <c r="F726" t="inlineStr">
        <is>
          <t>Negative Valence</t>
        </is>
      </c>
      <c r="G726" t="n">
        <v>-50</v>
      </c>
      <c r="H726" t="n">
        <v>11</v>
      </c>
      <c r="I726" t="n">
        <v>1</v>
      </c>
      <c r="J726" t="inlineStr">
        <is>
          <t>NA</t>
        </is>
      </c>
      <c r="K726" t="n">
        <v>96.5</v>
      </c>
      <c r="L726">
        <f>IF(K726&gt;=80,"Yes","No")</f>
        <v/>
      </c>
      <c r="M726">
        <f>IF(ISNUMBER(H726),IF(H726&gt;0,1,0),"")</f>
        <v/>
      </c>
    </row>
    <row r="727">
      <c r="A727" t="inlineStr">
        <is>
          <t>SIMULATED_FEA_Commercial_Study</t>
        </is>
      </c>
      <c r="B727" t="inlineStr">
        <is>
          <t>V14</t>
        </is>
      </c>
      <c r="C727" t="inlineStr">
        <is>
          <t>Annotation</t>
        </is>
      </c>
      <c r="D727" t="inlineStr">
        <is>
          <t>Bin_01</t>
        </is>
      </c>
      <c r="E727" t="n">
        <v>10</v>
      </c>
      <c r="F727" t="inlineStr">
        <is>
          <t>Engagement</t>
        </is>
      </c>
      <c r="G727" t="inlineStr">
        <is>
          <t>NA</t>
        </is>
      </c>
      <c r="H727" t="inlineStr">
        <is>
          <t>NA</t>
        </is>
      </c>
      <c r="I727" t="inlineStr">
        <is>
          <t>NA</t>
        </is>
      </c>
      <c r="J727" t="n">
        <v>4.51</v>
      </c>
      <c r="K727" t="n">
        <v>96.5</v>
      </c>
      <c r="L727">
        <f>IF(K727&gt;=80,"Yes","No")</f>
        <v/>
      </c>
      <c r="M727">
        <f>IF(ISNUMBER(H727),IF(H727&gt;0,1,0),"")</f>
        <v/>
      </c>
    </row>
    <row r="728">
      <c r="A728" t="inlineStr">
        <is>
          <t>SIMULATED_FEA_Commercial_Study</t>
        </is>
      </c>
      <c r="B728" t="inlineStr">
        <is>
          <t>V14</t>
        </is>
      </c>
      <c r="C728" t="inlineStr">
        <is>
          <t>Annotation</t>
        </is>
      </c>
      <c r="D728" t="inlineStr">
        <is>
          <t>Bin_02</t>
        </is>
      </c>
      <c r="E728" t="n">
        <v>10</v>
      </c>
      <c r="F728" t="inlineStr">
        <is>
          <t>Joy</t>
        </is>
      </c>
      <c r="G728" t="n">
        <v>50</v>
      </c>
      <c r="H728" t="n">
        <v>0</v>
      </c>
      <c r="I728" t="n">
        <v>0</v>
      </c>
      <c r="J728" t="inlineStr">
        <is>
          <t>NA</t>
        </is>
      </c>
      <c r="K728" t="n">
        <v>96.5</v>
      </c>
      <c r="L728">
        <f>IF(K728&gt;=80,"Yes","No")</f>
        <v/>
      </c>
      <c r="M728">
        <f>IF(ISNUMBER(H728),IF(H728&gt;0,1,0),"")</f>
        <v/>
      </c>
    </row>
    <row r="729">
      <c r="A729" t="inlineStr">
        <is>
          <t>SIMULATED_FEA_Commercial_Study</t>
        </is>
      </c>
      <c r="B729" t="inlineStr">
        <is>
          <t>V14</t>
        </is>
      </c>
      <c r="C729" t="inlineStr">
        <is>
          <t>Annotation</t>
        </is>
      </c>
      <c r="D729" t="inlineStr">
        <is>
          <t>Bin_02</t>
        </is>
      </c>
      <c r="E729" t="n">
        <v>10</v>
      </c>
      <c r="F729" t="inlineStr">
        <is>
          <t>Surprise</t>
        </is>
      </c>
      <c r="G729" t="n">
        <v>50</v>
      </c>
      <c r="H729" t="n">
        <v>0</v>
      </c>
      <c r="I729" t="n">
        <v>0</v>
      </c>
      <c r="J729" t="inlineStr">
        <is>
          <t>NA</t>
        </is>
      </c>
      <c r="K729" t="n">
        <v>96.5</v>
      </c>
      <c r="L729">
        <f>IF(K729&gt;=80,"Yes","No")</f>
        <v/>
      </c>
      <c r="M729">
        <f>IF(ISNUMBER(H729),IF(H729&gt;0,1,0),"")</f>
        <v/>
      </c>
    </row>
    <row r="730">
      <c r="A730" t="inlineStr">
        <is>
          <t>SIMULATED_FEA_Commercial_Study</t>
        </is>
      </c>
      <c r="B730" t="inlineStr">
        <is>
          <t>V14</t>
        </is>
      </c>
      <c r="C730" t="inlineStr">
        <is>
          <t>Annotation</t>
        </is>
      </c>
      <c r="D730" t="inlineStr">
        <is>
          <t>Bin_02</t>
        </is>
      </c>
      <c r="E730" t="n">
        <v>10</v>
      </c>
      <c r="F730" t="inlineStr">
        <is>
          <t>Brow Furrow</t>
        </is>
      </c>
      <c r="G730" t="n">
        <v>50</v>
      </c>
      <c r="H730" t="n">
        <v>0</v>
      </c>
      <c r="I730" t="n">
        <v>0</v>
      </c>
      <c r="J730" t="inlineStr">
        <is>
          <t>NA</t>
        </is>
      </c>
      <c r="K730" t="n">
        <v>96.5</v>
      </c>
      <c r="L730">
        <f>IF(K730&gt;=80,"Yes","No")</f>
        <v/>
      </c>
      <c r="M730">
        <f>IF(ISNUMBER(H730),IF(H730&gt;0,1,0),"")</f>
        <v/>
      </c>
    </row>
    <row r="731">
      <c r="A731" t="inlineStr">
        <is>
          <t>SIMULATED_FEA_Commercial_Study</t>
        </is>
      </c>
      <c r="B731" t="inlineStr">
        <is>
          <t>V14</t>
        </is>
      </c>
      <c r="C731" t="inlineStr">
        <is>
          <t>Annotation</t>
        </is>
      </c>
      <c r="D731" t="inlineStr">
        <is>
          <t>Bin_02</t>
        </is>
      </c>
      <c r="E731" t="n">
        <v>10</v>
      </c>
      <c r="F731" t="inlineStr">
        <is>
          <t>Positive Valence</t>
        </is>
      </c>
      <c r="G731" t="n">
        <v>50</v>
      </c>
      <c r="H731" t="n">
        <v>0</v>
      </c>
      <c r="I731" t="n">
        <v>0</v>
      </c>
      <c r="J731" t="inlineStr">
        <is>
          <t>NA</t>
        </is>
      </c>
      <c r="K731" t="n">
        <v>96.5</v>
      </c>
      <c r="L731">
        <f>IF(K731&gt;=80,"Yes","No")</f>
        <v/>
      </c>
      <c r="M731">
        <f>IF(ISNUMBER(H731),IF(H731&gt;0,1,0),"")</f>
        <v/>
      </c>
    </row>
    <row r="732">
      <c r="A732" t="inlineStr">
        <is>
          <t>SIMULATED_FEA_Commercial_Study</t>
        </is>
      </c>
      <c r="B732" t="inlineStr">
        <is>
          <t>V14</t>
        </is>
      </c>
      <c r="C732" t="inlineStr">
        <is>
          <t>Annotation</t>
        </is>
      </c>
      <c r="D732" t="inlineStr">
        <is>
          <t>Bin_02</t>
        </is>
      </c>
      <c r="E732" t="n">
        <v>10</v>
      </c>
      <c r="F732" t="inlineStr">
        <is>
          <t>Negative Valence</t>
        </is>
      </c>
      <c r="G732" t="n">
        <v>-50</v>
      </c>
      <c r="H732" t="n">
        <v>0</v>
      </c>
      <c r="I732" t="n">
        <v>0</v>
      </c>
      <c r="J732" t="inlineStr">
        <is>
          <t>NA</t>
        </is>
      </c>
      <c r="K732" t="n">
        <v>96.5</v>
      </c>
      <c r="L732">
        <f>IF(K732&gt;=80,"Yes","No")</f>
        <v/>
      </c>
      <c r="M732">
        <f>IF(ISNUMBER(H732),IF(H732&gt;0,1,0),"")</f>
        <v/>
      </c>
    </row>
    <row r="733">
      <c r="A733" t="inlineStr">
        <is>
          <t>SIMULATED_FEA_Commercial_Study</t>
        </is>
      </c>
      <c r="B733" t="inlineStr">
        <is>
          <t>V14</t>
        </is>
      </c>
      <c r="C733" t="inlineStr">
        <is>
          <t>Annotation</t>
        </is>
      </c>
      <c r="D733" t="inlineStr">
        <is>
          <t>Bin_02</t>
        </is>
      </c>
      <c r="E733" t="n">
        <v>10</v>
      </c>
      <c r="F733" t="inlineStr">
        <is>
          <t>Engagement</t>
        </is>
      </c>
      <c r="G733" t="inlineStr">
        <is>
          <t>NA</t>
        </is>
      </c>
      <c r="H733" t="inlineStr">
        <is>
          <t>NA</t>
        </is>
      </c>
      <c r="I733" t="inlineStr">
        <is>
          <t>NA</t>
        </is>
      </c>
      <c r="J733" t="n">
        <v>5.09</v>
      </c>
      <c r="K733" t="n">
        <v>96.5</v>
      </c>
      <c r="L733">
        <f>IF(K733&gt;=80,"Yes","No")</f>
        <v/>
      </c>
      <c r="M733">
        <f>IF(ISNUMBER(H733),IF(H733&gt;0,1,0),"")</f>
        <v/>
      </c>
    </row>
    <row r="734">
      <c r="A734" t="inlineStr">
        <is>
          <t>SIMULATED_FEA_Commercial_Study</t>
        </is>
      </c>
      <c r="B734" t="inlineStr">
        <is>
          <t>V14</t>
        </is>
      </c>
      <c r="C734" t="inlineStr">
        <is>
          <t>Annotation</t>
        </is>
      </c>
      <c r="D734" t="inlineStr">
        <is>
          <t>Bin_03</t>
        </is>
      </c>
      <c r="E734" t="n">
        <v>10</v>
      </c>
      <c r="F734" t="inlineStr">
        <is>
          <t>Joy</t>
        </is>
      </c>
      <c r="G734" t="n">
        <v>50</v>
      </c>
      <c r="H734" t="n">
        <v>0</v>
      </c>
      <c r="I734" t="n">
        <v>0</v>
      </c>
      <c r="J734" t="inlineStr">
        <is>
          <t>NA</t>
        </is>
      </c>
      <c r="K734" t="n">
        <v>96.5</v>
      </c>
      <c r="L734">
        <f>IF(K734&gt;=80,"Yes","No")</f>
        <v/>
      </c>
      <c r="M734">
        <f>IF(ISNUMBER(H734),IF(H734&gt;0,1,0),"")</f>
        <v/>
      </c>
    </row>
    <row r="735">
      <c r="A735" t="inlineStr">
        <is>
          <t>SIMULATED_FEA_Commercial_Study</t>
        </is>
      </c>
      <c r="B735" t="inlineStr">
        <is>
          <t>V14</t>
        </is>
      </c>
      <c r="C735" t="inlineStr">
        <is>
          <t>Annotation</t>
        </is>
      </c>
      <c r="D735" t="inlineStr">
        <is>
          <t>Bin_03</t>
        </is>
      </c>
      <c r="E735" t="n">
        <v>10</v>
      </c>
      <c r="F735" t="inlineStr">
        <is>
          <t>Surprise</t>
        </is>
      </c>
      <c r="G735" t="n">
        <v>50</v>
      </c>
      <c r="H735" t="n">
        <v>10</v>
      </c>
      <c r="I735" t="n">
        <v>1</v>
      </c>
      <c r="J735" t="inlineStr">
        <is>
          <t>NA</t>
        </is>
      </c>
      <c r="K735" t="n">
        <v>96.5</v>
      </c>
      <c r="L735">
        <f>IF(K735&gt;=80,"Yes","No")</f>
        <v/>
      </c>
      <c r="M735">
        <f>IF(ISNUMBER(H735),IF(H735&gt;0,1,0),"")</f>
        <v/>
      </c>
    </row>
    <row r="736">
      <c r="A736" t="inlineStr">
        <is>
          <t>SIMULATED_FEA_Commercial_Study</t>
        </is>
      </c>
      <c r="B736" t="inlineStr">
        <is>
          <t>V14</t>
        </is>
      </c>
      <c r="C736" t="inlineStr">
        <is>
          <t>Annotation</t>
        </is>
      </c>
      <c r="D736" t="inlineStr">
        <is>
          <t>Bin_03</t>
        </is>
      </c>
      <c r="E736" t="n">
        <v>10</v>
      </c>
      <c r="F736" t="inlineStr">
        <is>
          <t>Brow Furrow</t>
        </is>
      </c>
      <c r="G736" t="n">
        <v>50</v>
      </c>
      <c r="H736" t="n">
        <v>0</v>
      </c>
      <c r="I736" t="n">
        <v>0</v>
      </c>
      <c r="J736" t="inlineStr">
        <is>
          <t>NA</t>
        </is>
      </c>
      <c r="K736" t="n">
        <v>96.5</v>
      </c>
      <c r="L736">
        <f>IF(K736&gt;=80,"Yes","No")</f>
        <v/>
      </c>
      <c r="M736">
        <f>IF(ISNUMBER(H736),IF(H736&gt;0,1,0),"")</f>
        <v/>
      </c>
    </row>
    <row r="737">
      <c r="A737" t="inlineStr">
        <is>
          <t>SIMULATED_FEA_Commercial_Study</t>
        </is>
      </c>
      <c r="B737" t="inlineStr">
        <is>
          <t>V14</t>
        </is>
      </c>
      <c r="C737" t="inlineStr">
        <is>
          <t>Annotation</t>
        </is>
      </c>
      <c r="D737" t="inlineStr">
        <is>
          <t>Bin_03</t>
        </is>
      </c>
      <c r="E737" t="n">
        <v>10</v>
      </c>
      <c r="F737" t="inlineStr">
        <is>
          <t>Positive Valence</t>
        </is>
      </c>
      <c r="G737" t="n">
        <v>50</v>
      </c>
      <c r="H737" t="n">
        <v>0</v>
      </c>
      <c r="I737" t="n">
        <v>0</v>
      </c>
      <c r="J737" t="inlineStr">
        <is>
          <t>NA</t>
        </is>
      </c>
      <c r="K737" t="n">
        <v>96.5</v>
      </c>
      <c r="L737">
        <f>IF(K737&gt;=80,"Yes","No")</f>
        <v/>
      </c>
      <c r="M737">
        <f>IF(ISNUMBER(H737),IF(H737&gt;0,1,0),"")</f>
        <v/>
      </c>
    </row>
    <row r="738">
      <c r="A738" t="inlineStr">
        <is>
          <t>SIMULATED_FEA_Commercial_Study</t>
        </is>
      </c>
      <c r="B738" t="inlineStr">
        <is>
          <t>V14</t>
        </is>
      </c>
      <c r="C738" t="inlineStr">
        <is>
          <t>Annotation</t>
        </is>
      </c>
      <c r="D738" t="inlineStr">
        <is>
          <t>Bin_03</t>
        </is>
      </c>
      <c r="E738" t="n">
        <v>10</v>
      </c>
      <c r="F738" t="inlineStr">
        <is>
          <t>Negative Valence</t>
        </is>
      </c>
      <c r="G738" t="n">
        <v>-50</v>
      </c>
      <c r="H738" t="n">
        <v>0</v>
      </c>
      <c r="I738" t="n">
        <v>0</v>
      </c>
      <c r="J738" t="inlineStr">
        <is>
          <t>NA</t>
        </is>
      </c>
      <c r="K738" t="n">
        <v>96.5</v>
      </c>
      <c r="L738">
        <f>IF(K738&gt;=80,"Yes","No")</f>
        <v/>
      </c>
      <c r="M738">
        <f>IF(ISNUMBER(H738),IF(H738&gt;0,1,0),"")</f>
        <v/>
      </c>
    </row>
    <row r="739">
      <c r="A739" t="inlineStr">
        <is>
          <t>SIMULATED_FEA_Commercial_Study</t>
        </is>
      </c>
      <c r="B739" t="inlineStr">
        <is>
          <t>V14</t>
        </is>
      </c>
      <c r="C739" t="inlineStr">
        <is>
          <t>Annotation</t>
        </is>
      </c>
      <c r="D739" t="inlineStr">
        <is>
          <t>Bin_03</t>
        </is>
      </c>
      <c r="E739" t="n">
        <v>10</v>
      </c>
      <c r="F739" t="inlineStr">
        <is>
          <t>Engagement</t>
        </is>
      </c>
      <c r="G739" t="inlineStr">
        <is>
          <t>NA</t>
        </is>
      </c>
      <c r="H739" t="inlineStr">
        <is>
          <t>NA</t>
        </is>
      </c>
      <c r="I739" t="inlineStr">
        <is>
          <t>NA</t>
        </is>
      </c>
      <c r="J739" t="n">
        <v>14.86</v>
      </c>
      <c r="K739" t="n">
        <v>96.5</v>
      </c>
      <c r="L739">
        <f>IF(K739&gt;=80,"Yes","No")</f>
        <v/>
      </c>
      <c r="M739">
        <f>IF(ISNUMBER(H739),IF(H739&gt;0,1,0),"")</f>
        <v/>
      </c>
    </row>
    <row r="740">
      <c r="A740" t="inlineStr">
        <is>
          <t>SIMULATED_FEA_Commercial_Study</t>
        </is>
      </c>
      <c r="B740" t="inlineStr">
        <is>
          <t>V14</t>
        </is>
      </c>
      <c r="C740" t="inlineStr">
        <is>
          <t>Annotation</t>
        </is>
      </c>
      <c r="D740" t="inlineStr">
        <is>
          <t>Bin_04</t>
        </is>
      </c>
      <c r="E740" t="n">
        <v>10</v>
      </c>
      <c r="F740" t="inlineStr">
        <is>
          <t>Joy</t>
        </is>
      </c>
      <c r="G740" t="n">
        <v>50</v>
      </c>
      <c r="H740" t="n">
        <v>0</v>
      </c>
      <c r="I740" t="n">
        <v>0</v>
      </c>
      <c r="J740" t="inlineStr">
        <is>
          <t>NA</t>
        </is>
      </c>
      <c r="K740" t="n">
        <v>96.5</v>
      </c>
      <c r="L740">
        <f>IF(K740&gt;=80,"Yes","No")</f>
        <v/>
      </c>
      <c r="M740">
        <f>IF(ISNUMBER(H740),IF(H740&gt;0,1,0),"")</f>
        <v/>
      </c>
    </row>
    <row r="741">
      <c r="A741" t="inlineStr">
        <is>
          <t>SIMULATED_FEA_Commercial_Study</t>
        </is>
      </c>
      <c r="B741" t="inlineStr">
        <is>
          <t>V14</t>
        </is>
      </c>
      <c r="C741" t="inlineStr">
        <is>
          <t>Annotation</t>
        </is>
      </c>
      <c r="D741" t="inlineStr">
        <is>
          <t>Bin_04</t>
        </is>
      </c>
      <c r="E741" t="n">
        <v>10</v>
      </c>
      <c r="F741" t="inlineStr">
        <is>
          <t>Surprise</t>
        </is>
      </c>
      <c r="G741" t="n">
        <v>50</v>
      </c>
      <c r="H741" t="n">
        <v>0</v>
      </c>
      <c r="I741" t="n">
        <v>0</v>
      </c>
      <c r="J741" t="inlineStr">
        <is>
          <t>NA</t>
        </is>
      </c>
      <c r="K741" t="n">
        <v>96.5</v>
      </c>
      <c r="L741">
        <f>IF(K741&gt;=80,"Yes","No")</f>
        <v/>
      </c>
      <c r="M741">
        <f>IF(ISNUMBER(H741),IF(H741&gt;0,1,0),"")</f>
        <v/>
      </c>
    </row>
    <row r="742">
      <c r="A742" t="inlineStr">
        <is>
          <t>SIMULATED_FEA_Commercial_Study</t>
        </is>
      </c>
      <c r="B742" t="inlineStr">
        <is>
          <t>V14</t>
        </is>
      </c>
      <c r="C742" t="inlineStr">
        <is>
          <t>Annotation</t>
        </is>
      </c>
      <c r="D742" t="inlineStr">
        <is>
          <t>Bin_04</t>
        </is>
      </c>
      <c r="E742" t="n">
        <v>10</v>
      </c>
      <c r="F742" t="inlineStr">
        <is>
          <t>Brow Furrow</t>
        </is>
      </c>
      <c r="G742" t="n">
        <v>50</v>
      </c>
      <c r="H742" t="n">
        <v>0</v>
      </c>
      <c r="I742" t="n">
        <v>0</v>
      </c>
      <c r="J742" t="inlineStr">
        <is>
          <t>NA</t>
        </is>
      </c>
      <c r="K742" t="n">
        <v>96.5</v>
      </c>
      <c r="L742">
        <f>IF(K742&gt;=80,"Yes","No")</f>
        <v/>
      </c>
      <c r="M742">
        <f>IF(ISNUMBER(H742),IF(H742&gt;0,1,0),"")</f>
        <v/>
      </c>
    </row>
    <row r="743">
      <c r="A743" t="inlineStr">
        <is>
          <t>SIMULATED_FEA_Commercial_Study</t>
        </is>
      </c>
      <c r="B743" t="inlineStr">
        <is>
          <t>V14</t>
        </is>
      </c>
      <c r="C743" t="inlineStr">
        <is>
          <t>Annotation</t>
        </is>
      </c>
      <c r="D743" t="inlineStr">
        <is>
          <t>Bin_04</t>
        </is>
      </c>
      <c r="E743" t="n">
        <v>10</v>
      </c>
      <c r="F743" t="inlineStr">
        <is>
          <t>Positive Valence</t>
        </is>
      </c>
      <c r="G743" t="n">
        <v>50</v>
      </c>
      <c r="H743" t="n">
        <v>0</v>
      </c>
      <c r="I743" t="n">
        <v>0</v>
      </c>
      <c r="J743" t="inlineStr">
        <is>
          <t>NA</t>
        </is>
      </c>
      <c r="K743" t="n">
        <v>96.5</v>
      </c>
      <c r="L743">
        <f>IF(K743&gt;=80,"Yes","No")</f>
        <v/>
      </c>
      <c r="M743">
        <f>IF(ISNUMBER(H743),IF(H743&gt;0,1,0),"")</f>
        <v/>
      </c>
    </row>
    <row r="744">
      <c r="A744" t="inlineStr">
        <is>
          <t>SIMULATED_FEA_Commercial_Study</t>
        </is>
      </c>
      <c r="B744" t="inlineStr">
        <is>
          <t>V14</t>
        </is>
      </c>
      <c r="C744" t="inlineStr">
        <is>
          <t>Annotation</t>
        </is>
      </c>
      <c r="D744" t="inlineStr">
        <is>
          <t>Bin_04</t>
        </is>
      </c>
      <c r="E744" t="n">
        <v>10</v>
      </c>
      <c r="F744" t="inlineStr">
        <is>
          <t>Negative Valence</t>
        </is>
      </c>
      <c r="G744" t="n">
        <v>-50</v>
      </c>
      <c r="H744" t="n">
        <v>0</v>
      </c>
      <c r="I744" t="n">
        <v>0</v>
      </c>
      <c r="J744" t="inlineStr">
        <is>
          <t>NA</t>
        </is>
      </c>
      <c r="K744" t="n">
        <v>96.5</v>
      </c>
      <c r="L744">
        <f>IF(K744&gt;=80,"Yes","No")</f>
        <v/>
      </c>
      <c r="M744">
        <f>IF(ISNUMBER(H744),IF(H744&gt;0,1,0),"")</f>
        <v/>
      </c>
    </row>
    <row r="745">
      <c r="A745" t="inlineStr">
        <is>
          <t>SIMULATED_FEA_Commercial_Study</t>
        </is>
      </c>
      <c r="B745" t="inlineStr">
        <is>
          <t>V14</t>
        </is>
      </c>
      <c r="C745" t="inlineStr">
        <is>
          <t>Annotation</t>
        </is>
      </c>
      <c r="D745" t="inlineStr">
        <is>
          <t>Bin_04</t>
        </is>
      </c>
      <c r="E745" t="n">
        <v>10</v>
      </c>
      <c r="F745" t="inlineStr">
        <is>
          <t>Engagement</t>
        </is>
      </c>
      <c r="G745" t="inlineStr">
        <is>
          <t>NA</t>
        </is>
      </c>
      <c r="H745" t="inlineStr">
        <is>
          <t>NA</t>
        </is>
      </c>
      <c r="I745" t="inlineStr">
        <is>
          <t>NA</t>
        </is>
      </c>
      <c r="J745" t="n">
        <v>4.91</v>
      </c>
      <c r="K745" t="n">
        <v>96.5</v>
      </c>
      <c r="L745">
        <f>IF(K745&gt;=80,"Yes","No")</f>
        <v/>
      </c>
      <c r="M745">
        <f>IF(ISNUMBER(H745),IF(H745&gt;0,1,0),"")</f>
        <v/>
      </c>
    </row>
    <row r="746">
      <c r="A746" t="inlineStr">
        <is>
          <t>SIMULATED_FEA_Commercial_Study</t>
        </is>
      </c>
      <c r="B746" t="inlineStr">
        <is>
          <t>V14</t>
        </is>
      </c>
      <c r="C746" t="inlineStr">
        <is>
          <t>Annotation</t>
        </is>
      </c>
      <c r="D746" t="inlineStr">
        <is>
          <t>Bin_05</t>
        </is>
      </c>
      <c r="E746" t="n">
        <v>10</v>
      </c>
      <c r="F746" t="inlineStr">
        <is>
          <t>Joy</t>
        </is>
      </c>
      <c r="G746" t="n">
        <v>50</v>
      </c>
      <c r="H746" t="n">
        <v>0</v>
      </c>
      <c r="I746" t="n">
        <v>0</v>
      </c>
      <c r="J746" t="inlineStr">
        <is>
          <t>NA</t>
        </is>
      </c>
      <c r="K746" t="n">
        <v>96.5</v>
      </c>
      <c r="L746">
        <f>IF(K746&gt;=80,"Yes","No")</f>
        <v/>
      </c>
      <c r="M746">
        <f>IF(ISNUMBER(H746),IF(H746&gt;0,1,0),"")</f>
        <v/>
      </c>
    </row>
    <row r="747">
      <c r="A747" t="inlineStr">
        <is>
          <t>SIMULATED_FEA_Commercial_Study</t>
        </is>
      </c>
      <c r="B747" t="inlineStr">
        <is>
          <t>V14</t>
        </is>
      </c>
      <c r="C747" t="inlineStr">
        <is>
          <t>Annotation</t>
        </is>
      </c>
      <c r="D747" t="inlineStr">
        <is>
          <t>Bin_05</t>
        </is>
      </c>
      <c r="E747" t="n">
        <v>10</v>
      </c>
      <c r="F747" t="inlineStr">
        <is>
          <t>Surprise</t>
        </is>
      </c>
      <c r="G747" t="n">
        <v>50</v>
      </c>
      <c r="H747" t="n">
        <v>0</v>
      </c>
      <c r="I747" t="n">
        <v>0</v>
      </c>
      <c r="J747" t="inlineStr">
        <is>
          <t>NA</t>
        </is>
      </c>
      <c r="K747" t="n">
        <v>96.5</v>
      </c>
      <c r="L747">
        <f>IF(K747&gt;=80,"Yes","No")</f>
        <v/>
      </c>
      <c r="M747">
        <f>IF(ISNUMBER(H747),IF(H747&gt;0,1,0),"")</f>
        <v/>
      </c>
    </row>
    <row r="748">
      <c r="A748" t="inlineStr">
        <is>
          <t>SIMULATED_FEA_Commercial_Study</t>
        </is>
      </c>
      <c r="B748" t="inlineStr">
        <is>
          <t>V14</t>
        </is>
      </c>
      <c r="C748" t="inlineStr">
        <is>
          <t>Annotation</t>
        </is>
      </c>
      <c r="D748" t="inlineStr">
        <is>
          <t>Bin_05</t>
        </is>
      </c>
      <c r="E748" t="n">
        <v>10</v>
      </c>
      <c r="F748" t="inlineStr">
        <is>
          <t>Brow Furrow</t>
        </is>
      </c>
      <c r="G748" t="n">
        <v>50</v>
      </c>
      <c r="H748" t="n">
        <v>0</v>
      </c>
      <c r="I748" t="n">
        <v>0</v>
      </c>
      <c r="J748" t="inlineStr">
        <is>
          <t>NA</t>
        </is>
      </c>
      <c r="K748" t="n">
        <v>96.5</v>
      </c>
      <c r="L748">
        <f>IF(K748&gt;=80,"Yes","No")</f>
        <v/>
      </c>
      <c r="M748">
        <f>IF(ISNUMBER(H748),IF(H748&gt;0,1,0),"")</f>
        <v/>
      </c>
    </row>
    <row r="749">
      <c r="A749" t="inlineStr">
        <is>
          <t>SIMULATED_FEA_Commercial_Study</t>
        </is>
      </c>
      <c r="B749" t="inlineStr">
        <is>
          <t>V14</t>
        </is>
      </c>
      <c r="C749" t="inlineStr">
        <is>
          <t>Annotation</t>
        </is>
      </c>
      <c r="D749" t="inlineStr">
        <is>
          <t>Bin_05</t>
        </is>
      </c>
      <c r="E749" t="n">
        <v>10</v>
      </c>
      <c r="F749" t="inlineStr">
        <is>
          <t>Positive Valence</t>
        </is>
      </c>
      <c r="G749" t="n">
        <v>50</v>
      </c>
      <c r="H749" t="n">
        <v>0.67</v>
      </c>
      <c r="I749" t="n">
        <v>1</v>
      </c>
      <c r="J749" t="inlineStr">
        <is>
          <t>NA</t>
        </is>
      </c>
      <c r="K749" t="n">
        <v>96.5</v>
      </c>
      <c r="L749">
        <f>IF(K749&gt;=80,"Yes","No")</f>
        <v/>
      </c>
      <c r="M749">
        <f>IF(ISNUMBER(H749),IF(H749&gt;0,1,0),"")</f>
        <v/>
      </c>
    </row>
    <row r="750">
      <c r="A750" t="inlineStr">
        <is>
          <t>SIMULATED_FEA_Commercial_Study</t>
        </is>
      </c>
      <c r="B750" t="inlineStr">
        <is>
          <t>V14</t>
        </is>
      </c>
      <c r="C750" t="inlineStr">
        <is>
          <t>Annotation</t>
        </is>
      </c>
      <c r="D750" t="inlineStr">
        <is>
          <t>Bin_05</t>
        </is>
      </c>
      <c r="E750" t="n">
        <v>10</v>
      </c>
      <c r="F750" t="inlineStr">
        <is>
          <t>Negative Valence</t>
        </is>
      </c>
      <c r="G750" t="n">
        <v>-50</v>
      </c>
      <c r="H750" t="n">
        <v>0</v>
      </c>
      <c r="I750" t="n">
        <v>0</v>
      </c>
      <c r="J750" t="inlineStr">
        <is>
          <t>NA</t>
        </is>
      </c>
      <c r="K750" t="n">
        <v>96.5</v>
      </c>
      <c r="L750">
        <f>IF(K750&gt;=80,"Yes","No")</f>
        <v/>
      </c>
      <c r="M750">
        <f>IF(ISNUMBER(H750),IF(H750&gt;0,1,0),"")</f>
        <v/>
      </c>
    </row>
    <row r="751">
      <c r="A751" t="inlineStr">
        <is>
          <t>SIMULATED_FEA_Commercial_Study</t>
        </is>
      </c>
      <c r="B751" t="inlineStr">
        <is>
          <t>V14</t>
        </is>
      </c>
      <c r="C751" t="inlineStr">
        <is>
          <t>Annotation</t>
        </is>
      </c>
      <c r="D751" t="inlineStr">
        <is>
          <t>Bin_05</t>
        </is>
      </c>
      <c r="E751" t="n">
        <v>10</v>
      </c>
      <c r="F751" t="inlineStr">
        <is>
          <t>Engagement</t>
        </is>
      </c>
      <c r="G751" t="inlineStr">
        <is>
          <t>NA</t>
        </is>
      </c>
      <c r="H751" t="inlineStr">
        <is>
          <t>NA</t>
        </is>
      </c>
      <c r="I751" t="inlineStr">
        <is>
          <t>NA</t>
        </is>
      </c>
      <c r="J751" t="n">
        <v>9.199999999999999</v>
      </c>
      <c r="K751" t="n">
        <v>96.5</v>
      </c>
      <c r="L751">
        <f>IF(K751&gt;=80,"Yes","No")</f>
        <v/>
      </c>
      <c r="M751">
        <f>IF(ISNUMBER(H751),IF(H751&gt;0,1,0),"")</f>
        <v/>
      </c>
    </row>
    <row r="752">
      <c r="A752" t="inlineStr">
        <is>
          <t>SIMULATED_FEA_Commercial_Study</t>
        </is>
      </c>
      <c r="B752" t="inlineStr">
        <is>
          <t>V14</t>
        </is>
      </c>
      <c r="C752" t="inlineStr">
        <is>
          <t>Annotation</t>
        </is>
      </c>
      <c r="D752" t="inlineStr">
        <is>
          <t>Bin_06</t>
        </is>
      </c>
      <c r="E752" t="n">
        <v>10</v>
      </c>
      <c r="F752" t="inlineStr">
        <is>
          <t>Joy</t>
        </is>
      </c>
      <c r="G752" t="n">
        <v>50</v>
      </c>
      <c r="H752" t="n">
        <v>0</v>
      </c>
      <c r="I752" t="n">
        <v>0</v>
      </c>
      <c r="J752" t="inlineStr">
        <is>
          <t>NA</t>
        </is>
      </c>
      <c r="K752" t="n">
        <v>96.5</v>
      </c>
      <c r="L752">
        <f>IF(K752&gt;=80,"Yes","No")</f>
        <v/>
      </c>
      <c r="M752">
        <f>IF(ISNUMBER(H752),IF(H752&gt;0,1,0),"")</f>
        <v/>
      </c>
    </row>
    <row r="753">
      <c r="A753" t="inlineStr">
        <is>
          <t>SIMULATED_FEA_Commercial_Study</t>
        </is>
      </c>
      <c r="B753" t="inlineStr">
        <is>
          <t>V14</t>
        </is>
      </c>
      <c r="C753" t="inlineStr">
        <is>
          <t>Annotation</t>
        </is>
      </c>
      <c r="D753" t="inlineStr">
        <is>
          <t>Bin_06</t>
        </is>
      </c>
      <c r="E753" t="n">
        <v>10</v>
      </c>
      <c r="F753" t="inlineStr">
        <is>
          <t>Surprise</t>
        </is>
      </c>
      <c r="G753" t="n">
        <v>50</v>
      </c>
      <c r="H753" t="n">
        <v>0</v>
      </c>
      <c r="I753" t="n">
        <v>0</v>
      </c>
      <c r="J753" t="inlineStr">
        <is>
          <t>NA</t>
        </is>
      </c>
      <c r="K753" t="n">
        <v>96.5</v>
      </c>
      <c r="L753">
        <f>IF(K753&gt;=80,"Yes","No")</f>
        <v/>
      </c>
      <c r="M753">
        <f>IF(ISNUMBER(H753),IF(H753&gt;0,1,0),"")</f>
        <v/>
      </c>
    </row>
    <row r="754">
      <c r="A754" t="inlineStr">
        <is>
          <t>SIMULATED_FEA_Commercial_Study</t>
        </is>
      </c>
      <c r="B754" t="inlineStr">
        <is>
          <t>V14</t>
        </is>
      </c>
      <c r="C754" t="inlineStr">
        <is>
          <t>Annotation</t>
        </is>
      </c>
      <c r="D754" t="inlineStr">
        <is>
          <t>Bin_06</t>
        </is>
      </c>
      <c r="E754" t="n">
        <v>10</v>
      </c>
      <c r="F754" t="inlineStr">
        <is>
          <t>Brow Furrow</t>
        </is>
      </c>
      <c r="G754" t="n">
        <v>50</v>
      </c>
      <c r="H754" t="n">
        <v>0</v>
      </c>
      <c r="I754" t="n">
        <v>0</v>
      </c>
      <c r="J754" t="inlineStr">
        <is>
          <t>NA</t>
        </is>
      </c>
      <c r="K754" t="n">
        <v>96.5</v>
      </c>
      <c r="L754">
        <f>IF(K754&gt;=80,"Yes","No")</f>
        <v/>
      </c>
      <c r="M754">
        <f>IF(ISNUMBER(H754),IF(H754&gt;0,1,0),"")</f>
        <v/>
      </c>
    </row>
    <row r="755">
      <c r="A755" t="inlineStr">
        <is>
          <t>SIMULATED_FEA_Commercial_Study</t>
        </is>
      </c>
      <c r="B755" t="inlineStr">
        <is>
          <t>V14</t>
        </is>
      </c>
      <c r="C755" t="inlineStr">
        <is>
          <t>Annotation</t>
        </is>
      </c>
      <c r="D755" t="inlineStr">
        <is>
          <t>Bin_06</t>
        </is>
      </c>
      <c r="E755" t="n">
        <v>10</v>
      </c>
      <c r="F755" t="inlineStr">
        <is>
          <t>Positive Valence</t>
        </is>
      </c>
      <c r="G755" t="n">
        <v>50</v>
      </c>
      <c r="H755" t="n">
        <v>0</v>
      </c>
      <c r="I755" t="n">
        <v>0</v>
      </c>
      <c r="J755" t="inlineStr">
        <is>
          <t>NA</t>
        </is>
      </c>
      <c r="K755" t="n">
        <v>96.5</v>
      </c>
      <c r="L755">
        <f>IF(K755&gt;=80,"Yes","No")</f>
        <v/>
      </c>
      <c r="M755">
        <f>IF(ISNUMBER(H755),IF(H755&gt;0,1,0),"")</f>
        <v/>
      </c>
    </row>
    <row r="756">
      <c r="A756" t="inlineStr">
        <is>
          <t>SIMULATED_FEA_Commercial_Study</t>
        </is>
      </c>
      <c r="B756" t="inlineStr">
        <is>
          <t>V14</t>
        </is>
      </c>
      <c r="C756" t="inlineStr">
        <is>
          <t>Annotation</t>
        </is>
      </c>
      <c r="D756" t="inlineStr">
        <is>
          <t>Bin_06</t>
        </is>
      </c>
      <c r="E756" t="n">
        <v>10</v>
      </c>
      <c r="F756" t="inlineStr">
        <is>
          <t>Negative Valence</t>
        </is>
      </c>
      <c r="G756" t="n">
        <v>-50</v>
      </c>
      <c r="H756" t="n">
        <v>7.33</v>
      </c>
      <c r="I756" t="n">
        <v>1</v>
      </c>
      <c r="J756" t="inlineStr">
        <is>
          <t>NA</t>
        </is>
      </c>
      <c r="K756" t="n">
        <v>96.5</v>
      </c>
      <c r="L756">
        <f>IF(K756&gt;=80,"Yes","No")</f>
        <v/>
      </c>
      <c r="M756">
        <f>IF(ISNUMBER(H756),IF(H756&gt;0,1,0),"")</f>
        <v/>
      </c>
    </row>
    <row r="757">
      <c r="A757" t="inlineStr">
        <is>
          <t>SIMULATED_FEA_Commercial_Study</t>
        </is>
      </c>
      <c r="B757" t="inlineStr">
        <is>
          <t>V14</t>
        </is>
      </c>
      <c r="C757" t="inlineStr">
        <is>
          <t>Annotation</t>
        </is>
      </c>
      <c r="D757" t="inlineStr">
        <is>
          <t>Bin_06</t>
        </is>
      </c>
      <c r="E757" t="n">
        <v>10</v>
      </c>
      <c r="F757" t="inlineStr">
        <is>
          <t>Engagement</t>
        </is>
      </c>
      <c r="G757" t="inlineStr">
        <is>
          <t>NA</t>
        </is>
      </c>
      <c r="H757" t="inlineStr">
        <is>
          <t>NA</t>
        </is>
      </c>
      <c r="I757" t="inlineStr">
        <is>
          <t>NA</t>
        </is>
      </c>
      <c r="J757" t="n">
        <v>4.03</v>
      </c>
      <c r="K757" t="n">
        <v>96.5</v>
      </c>
      <c r="L757">
        <f>IF(K757&gt;=80,"Yes","No")</f>
        <v/>
      </c>
      <c r="M757">
        <f>IF(ISNUMBER(H757),IF(H757&gt;0,1,0),"")</f>
        <v/>
      </c>
    </row>
    <row r="758">
      <c r="A758" t="inlineStr">
        <is>
          <t>SIMULATED_FEA_Commercial_Study</t>
        </is>
      </c>
      <c r="B758" t="inlineStr">
        <is>
          <t>V15</t>
        </is>
      </c>
      <c r="C758" t="inlineStr">
        <is>
          <t>Stimulus</t>
        </is>
      </c>
      <c r="D758" t="inlineStr">
        <is>
          <t>Baseline</t>
        </is>
      </c>
      <c r="E758" t="n">
        <v>60</v>
      </c>
      <c r="F758" t="inlineStr">
        <is>
          <t>Joy</t>
        </is>
      </c>
      <c r="G758" t="n">
        <v>50</v>
      </c>
      <c r="H758" t="n">
        <v>12.17</v>
      </c>
      <c r="I758" t="n">
        <v>3</v>
      </c>
      <c r="J758" t="inlineStr">
        <is>
          <t>NA</t>
        </is>
      </c>
      <c r="K758" t="n">
        <v>93.09999999999999</v>
      </c>
      <c r="L758">
        <f>IF(K758&gt;=80,"Yes","No")</f>
        <v/>
      </c>
      <c r="M758">
        <f>IF(ISNUMBER(H758),IF(H758&gt;0,1,0),"")</f>
        <v/>
      </c>
    </row>
    <row r="759">
      <c r="A759" t="inlineStr">
        <is>
          <t>SIMULATED_FEA_Commercial_Study</t>
        </is>
      </c>
      <c r="B759" t="inlineStr">
        <is>
          <t>V15</t>
        </is>
      </c>
      <c r="C759" t="inlineStr">
        <is>
          <t>Stimulus</t>
        </is>
      </c>
      <c r="D759" t="inlineStr">
        <is>
          <t>Baseline</t>
        </is>
      </c>
      <c r="E759" t="n">
        <v>60</v>
      </c>
      <c r="F759" t="inlineStr">
        <is>
          <t>Surprise</t>
        </is>
      </c>
      <c r="G759" t="n">
        <v>50</v>
      </c>
      <c r="H759" t="n">
        <v>1.17</v>
      </c>
      <c r="I759" t="n">
        <v>1</v>
      </c>
      <c r="J759" t="inlineStr">
        <is>
          <t>NA</t>
        </is>
      </c>
      <c r="K759" t="n">
        <v>93.09999999999999</v>
      </c>
      <c r="L759">
        <f>IF(K759&gt;=80,"Yes","No")</f>
        <v/>
      </c>
      <c r="M759">
        <f>IF(ISNUMBER(H759),IF(H759&gt;0,1,0),"")</f>
        <v/>
      </c>
    </row>
    <row r="760">
      <c r="A760" t="inlineStr">
        <is>
          <t>SIMULATED_FEA_Commercial_Study</t>
        </is>
      </c>
      <c r="B760" t="inlineStr">
        <is>
          <t>V15</t>
        </is>
      </c>
      <c r="C760" t="inlineStr">
        <is>
          <t>Stimulus</t>
        </is>
      </c>
      <c r="D760" t="inlineStr">
        <is>
          <t>Baseline</t>
        </is>
      </c>
      <c r="E760" t="n">
        <v>60</v>
      </c>
      <c r="F760" t="inlineStr">
        <is>
          <t>Brow Furrow</t>
        </is>
      </c>
      <c r="G760" t="n">
        <v>50</v>
      </c>
      <c r="H760" t="n">
        <v>14.5</v>
      </c>
      <c r="I760" t="n">
        <v>4</v>
      </c>
      <c r="J760" t="inlineStr">
        <is>
          <t>NA</t>
        </is>
      </c>
      <c r="K760" t="n">
        <v>93.09999999999999</v>
      </c>
      <c r="L760">
        <f>IF(K760&gt;=80,"Yes","No")</f>
        <v/>
      </c>
      <c r="M760">
        <f>IF(ISNUMBER(H760),IF(H760&gt;0,1,0),"")</f>
        <v/>
      </c>
    </row>
    <row r="761">
      <c r="A761" t="inlineStr">
        <is>
          <t>SIMULATED_FEA_Commercial_Study</t>
        </is>
      </c>
      <c r="B761" t="inlineStr">
        <is>
          <t>V15</t>
        </is>
      </c>
      <c r="C761" t="inlineStr">
        <is>
          <t>Stimulus</t>
        </is>
      </c>
      <c r="D761" t="inlineStr">
        <is>
          <t>Baseline</t>
        </is>
      </c>
      <c r="E761" t="n">
        <v>60</v>
      </c>
      <c r="F761" t="inlineStr">
        <is>
          <t>Positive Valence</t>
        </is>
      </c>
      <c r="G761" t="n">
        <v>50</v>
      </c>
      <c r="H761" t="n">
        <v>11.11</v>
      </c>
      <c r="I761" t="n">
        <v>3</v>
      </c>
      <c r="J761" t="inlineStr">
        <is>
          <t>NA</t>
        </is>
      </c>
      <c r="K761" t="n">
        <v>93.09999999999999</v>
      </c>
      <c r="L761">
        <f>IF(K761&gt;=80,"Yes","No")</f>
        <v/>
      </c>
      <c r="M761">
        <f>IF(ISNUMBER(H761),IF(H761&gt;0,1,0),"")</f>
        <v/>
      </c>
    </row>
    <row r="762">
      <c r="A762" t="inlineStr">
        <is>
          <t>SIMULATED_FEA_Commercial_Study</t>
        </is>
      </c>
      <c r="B762" t="inlineStr">
        <is>
          <t>V15</t>
        </is>
      </c>
      <c r="C762" t="inlineStr">
        <is>
          <t>Stimulus</t>
        </is>
      </c>
      <c r="D762" t="inlineStr">
        <is>
          <t>Baseline</t>
        </is>
      </c>
      <c r="E762" t="n">
        <v>60</v>
      </c>
      <c r="F762" t="inlineStr">
        <is>
          <t>Negative Valence</t>
        </is>
      </c>
      <c r="G762" t="n">
        <v>-50</v>
      </c>
      <c r="H762" t="n">
        <v>0</v>
      </c>
      <c r="I762" t="n">
        <v>0</v>
      </c>
      <c r="J762" t="inlineStr">
        <is>
          <t>NA</t>
        </is>
      </c>
      <c r="K762" t="n">
        <v>93.09999999999999</v>
      </c>
      <c r="L762">
        <f>IF(K762&gt;=80,"Yes","No")</f>
        <v/>
      </c>
      <c r="M762">
        <f>IF(ISNUMBER(H762),IF(H762&gt;0,1,0),"")</f>
        <v/>
      </c>
    </row>
    <row r="763">
      <c r="A763" t="inlineStr">
        <is>
          <t>SIMULATED_FEA_Commercial_Study</t>
        </is>
      </c>
      <c r="B763" t="inlineStr">
        <is>
          <t>V15</t>
        </is>
      </c>
      <c r="C763" t="inlineStr">
        <is>
          <t>Stimulus</t>
        </is>
      </c>
      <c r="D763" t="inlineStr">
        <is>
          <t>Baseline</t>
        </is>
      </c>
      <c r="E763" t="n">
        <v>60</v>
      </c>
      <c r="F763" t="inlineStr">
        <is>
          <t>Engagement</t>
        </is>
      </c>
      <c r="G763" t="inlineStr">
        <is>
          <t>NA</t>
        </is>
      </c>
      <c r="H763" t="inlineStr">
        <is>
          <t>NA</t>
        </is>
      </c>
      <c r="I763" t="inlineStr">
        <is>
          <t>NA</t>
        </is>
      </c>
      <c r="J763" t="n">
        <v>18.8</v>
      </c>
      <c r="K763" t="n">
        <v>93.09999999999999</v>
      </c>
      <c r="L763">
        <f>IF(K763&gt;=80,"Yes","No")</f>
        <v/>
      </c>
      <c r="M763">
        <f>IF(ISNUMBER(H763),IF(H763&gt;0,1,0),"")</f>
        <v/>
      </c>
    </row>
    <row r="764">
      <c r="A764" t="inlineStr">
        <is>
          <t>SIMULATED_FEA_Commercial_Study</t>
        </is>
      </c>
      <c r="B764" t="inlineStr">
        <is>
          <t>V15</t>
        </is>
      </c>
      <c r="C764" t="inlineStr">
        <is>
          <t>Stimulus</t>
        </is>
      </c>
      <c r="D764" t="inlineStr">
        <is>
          <t>Commercial</t>
        </is>
      </c>
      <c r="E764" t="n">
        <v>60</v>
      </c>
      <c r="F764" t="inlineStr">
        <is>
          <t>Joy</t>
        </is>
      </c>
      <c r="G764" t="n">
        <v>50</v>
      </c>
      <c r="H764" t="n">
        <v>42.39</v>
      </c>
      <c r="I764" t="n">
        <v>27</v>
      </c>
      <c r="J764" t="inlineStr">
        <is>
          <t>NA</t>
        </is>
      </c>
      <c r="K764" t="n">
        <v>93.09999999999999</v>
      </c>
      <c r="L764">
        <f>IF(K764&gt;=80,"Yes","No")</f>
        <v/>
      </c>
      <c r="M764">
        <f>IF(ISNUMBER(H764),IF(H764&gt;0,1,0),"")</f>
        <v/>
      </c>
    </row>
    <row r="765">
      <c r="A765" t="inlineStr">
        <is>
          <t>SIMULATED_FEA_Commercial_Study</t>
        </is>
      </c>
      <c r="B765" t="inlineStr">
        <is>
          <t>V15</t>
        </is>
      </c>
      <c r="C765" t="inlineStr">
        <is>
          <t>Stimulus</t>
        </is>
      </c>
      <c r="D765" t="inlineStr">
        <is>
          <t>Commercial</t>
        </is>
      </c>
      <c r="E765" t="n">
        <v>60</v>
      </c>
      <c r="F765" t="inlineStr">
        <is>
          <t>Surprise</t>
        </is>
      </c>
      <c r="G765" t="n">
        <v>50</v>
      </c>
      <c r="H765" t="n">
        <v>3.94</v>
      </c>
      <c r="I765" t="n">
        <v>3</v>
      </c>
      <c r="J765" t="inlineStr">
        <is>
          <t>NA</t>
        </is>
      </c>
      <c r="K765" t="n">
        <v>93.09999999999999</v>
      </c>
      <c r="L765">
        <f>IF(K765&gt;=80,"Yes","No")</f>
        <v/>
      </c>
      <c r="M765">
        <f>IF(ISNUMBER(H765),IF(H765&gt;0,1,0),"")</f>
        <v/>
      </c>
    </row>
    <row r="766">
      <c r="A766" t="inlineStr">
        <is>
          <t>SIMULATED_FEA_Commercial_Study</t>
        </is>
      </c>
      <c r="B766" t="inlineStr">
        <is>
          <t>V15</t>
        </is>
      </c>
      <c r="C766" t="inlineStr">
        <is>
          <t>Stimulus</t>
        </is>
      </c>
      <c r="D766" t="inlineStr">
        <is>
          <t>Commercial</t>
        </is>
      </c>
      <c r="E766" t="n">
        <v>60</v>
      </c>
      <c r="F766" t="inlineStr">
        <is>
          <t>Brow Furrow</t>
        </is>
      </c>
      <c r="G766" t="n">
        <v>50</v>
      </c>
      <c r="H766" t="n">
        <v>0</v>
      </c>
      <c r="I766" t="n">
        <v>0</v>
      </c>
      <c r="J766" t="inlineStr">
        <is>
          <t>NA</t>
        </is>
      </c>
      <c r="K766" t="n">
        <v>93.09999999999999</v>
      </c>
      <c r="L766">
        <f>IF(K766&gt;=80,"Yes","No")</f>
        <v/>
      </c>
      <c r="M766">
        <f>IF(ISNUMBER(H766),IF(H766&gt;0,1,0),"")</f>
        <v/>
      </c>
    </row>
    <row r="767">
      <c r="A767" t="inlineStr">
        <is>
          <t>SIMULATED_FEA_Commercial_Study</t>
        </is>
      </c>
      <c r="B767" t="inlineStr">
        <is>
          <t>V15</t>
        </is>
      </c>
      <c r="C767" t="inlineStr">
        <is>
          <t>Stimulus</t>
        </is>
      </c>
      <c r="D767" t="inlineStr">
        <is>
          <t>Commercial</t>
        </is>
      </c>
      <c r="E767" t="n">
        <v>60</v>
      </c>
      <c r="F767" t="inlineStr">
        <is>
          <t>Positive Valence</t>
        </is>
      </c>
      <c r="G767" t="n">
        <v>50</v>
      </c>
      <c r="H767" t="n">
        <v>45.61</v>
      </c>
      <c r="I767" t="n">
        <v>15</v>
      </c>
      <c r="J767" t="inlineStr">
        <is>
          <t>NA</t>
        </is>
      </c>
      <c r="K767" t="n">
        <v>93.09999999999999</v>
      </c>
      <c r="L767">
        <f>IF(K767&gt;=80,"Yes","No")</f>
        <v/>
      </c>
      <c r="M767">
        <f>IF(ISNUMBER(H767),IF(H767&gt;0,1,0),"")</f>
        <v/>
      </c>
    </row>
    <row r="768">
      <c r="A768" t="inlineStr">
        <is>
          <t>SIMULATED_FEA_Commercial_Study</t>
        </is>
      </c>
      <c r="B768" t="inlineStr">
        <is>
          <t>V15</t>
        </is>
      </c>
      <c r="C768" t="inlineStr">
        <is>
          <t>Stimulus</t>
        </is>
      </c>
      <c r="D768" t="inlineStr">
        <is>
          <t>Commercial</t>
        </is>
      </c>
      <c r="E768" t="n">
        <v>60</v>
      </c>
      <c r="F768" t="inlineStr">
        <is>
          <t>Negative Valence</t>
        </is>
      </c>
      <c r="G768" t="n">
        <v>-50</v>
      </c>
      <c r="H768" t="n">
        <v>0</v>
      </c>
      <c r="I768" t="n">
        <v>0</v>
      </c>
      <c r="J768" t="inlineStr">
        <is>
          <t>NA</t>
        </is>
      </c>
      <c r="K768" t="n">
        <v>93.09999999999999</v>
      </c>
      <c r="L768">
        <f>IF(K768&gt;=80,"Yes","No")</f>
        <v/>
      </c>
      <c r="M768">
        <f>IF(ISNUMBER(H768),IF(H768&gt;0,1,0),"")</f>
        <v/>
      </c>
    </row>
    <row r="769">
      <c r="A769" t="inlineStr">
        <is>
          <t>SIMULATED_FEA_Commercial_Study</t>
        </is>
      </c>
      <c r="B769" t="inlineStr">
        <is>
          <t>V15</t>
        </is>
      </c>
      <c r="C769" t="inlineStr">
        <is>
          <t>Stimulus</t>
        </is>
      </c>
      <c r="D769" t="inlineStr">
        <is>
          <t>Commercial</t>
        </is>
      </c>
      <c r="E769" t="n">
        <v>60</v>
      </c>
      <c r="F769" t="inlineStr">
        <is>
          <t>Engagement</t>
        </is>
      </c>
      <c r="G769" t="inlineStr">
        <is>
          <t>NA</t>
        </is>
      </c>
      <c r="H769" t="inlineStr">
        <is>
          <t>NA</t>
        </is>
      </c>
      <c r="I769" t="inlineStr">
        <is>
          <t>NA</t>
        </is>
      </c>
      <c r="J769" t="n">
        <v>34.66</v>
      </c>
      <c r="K769" t="n">
        <v>93.09999999999999</v>
      </c>
      <c r="L769">
        <f>IF(K769&gt;=80,"Yes","No")</f>
        <v/>
      </c>
      <c r="M769">
        <f>IF(ISNUMBER(H769),IF(H769&gt;0,1,0),"")</f>
        <v/>
      </c>
    </row>
    <row r="770">
      <c r="A770" t="inlineStr">
        <is>
          <t>SIMULATED_FEA_Commercial_Study</t>
        </is>
      </c>
      <c r="B770" t="inlineStr">
        <is>
          <t>V15</t>
        </is>
      </c>
      <c r="C770" t="inlineStr">
        <is>
          <t>Stimulus</t>
        </is>
      </c>
      <c r="D770" t="inlineStr">
        <is>
          <t>Recovery</t>
        </is>
      </c>
      <c r="E770" t="n">
        <v>15</v>
      </c>
      <c r="F770" t="inlineStr">
        <is>
          <t>Joy</t>
        </is>
      </c>
      <c r="G770" t="n">
        <v>50</v>
      </c>
      <c r="H770" t="n">
        <v>0</v>
      </c>
      <c r="I770" t="n">
        <v>0</v>
      </c>
      <c r="J770" t="inlineStr">
        <is>
          <t>NA</t>
        </is>
      </c>
      <c r="K770" t="n">
        <v>93.09999999999999</v>
      </c>
      <c r="L770">
        <f>IF(K770&gt;=80,"Yes","No")</f>
        <v/>
      </c>
      <c r="M770">
        <f>IF(ISNUMBER(H770),IF(H770&gt;0,1,0),"")</f>
        <v/>
      </c>
    </row>
    <row r="771">
      <c r="A771" t="inlineStr">
        <is>
          <t>SIMULATED_FEA_Commercial_Study</t>
        </is>
      </c>
      <c r="B771" t="inlineStr">
        <is>
          <t>V15</t>
        </is>
      </c>
      <c r="C771" t="inlineStr">
        <is>
          <t>Stimulus</t>
        </is>
      </c>
      <c r="D771" t="inlineStr">
        <is>
          <t>Recovery</t>
        </is>
      </c>
      <c r="E771" t="n">
        <v>15</v>
      </c>
      <c r="F771" t="inlineStr">
        <is>
          <t>Surprise</t>
        </is>
      </c>
      <c r="G771" t="n">
        <v>50</v>
      </c>
      <c r="H771" t="n">
        <v>0</v>
      </c>
      <c r="I771" t="n">
        <v>0</v>
      </c>
      <c r="J771" t="inlineStr">
        <is>
          <t>NA</t>
        </is>
      </c>
      <c r="K771" t="n">
        <v>93.09999999999999</v>
      </c>
      <c r="L771">
        <f>IF(K771&gt;=80,"Yes","No")</f>
        <v/>
      </c>
      <c r="M771">
        <f>IF(ISNUMBER(H771),IF(H771&gt;0,1,0),"")</f>
        <v/>
      </c>
    </row>
    <row r="772">
      <c r="A772" t="inlineStr">
        <is>
          <t>SIMULATED_FEA_Commercial_Study</t>
        </is>
      </c>
      <c r="B772" t="inlineStr">
        <is>
          <t>V15</t>
        </is>
      </c>
      <c r="C772" t="inlineStr">
        <is>
          <t>Stimulus</t>
        </is>
      </c>
      <c r="D772" t="inlineStr">
        <is>
          <t>Recovery</t>
        </is>
      </c>
      <c r="E772" t="n">
        <v>15</v>
      </c>
      <c r="F772" t="inlineStr">
        <is>
          <t>Brow Furrow</t>
        </is>
      </c>
      <c r="G772" t="n">
        <v>50</v>
      </c>
      <c r="H772" t="n">
        <v>17.56</v>
      </c>
      <c r="I772" t="n">
        <v>3</v>
      </c>
      <c r="J772" t="inlineStr">
        <is>
          <t>NA</t>
        </is>
      </c>
      <c r="K772" t="n">
        <v>93.09999999999999</v>
      </c>
      <c r="L772">
        <f>IF(K772&gt;=80,"Yes","No")</f>
        <v/>
      </c>
      <c r="M772">
        <f>IF(ISNUMBER(H772),IF(H772&gt;0,1,0),"")</f>
        <v/>
      </c>
    </row>
    <row r="773">
      <c r="A773" t="inlineStr">
        <is>
          <t>SIMULATED_FEA_Commercial_Study</t>
        </is>
      </c>
      <c r="B773" t="inlineStr">
        <is>
          <t>V15</t>
        </is>
      </c>
      <c r="C773" t="inlineStr">
        <is>
          <t>Stimulus</t>
        </is>
      </c>
      <c r="D773" t="inlineStr">
        <is>
          <t>Recovery</t>
        </is>
      </c>
      <c r="E773" t="n">
        <v>15</v>
      </c>
      <c r="F773" t="inlineStr">
        <is>
          <t>Positive Valence</t>
        </is>
      </c>
      <c r="G773" t="n">
        <v>50</v>
      </c>
      <c r="H773" t="n">
        <v>24.89</v>
      </c>
      <c r="I773" t="n">
        <v>4</v>
      </c>
      <c r="J773" t="inlineStr">
        <is>
          <t>NA</t>
        </is>
      </c>
      <c r="K773" t="n">
        <v>93.09999999999999</v>
      </c>
      <c r="L773">
        <f>IF(K773&gt;=80,"Yes","No")</f>
        <v/>
      </c>
      <c r="M773">
        <f>IF(ISNUMBER(H773),IF(H773&gt;0,1,0),"")</f>
        <v/>
      </c>
    </row>
    <row r="774">
      <c r="A774" t="inlineStr">
        <is>
          <t>SIMULATED_FEA_Commercial_Study</t>
        </is>
      </c>
      <c r="B774" t="inlineStr">
        <is>
          <t>V15</t>
        </is>
      </c>
      <c r="C774" t="inlineStr">
        <is>
          <t>Stimulus</t>
        </is>
      </c>
      <c r="D774" t="inlineStr">
        <is>
          <t>Recovery</t>
        </is>
      </c>
      <c r="E774" t="n">
        <v>15</v>
      </c>
      <c r="F774" t="inlineStr">
        <is>
          <t>Negative Valence</t>
        </is>
      </c>
      <c r="G774" t="n">
        <v>-50</v>
      </c>
      <c r="H774" t="n">
        <v>0</v>
      </c>
      <c r="I774" t="n">
        <v>0</v>
      </c>
      <c r="J774" t="inlineStr">
        <is>
          <t>NA</t>
        </is>
      </c>
      <c r="K774" t="n">
        <v>93.09999999999999</v>
      </c>
      <c r="L774">
        <f>IF(K774&gt;=80,"Yes","No")</f>
        <v/>
      </c>
      <c r="M774">
        <f>IF(ISNUMBER(H774),IF(H774&gt;0,1,0),"")</f>
        <v/>
      </c>
    </row>
    <row r="775">
      <c r="A775" t="inlineStr">
        <is>
          <t>SIMULATED_FEA_Commercial_Study</t>
        </is>
      </c>
      <c r="B775" t="inlineStr">
        <is>
          <t>V15</t>
        </is>
      </c>
      <c r="C775" t="inlineStr">
        <is>
          <t>Stimulus</t>
        </is>
      </c>
      <c r="D775" t="inlineStr">
        <is>
          <t>Recovery</t>
        </is>
      </c>
      <c r="E775" t="n">
        <v>15</v>
      </c>
      <c r="F775" t="inlineStr">
        <is>
          <t>Engagement</t>
        </is>
      </c>
      <c r="G775" t="inlineStr">
        <is>
          <t>NA</t>
        </is>
      </c>
      <c r="H775" t="inlineStr">
        <is>
          <t>NA</t>
        </is>
      </c>
      <c r="I775" t="inlineStr">
        <is>
          <t>NA</t>
        </is>
      </c>
      <c r="J775" t="n">
        <v>21.72</v>
      </c>
      <c r="K775" t="n">
        <v>93.09999999999999</v>
      </c>
      <c r="L775">
        <f>IF(K775&gt;=80,"Yes","No")</f>
        <v/>
      </c>
      <c r="M775">
        <f>IF(ISNUMBER(H775),IF(H775&gt;0,1,0),"")</f>
        <v/>
      </c>
    </row>
    <row r="776">
      <c r="A776" t="inlineStr">
        <is>
          <t>SIMULATED_FEA_Commercial_Study</t>
        </is>
      </c>
      <c r="B776" t="inlineStr">
        <is>
          <t>V15</t>
        </is>
      </c>
      <c r="C776" t="inlineStr">
        <is>
          <t>Annotation</t>
        </is>
      </c>
      <c r="D776" t="inlineStr">
        <is>
          <t>Bin_01</t>
        </is>
      </c>
      <c r="E776" t="n">
        <v>10</v>
      </c>
      <c r="F776" t="inlineStr">
        <is>
          <t>Joy</t>
        </is>
      </c>
      <c r="G776" t="n">
        <v>50</v>
      </c>
      <c r="H776" t="n">
        <v>38</v>
      </c>
      <c r="I776" t="n">
        <v>3</v>
      </c>
      <c r="J776" t="inlineStr">
        <is>
          <t>NA</t>
        </is>
      </c>
      <c r="K776" t="n">
        <v>93.09999999999999</v>
      </c>
      <c r="L776">
        <f>IF(K776&gt;=80,"Yes","No")</f>
        <v/>
      </c>
      <c r="M776">
        <f>IF(ISNUMBER(H776),IF(H776&gt;0,1,0),"")</f>
        <v/>
      </c>
    </row>
    <row r="777">
      <c r="A777" t="inlineStr">
        <is>
          <t>SIMULATED_FEA_Commercial_Study</t>
        </is>
      </c>
      <c r="B777" t="inlineStr">
        <is>
          <t>V15</t>
        </is>
      </c>
      <c r="C777" t="inlineStr">
        <is>
          <t>Annotation</t>
        </is>
      </c>
      <c r="D777" t="inlineStr">
        <is>
          <t>Bin_01</t>
        </is>
      </c>
      <c r="E777" t="n">
        <v>10</v>
      </c>
      <c r="F777" t="inlineStr">
        <is>
          <t>Surprise</t>
        </is>
      </c>
      <c r="G777" t="n">
        <v>50</v>
      </c>
      <c r="H777" t="n">
        <v>0</v>
      </c>
      <c r="I777" t="n">
        <v>0</v>
      </c>
      <c r="J777" t="inlineStr">
        <is>
          <t>NA</t>
        </is>
      </c>
      <c r="K777" t="n">
        <v>93.09999999999999</v>
      </c>
      <c r="L777">
        <f>IF(K777&gt;=80,"Yes","No")</f>
        <v/>
      </c>
      <c r="M777">
        <f>IF(ISNUMBER(H777),IF(H777&gt;0,1,0),"")</f>
        <v/>
      </c>
    </row>
    <row r="778">
      <c r="A778" t="inlineStr">
        <is>
          <t>SIMULATED_FEA_Commercial_Study</t>
        </is>
      </c>
      <c r="B778" t="inlineStr">
        <is>
          <t>V15</t>
        </is>
      </c>
      <c r="C778" t="inlineStr">
        <is>
          <t>Annotation</t>
        </is>
      </c>
      <c r="D778" t="inlineStr">
        <is>
          <t>Bin_01</t>
        </is>
      </c>
      <c r="E778" t="n">
        <v>10</v>
      </c>
      <c r="F778" t="inlineStr">
        <is>
          <t>Brow Furrow</t>
        </is>
      </c>
      <c r="G778" t="n">
        <v>50</v>
      </c>
      <c r="H778" t="n">
        <v>0</v>
      </c>
      <c r="I778" t="n">
        <v>0</v>
      </c>
      <c r="J778" t="inlineStr">
        <is>
          <t>NA</t>
        </is>
      </c>
      <c r="K778" t="n">
        <v>93.09999999999999</v>
      </c>
      <c r="L778">
        <f>IF(K778&gt;=80,"Yes","No")</f>
        <v/>
      </c>
      <c r="M778">
        <f>IF(ISNUMBER(H778),IF(H778&gt;0,1,0),"")</f>
        <v/>
      </c>
    </row>
    <row r="779">
      <c r="A779" t="inlineStr">
        <is>
          <t>SIMULATED_FEA_Commercial_Study</t>
        </is>
      </c>
      <c r="B779" t="inlineStr">
        <is>
          <t>V15</t>
        </is>
      </c>
      <c r="C779" t="inlineStr">
        <is>
          <t>Annotation</t>
        </is>
      </c>
      <c r="D779" t="inlineStr">
        <is>
          <t>Bin_01</t>
        </is>
      </c>
      <c r="E779" t="n">
        <v>10</v>
      </c>
      <c r="F779" t="inlineStr">
        <is>
          <t>Positive Valence</t>
        </is>
      </c>
      <c r="G779" t="n">
        <v>50</v>
      </c>
      <c r="H779" t="n">
        <v>22.67</v>
      </c>
      <c r="I779" t="n">
        <v>3</v>
      </c>
      <c r="J779" t="inlineStr">
        <is>
          <t>NA</t>
        </is>
      </c>
      <c r="K779" t="n">
        <v>93.09999999999999</v>
      </c>
      <c r="L779">
        <f>IF(K779&gt;=80,"Yes","No")</f>
        <v/>
      </c>
      <c r="M779">
        <f>IF(ISNUMBER(H779),IF(H779&gt;0,1,0),"")</f>
        <v/>
      </c>
    </row>
    <row r="780">
      <c r="A780" t="inlineStr">
        <is>
          <t>SIMULATED_FEA_Commercial_Study</t>
        </is>
      </c>
      <c r="B780" t="inlineStr">
        <is>
          <t>V15</t>
        </is>
      </c>
      <c r="C780" t="inlineStr">
        <is>
          <t>Annotation</t>
        </is>
      </c>
      <c r="D780" t="inlineStr">
        <is>
          <t>Bin_01</t>
        </is>
      </c>
      <c r="E780" t="n">
        <v>10</v>
      </c>
      <c r="F780" t="inlineStr">
        <is>
          <t>Negative Valence</t>
        </is>
      </c>
      <c r="G780" t="n">
        <v>-50</v>
      </c>
      <c r="H780" t="n">
        <v>0</v>
      </c>
      <c r="I780" t="n">
        <v>0</v>
      </c>
      <c r="J780" t="inlineStr">
        <is>
          <t>NA</t>
        </is>
      </c>
      <c r="K780" t="n">
        <v>93.09999999999999</v>
      </c>
      <c r="L780">
        <f>IF(K780&gt;=80,"Yes","No")</f>
        <v/>
      </c>
      <c r="M780">
        <f>IF(ISNUMBER(H780),IF(H780&gt;0,1,0),"")</f>
        <v/>
      </c>
    </row>
    <row r="781">
      <c r="A781" t="inlineStr">
        <is>
          <t>SIMULATED_FEA_Commercial_Study</t>
        </is>
      </c>
      <c r="B781" t="inlineStr">
        <is>
          <t>V15</t>
        </is>
      </c>
      <c r="C781" t="inlineStr">
        <is>
          <t>Annotation</t>
        </is>
      </c>
      <c r="D781" t="inlineStr">
        <is>
          <t>Bin_01</t>
        </is>
      </c>
      <c r="E781" t="n">
        <v>10</v>
      </c>
      <c r="F781" t="inlineStr">
        <is>
          <t>Engagement</t>
        </is>
      </c>
      <c r="G781" t="inlineStr">
        <is>
          <t>NA</t>
        </is>
      </c>
      <c r="H781" t="inlineStr">
        <is>
          <t>NA</t>
        </is>
      </c>
      <c r="I781" t="inlineStr">
        <is>
          <t>NA</t>
        </is>
      </c>
      <c r="J781" t="n">
        <v>20.29</v>
      </c>
      <c r="K781" t="n">
        <v>93.09999999999999</v>
      </c>
      <c r="L781">
        <f>IF(K781&gt;=80,"Yes","No")</f>
        <v/>
      </c>
      <c r="M781">
        <f>IF(ISNUMBER(H781),IF(H781&gt;0,1,0),"")</f>
        <v/>
      </c>
    </row>
    <row r="782">
      <c r="A782" t="inlineStr">
        <is>
          <t>SIMULATED_FEA_Commercial_Study</t>
        </is>
      </c>
      <c r="B782" t="inlineStr">
        <is>
          <t>V15</t>
        </is>
      </c>
      <c r="C782" t="inlineStr">
        <is>
          <t>Annotation</t>
        </is>
      </c>
      <c r="D782" t="inlineStr">
        <is>
          <t>Bin_02</t>
        </is>
      </c>
      <c r="E782" t="n">
        <v>10</v>
      </c>
      <c r="F782" t="inlineStr">
        <is>
          <t>Joy</t>
        </is>
      </c>
      <c r="G782" t="n">
        <v>50</v>
      </c>
      <c r="H782" t="n">
        <v>18.33</v>
      </c>
      <c r="I782" t="n">
        <v>6</v>
      </c>
      <c r="J782" t="inlineStr">
        <is>
          <t>NA</t>
        </is>
      </c>
      <c r="K782" t="n">
        <v>93.09999999999999</v>
      </c>
      <c r="L782">
        <f>IF(K782&gt;=80,"Yes","No")</f>
        <v/>
      </c>
      <c r="M782">
        <f>IF(ISNUMBER(H782),IF(H782&gt;0,1,0),"")</f>
        <v/>
      </c>
    </row>
    <row r="783">
      <c r="A783" t="inlineStr">
        <is>
          <t>SIMULATED_FEA_Commercial_Study</t>
        </is>
      </c>
      <c r="B783" t="inlineStr">
        <is>
          <t>V15</t>
        </is>
      </c>
      <c r="C783" t="inlineStr">
        <is>
          <t>Annotation</t>
        </is>
      </c>
      <c r="D783" t="inlineStr">
        <is>
          <t>Bin_02</t>
        </is>
      </c>
      <c r="E783" t="n">
        <v>10</v>
      </c>
      <c r="F783" t="inlineStr">
        <is>
          <t>Surprise</t>
        </is>
      </c>
      <c r="G783" t="n">
        <v>50</v>
      </c>
      <c r="H783" t="n">
        <v>0</v>
      </c>
      <c r="I783" t="n">
        <v>0</v>
      </c>
      <c r="J783" t="inlineStr">
        <is>
          <t>NA</t>
        </is>
      </c>
      <c r="K783" t="n">
        <v>93.09999999999999</v>
      </c>
      <c r="L783">
        <f>IF(K783&gt;=80,"Yes","No")</f>
        <v/>
      </c>
      <c r="M783">
        <f>IF(ISNUMBER(H783),IF(H783&gt;0,1,0),"")</f>
        <v/>
      </c>
    </row>
    <row r="784">
      <c r="A784" t="inlineStr">
        <is>
          <t>SIMULATED_FEA_Commercial_Study</t>
        </is>
      </c>
      <c r="B784" t="inlineStr">
        <is>
          <t>V15</t>
        </is>
      </c>
      <c r="C784" t="inlineStr">
        <is>
          <t>Annotation</t>
        </is>
      </c>
      <c r="D784" t="inlineStr">
        <is>
          <t>Bin_02</t>
        </is>
      </c>
      <c r="E784" t="n">
        <v>10</v>
      </c>
      <c r="F784" t="inlineStr">
        <is>
          <t>Brow Furrow</t>
        </is>
      </c>
      <c r="G784" t="n">
        <v>50</v>
      </c>
      <c r="H784" t="n">
        <v>0</v>
      </c>
      <c r="I784" t="n">
        <v>0</v>
      </c>
      <c r="J784" t="inlineStr">
        <is>
          <t>NA</t>
        </is>
      </c>
      <c r="K784" t="n">
        <v>93.09999999999999</v>
      </c>
      <c r="L784">
        <f>IF(K784&gt;=80,"Yes","No")</f>
        <v/>
      </c>
      <c r="M784">
        <f>IF(ISNUMBER(H784),IF(H784&gt;0,1,0),"")</f>
        <v/>
      </c>
    </row>
    <row r="785">
      <c r="A785" t="inlineStr">
        <is>
          <t>SIMULATED_FEA_Commercial_Study</t>
        </is>
      </c>
      <c r="B785" t="inlineStr">
        <is>
          <t>V15</t>
        </is>
      </c>
      <c r="C785" t="inlineStr">
        <is>
          <t>Annotation</t>
        </is>
      </c>
      <c r="D785" t="inlineStr">
        <is>
          <t>Bin_02</t>
        </is>
      </c>
      <c r="E785" t="n">
        <v>10</v>
      </c>
      <c r="F785" t="inlineStr">
        <is>
          <t>Positive Valence</t>
        </is>
      </c>
      <c r="G785" t="n">
        <v>50</v>
      </c>
      <c r="H785" t="n">
        <v>15</v>
      </c>
      <c r="I785" t="n">
        <v>4</v>
      </c>
      <c r="J785" t="inlineStr">
        <is>
          <t>NA</t>
        </is>
      </c>
      <c r="K785" t="n">
        <v>93.09999999999999</v>
      </c>
      <c r="L785">
        <f>IF(K785&gt;=80,"Yes","No")</f>
        <v/>
      </c>
      <c r="M785">
        <f>IF(ISNUMBER(H785),IF(H785&gt;0,1,0),"")</f>
        <v/>
      </c>
    </row>
    <row r="786">
      <c r="A786" t="inlineStr">
        <is>
          <t>SIMULATED_FEA_Commercial_Study</t>
        </is>
      </c>
      <c r="B786" t="inlineStr">
        <is>
          <t>V15</t>
        </is>
      </c>
      <c r="C786" t="inlineStr">
        <is>
          <t>Annotation</t>
        </is>
      </c>
      <c r="D786" t="inlineStr">
        <is>
          <t>Bin_02</t>
        </is>
      </c>
      <c r="E786" t="n">
        <v>10</v>
      </c>
      <c r="F786" t="inlineStr">
        <is>
          <t>Negative Valence</t>
        </is>
      </c>
      <c r="G786" t="n">
        <v>-50</v>
      </c>
      <c r="H786" t="n">
        <v>0</v>
      </c>
      <c r="I786" t="n">
        <v>0</v>
      </c>
      <c r="J786" t="inlineStr">
        <is>
          <t>NA</t>
        </is>
      </c>
      <c r="K786" t="n">
        <v>93.09999999999999</v>
      </c>
      <c r="L786">
        <f>IF(K786&gt;=80,"Yes","No")</f>
        <v/>
      </c>
      <c r="M786">
        <f>IF(ISNUMBER(H786),IF(H786&gt;0,1,0),"")</f>
        <v/>
      </c>
    </row>
    <row r="787">
      <c r="A787" t="inlineStr">
        <is>
          <t>SIMULATED_FEA_Commercial_Study</t>
        </is>
      </c>
      <c r="B787" t="inlineStr">
        <is>
          <t>V15</t>
        </is>
      </c>
      <c r="C787" t="inlineStr">
        <is>
          <t>Annotation</t>
        </is>
      </c>
      <c r="D787" t="inlineStr">
        <is>
          <t>Bin_02</t>
        </is>
      </c>
      <c r="E787" t="n">
        <v>10</v>
      </c>
      <c r="F787" t="inlineStr">
        <is>
          <t>Engagement</t>
        </is>
      </c>
      <c r="G787" t="inlineStr">
        <is>
          <t>NA</t>
        </is>
      </c>
      <c r="H787" t="inlineStr">
        <is>
          <t>NA</t>
        </is>
      </c>
      <c r="I787" t="inlineStr">
        <is>
          <t>NA</t>
        </is>
      </c>
      <c r="J787" t="n">
        <v>23.5</v>
      </c>
      <c r="K787" t="n">
        <v>93.09999999999999</v>
      </c>
      <c r="L787">
        <f>IF(K787&gt;=80,"Yes","No")</f>
        <v/>
      </c>
      <c r="M787">
        <f>IF(ISNUMBER(H787),IF(H787&gt;0,1,0),"")</f>
        <v/>
      </c>
    </row>
    <row r="788">
      <c r="A788" t="inlineStr">
        <is>
          <t>SIMULATED_FEA_Commercial_Study</t>
        </is>
      </c>
      <c r="B788" t="inlineStr">
        <is>
          <t>V15</t>
        </is>
      </c>
      <c r="C788" t="inlineStr">
        <is>
          <t>Annotation</t>
        </is>
      </c>
      <c r="D788" t="inlineStr">
        <is>
          <t>Bin_03</t>
        </is>
      </c>
      <c r="E788" t="n">
        <v>10</v>
      </c>
      <c r="F788" t="inlineStr">
        <is>
          <t>Joy</t>
        </is>
      </c>
      <c r="G788" t="n">
        <v>50</v>
      </c>
      <c r="H788" t="n">
        <v>37.33</v>
      </c>
      <c r="I788" t="n">
        <v>4</v>
      </c>
      <c r="J788" t="inlineStr">
        <is>
          <t>NA</t>
        </is>
      </c>
      <c r="K788" t="n">
        <v>93.09999999999999</v>
      </c>
      <c r="L788">
        <f>IF(K788&gt;=80,"Yes","No")</f>
        <v/>
      </c>
      <c r="M788">
        <f>IF(ISNUMBER(H788),IF(H788&gt;0,1,0),"")</f>
        <v/>
      </c>
    </row>
    <row r="789">
      <c r="A789" t="inlineStr">
        <is>
          <t>SIMULATED_FEA_Commercial_Study</t>
        </is>
      </c>
      <c r="B789" t="inlineStr">
        <is>
          <t>V15</t>
        </is>
      </c>
      <c r="C789" t="inlineStr">
        <is>
          <t>Annotation</t>
        </is>
      </c>
      <c r="D789" t="inlineStr">
        <is>
          <t>Bin_03</t>
        </is>
      </c>
      <c r="E789" t="n">
        <v>10</v>
      </c>
      <c r="F789" t="inlineStr">
        <is>
          <t>Surprise</t>
        </is>
      </c>
      <c r="G789" t="n">
        <v>50</v>
      </c>
      <c r="H789" t="n">
        <v>7</v>
      </c>
      <c r="I789" t="n">
        <v>1</v>
      </c>
      <c r="J789" t="inlineStr">
        <is>
          <t>NA</t>
        </is>
      </c>
      <c r="K789" t="n">
        <v>93.09999999999999</v>
      </c>
      <c r="L789">
        <f>IF(K789&gt;=80,"Yes","No")</f>
        <v/>
      </c>
      <c r="M789">
        <f>IF(ISNUMBER(H789),IF(H789&gt;0,1,0),"")</f>
        <v/>
      </c>
    </row>
    <row r="790">
      <c r="A790" t="inlineStr">
        <is>
          <t>SIMULATED_FEA_Commercial_Study</t>
        </is>
      </c>
      <c r="B790" t="inlineStr">
        <is>
          <t>V15</t>
        </is>
      </c>
      <c r="C790" t="inlineStr">
        <is>
          <t>Annotation</t>
        </is>
      </c>
      <c r="D790" t="inlineStr">
        <is>
          <t>Bin_03</t>
        </is>
      </c>
      <c r="E790" t="n">
        <v>10</v>
      </c>
      <c r="F790" t="inlineStr">
        <is>
          <t>Brow Furrow</t>
        </is>
      </c>
      <c r="G790" t="n">
        <v>50</v>
      </c>
      <c r="H790" t="n">
        <v>0</v>
      </c>
      <c r="I790" t="n">
        <v>0</v>
      </c>
      <c r="J790" t="inlineStr">
        <is>
          <t>NA</t>
        </is>
      </c>
      <c r="K790" t="n">
        <v>93.09999999999999</v>
      </c>
      <c r="L790">
        <f>IF(K790&gt;=80,"Yes","No")</f>
        <v/>
      </c>
      <c r="M790">
        <f>IF(ISNUMBER(H790),IF(H790&gt;0,1,0),"")</f>
        <v/>
      </c>
    </row>
    <row r="791">
      <c r="A791" t="inlineStr">
        <is>
          <t>SIMULATED_FEA_Commercial_Study</t>
        </is>
      </c>
      <c r="B791" t="inlineStr">
        <is>
          <t>V15</t>
        </is>
      </c>
      <c r="C791" t="inlineStr">
        <is>
          <t>Annotation</t>
        </is>
      </c>
      <c r="D791" t="inlineStr">
        <is>
          <t>Bin_03</t>
        </is>
      </c>
      <c r="E791" t="n">
        <v>10</v>
      </c>
      <c r="F791" t="inlineStr">
        <is>
          <t>Positive Valence</t>
        </is>
      </c>
      <c r="G791" t="n">
        <v>50</v>
      </c>
      <c r="H791" t="n">
        <v>40</v>
      </c>
      <c r="I791" t="n">
        <v>3</v>
      </c>
      <c r="J791" t="inlineStr">
        <is>
          <t>NA</t>
        </is>
      </c>
      <c r="K791" t="n">
        <v>93.09999999999999</v>
      </c>
      <c r="L791">
        <f>IF(K791&gt;=80,"Yes","No")</f>
        <v/>
      </c>
      <c r="M791">
        <f>IF(ISNUMBER(H791),IF(H791&gt;0,1,0),"")</f>
        <v/>
      </c>
    </row>
    <row r="792">
      <c r="A792" t="inlineStr">
        <is>
          <t>SIMULATED_FEA_Commercial_Study</t>
        </is>
      </c>
      <c r="B792" t="inlineStr">
        <is>
          <t>V15</t>
        </is>
      </c>
      <c r="C792" t="inlineStr">
        <is>
          <t>Annotation</t>
        </is>
      </c>
      <c r="D792" t="inlineStr">
        <is>
          <t>Bin_03</t>
        </is>
      </c>
      <c r="E792" t="n">
        <v>10</v>
      </c>
      <c r="F792" t="inlineStr">
        <is>
          <t>Negative Valence</t>
        </is>
      </c>
      <c r="G792" t="n">
        <v>-50</v>
      </c>
      <c r="H792" t="n">
        <v>0</v>
      </c>
      <c r="I792" t="n">
        <v>0</v>
      </c>
      <c r="J792" t="inlineStr">
        <is>
          <t>NA</t>
        </is>
      </c>
      <c r="K792" t="n">
        <v>93.09999999999999</v>
      </c>
      <c r="L792">
        <f>IF(K792&gt;=80,"Yes","No")</f>
        <v/>
      </c>
      <c r="M792">
        <f>IF(ISNUMBER(H792),IF(H792&gt;0,1,0),"")</f>
        <v/>
      </c>
    </row>
    <row r="793">
      <c r="A793" t="inlineStr">
        <is>
          <t>SIMULATED_FEA_Commercial_Study</t>
        </is>
      </c>
      <c r="B793" t="inlineStr">
        <is>
          <t>V15</t>
        </is>
      </c>
      <c r="C793" t="inlineStr">
        <is>
          <t>Annotation</t>
        </is>
      </c>
      <c r="D793" t="inlineStr">
        <is>
          <t>Bin_03</t>
        </is>
      </c>
      <c r="E793" t="n">
        <v>10</v>
      </c>
      <c r="F793" t="inlineStr">
        <is>
          <t>Engagement</t>
        </is>
      </c>
      <c r="G793" t="inlineStr">
        <is>
          <t>NA</t>
        </is>
      </c>
      <c r="H793" t="inlineStr">
        <is>
          <t>NA</t>
        </is>
      </c>
      <c r="I793" t="inlineStr">
        <is>
          <t>NA</t>
        </is>
      </c>
      <c r="J793" t="n">
        <v>36.38</v>
      </c>
      <c r="K793" t="n">
        <v>93.09999999999999</v>
      </c>
      <c r="L793">
        <f>IF(K793&gt;=80,"Yes","No")</f>
        <v/>
      </c>
      <c r="M793">
        <f>IF(ISNUMBER(H793),IF(H793&gt;0,1,0),"")</f>
        <v/>
      </c>
    </row>
    <row r="794">
      <c r="A794" t="inlineStr">
        <is>
          <t>SIMULATED_FEA_Commercial_Study</t>
        </is>
      </c>
      <c r="B794" t="inlineStr">
        <is>
          <t>V15</t>
        </is>
      </c>
      <c r="C794" t="inlineStr">
        <is>
          <t>Annotation</t>
        </is>
      </c>
      <c r="D794" t="inlineStr">
        <is>
          <t>Bin_04</t>
        </is>
      </c>
      <c r="E794" t="n">
        <v>10</v>
      </c>
      <c r="F794" t="inlineStr">
        <is>
          <t>Joy</t>
        </is>
      </c>
      <c r="G794" t="n">
        <v>50</v>
      </c>
      <c r="H794" t="n">
        <v>3</v>
      </c>
      <c r="I794" t="n">
        <v>1</v>
      </c>
      <c r="J794" t="inlineStr">
        <is>
          <t>NA</t>
        </is>
      </c>
      <c r="K794" t="n">
        <v>93.09999999999999</v>
      </c>
      <c r="L794">
        <f>IF(K794&gt;=80,"Yes","No")</f>
        <v/>
      </c>
      <c r="M794">
        <f>IF(ISNUMBER(H794),IF(H794&gt;0,1,0),"")</f>
        <v/>
      </c>
    </row>
    <row r="795">
      <c r="A795" t="inlineStr">
        <is>
          <t>SIMULATED_FEA_Commercial_Study</t>
        </is>
      </c>
      <c r="B795" t="inlineStr">
        <is>
          <t>V15</t>
        </is>
      </c>
      <c r="C795" t="inlineStr">
        <is>
          <t>Annotation</t>
        </is>
      </c>
      <c r="D795" t="inlineStr">
        <is>
          <t>Bin_04</t>
        </is>
      </c>
      <c r="E795" t="n">
        <v>10</v>
      </c>
      <c r="F795" t="inlineStr">
        <is>
          <t>Surprise</t>
        </is>
      </c>
      <c r="G795" t="n">
        <v>50</v>
      </c>
      <c r="H795" t="n">
        <v>0</v>
      </c>
      <c r="I795" t="n">
        <v>0</v>
      </c>
      <c r="J795" t="inlineStr">
        <is>
          <t>NA</t>
        </is>
      </c>
      <c r="K795" t="n">
        <v>93.09999999999999</v>
      </c>
      <c r="L795">
        <f>IF(K795&gt;=80,"Yes","No")</f>
        <v/>
      </c>
      <c r="M795">
        <f>IF(ISNUMBER(H795),IF(H795&gt;0,1,0),"")</f>
        <v/>
      </c>
    </row>
    <row r="796">
      <c r="A796" t="inlineStr">
        <is>
          <t>SIMULATED_FEA_Commercial_Study</t>
        </is>
      </c>
      <c r="B796" t="inlineStr">
        <is>
          <t>V15</t>
        </is>
      </c>
      <c r="C796" t="inlineStr">
        <is>
          <t>Annotation</t>
        </is>
      </c>
      <c r="D796" t="inlineStr">
        <is>
          <t>Bin_04</t>
        </is>
      </c>
      <c r="E796" t="n">
        <v>10</v>
      </c>
      <c r="F796" t="inlineStr">
        <is>
          <t>Brow Furrow</t>
        </is>
      </c>
      <c r="G796" t="n">
        <v>50</v>
      </c>
      <c r="H796" t="n">
        <v>0</v>
      </c>
      <c r="I796" t="n">
        <v>0</v>
      </c>
      <c r="J796" t="inlineStr">
        <is>
          <t>NA</t>
        </is>
      </c>
      <c r="K796" t="n">
        <v>93.09999999999999</v>
      </c>
      <c r="L796">
        <f>IF(K796&gt;=80,"Yes","No")</f>
        <v/>
      </c>
      <c r="M796">
        <f>IF(ISNUMBER(H796),IF(H796&gt;0,1,0),"")</f>
        <v/>
      </c>
    </row>
    <row r="797">
      <c r="A797" t="inlineStr">
        <is>
          <t>SIMULATED_FEA_Commercial_Study</t>
        </is>
      </c>
      <c r="B797" t="inlineStr">
        <is>
          <t>V15</t>
        </is>
      </c>
      <c r="C797" t="inlineStr">
        <is>
          <t>Annotation</t>
        </is>
      </c>
      <c r="D797" t="inlineStr">
        <is>
          <t>Bin_04</t>
        </is>
      </c>
      <c r="E797" t="n">
        <v>10</v>
      </c>
      <c r="F797" t="inlineStr">
        <is>
          <t>Positive Valence</t>
        </is>
      </c>
      <c r="G797" t="n">
        <v>50</v>
      </c>
      <c r="H797" t="n">
        <v>19.67</v>
      </c>
      <c r="I797" t="n">
        <v>2</v>
      </c>
      <c r="J797" t="inlineStr">
        <is>
          <t>NA</t>
        </is>
      </c>
      <c r="K797" t="n">
        <v>93.09999999999999</v>
      </c>
      <c r="L797">
        <f>IF(K797&gt;=80,"Yes","No")</f>
        <v/>
      </c>
      <c r="M797">
        <f>IF(ISNUMBER(H797),IF(H797&gt;0,1,0),"")</f>
        <v/>
      </c>
    </row>
    <row r="798">
      <c r="A798" t="inlineStr">
        <is>
          <t>SIMULATED_FEA_Commercial_Study</t>
        </is>
      </c>
      <c r="B798" t="inlineStr">
        <is>
          <t>V15</t>
        </is>
      </c>
      <c r="C798" t="inlineStr">
        <is>
          <t>Annotation</t>
        </is>
      </c>
      <c r="D798" t="inlineStr">
        <is>
          <t>Bin_04</t>
        </is>
      </c>
      <c r="E798" t="n">
        <v>10</v>
      </c>
      <c r="F798" t="inlineStr">
        <is>
          <t>Negative Valence</t>
        </is>
      </c>
      <c r="G798" t="n">
        <v>-50</v>
      </c>
      <c r="H798" t="n">
        <v>0</v>
      </c>
      <c r="I798" t="n">
        <v>0</v>
      </c>
      <c r="J798" t="inlineStr">
        <is>
          <t>NA</t>
        </is>
      </c>
      <c r="K798" t="n">
        <v>93.09999999999999</v>
      </c>
      <c r="L798">
        <f>IF(K798&gt;=80,"Yes","No")</f>
        <v/>
      </c>
      <c r="M798">
        <f>IF(ISNUMBER(H798),IF(H798&gt;0,1,0),"")</f>
        <v/>
      </c>
    </row>
    <row r="799">
      <c r="A799" t="inlineStr">
        <is>
          <t>SIMULATED_FEA_Commercial_Study</t>
        </is>
      </c>
      <c r="B799" t="inlineStr">
        <is>
          <t>V15</t>
        </is>
      </c>
      <c r="C799" t="inlineStr">
        <is>
          <t>Annotation</t>
        </is>
      </c>
      <c r="D799" t="inlineStr">
        <is>
          <t>Bin_04</t>
        </is>
      </c>
      <c r="E799" t="n">
        <v>10</v>
      </c>
      <c r="F799" t="inlineStr">
        <is>
          <t>Engagement</t>
        </is>
      </c>
      <c r="G799" t="inlineStr">
        <is>
          <t>NA</t>
        </is>
      </c>
      <c r="H799" t="inlineStr">
        <is>
          <t>NA</t>
        </is>
      </c>
      <c r="I799" t="inlineStr">
        <is>
          <t>NA</t>
        </is>
      </c>
      <c r="J799" t="n">
        <v>12.54</v>
      </c>
      <c r="K799" t="n">
        <v>93.09999999999999</v>
      </c>
      <c r="L799">
        <f>IF(K799&gt;=80,"Yes","No")</f>
        <v/>
      </c>
      <c r="M799">
        <f>IF(ISNUMBER(H799),IF(H799&gt;0,1,0),"")</f>
        <v/>
      </c>
    </row>
    <row r="800">
      <c r="A800" t="inlineStr">
        <is>
          <t>SIMULATED_FEA_Commercial_Study</t>
        </is>
      </c>
      <c r="B800" t="inlineStr">
        <is>
          <t>V15</t>
        </is>
      </c>
      <c r="C800" t="inlineStr">
        <is>
          <t>Annotation</t>
        </is>
      </c>
      <c r="D800" t="inlineStr">
        <is>
          <t>Bin_05</t>
        </is>
      </c>
      <c r="E800" t="n">
        <v>10</v>
      </c>
      <c r="F800" t="inlineStr">
        <is>
          <t>Joy</t>
        </is>
      </c>
      <c r="G800" t="n">
        <v>50</v>
      </c>
      <c r="H800" t="n">
        <v>73</v>
      </c>
      <c r="I800" t="n">
        <v>2</v>
      </c>
      <c r="J800" t="inlineStr">
        <is>
          <t>NA</t>
        </is>
      </c>
      <c r="K800" t="n">
        <v>93.09999999999999</v>
      </c>
      <c r="L800">
        <f>IF(K800&gt;=80,"Yes","No")</f>
        <v/>
      </c>
      <c r="M800">
        <f>IF(ISNUMBER(H800),IF(H800&gt;0,1,0),"")</f>
        <v/>
      </c>
    </row>
    <row r="801">
      <c r="A801" t="inlineStr">
        <is>
          <t>SIMULATED_FEA_Commercial_Study</t>
        </is>
      </c>
      <c r="B801" t="inlineStr">
        <is>
          <t>V15</t>
        </is>
      </c>
      <c r="C801" t="inlineStr">
        <is>
          <t>Annotation</t>
        </is>
      </c>
      <c r="D801" t="inlineStr">
        <is>
          <t>Bin_05</t>
        </is>
      </c>
      <c r="E801" t="n">
        <v>10</v>
      </c>
      <c r="F801" t="inlineStr">
        <is>
          <t>Surprise</t>
        </is>
      </c>
      <c r="G801" t="n">
        <v>50</v>
      </c>
      <c r="H801" t="n">
        <v>6</v>
      </c>
      <c r="I801" t="n">
        <v>1</v>
      </c>
      <c r="J801" t="inlineStr">
        <is>
          <t>NA</t>
        </is>
      </c>
      <c r="K801" t="n">
        <v>93.09999999999999</v>
      </c>
      <c r="L801">
        <f>IF(K801&gt;=80,"Yes","No")</f>
        <v/>
      </c>
      <c r="M801">
        <f>IF(ISNUMBER(H801),IF(H801&gt;0,1,0),"")</f>
        <v/>
      </c>
    </row>
    <row r="802">
      <c r="A802" t="inlineStr">
        <is>
          <t>SIMULATED_FEA_Commercial_Study</t>
        </is>
      </c>
      <c r="B802" t="inlineStr">
        <is>
          <t>V15</t>
        </is>
      </c>
      <c r="C802" t="inlineStr">
        <is>
          <t>Annotation</t>
        </is>
      </c>
      <c r="D802" t="inlineStr">
        <is>
          <t>Bin_05</t>
        </is>
      </c>
      <c r="E802" t="n">
        <v>10</v>
      </c>
      <c r="F802" t="inlineStr">
        <is>
          <t>Brow Furrow</t>
        </is>
      </c>
      <c r="G802" t="n">
        <v>50</v>
      </c>
      <c r="H802" t="n">
        <v>0</v>
      </c>
      <c r="I802" t="n">
        <v>0</v>
      </c>
      <c r="J802" t="inlineStr">
        <is>
          <t>NA</t>
        </is>
      </c>
      <c r="K802" t="n">
        <v>93.09999999999999</v>
      </c>
      <c r="L802">
        <f>IF(K802&gt;=80,"Yes","No")</f>
        <v/>
      </c>
      <c r="M802">
        <f>IF(ISNUMBER(H802),IF(H802&gt;0,1,0),"")</f>
        <v/>
      </c>
    </row>
    <row r="803">
      <c r="A803" t="inlineStr">
        <is>
          <t>SIMULATED_FEA_Commercial_Study</t>
        </is>
      </c>
      <c r="B803" t="inlineStr">
        <is>
          <t>V15</t>
        </is>
      </c>
      <c r="C803" t="inlineStr">
        <is>
          <t>Annotation</t>
        </is>
      </c>
      <c r="D803" t="inlineStr">
        <is>
          <t>Bin_05</t>
        </is>
      </c>
      <c r="E803" t="n">
        <v>10</v>
      </c>
      <c r="F803" t="inlineStr">
        <is>
          <t>Positive Valence</t>
        </is>
      </c>
      <c r="G803" t="n">
        <v>50</v>
      </c>
      <c r="H803" t="n">
        <v>93</v>
      </c>
      <c r="I803" t="n">
        <v>2</v>
      </c>
      <c r="J803" t="inlineStr">
        <is>
          <t>NA</t>
        </is>
      </c>
      <c r="K803" t="n">
        <v>93.09999999999999</v>
      </c>
      <c r="L803">
        <f>IF(K803&gt;=80,"Yes","No")</f>
        <v/>
      </c>
      <c r="M803">
        <f>IF(ISNUMBER(H803),IF(H803&gt;0,1,0),"")</f>
        <v/>
      </c>
    </row>
    <row r="804">
      <c r="A804" t="inlineStr">
        <is>
          <t>SIMULATED_FEA_Commercial_Study</t>
        </is>
      </c>
      <c r="B804" t="inlineStr">
        <is>
          <t>V15</t>
        </is>
      </c>
      <c r="C804" t="inlineStr">
        <is>
          <t>Annotation</t>
        </is>
      </c>
      <c r="D804" t="inlineStr">
        <is>
          <t>Bin_05</t>
        </is>
      </c>
      <c r="E804" t="n">
        <v>10</v>
      </c>
      <c r="F804" t="inlineStr">
        <is>
          <t>Negative Valence</t>
        </is>
      </c>
      <c r="G804" t="n">
        <v>-50</v>
      </c>
      <c r="H804" t="n">
        <v>0</v>
      </c>
      <c r="I804" t="n">
        <v>0</v>
      </c>
      <c r="J804" t="inlineStr">
        <is>
          <t>NA</t>
        </is>
      </c>
      <c r="K804" t="n">
        <v>93.09999999999999</v>
      </c>
      <c r="L804">
        <f>IF(K804&gt;=80,"Yes","No")</f>
        <v/>
      </c>
      <c r="M804">
        <f>IF(ISNUMBER(H804),IF(H804&gt;0,1,0),"")</f>
        <v/>
      </c>
    </row>
    <row r="805">
      <c r="A805" t="inlineStr">
        <is>
          <t>SIMULATED_FEA_Commercial_Study</t>
        </is>
      </c>
      <c r="B805" t="inlineStr">
        <is>
          <t>V15</t>
        </is>
      </c>
      <c r="C805" t="inlineStr">
        <is>
          <t>Annotation</t>
        </is>
      </c>
      <c r="D805" t="inlineStr">
        <is>
          <t>Bin_05</t>
        </is>
      </c>
      <c r="E805" t="n">
        <v>10</v>
      </c>
      <c r="F805" t="inlineStr">
        <is>
          <t>Engagement</t>
        </is>
      </c>
      <c r="G805" t="inlineStr">
        <is>
          <t>NA</t>
        </is>
      </c>
      <c r="H805" t="inlineStr">
        <is>
          <t>NA</t>
        </is>
      </c>
      <c r="I805" t="inlineStr">
        <is>
          <t>NA</t>
        </is>
      </c>
      <c r="J805" t="n">
        <v>59.47</v>
      </c>
      <c r="K805" t="n">
        <v>93.09999999999999</v>
      </c>
      <c r="L805">
        <f>IF(K805&gt;=80,"Yes","No")</f>
        <v/>
      </c>
      <c r="M805">
        <f>IF(ISNUMBER(H805),IF(H805&gt;0,1,0),"")</f>
        <v/>
      </c>
    </row>
    <row r="806">
      <c r="A806" t="inlineStr">
        <is>
          <t>SIMULATED_FEA_Commercial_Study</t>
        </is>
      </c>
      <c r="B806" t="inlineStr">
        <is>
          <t>V15</t>
        </is>
      </c>
      <c r="C806" t="inlineStr">
        <is>
          <t>Annotation</t>
        </is>
      </c>
      <c r="D806" t="inlineStr">
        <is>
          <t>Bin_06</t>
        </is>
      </c>
      <c r="E806" t="n">
        <v>10</v>
      </c>
      <c r="F806" t="inlineStr">
        <is>
          <t>Joy</t>
        </is>
      </c>
      <c r="G806" t="n">
        <v>50</v>
      </c>
      <c r="H806" t="n">
        <v>84.67</v>
      </c>
      <c r="I806" t="n">
        <v>13</v>
      </c>
      <c r="J806" t="inlineStr">
        <is>
          <t>NA</t>
        </is>
      </c>
      <c r="K806" t="n">
        <v>93.09999999999999</v>
      </c>
      <c r="L806">
        <f>IF(K806&gt;=80,"Yes","No")</f>
        <v/>
      </c>
      <c r="M806">
        <f>IF(ISNUMBER(H806),IF(H806&gt;0,1,0),"")</f>
        <v/>
      </c>
    </row>
    <row r="807">
      <c r="A807" t="inlineStr">
        <is>
          <t>SIMULATED_FEA_Commercial_Study</t>
        </is>
      </c>
      <c r="B807" t="inlineStr">
        <is>
          <t>V15</t>
        </is>
      </c>
      <c r="C807" t="inlineStr">
        <is>
          <t>Annotation</t>
        </is>
      </c>
      <c r="D807" t="inlineStr">
        <is>
          <t>Bin_06</t>
        </is>
      </c>
      <c r="E807" t="n">
        <v>10</v>
      </c>
      <c r="F807" t="inlineStr">
        <is>
          <t>Surprise</t>
        </is>
      </c>
      <c r="G807" t="n">
        <v>50</v>
      </c>
      <c r="H807" t="n">
        <v>10.67</v>
      </c>
      <c r="I807" t="n">
        <v>1</v>
      </c>
      <c r="J807" t="inlineStr">
        <is>
          <t>NA</t>
        </is>
      </c>
      <c r="K807" t="n">
        <v>93.09999999999999</v>
      </c>
      <c r="L807">
        <f>IF(K807&gt;=80,"Yes","No")</f>
        <v/>
      </c>
      <c r="M807">
        <f>IF(ISNUMBER(H807),IF(H807&gt;0,1,0),"")</f>
        <v/>
      </c>
    </row>
    <row r="808">
      <c r="A808" t="inlineStr">
        <is>
          <t>SIMULATED_FEA_Commercial_Study</t>
        </is>
      </c>
      <c r="B808" t="inlineStr">
        <is>
          <t>V15</t>
        </is>
      </c>
      <c r="C808" t="inlineStr">
        <is>
          <t>Annotation</t>
        </is>
      </c>
      <c r="D808" t="inlineStr">
        <is>
          <t>Bin_06</t>
        </is>
      </c>
      <c r="E808" t="n">
        <v>10</v>
      </c>
      <c r="F808" t="inlineStr">
        <is>
          <t>Brow Furrow</t>
        </is>
      </c>
      <c r="G808" t="n">
        <v>50</v>
      </c>
      <c r="H808" t="n">
        <v>0</v>
      </c>
      <c r="I808" t="n">
        <v>0</v>
      </c>
      <c r="J808" t="inlineStr">
        <is>
          <t>NA</t>
        </is>
      </c>
      <c r="K808" t="n">
        <v>93.09999999999999</v>
      </c>
      <c r="L808">
        <f>IF(K808&gt;=80,"Yes","No")</f>
        <v/>
      </c>
      <c r="M808">
        <f>IF(ISNUMBER(H808),IF(H808&gt;0,1,0),"")</f>
        <v/>
      </c>
    </row>
    <row r="809">
      <c r="A809" t="inlineStr">
        <is>
          <t>SIMULATED_FEA_Commercial_Study</t>
        </is>
      </c>
      <c r="B809" t="inlineStr">
        <is>
          <t>V15</t>
        </is>
      </c>
      <c r="C809" t="inlineStr">
        <is>
          <t>Annotation</t>
        </is>
      </c>
      <c r="D809" t="inlineStr">
        <is>
          <t>Bin_06</t>
        </is>
      </c>
      <c r="E809" t="n">
        <v>10</v>
      </c>
      <c r="F809" t="inlineStr">
        <is>
          <t>Positive Valence</t>
        </is>
      </c>
      <c r="G809" t="n">
        <v>50</v>
      </c>
      <c r="H809" t="n">
        <v>83.33</v>
      </c>
      <c r="I809" t="n">
        <v>5</v>
      </c>
      <c r="J809" t="inlineStr">
        <is>
          <t>NA</t>
        </is>
      </c>
      <c r="K809" t="n">
        <v>93.09999999999999</v>
      </c>
      <c r="L809">
        <f>IF(K809&gt;=80,"Yes","No")</f>
        <v/>
      </c>
      <c r="M809">
        <f>IF(ISNUMBER(H809),IF(H809&gt;0,1,0),"")</f>
        <v/>
      </c>
    </row>
    <row r="810">
      <c r="A810" t="inlineStr">
        <is>
          <t>SIMULATED_FEA_Commercial_Study</t>
        </is>
      </c>
      <c r="B810" t="inlineStr">
        <is>
          <t>V15</t>
        </is>
      </c>
      <c r="C810" t="inlineStr">
        <is>
          <t>Annotation</t>
        </is>
      </c>
      <c r="D810" t="inlineStr">
        <is>
          <t>Bin_06</t>
        </is>
      </c>
      <c r="E810" t="n">
        <v>10</v>
      </c>
      <c r="F810" t="inlineStr">
        <is>
          <t>Negative Valence</t>
        </is>
      </c>
      <c r="G810" t="n">
        <v>-50</v>
      </c>
      <c r="H810" t="n">
        <v>0</v>
      </c>
      <c r="I810" t="n">
        <v>0</v>
      </c>
      <c r="J810" t="inlineStr">
        <is>
          <t>NA</t>
        </is>
      </c>
      <c r="K810" t="n">
        <v>93.09999999999999</v>
      </c>
      <c r="L810">
        <f>IF(K810&gt;=80,"Yes","No")</f>
        <v/>
      </c>
      <c r="M810">
        <f>IF(ISNUMBER(H810),IF(H810&gt;0,1,0),"")</f>
        <v/>
      </c>
    </row>
    <row r="811">
      <c r="A811" t="inlineStr">
        <is>
          <t>SIMULATED_FEA_Commercial_Study</t>
        </is>
      </c>
      <c r="B811" t="inlineStr">
        <is>
          <t>V15</t>
        </is>
      </c>
      <c r="C811" t="inlineStr">
        <is>
          <t>Annotation</t>
        </is>
      </c>
      <c r="D811" t="inlineStr">
        <is>
          <t>Bin_06</t>
        </is>
      </c>
      <c r="E811" t="n">
        <v>10</v>
      </c>
      <c r="F811" t="inlineStr">
        <is>
          <t>Engagement</t>
        </is>
      </c>
      <c r="G811" t="inlineStr">
        <is>
          <t>NA</t>
        </is>
      </c>
      <c r="H811" t="inlineStr">
        <is>
          <t>NA</t>
        </is>
      </c>
      <c r="I811" t="inlineStr">
        <is>
          <t>NA</t>
        </is>
      </c>
      <c r="J811" t="n">
        <v>54.48</v>
      </c>
      <c r="K811" t="n">
        <v>93.09999999999999</v>
      </c>
      <c r="L811">
        <f>IF(K811&gt;=80,"Yes","No")</f>
        <v/>
      </c>
      <c r="M811">
        <f>IF(ISNUMBER(H811),IF(H811&gt;0,1,0),"")</f>
        <v/>
      </c>
    </row>
    <row r="812">
      <c r="A812" t="inlineStr">
        <is>
          <t>SIMULATED_FEA_Commercial_Study</t>
        </is>
      </c>
      <c r="B812" t="inlineStr">
        <is>
          <t>V16</t>
        </is>
      </c>
      <c r="C812" t="inlineStr">
        <is>
          <t>Stimulus</t>
        </is>
      </c>
      <c r="D812" t="inlineStr">
        <is>
          <t>Baseline</t>
        </is>
      </c>
      <c r="E812" t="n">
        <v>60</v>
      </c>
      <c r="F812" t="inlineStr">
        <is>
          <t>Joy</t>
        </is>
      </c>
      <c r="G812" t="n">
        <v>50</v>
      </c>
      <c r="H812" t="n">
        <v>0</v>
      </c>
      <c r="I812" t="n">
        <v>0</v>
      </c>
      <c r="J812" t="inlineStr">
        <is>
          <t>NA</t>
        </is>
      </c>
      <c r="K812" t="n">
        <v>96.5</v>
      </c>
      <c r="L812">
        <f>IF(K812&gt;=80,"Yes","No")</f>
        <v/>
      </c>
      <c r="M812">
        <f>IF(ISNUMBER(H812),IF(H812&gt;0,1,0),"")</f>
        <v/>
      </c>
    </row>
    <row r="813">
      <c r="A813" t="inlineStr">
        <is>
          <t>SIMULATED_FEA_Commercial_Study</t>
        </is>
      </c>
      <c r="B813" t="inlineStr">
        <is>
          <t>V16</t>
        </is>
      </c>
      <c r="C813" t="inlineStr">
        <is>
          <t>Stimulus</t>
        </is>
      </c>
      <c r="D813" t="inlineStr">
        <is>
          <t>Baseline</t>
        </is>
      </c>
      <c r="E813" t="n">
        <v>60</v>
      </c>
      <c r="F813" t="inlineStr">
        <is>
          <t>Surprise</t>
        </is>
      </c>
      <c r="G813" t="n">
        <v>50</v>
      </c>
      <c r="H813" t="n">
        <v>3.5</v>
      </c>
      <c r="I813" t="n">
        <v>2</v>
      </c>
      <c r="J813" t="inlineStr">
        <is>
          <t>NA</t>
        </is>
      </c>
      <c r="K813" t="n">
        <v>96.5</v>
      </c>
      <c r="L813">
        <f>IF(K813&gt;=80,"Yes","No")</f>
        <v/>
      </c>
      <c r="M813">
        <f>IF(ISNUMBER(H813),IF(H813&gt;0,1,0),"")</f>
        <v/>
      </c>
    </row>
    <row r="814">
      <c r="A814" t="inlineStr">
        <is>
          <t>SIMULATED_FEA_Commercial_Study</t>
        </is>
      </c>
      <c r="B814" t="inlineStr">
        <is>
          <t>V16</t>
        </is>
      </c>
      <c r="C814" t="inlineStr">
        <is>
          <t>Stimulus</t>
        </is>
      </c>
      <c r="D814" t="inlineStr">
        <is>
          <t>Baseline</t>
        </is>
      </c>
      <c r="E814" t="n">
        <v>60</v>
      </c>
      <c r="F814" t="inlineStr">
        <is>
          <t>Brow Furrow</t>
        </is>
      </c>
      <c r="G814" t="n">
        <v>50</v>
      </c>
      <c r="H814" t="n">
        <v>2.72</v>
      </c>
      <c r="I814" t="n">
        <v>4</v>
      </c>
      <c r="J814" t="inlineStr">
        <is>
          <t>NA</t>
        </is>
      </c>
      <c r="K814" t="n">
        <v>96.5</v>
      </c>
      <c r="L814">
        <f>IF(K814&gt;=80,"Yes","No")</f>
        <v/>
      </c>
      <c r="M814">
        <f>IF(ISNUMBER(H814),IF(H814&gt;0,1,0),"")</f>
        <v/>
      </c>
    </row>
    <row r="815">
      <c r="A815" t="inlineStr">
        <is>
          <t>SIMULATED_FEA_Commercial_Study</t>
        </is>
      </c>
      <c r="B815" t="inlineStr">
        <is>
          <t>V16</t>
        </is>
      </c>
      <c r="C815" t="inlineStr">
        <is>
          <t>Stimulus</t>
        </is>
      </c>
      <c r="D815" t="inlineStr">
        <is>
          <t>Baseline</t>
        </is>
      </c>
      <c r="E815" t="n">
        <v>60</v>
      </c>
      <c r="F815" t="inlineStr">
        <is>
          <t>Positive Valence</t>
        </is>
      </c>
      <c r="G815" t="n">
        <v>50</v>
      </c>
      <c r="H815" t="n">
        <v>0</v>
      </c>
      <c r="I815" t="n">
        <v>0</v>
      </c>
      <c r="J815" t="inlineStr">
        <is>
          <t>NA</t>
        </is>
      </c>
      <c r="K815" t="n">
        <v>96.5</v>
      </c>
      <c r="L815">
        <f>IF(K815&gt;=80,"Yes","No")</f>
        <v/>
      </c>
      <c r="M815">
        <f>IF(ISNUMBER(H815),IF(H815&gt;0,1,0),"")</f>
        <v/>
      </c>
    </row>
    <row r="816">
      <c r="A816" t="inlineStr">
        <is>
          <t>SIMULATED_FEA_Commercial_Study</t>
        </is>
      </c>
      <c r="B816" t="inlineStr">
        <is>
          <t>V16</t>
        </is>
      </c>
      <c r="C816" t="inlineStr">
        <is>
          <t>Stimulus</t>
        </is>
      </c>
      <c r="D816" t="inlineStr">
        <is>
          <t>Baseline</t>
        </is>
      </c>
      <c r="E816" t="n">
        <v>60</v>
      </c>
      <c r="F816" t="inlineStr">
        <is>
          <t>Negative Valence</t>
        </is>
      </c>
      <c r="G816" t="n">
        <v>-50</v>
      </c>
      <c r="H816" t="n">
        <v>0</v>
      </c>
      <c r="I816" t="n">
        <v>0</v>
      </c>
      <c r="J816" t="inlineStr">
        <is>
          <t>NA</t>
        </is>
      </c>
      <c r="K816" t="n">
        <v>96.5</v>
      </c>
      <c r="L816">
        <f>IF(K816&gt;=80,"Yes","No")</f>
        <v/>
      </c>
      <c r="M816">
        <f>IF(ISNUMBER(H816),IF(H816&gt;0,1,0),"")</f>
        <v/>
      </c>
    </row>
    <row r="817">
      <c r="A817" t="inlineStr">
        <is>
          <t>SIMULATED_FEA_Commercial_Study</t>
        </is>
      </c>
      <c r="B817" t="inlineStr">
        <is>
          <t>V16</t>
        </is>
      </c>
      <c r="C817" t="inlineStr">
        <is>
          <t>Stimulus</t>
        </is>
      </c>
      <c r="D817" t="inlineStr">
        <is>
          <t>Baseline</t>
        </is>
      </c>
      <c r="E817" t="n">
        <v>60</v>
      </c>
      <c r="F817" t="inlineStr">
        <is>
          <t>Engagement</t>
        </is>
      </c>
      <c r="G817" t="inlineStr">
        <is>
          <t>NA</t>
        </is>
      </c>
      <c r="H817" t="inlineStr">
        <is>
          <t>NA</t>
        </is>
      </c>
      <c r="I817" t="inlineStr">
        <is>
          <t>NA</t>
        </is>
      </c>
      <c r="J817" t="n">
        <v>6.28</v>
      </c>
      <c r="K817" t="n">
        <v>96.5</v>
      </c>
      <c r="L817">
        <f>IF(K817&gt;=80,"Yes","No")</f>
        <v/>
      </c>
      <c r="M817">
        <f>IF(ISNUMBER(H817),IF(H817&gt;0,1,0),"")</f>
        <v/>
      </c>
    </row>
    <row r="818">
      <c r="A818" t="inlineStr">
        <is>
          <t>SIMULATED_FEA_Commercial_Study</t>
        </is>
      </c>
      <c r="B818" t="inlineStr">
        <is>
          <t>V16</t>
        </is>
      </c>
      <c r="C818" t="inlineStr">
        <is>
          <t>Stimulus</t>
        </is>
      </c>
      <c r="D818" t="inlineStr">
        <is>
          <t>Commercial</t>
        </is>
      </c>
      <c r="E818" t="n">
        <v>60</v>
      </c>
      <c r="F818" t="inlineStr">
        <is>
          <t>Joy</t>
        </is>
      </c>
      <c r="G818" t="n">
        <v>50</v>
      </c>
      <c r="H818" t="n">
        <v>9.06</v>
      </c>
      <c r="I818" t="n">
        <v>5</v>
      </c>
      <c r="J818" t="inlineStr">
        <is>
          <t>NA</t>
        </is>
      </c>
      <c r="K818" t="n">
        <v>96.5</v>
      </c>
      <c r="L818">
        <f>IF(K818&gt;=80,"Yes","No")</f>
        <v/>
      </c>
      <c r="M818">
        <f>IF(ISNUMBER(H818),IF(H818&gt;0,1,0),"")</f>
        <v/>
      </c>
    </row>
    <row r="819">
      <c r="A819" t="inlineStr">
        <is>
          <t>SIMULATED_FEA_Commercial_Study</t>
        </is>
      </c>
      <c r="B819" t="inlineStr">
        <is>
          <t>V16</t>
        </is>
      </c>
      <c r="C819" t="inlineStr">
        <is>
          <t>Stimulus</t>
        </is>
      </c>
      <c r="D819" t="inlineStr">
        <is>
          <t>Commercial</t>
        </is>
      </c>
      <c r="E819" t="n">
        <v>60</v>
      </c>
      <c r="F819" t="inlineStr">
        <is>
          <t>Surprise</t>
        </is>
      </c>
      <c r="G819" t="n">
        <v>50</v>
      </c>
      <c r="H819" t="n">
        <v>3.11</v>
      </c>
      <c r="I819" t="n">
        <v>2</v>
      </c>
      <c r="J819" t="inlineStr">
        <is>
          <t>NA</t>
        </is>
      </c>
      <c r="K819" t="n">
        <v>96.5</v>
      </c>
      <c r="L819">
        <f>IF(K819&gt;=80,"Yes","No")</f>
        <v/>
      </c>
      <c r="M819">
        <f>IF(ISNUMBER(H819),IF(H819&gt;0,1,0),"")</f>
        <v/>
      </c>
    </row>
    <row r="820">
      <c r="A820" t="inlineStr">
        <is>
          <t>SIMULATED_FEA_Commercial_Study</t>
        </is>
      </c>
      <c r="B820" t="inlineStr">
        <is>
          <t>V16</t>
        </is>
      </c>
      <c r="C820" t="inlineStr">
        <is>
          <t>Stimulus</t>
        </is>
      </c>
      <c r="D820" t="inlineStr">
        <is>
          <t>Commercial</t>
        </is>
      </c>
      <c r="E820" t="n">
        <v>60</v>
      </c>
      <c r="F820" t="inlineStr">
        <is>
          <t>Brow Furrow</t>
        </is>
      </c>
      <c r="G820" t="n">
        <v>50</v>
      </c>
      <c r="H820" t="n">
        <v>3.06</v>
      </c>
      <c r="I820" t="n">
        <v>1</v>
      </c>
      <c r="J820" t="inlineStr">
        <is>
          <t>NA</t>
        </is>
      </c>
      <c r="K820" t="n">
        <v>96.5</v>
      </c>
      <c r="L820">
        <f>IF(K820&gt;=80,"Yes","No")</f>
        <v/>
      </c>
      <c r="M820">
        <f>IF(ISNUMBER(H820),IF(H820&gt;0,1,0),"")</f>
        <v/>
      </c>
    </row>
    <row r="821">
      <c r="A821" t="inlineStr">
        <is>
          <t>SIMULATED_FEA_Commercial_Study</t>
        </is>
      </c>
      <c r="B821" t="inlineStr">
        <is>
          <t>V16</t>
        </is>
      </c>
      <c r="C821" t="inlineStr">
        <is>
          <t>Stimulus</t>
        </is>
      </c>
      <c r="D821" t="inlineStr">
        <is>
          <t>Commercial</t>
        </is>
      </c>
      <c r="E821" t="n">
        <v>60</v>
      </c>
      <c r="F821" t="inlineStr">
        <is>
          <t>Positive Valence</t>
        </is>
      </c>
      <c r="G821" t="n">
        <v>50</v>
      </c>
      <c r="H821" t="n">
        <v>8</v>
      </c>
      <c r="I821" t="n">
        <v>4</v>
      </c>
      <c r="J821" t="inlineStr">
        <is>
          <t>NA</t>
        </is>
      </c>
      <c r="K821" t="n">
        <v>96.5</v>
      </c>
      <c r="L821">
        <f>IF(K821&gt;=80,"Yes","No")</f>
        <v/>
      </c>
      <c r="M821">
        <f>IF(ISNUMBER(H821),IF(H821&gt;0,1,0),"")</f>
        <v/>
      </c>
    </row>
    <row r="822">
      <c r="A822" t="inlineStr">
        <is>
          <t>SIMULATED_FEA_Commercial_Study</t>
        </is>
      </c>
      <c r="B822" t="inlineStr">
        <is>
          <t>V16</t>
        </is>
      </c>
      <c r="C822" t="inlineStr">
        <is>
          <t>Stimulus</t>
        </is>
      </c>
      <c r="D822" t="inlineStr">
        <is>
          <t>Commercial</t>
        </is>
      </c>
      <c r="E822" t="n">
        <v>60</v>
      </c>
      <c r="F822" t="inlineStr">
        <is>
          <t>Negative Valence</t>
        </is>
      </c>
      <c r="G822" t="n">
        <v>-50</v>
      </c>
      <c r="H822" t="n">
        <v>0.9399999999999999</v>
      </c>
      <c r="I822" t="n">
        <v>1</v>
      </c>
      <c r="J822" t="inlineStr">
        <is>
          <t>NA</t>
        </is>
      </c>
      <c r="K822" t="n">
        <v>96.5</v>
      </c>
      <c r="L822">
        <f>IF(K822&gt;=80,"Yes","No")</f>
        <v/>
      </c>
      <c r="M822">
        <f>IF(ISNUMBER(H822),IF(H822&gt;0,1,0),"")</f>
        <v/>
      </c>
    </row>
    <row r="823">
      <c r="A823" t="inlineStr">
        <is>
          <t>SIMULATED_FEA_Commercial_Study</t>
        </is>
      </c>
      <c r="B823" t="inlineStr">
        <is>
          <t>V16</t>
        </is>
      </c>
      <c r="C823" t="inlineStr">
        <is>
          <t>Stimulus</t>
        </is>
      </c>
      <c r="D823" t="inlineStr">
        <is>
          <t>Commercial</t>
        </is>
      </c>
      <c r="E823" t="n">
        <v>60</v>
      </c>
      <c r="F823" t="inlineStr">
        <is>
          <t>Engagement</t>
        </is>
      </c>
      <c r="G823" t="inlineStr">
        <is>
          <t>NA</t>
        </is>
      </c>
      <c r="H823" t="inlineStr">
        <is>
          <t>NA</t>
        </is>
      </c>
      <c r="I823" t="inlineStr">
        <is>
          <t>NA</t>
        </is>
      </c>
      <c r="J823" t="n">
        <v>11.95</v>
      </c>
      <c r="K823" t="n">
        <v>96.5</v>
      </c>
      <c r="L823">
        <f>IF(K823&gt;=80,"Yes","No")</f>
        <v/>
      </c>
      <c r="M823">
        <f>IF(ISNUMBER(H823),IF(H823&gt;0,1,0),"")</f>
        <v/>
      </c>
    </row>
    <row r="824">
      <c r="A824" t="inlineStr">
        <is>
          <t>SIMULATED_FEA_Commercial_Study</t>
        </is>
      </c>
      <c r="B824" t="inlineStr">
        <is>
          <t>V16</t>
        </is>
      </c>
      <c r="C824" t="inlineStr">
        <is>
          <t>Stimulus</t>
        </is>
      </c>
      <c r="D824" t="inlineStr">
        <is>
          <t>Recovery</t>
        </is>
      </c>
      <c r="E824" t="n">
        <v>15</v>
      </c>
      <c r="F824" t="inlineStr">
        <is>
          <t>Joy</t>
        </is>
      </c>
      <c r="G824" t="n">
        <v>50</v>
      </c>
      <c r="H824" t="n">
        <v>0</v>
      </c>
      <c r="I824" t="n">
        <v>0</v>
      </c>
      <c r="J824" t="inlineStr">
        <is>
          <t>NA</t>
        </is>
      </c>
      <c r="K824" t="n">
        <v>96.5</v>
      </c>
      <c r="L824">
        <f>IF(K824&gt;=80,"Yes","No")</f>
        <v/>
      </c>
      <c r="M824">
        <f>IF(ISNUMBER(H824),IF(H824&gt;0,1,0),"")</f>
        <v/>
      </c>
    </row>
    <row r="825">
      <c r="A825" t="inlineStr">
        <is>
          <t>SIMULATED_FEA_Commercial_Study</t>
        </is>
      </c>
      <c r="B825" t="inlineStr">
        <is>
          <t>V16</t>
        </is>
      </c>
      <c r="C825" t="inlineStr">
        <is>
          <t>Stimulus</t>
        </is>
      </c>
      <c r="D825" t="inlineStr">
        <is>
          <t>Recovery</t>
        </is>
      </c>
      <c r="E825" t="n">
        <v>15</v>
      </c>
      <c r="F825" t="inlineStr">
        <is>
          <t>Surprise</t>
        </is>
      </c>
      <c r="G825" t="n">
        <v>50</v>
      </c>
      <c r="H825" t="n">
        <v>0</v>
      </c>
      <c r="I825" t="n">
        <v>0</v>
      </c>
      <c r="J825" t="inlineStr">
        <is>
          <t>NA</t>
        </is>
      </c>
      <c r="K825" t="n">
        <v>96.5</v>
      </c>
      <c r="L825">
        <f>IF(K825&gt;=80,"Yes","No")</f>
        <v/>
      </c>
      <c r="M825">
        <f>IF(ISNUMBER(H825),IF(H825&gt;0,1,0),"")</f>
        <v/>
      </c>
    </row>
    <row r="826">
      <c r="A826" t="inlineStr">
        <is>
          <t>SIMULATED_FEA_Commercial_Study</t>
        </is>
      </c>
      <c r="B826" t="inlineStr">
        <is>
          <t>V16</t>
        </is>
      </c>
      <c r="C826" t="inlineStr">
        <is>
          <t>Stimulus</t>
        </is>
      </c>
      <c r="D826" t="inlineStr">
        <is>
          <t>Recovery</t>
        </is>
      </c>
      <c r="E826" t="n">
        <v>15</v>
      </c>
      <c r="F826" t="inlineStr">
        <is>
          <t>Brow Furrow</t>
        </is>
      </c>
      <c r="G826" t="n">
        <v>50</v>
      </c>
      <c r="H826" t="n">
        <v>38.67</v>
      </c>
      <c r="I826" t="n">
        <v>3</v>
      </c>
      <c r="J826" t="inlineStr">
        <is>
          <t>NA</t>
        </is>
      </c>
      <c r="K826" t="n">
        <v>96.5</v>
      </c>
      <c r="L826">
        <f>IF(K826&gt;=80,"Yes","No")</f>
        <v/>
      </c>
      <c r="M826">
        <f>IF(ISNUMBER(H826),IF(H826&gt;0,1,0),"")</f>
        <v/>
      </c>
    </row>
    <row r="827">
      <c r="A827" t="inlineStr">
        <is>
          <t>SIMULATED_FEA_Commercial_Study</t>
        </is>
      </c>
      <c r="B827" t="inlineStr">
        <is>
          <t>V16</t>
        </is>
      </c>
      <c r="C827" t="inlineStr">
        <is>
          <t>Stimulus</t>
        </is>
      </c>
      <c r="D827" t="inlineStr">
        <is>
          <t>Recovery</t>
        </is>
      </c>
      <c r="E827" t="n">
        <v>15</v>
      </c>
      <c r="F827" t="inlineStr">
        <is>
          <t>Positive Valence</t>
        </is>
      </c>
      <c r="G827" t="n">
        <v>50</v>
      </c>
      <c r="H827" t="n">
        <v>0</v>
      </c>
      <c r="I827" t="n">
        <v>0</v>
      </c>
      <c r="J827" t="inlineStr">
        <is>
          <t>NA</t>
        </is>
      </c>
      <c r="K827" t="n">
        <v>96.5</v>
      </c>
      <c r="L827">
        <f>IF(K827&gt;=80,"Yes","No")</f>
        <v/>
      </c>
      <c r="M827">
        <f>IF(ISNUMBER(H827),IF(H827&gt;0,1,0),"")</f>
        <v/>
      </c>
    </row>
    <row r="828">
      <c r="A828" t="inlineStr">
        <is>
          <t>SIMULATED_FEA_Commercial_Study</t>
        </is>
      </c>
      <c r="B828" t="inlineStr">
        <is>
          <t>V16</t>
        </is>
      </c>
      <c r="C828" t="inlineStr">
        <is>
          <t>Stimulus</t>
        </is>
      </c>
      <c r="D828" t="inlineStr">
        <is>
          <t>Recovery</t>
        </is>
      </c>
      <c r="E828" t="n">
        <v>15</v>
      </c>
      <c r="F828" t="inlineStr">
        <is>
          <t>Negative Valence</t>
        </is>
      </c>
      <c r="G828" t="n">
        <v>-50</v>
      </c>
      <c r="H828" t="n">
        <v>0</v>
      </c>
      <c r="I828" t="n">
        <v>0</v>
      </c>
      <c r="J828" t="inlineStr">
        <is>
          <t>NA</t>
        </is>
      </c>
      <c r="K828" t="n">
        <v>96.5</v>
      </c>
      <c r="L828">
        <f>IF(K828&gt;=80,"Yes","No")</f>
        <v/>
      </c>
      <c r="M828">
        <f>IF(ISNUMBER(H828),IF(H828&gt;0,1,0),"")</f>
        <v/>
      </c>
    </row>
    <row r="829">
      <c r="A829" t="inlineStr">
        <is>
          <t>SIMULATED_FEA_Commercial_Study</t>
        </is>
      </c>
      <c r="B829" t="inlineStr">
        <is>
          <t>V16</t>
        </is>
      </c>
      <c r="C829" t="inlineStr">
        <is>
          <t>Stimulus</t>
        </is>
      </c>
      <c r="D829" t="inlineStr">
        <is>
          <t>Recovery</t>
        </is>
      </c>
      <c r="E829" t="n">
        <v>15</v>
      </c>
      <c r="F829" t="inlineStr">
        <is>
          <t>Engagement</t>
        </is>
      </c>
      <c r="G829" t="inlineStr">
        <is>
          <t>NA</t>
        </is>
      </c>
      <c r="H829" t="inlineStr">
        <is>
          <t>NA</t>
        </is>
      </c>
      <c r="I829" t="inlineStr">
        <is>
          <t>NA</t>
        </is>
      </c>
      <c r="J829" t="n">
        <v>15.7</v>
      </c>
      <c r="K829" t="n">
        <v>96.5</v>
      </c>
      <c r="L829">
        <f>IF(K829&gt;=80,"Yes","No")</f>
        <v/>
      </c>
      <c r="M829">
        <f>IF(ISNUMBER(H829),IF(H829&gt;0,1,0),"")</f>
        <v/>
      </c>
    </row>
    <row r="830">
      <c r="A830" t="inlineStr">
        <is>
          <t>SIMULATED_FEA_Commercial_Study</t>
        </is>
      </c>
      <c r="B830" t="inlineStr">
        <is>
          <t>V16</t>
        </is>
      </c>
      <c r="C830" t="inlineStr">
        <is>
          <t>Annotation</t>
        </is>
      </c>
      <c r="D830" t="inlineStr">
        <is>
          <t>Bin_01</t>
        </is>
      </c>
      <c r="E830" t="n">
        <v>10</v>
      </c>
      <c r="F830" t="inlineStr">
        <is>
          <t>Joy</t>
        </is>
      </c>
      <c r="G830" t="n">
        <v>50</v>
      </c>
      <c r="H830" t="n">
        <v>6</v>
      </c>
      <c r="I830" t="n">
        <v>2</v>
      </c>
      <c r="J830" t="inlineStr">
        <is>
          <t>NA</t>
        </is>
      </c>
      <c r="K830" t="n">
        <v>96.5</v>
      </c>
      <c r="L830">
        <f>IF(K830&gt;=80,"Yes","No")</f>
        <v/>
      </c>
      <c r="M830">
        <f>IF(ISNUMBER(H830),IF(H830&gt;0,1,0),"")</f>
        <v/>
      </c>
    </row>
    <row r="831">
      <c r="A831" t="inlineStr">
        <is>
          <t>SIMULATED_FEA_Commercial_Study</t>
        </is>
      </c>
      <c r="B831" t="inlineStr">
        <is>
          <t>V16</t>
        </is>
      </c>
      <c r="C831" t="inlineStr">
        <is>
          <t>Annotation</t>
        </is>
      </c>
      <c r="D831" t="inlineStr">
        <is>
          <t>Bin_01</t>
        </is>
      </c>
      <c r="E831" t="n">
        <v>10</v>
      </c>
      <c r="F831" t="inlineStr">
        <is>
          <t>Surprise</t>
        </is>
      </c>
      <c r="G831" t="n">
        <v>50</v>
      </c>
      <c r="H831" t="n">
        <v>0</v>
      </c>
      <c r="I831" t="n">
        <v>0</v>
      </c>
      <c r="J831" t="inlineStr">
        <is>
          <t>NA</t>
        </is>
      </c>
      <c r="K831" t="n">
        <v>96.5</v>
      </c>
      <c r="L831">
        <f>IF(K831&gt;=80,"Yes","No")</f>
        <v/>
      </c>
      <c r="M831">
        <f>IF(ISNUMBER(H831),IF(H831&gt;0,1,0),"")</f>
        <v/>
      </c>
    </row>
    <row r="832">
      <c r="A832" t="inlineStr">
        <is>
          <t>SIMULATED_FEA_Commercial_Study</t>
        </is>
      </c>
      <c r="B832" t="inlineStr">
        <is>
          <t>V16</t>
        </is>
      </c>
      <c r="C832" t="inlineStr">
        <is>
          <t>Annotation</t>
        </is>
      </c>
      <c r="D832" t="inlineStr">
        <is>
          <t>Bin_01</t>
        </is>
      </c>
      <c r="E832" t="n">
        <v>10</v>
      </c>
      <c r="F832" t="inlineStr">
        <is>
          <t>Brow Furrow</t>
        </is>
      </c>
      <c r="G832" t="n">
        <v>50</v>
      </c>
      <c r="H832" t="n">
        <v>0</v>
      </c>
      <c r="I832" t="n">
        <v>0</v>
      </c>
      <c r="J832" t="inlineStr">
        <is>
          <t>NA</t>
        </is>
      </c>
      <c r="K832" t="n">
        <v>96.5</v>
      </c>
      <c r="L832">
        <f>IF(K832&gt;=80,"Yes","No")</f>
        <v/>
      </c>
      <c r="M832">
        <f>IF(ISNUMBER(H832),IF(H832&gt;0,1,0),"")</f>
        <v/>
      </c>
    </row>
    <row r="833">
      <c r="A833" t="inlineStr">
        <is>
          <t>SIMULATED_FEA_Commercial_Study</t>
        </is>
      </c>
      <c r="B833" t="inlineStr">
        <is>
          <t>V16</t>
        </is>
      </c>
      <c r="C833" t="inlineStr">
        <is>
          <t>Annotation</t>
        </is>
      </c>
      <c r="D833" t="inlineStr">
        <is>
          <t>Bin_01</t>
        </is>
      </c>
      <c r="E833" t="n">
        <v>10</v>
      </c>
      <c r="F833" t="inlineStr">
        <is>
          <t>Positive Valence</t>
        </is>
      </c>
      <c r="G833" t="n">
        <v>50</v>
      </c>
      <c r="H833" t="n">
        <v>4</v>
      </c>
      <c r="I833" t="n">
        <v>1</v>
      </c>
      <c r="J833" t="inlineStr">
        <is>
          <t>NA</t>
        </is>
      </c>
      <c r="K833" t="n">
        <v>96.5</v>
      </c>
      <c r="L833">
        <f>IF(K833&gt;=80,"Yes","No")</f>
        <v/>
      </c>
      <c r="M833">
        <f>IF(ISNUMBER(H833),IF(H833&gt;0,1,0),"")</f>
        <v/>
      </c>
    </row>
    <row r="834">
      <c r="A834" t="inlineStr">
        <is>
          <t>SIMULATED_FEA_Commercial_Study</t>
        </is>
      </c>
      <c r="B834" t="inlineStr">
        <is>
          <t>V16</t>
        </is>
      </c>
      <c r="C834" t="inlineStr">
        <is>
          <t>Annotation</t>
        </is>
      </c>
      <c r="D834" t="inlineStr">
        <is>
          <t>Bin_01</t>
        </is>
      </c>
      <c r="E834" t="n">
        <v>10</v>
      </c>
      <c r="F834" t="inlineStr">
        <is>
          <t>Negative Valence</t>
        </is>
      </c>
      <c r="G834" t="n">
        <v>-50</v>
      </c>
      <c r="H834" t="n">
        <v>0</v>
      </c>
      <c r="I834" t="n">
        <v>0</v>
      </c>
      <c r="J834" t="inlineStr">
        <is>
          <t>NA</t>
        </is>
      </c>
      <c r="K834" t="n">
        <v>96.5</v>
      </c>
      <c r="L834">
        <f>IF(K834&gt;=80,"Yes","No")</f>
        <v/>
      </c>
      <c r="M834">
        <f>IF(ISNUMBER(H834),IF(H834&gt;0,1,0),"")</f>
        <v/>
      </c>
    </row>
    <row r="835">
      <c r="A835" t="inlineStr">
        <is>
          <t>SIMULATED_FEA_Commercial_Study</t>
        </is>
      </c>
      <c r="B835" t="inlineStr">
        <is>
          <t>V16</t>
        </is>
      </c>
      <c r="C835" t="inlineStr">
        <is>
          <t>Annotation</t>
        </is>
      </c>
      <c r="D835" t="inlineStr">
        <is>
          <t>Bin_01</t>
        </is>
      </c>
      <c r="E835" t="n">
        <v>10</v>
      </c>
      <c r="F835" t="inlineStr">
        <is>
          <t>Engagement</t>
        </is>
      </c>
      <c r="G835" t="inlineStr">
        <is>
          <t>NA</t>
        </is>
      </c>
      <c r="H835" t="inlineStr">
        <is>
          <t>NA</t>
        </is>
      </c>
      <c r="I835" t="inlineStr">
        <is>
          <t>NA</t>
        </is>
      </c>
      <c r="J835" t="n">
        <v>5.39</v>
      </c>
      <c r="K835" t="n">
        <v>96.5</v>
      </c>
      <c r="L835">
        <f>IF(K835&gt;=80,"Yes","No")</f>
        <v/>
      </c>
      <c r="M835">
        <f>IF(ISNUMBER(H835),IF(H835&gt;0,1,0),"")</f>
        <v/>
      </c>
    </row>
    <row r="836">
      <c r="A836" t="inlineStr">
        <is>
          <t>SIMULATED_FEA_Commercial_Study</t>
        </is>
      </c>
      <c r="B836" t="inlineStr">
        <is>
          <t>V16</t>
        </is>
      </c>
      <c r="C836" t="inlineStr">
        <is>
          <t>Annotation</t>
        </is>
      </c>
      <c r="D836" t="inlineStr">
        <is>
          <t>Bin_02</t>
        </is>
      </c>
      <c r="E836" t="n">
        <v>10</v>
      </c>
      <c r="F836" t="inlineStr">
        <is>
          <t>Joy</t>
        </is>
      </c>
      <c r="G836" t="n">
        <v>50</v>
      </c>
      <c r="H836" t="n">
        <v>14.33</v>
      </c>
      <c r="I836" t="n">
        <v>1</v>
      </c>
      <c r="J836" t="inlineStr">
        <is>
          <t>NA</t>
        </is>
      </c>
      <c r="K836" t="n">
        <v>96.5</v>
      </c>
      <c r="L836">
        <f>IF(K836&gt;=80,"Yes","No")</f>
        <v/>
      </c>
      <c r="M836">
        <f>IF(ISNUMBER(H836),IF(H836&gt;0,1,0),"")</f>
        <v/>
      </c>
    </row>
    <row r="837">
      <c r="A837" t="inlineStr">
        <is>
          <t>SIMULATED_FEA_Commercial_Study</t>
        </is>
      </c>
      <c r="B837" t="inlineStr">
        <is>
          <t>V16</t>
        </is>
      </c>
      <c r="C837" t="inlineStr">
        <is>
          <t>Annotation</t>
        </is>
      </c>
      <c r="D837" t="inlineStr">
        <is>
          <t>Bin_02</t>
        </is>
      </c>
      <c r="E837" t="n">
        <v>10</v>
      </c>
      <c r="F837" t="inlineStr">
        <is>
          <t>Surprise</t>
        </is>
      </c>
      <c r="G837" t="n">
        <v>50</v>
      </c>
      <c r="H837" t="n">
        <v>0</v>
      </c>
      <c r="I837" t="n">
        <v>0</v>
      </c>
      <c r="J837" t="inlineStr">
        <is>
          <t>NA</t>
        </is>
      </c>
      <c r="K837" t="n">
        <v>96.5</v>
      </c>
      <c r="L837">
        <f>IF(K837&gt;=80,"Yes","No")</f>
        <v/>
      </c>
      <c r="M837">
        <f>IF(ISNUMBER(H837),IF(H837&gt;0,1,0),"")</f>
        <v/>
      </c>
    </row>
    <row r="838">
      <c r="A838" t="inlineStr">
        <is>
          <t>SIMULATED_FEA_Commercial_Study</t>
        </is>
      </c>
      <c r="B838" t="inlineStr">
        <is>
          <t>V16</t>
        </is>
      </c>
      <c r="C838" t="inlineStr">
        <is>
          <t>Annotation</t>
        </is>
      </c>
      <c r="D838" t="inlineStr">
        <is>
          <t>Bin_02</t>
        </is>
      </c>
      <c r="E838" t="n">
        <v>10</v>
      </c>
      <c r="F838" t="inlineStr">
        <is>
          <t>Brow Furrow</t>
        </is>
      </c>
      <c r="G838" t="n">
        <v>50</v>
      </c>
      <c r="H838" t="n">
        <v>0</v>
      </c>
      <c r="I838" t="n">
        <v>0</v>
      </c>
      <c r="J838" t="inlineStr">
        <is>
          <t>NA</t>
        </is>
      </c>
      <c r="K838" t="n">
        <v>96.5</v>
      </c>
      <c r="L838">
        <f>IF(K838&gt;=80,"Yes","No")</f>
        <v/>
      </c>
      <c r="M838">
        <f>IF(ISNUMBER(H838),IF(H838&gt;0,1,0),"")</f>
        <v/>
      </c>
    </row>
    <row r="839">
      <c r="A839" t="inlineStr">
        <is>
          <t>SIMULATED_FEA_Commercial_Study</t>
        </is>
      </c>
      <c r="B839" t="inlineStr">
        <is>
          <t>V16</t>
        </is>
      </c>
      <c r="C839" t="inlineStr">
        <is>
          <t>Annotation</t>
        </is>
      </c>
      <c r="D839" t="inlineStr">
        <is>
          <t>Bin_02</t>
        </is>
      </c>
      <c r="E839" t="n">
        <v>10</v>
      </c>
      <c r="F839" t="inlineStr">
        <is>
          <t>Positive Valence</t>
        </is>
      </c>
      <c r="G839" t="n">
        <v>50</v>
      </c>
      <c r="H839" t="n">
        <v>14</v>
      </c>
      <c r="I839" t="n">
        <v>1</v>
      </c>
      <c r="J839" t="inlineStr">
        <is>
          <t>NA</t>
        </is>
      </c>
      <c r="K839" t="n">
        <v>96.5</v>
      </c>
      <c r="L839">
        <f>IF(K839&gt;=80,"Yes","No")</f>
        <v/>
      </c>
      <c r="M839">
        <f>IF(ISNUMBER(H839),IF(H839&gt;0,1,0),"")</f>
        <v/>
      </c>
    </row>
    <row r="840">
      <c r="A840" t="inlineStr">
        <is>
          <t>SIMULATED_FEA_Commercial_Study</t>
        </is>
      </c>
      <c r="B840" t="inlineStr">
        <is>
          <t>V16</t>
        </is>
      </c>
      <c r="C840" t="inlineStr">
        <is>
          <t>Annotation</t>
        </is>
      </c>
      <c r="D840" t="inlineStr">
        <is>
          <t>Bin_02</t>
        </is>
      </c>
      <c r="E840" t="n">
        <v>10</v>
      </c>
      <c r="F840" t="inlineStr">
        <is>
          <t>Negative Valence</t>
        </is>
      </c>
      <c r="G840" t="n">
        <v>-50</v>
      </c>
      <c r="H840" t="n">
        <v>0</v>
      </c>
      <c r="I840" t="n">
        <v>0</v>
      </c>
      <c r="J840" t="inlineStr">
        <is>
          <t>NA</t>
        </is>
      </c>
      <c r="K840" t="n">
        <v>96.5</v>
      </c>
      <c r="L840">
        <f>IF(K840&gt;=80,"Yes","No")</f>
        <v/>
      </c>
      <c r="M840">
        <f>IF(ISNUMBER(H840),IF(H840&gt;0,1,0),"")</f>
        <v/>
      </c>
    </row>
    <row r="841">
      <c r="A841" t="inlineStr">
        <is>
          <t>SIMULATED_FEA_Commercial_Study</t>
        </is>
      </c>
      <c r="B841" t="inlineStr">
        <is>
          <t>V16</t>
        </is>
      </c>
      <c r="C841" t="inlineStr">
        <is>
          <t>Annotation</t>
        </is>
      </c>
      <c r="D841" t="inlineStr">
        <is>
          <t>Bin_02</t>
        </is>
      </c>
      <c r="E841" t="n">
        <v>10</v>
      </c>
      <c r="F841" t="inlineStr">
        <is>
          <t>Engagement</t>
        </is>
      </c>
      <c r="G841" t="inlineStr">
        <is>
          <t>NA</t>
        </is>
      </c>
      <c r="H841" t="inlineStr">
        <is>
          <t>NA</t>
        </is>
      </c>
      <c r="I841" t="inlineStr">
        <is>
          <t>NA</t>
        </is>
      </c>
      <c r="J841" t="n">
        <v>6.23</v>
      </c>
      <c r="K841" t="n">
        <v>96.5</v>
      </c>
      <c r="L841">
        <f>IF(K841&gt;=80,"Yes","No")</f>
        <v/>
      </c>
      <c r="M841">
        <f>IF(ISNUMBER(H841),IF(H841&gt;0,1,0),"")</f>
        <v/>
      </c>
    </row>
    <row r="842">
      <c r="A842" t="inlineStr">
        <is>
          <t>SIMULATED_FEA_Commercial_Study</t>
        </is>
      </c>
      <c r="B842" t="inlineStr">
        <is>
          <t>V16</t>
        </is>
      </c>
      <c r="C842" t="inlineStr">
        <is>
          <t>Annotation</t>
        </is>
      </c>
      <c r="D842" t="inlineStr">
        <is>
          <t>Bin_03</t>
        </is>
      </c>
      <c r="E842" t="n">
        <v>10</v>
      </c>
      <c r="F842" t="inlineStr">
        <is>
          <t>Joy</t>
        </is>
      </c>
      <c r="G842" t="n">
        <v>50</v>
      </c>
      <c r="H842" t="n">
        <v>0</v>
      </c>
      <c r="I842" t="n">
        <v>0</v>
      </c>
      <c r="J842" t="inlineStr">
        <is>
          <t>NA</t>
        </is>
      </c>
      <c r="K842" t="n">
        <v>96.5</v>
      </c>
      <c r="L842">
        <f>IF(K842&gt;=80,"Yes","No")</f>
        <v/>
      </c>
      <c r="M842">
        <f>IF(ISNUMBER(H842),IF(H842&gt;0,1,0),"")</f>
        <v/>
      </c>
    </row>
    <row r="843">
      <c r="A843" t="inlineStr">
        <is>
          <t>SIMULATED_FEA_Commercial_Study</t>
        </is>
      </c>
      <c r="B843" t="inlineStr">
        <is>
          <t>V16</t>
        </is>
      </c>
      <c r="C843" t="inlineStr">
        <is>
          <t>Annotation</t>
        </is>
      </c>
      <c r="D843" t="inlineStr">
        <is>
          <t>Bin_03</t>
        </is>
      </c>
      <c r="E843" t="n">
        <v>10</v>
      </c>
      <c r="F843" t="inlineStr">
        <is>
          <t>Surprise</t>
        </is>
      </c>
      <c r="G843" t="n">
        <v>50</v>
      </c>
      <c r="H843" t="n">
        <v>10.67</v>
      </c>
      <c r="I843" t="n">
        <v>1</v>
      </c>
      <c r="J843" t="inlineStr">
        <is>
          <t>NA</t>
        </is>
      </c>
      <c r="K843" t="n">
        <v>96.5</v>
      </c>
      <c r="L843">
        <f>IF(K843&gt;=80,"Yes","No")</f>
        <v/>
      </c>
      <c r="M843">
        <f>IF(ISNUMBER(H843),IF(H843&gt;0,1,0),"")</f>
        <v/>
      </c>
    </row>
    <row r="844">
      <c r="A844" t="inlineStr">
        <is>
          <t>SIMULATED_FEA_Commercial_Study</t>
        </is>
      </c>
      <c r="B844" t="inlineStr">
        <is>
          <t>V16</t>
        </is>
      </c>
      <c r="C844" t="inlineStr">
        <is>
          <t>Annotation</t>
        </is>
      </c>
      <c r="D844" t="inlineStr">
        <is>
          <t>Bin_03</t>
        </is>
      </c>
      <c r="E844" t="n">
        <v>10</v>
      </c>
      <c r="F844" t="inlineStr">
        <is>
          <t>Brow Furrow</t>
        </is>
      </c>
      <c r="G844" t="n">
        <v>50</v>
      </c>
      <c r="H844" t="n">
        <v>0</v>
      </c>
      <c r="I844" t="n">
        <v>0</v>
      </c>
      <c r="J844" t="inlineStr">
        <is>
          <t>NA</t>
        </is>
      </c>
      <c r="K844" t="n">
        <v>96.5</v>
      </c>
      <c r="L844">
        <f>IF(K844&gt;=80,"Yes","No")</f>
        <v/>
      </c>
      <c r="M844">
        <f>IF(ISNUMBER(H844),IF(H844&gt;0,1,0),"")</f>
        <v/>
      </c>
    </row>
    <row r="845">
      <c r="A845" t="inlineStr">
        <is>
          <t>SIMULATED_FEA_Commercial_Study</t>
        </is>
      </c>
      <c r="B845" t="inlineStr">
        <is>
          <t>V16</t>
        </is>
      </c>
      <c r="C845" t="inlineStr">
        <is>
          <t>Annotation</t>
        </is>
      </c>
      <c r="D845" t="inlineStr">
        <is>
          <t>Bin_03</t>
        </is>
      </c>
      <c r="E845" t="n">
        <v>10</v>
      </c>
      <c r="F845" t="inlineStr">
        <is>
          <t>Positive Valence</t>
        </is>
      </c>
      <c r="G845" t="n">
        <v>50</v>
      </c>
      <c r="H845" t="n">
        <v>0</v>
      </c>
      <c r="I845" t="n">
        <v>0</v>
      </c>
      <c r="J845" t="inlineStr">
        <is>
          <t>NA</t>
        </is>
      </c>
      <c r="K845" t="n">
        <v>96.5</v>
      </c>
      <c r="L845">
        <f>IF(K845&gt;=80,"Yes","No")</f>
        <v/>
      </c>
      <c r="M845">
        <f>IF(ISNUMBER(H845),IF(H845&gt;0,1,0),"")</f>
        <v/>
      </c>
    </row>
    <row r="846">
      <c r="A846" t="inlineStr">
        <is>
          <t>SIMULATED_FEA_Commercial_Study</t>
        </is>
      </c>
      <c r="B846" t="inlineStr">
        <is>
          <t>V16</t>
        </is>
      </c>
      <c r="C846" t="inlineStr">
        <is>
          <t>Annotation</t>
        </is>
      </c>
      <c r="D846" t="inlineStr">
        <is>
          <t>Bin_03</t>
        </is>
      </c>
      <c r="E846" t="n">
        <v>10</v>
      </c>
      <c r="F846" t="inlineStr">
        <is>
          <t>Negative Valence</t>
        </is>
      </c>
      <c r="G846" t="n">
        <v>-50</v>
      </c>
      <c r="H846" t="n">
        <v>0</v>
      </c>
      <c r="I846" t="n">
        <v>0</v>
      </c>
      <c r="J846" t="inlineStr">
        <is>
          <t>NA</t>
        </is>
      </c>
      <c r="K846" t="n">
        <v>96.5</v>
      </c>
      <c r="L846">
        <f>IF(K846&gt;=80,"Yes","No")</f>
        <v/>
      </c>
      <c r="M846">
        <f>IF(ISNUMBER(H846),IF(H846&gt;0,1,0),"")</f>
        <v/>
      </c>
    </row>
    <row r="847">
      <c r="A847" t="inlineStr">
        <is>
          <t>SIMULATED_FEA_Commercial_Study</t>
        </is>
      </c>
      <c r="B847" t="inlineStr">
        <is>
          <t>V16</t>
        </is>
      </c>
      <c r="C847" t="inlineStr">
        <is>
          <t>Annotation</t>
        </is>
      </c>
      <c r="D847" t="inlineStr">
        <is>
          <t>Bin_03</t>
        </is>
      </c>
      <c r="E847" t="n">
        <v>10</v>
      </c>
      <c r="F847" t="inlineStr">
        <is>
          <t>Engagement</t>
        </is>
      </c>
      <c r="G847" t="inlineStr">
        <is>
          <t>NA</t>
        </is>
      </c>
      <c r="H847" t="inlineStr">
        <is>
          <t>NA</t>
        </is>
      </c>
      <c r="I847" t="inlineStr">
        <is>
          <t>NA</t>
        </is>
      </c>
      <c r="J847" t="n">
        <v>8.619999999999999</v>
      </c>
      <c r="K847" t="n">
        <v>96.5</v>
      </c>
      <c r="L847">
        <f>IF(K847&gt;=80,"Yes","No")</f>
        <v/>
      </c>
      <c r="M847">
        <f>IF(ISNUMBER(H847),IF(H847&gt;0,1,0),"")</f>
        <v/>
      </c>
    </row>
    <row r="848">
      <c r="A848" t="inlineStr">
        <is>
          <t>SIMULATED_FEA_Commercial_Study</t>
        </is>
      </c>
      <c r="B848" t="inlineStr">
        <is>
          <t>V16</t>
        </is>
      </c>
      <c r="C848" t="inlineStr">
        <is>
          <t>Annotation</t>
        </is>
      </c>
      <c r="D848" t="inlineStr">
        <is>
          <t>Bin_04</t>
        </is>
      </c>
      <c r="E848" t="n">
        <v>10</v>
      </c>
      <c r="F848" t="inlineStr">
        <is>
          <t>Joy</t>
        </is>
      </c>
      <c r="G848" t="n">
        <v>50</v>
      </c>
      <c r="H848" t="n">
        <v>0</v>
      </c>
      <c r="I848" t="n">
        <v>0</v>
      </c>
      <c r="J848" t="inlineStr">
        <is>
          <t>NA</t>
        </is>
      </c>
      <c r="K848" t="n">
        <v>96.5</v>
      </c>
      <c r="L848">
        <f>IF(K848&gt;=80,"Yes","No")</f>
        <v/>
      </c>
      <c r="M848">
        <f>IF(ISNUMBER(H848),IF(H848&gt;0,1,0),"")</f>
        <v/>
      </c>
    </row>
    <row r="849">
      <c r="A849" t="inlineStr">
        <is>
          <t>SIMULATED_FEA_Commercial_Study</t>
        </is>
      </c>
      <c r="B849" t="inlineStr">
        <is>
          <t>V16</t>
        </is>
      </c>
      <c r="C849" t="inlineStr">
        <is>
          <t>Annotation</t>
        </is>
      </c>
      <c r="D849" t="inlineStr">
        <is>
          <t>Bin_04</t>
        </is>
      </c>
      <c r="E849" t="n">
        <v>10</v>
      </c>
      <c r="F849" t="inlineStr">
        <is>
          <t>Surprise</t>
        </is>
      </c>
      <c r="G849" t="n">
        <v>50</v>
      </c>
      <c r="H849" t="n">
        <v>0</v>
      </c>
      <c r="I849" t="n">
        <v>0</v>
      </c>
      <c r="J849" t="inlineStr">
        <is>
          <t>NA</t>
        </is>
      </c>
      <c r="K849" t="n">
        <v>96.5</v>
      </c>
      <c r="L849">
        <f>IF(K849&gt;=80,"Yes","No")</f>
        <v/>
      </c>
      <c r="M849">
        <f>IF(ISNUMBER(H849),IF(H849&gt;0,1,0),"")</f>
        <v/>
      </c>
    </row>
    <row r="850">
      <c r="A850" t="inlineStr">
        <is>
          <t>SIMULATED_FEA_Commercial_Study</t>
        </is>
      </c>
      <c r="B850" t="inlineStr">
        <is>
          <t>V16</t>
        </is>
      </c>
      <c r="C850" t="inlineStr">
        <is>
          <t>Annotation</t>
        </is>
      </c>
      <c r="D850" t="inlineStr">
        <is>
          <t>Bin_04</t>
        </is>
      </c>
      <c r="E850" t="n">
        <v>10</v>
      </c>
      <c r="F850" t="inlineStr">
        <is>
          <t>Brow Furrow</t>
        </is>
      </c>
      <c r="G850" t="n">
        <v>50</v>
      </c>
      <c r="H850" t="n">
        <v>0</v>
      </c>
      <c r="I850" t="n">
        <v>0</v>
      </c>
      <c r="J850" t="inlineStr">
        <is>
          <t>NA</t>
        </is>
      </c>
      <c r="K850" t="n">
        <v>96.5</v>
      </c>
      <c r="L850">
        <f>IF(K850&gt;=80,"Yes","No")</f>
        <v/>
      </c>
      <c r="M850">
        <f>IF(ISNUMBER(H850),IF(H850&gt;0,1,0),"")</f>
        <v/>
      </c>
    </row>
    <row r="851">
      <c r="A851" t="inlineStr">
        <is>
          <t>SIMULATED_FEA_Commercial_Study</t>
        </is>
      </c>
      <c r="B851" t="inlineStr">
        <is>
          <t>V16</t>
        </is>
      </c>
      <c r="C851" t="inlineStr">
        <is>
          <t>Annotation</t>
        </is>
      </c>
      <c r="D851" t="inlineStr">
        <is>
          <t>Bin_04</t>
        </is>
      </c>
      <c r="E851" t="n">
        <v>10</v>
      </c>
      <c r="F851" t="inlineStr">
        <is>
          <t>Positive Valence</t>
        </is>
      </c>
      <c r="G851" t="n">
        <v>50</v>
      </c>
      <c r="H851" t="n">
        <v>0</v>
      </c>
      <c r="I851" t="n">
        <v>0</v>
      </c>
      <c r="J851" t="inlineStr">
        <is>
          <t>NA</t>
        </is>
      </c>
      <c r="K851" t="n">
        <v>96.5</v>
      </c>
      <c r="L851">
        <f>IF(K851&gt;=80,"Yes","No")</f>
        <v/>
      </c>
      <c r="M851">
        <f>IF(ISNUMBER(H851),IF(H851&gt;0,1,0),"")</f>
        <v/>
      </c>
    </row>
    <row r="852">
      <c r="A852" t="inlineStr">
        <is>
          <t>SIMULATED_FEA_Commercial_Study</t>
        </is>
      </c>
      <c r="B852" t="inlineStr">
        <is>
          <t>V16</t>
        </is>
      </c>
      <c r="C852" t="inlineStr">
        <is>
          <t>Annotation</t>
        </is>
      </c>
      <c r="D852" t="inlineStr">
        <is>
          <t>Bin_04</t>
        </is>
      </c>
      <c r="E852" t="n">
        <v>10</v>
      </c>
      <c r="F852" t="inlineStr">
        <is>
          <t>Negative Valence</t>
        </is>
      </c>
      <c r="G852" t="n">
        <v>-50</v>
      </c>
      <c r="H852" t="n">
        <v>5.67</v>
      </c>
      <c r="I852" t="n">
        <v>1</v>
      </c>
      <c r="J852" t="inlineStr">
        <is>
          <t>NA</t>
        </is>
      </c>
      <c r="K852" t="n">
        <v>96.5</v>
      </c>
      <c r="L852">
        <f>IF(K852&gt;=80,"Yes","No")</f>
        <v/>
      </c>
      <c r="M852">
        <f>IF(ISNUMBER(H852),IF(H852&gt;0,1,0),"")</f>
        <v/>
      </c>
    </row>
    <row r="853">
      <c r="A853" t="inlineStr">
        <is>
          <t>SIMULATED_FEA_Commercial_Study</t>
        </is>
      </c>
      <c r="B853" t="inlineStr">
        <is>
          <t>V16</t>
        </is>
      </c>
      <c r="C853" t="inlineStr">
        <is>
          <t>Annotation</t>
        </is>
      </c>
      <c r="D853" t="inlineStr">
        <is>
          <t>Bin_04</t>
        </is>
      </c>
      <c r="E853" t="n">
        <v>10</v>
      </c>
      <c r="F853" t="inlineStr">
        <is>
          <t>Engagement</t>
        </is>
      </c>
      <c r="G853" t="inlineStr">
        <is>
          <t>NA</t>
        </is>
      </c>
      <c r="H853" t="inlineStr">
        <is>
          <t>NA</t>
        </is>
      </c>
      <c r="I853" t="inlineStr">
        <is>
          <t>NA</t>
        </is>
      </c>
      <c r="J853" t="n">
        <v>7.86</v>
      </c>
      <c r="K853" t="n">
        <v>96.5</v>
      </c>
      <c r="L853">
        <f>IF(K853&gt;=80,"Yes","No")</f>
        <v/>
      </c>
      <c r="M853">
        <f>IF(ISNUMBER(H853),IF(H853&gt;0,1,0),"")</f>
        <v/>
      </c>
    </row>
    <row r="854">
      <c r="A854" t="inlineStr">
        <is>
          <t>SIMULATED_FEA_Commercial_Study</t>
        </is>
      </c>
      <c r="B854" t="inlineStr">
        <is>
          <t>V16</t>
        </is>
      </c>
      <c r="C854" t="inlineStr">
        <is>
          <t>Annotation</t>
        </is>
      </c>
      <c r="D854" t="inlineStr">
        <is>
          <t>Bin_05</t>
        </is>
      </c>
      <c r="E854" t="n">
        <v>10</v>
      </c>
      <c r="F854" t="inlineStr">
        <is>
          <t>Joy</t>
        </is>
      </c>
      <c r="G854" t="n">
        <v>50</v>
      </c>
      <c r="H854" t="n">
        <v>26</v>
      </c>
      <c r="I854" t="n">
        <v>2</v>
      </c>
      <c r="J854" t="inlineStr">
        <is>
          <t>NA</t>
        </is>
      </c>
      <c r="K854" t="n">
        <v>96.5</v>
      </c>
      <c r="L854">
        <f>IF(K854&gt;=80,"Yes","No")</f>
        <v/>
      </c>
      <c r="M854">
        <f>IF(ISNUMBER(H854),IF(H854&gt;0,1,0),"")</f>
        <v/>
      </c>
    </row>
    <row r="855">
      <c r="A855" t="inlineStr">
        <is>
          <t>SIMULATED_FEA_Commercial_Study</t>
        </is>
      </c>
      <c r="B855" t="inlineStr">
        <is>
          <t>V16</t>
        </is>
      </c>
      <c r="C855" t="inlineStr">
        <is>
          <t>Annotation</t>
        </is>
      </c>
      <c r="D855" t="inlineStr">
        <is>
          <t>Bin_05</t>
        </is>
      </c>
      <c r="E855" t="n">
        <v>10</v>
      </c>
      <c r="F855" t="inlineStr">
        <is>
          <t>Surprise</t>
        </is>
      </c>
      <c r="G855" t="n">
        <v>50</v>
      </c>
      <c r="H855" t="n">
        <v>0</v>
      </c>
      <c r="I855" t="n">
        <v>0</v>
      </c>
      <c r="J855" t="inlineStr">
        <is>
          <t>NA</t>
        </is>
      </c>
      <c r="K855" t="n">
        <v>96.5</v>
      </c>
      <c r="L855">
        <f>IF(K855&gt;=80,"Yes","No")</f>
        <v/>
      </c>
      <c r="M855">
        <f>IF(ISNUMBER(H855),IF(H855&gt;0,1,0),"")</f>
        <v/>
      </c>
    </row>
    <row r="856">
      <c r="A856" t="inlineStr">
        <is>
          <t>SIMULATED_FEA_Commercial_Study</t>
        </is>
      </c>
      <c r="B856" t="inlineStr">
        <is>
          <t>V16</t>
        </is>
      </c>
      <c r="C856" t="inlineStr">
        <is>
          <t>Annotation</t>
        </is>
      </c>
      <c r="D856" t="inlineStr">
        <is>
          <t>Bin_05</t>
        </is>
      </c>
      <c r="E856" t="n">
        <v>10</v>
      </c>
      <c r="F856" t="inlineStr">
        <is>
          <t>Brow Furrow</t>
        </is>
      </c>
      <c r="G856" t="n">
        <v>50</v>
      </c>
      <c r="H856" t="n">
        <v>0</v>
      </c>
      <c r="I856" t="n">
        <v>0</v>
      </c>
      <c r="J856" t="inlineStr">
        <is>
          <t>NA</t>
        </is>
      </c>
      <c r="K856" t="n">
        <v>96.5</v>
      </c>
      <c r="L856">
        <f>IF(K856&gt;=80,"Yes","No")</f>
        <v/>
      </c>
      <c r="M856">
        <f>IF(ISNUMBER(H856),IF(H856&gt;0,1,0),"")</f>
        <v/>
      </c>
    </row>
    <row r="857">
      <c r="A857" t="inlineStr">
        <is>
          <t>SIMULATED_FEA_Commercial_Study</t>
        </is>
      </c>
      <c r="B857" t="inlineStr">
        <is>
          <t>V16</t>
        </is>
      </c>
      <c r="C857" t="inlineStr">
        <is>
          <t>Annotation</t>
        </is>
      </c>
      <c r="D857" t="inlineStr">
        <is>
          <t>Bin_05</t>
        </is>
      </c>
      <c r="E857" t="n">
        <v>10</v>
      </c>
      <c r="F857" t="inlineStr">
        <is>
          <t>Positive Valence</t>
        </is>
      </c>
      <c r="G857" t="n">
        <v>50</v>
      </c>
      <c r="H857" t="n">
        <v>23.67</v>
      </c>
      <c r="I857" t="n">
        <v>2</v>
      </c>
      <c r="J857" t="inlineStr">
        <is>
          <t>NA</t>
        </is>
      </c>
      <c r="K857" t="n">
        <v>96.5</v>
      </c>
      <c r="L857">
        <f>IF(K857&gt;=80,"Yes","No")</f>
        <v/>
      </c>
      <c r="M857">
        <f>IF(ISNUMBER(H857),IF(H857&gt;0,1,0),"")</f>
        <v/>
      </c>
    </row>
    <row r="858">
      <c r="A858" t="inlineStr">
        <is>
          <t>SIMULATED_FEA_Commercial_Study</t>
        </is>
      </c>
      <c r="B858" t="inlineStr">
        <is>
          <t>V16</t>
        </is>
      </c>
      <c r="C858" t="inlineStr">
        <is>
          <t>Annotation</t>
        </is>
      </c>
      <c r="D858" t="inlineStr">
        <is>
          <t>Bin_05</t>
        </is>
      </c>
      <c r="E858" t="n">
        <v>10</v>
      </c>
      <c r="F858" t="inlineStr">
        <is>
          <t>Negative Valence</t>
        </is>
      </c>
      <c r="G858" t="n">
        <v>-50</v>
      </c>
      <c r="H858" t="n">
        <v>0</v>
      </c>
      <c r="I858" t="n">
        <v>0</v>
      </c>
      <c r="J858" t="inlineStr">
        <is>
          <t>NA</t>
        </is>
      </c>
      <c r="K858" t="n">
        <v>96.5</v>
      </c>
      <c r="L858">
        <f>IF(K858&gt;=80,"Yes","No")</f>
        <v/>
      </c>
      <c r="M858">
        <f>IF(ISNUMBER(H858),IF(H858&gt;0,1,0),"")</f>
        <v/>
      </c>
    </row>
    <row r="859">
      <c r="A859" t="inlineStr">
        <is>
          <t>SIMULATED_FEA_Commercial_Study</t>
        </is>
      </c>
      <c r="B859" t="inlineStr">
        <is>
          <t>V16</t>
        </is>
      </c>
      <c r="C859" t="inlineStr">
        <is>
          <t>Annotation</t>
        </is>
      </c>
      <c r="D859" t="inlineStr">
        <is>
          <t>Bin_05</t>
        </is>
      </c>
      <c r="E859" t="n">
        <v>10</v>
      </c>
      <c r="F859" t="inlineStr">
        <is>
          <t>Engagement</t>
        </is>
      </c>
      <c r="G859" t="inlineStr">
        <is>
          <t>NA</t>
        </is>
      </c>
      <c r="H859" t="inlineStr">
        <is>
          <t>NA</t>
        </is>
      </c>
      <c r="I859" t="inlineStr">
        <is>
          <t>NA</t>
        </is>
      </c>
      <c r="J859" t="n">
        <v>21.12</v>
      </c>
      <c r="K859" t="n">
        <v>96.5</v>
      </c>
      <c r="L859">
        <f>IF(K859&gt;=80,"Yes","No")</f>
        <v/>
      </c>
      <c r="M859">
        <f>IF(ISNUMBER(H859),IF(H859&gt;0,1,0),"")</f>
        <v/>
      </c>
    </row>
    <row r="860">
      <c r="A860" t="inlineStr">
        <is>
          <t>SIMULATED_FEA_Commercial_Study</t>
        </is>
      </c>
      <c r="B860" t="inlineStr">
        <is>
          <t>V16</t>
        </is>
      </c>
      <c r="C860" t="inlineStr">
        <is>
          <t>Annotation</t>
        </is>
      </c>
      <c r="D860" t="inlineStr">
        <is>
          <t>Bin_06</t>
        </is>
      </c>
      <c r="E860" t="n">
        <v>10</v>
      </c>
      <c r="F860" t="inlineStr">
        <is>
          <t>Joy</t>
        </is>
      </c>
      <c r="G860" t="n">
        <v>50</v>
      </c>
      <c r="H860" t="n">
        <v>8</v>
      </c>
      <c r="I860" t="n">
        <v>1</v>
      </c>
      <c r="J860" t="inlineStr">
        <is>
          <t>NA</t>
        </is>
      </c>
      <c r="K860" t="n">
        <v>96.5</v>
      </c>
      <c r="L860">
        <f>IF(K860&gt;=80,"Yes","No")</f>
        <v/>
      </c>
      <c r="M860">
        <f>IF(ISNUMBER(H860),IF(H860&gt;0,1,0),"")</f>
        <v/>
      </c>
    </row>
    <row r="861">
      <c r="A861" t="inlineStr">
        <is>
          <t>SIMULATED_FEA_Commercial_Study</t>
        </is>
      </c>
      <c r="B861" t="inlineStr">
        <is>
          <t>V16</t>
        </is>
      </c>
      <c r="C861" t="inlineStr">
        <is>
          <t>Annotation</t>
        </is>
      </c>
      <c r="D861" t="inlineStr">
        <is>
          <t>Bin_06</t>
        </is>
      </c>
      <c r="E861" t="n">
        <v>10</v>
      </c>
      <c r="F861" t="inlineStr">
        <is>
          <t>Surprise</t>
        </is>
      </c>
      <c r="G861" t="n">
        <v>50</v>
      </c>
      <c r="H861" t="n">
        <v>8</v>
      </c>
      <c r="I861" t="n">
        <v>1</v>
      </c>
      <c r="J861" t="inlineStr">
        <is>
          <t>NA</t>
        </is>
      </c>
      <c r="K861" t="n">
        <v>96.5</v>
      </c>
      <c r="L861">
        <f>IF(K861&gt;=80,"Yes","No")</f>
        <v/>
      </c>
      <c r="M861">
        <f>IF(ISNUMBER(H861),IF(H861&gt;0,1,0),"")</f>
        <v/>
      </c>
    </row>
    <row r="862">
      <c r="A862" t="inlineStr">
        <is>
          <t>SIMULATED_FEA_Commercial_Study</t>
        </is>
      </c>
      <c r="B862" t="inlineStr">
        <is>
          <t>V16</t>
        </is>
      </c>
      <c r="C862" t="inlineStr">
        <is>
          <t>Annotation</t>
        </is>
      </c>
      <c r="D862" t="inlineStr">
        <is>
          <t>Bin_06</t>
        </is>
      </c>
      <c r="E862" t="n">
        <v>10</v>
      </c>
      <c r="F862" t="inlineStr">
        <is>
          <t>Brow Furrow</t>
        </is>
      </c>
      <c r="G862" t="n">
        <v>50</v>
      </c>
      <c r="H862" t="n">
        <v>18.33</v>
      </c>
      <c r="I862" t="n">
        <v>1</v>
      </c>
      <c r="J862" t="inlineStr">
        <is>
          <t>NA</t>
        </is>
      </c>
      <c r="K862" t="n">
        <v>96.5</v>
      </c>
      <c r="L862">
        <f>IF(K862&gt;=80,"Yes","No")</f>
        <v/>
      </c>
      <c r="M862">
        <f>IF(ISNUMBER(H862),IF(H862&gt;0,1,0),"")</f>
        <v/>
      </c>
    </row>
    <row r="863">
      <c r="A863" t="inlineStr">
        <is>
          <t>SIMULATED_FEA_Commercial_Study</t>
        </is>
      </c>
      <c r="B863" t="inlineStr">
        <is>
          <t>V16</t>
        </is>
      </c>
      <c r="C863" t="inlineStr">
        <is>
          <t>Annotation</t>
        </is>
      </c>
      <c r="D863" t="inlineStr">
        <is>
          <t>Bin_06</t>
        </is>
      </c>
      <c r="E863" t="n">
        <v>10</v>
      </c>
      <c r="F863" t="inlineStr">
        <is>
          <t>Positive Valence</t>
        </is>
      </c>
      <c r="G863" t="n">
        <v>50</v>
      </c>
      <c r="H863" t="n">
        <v>6.33</v>
      </c>
      <c r="I863" t="n">
        <v>1</v>
      </c>
      <c r="J863" t="inlineStr">
        <is>
          <t>NA</t>
        </is>
      </c>
      <c r="K863" t="n">
        <v>96.5</v>
      </c>
      <c r="L863">
        <f>IF(K863&gt;=80,"Yes","No")</f>
        <v/>
      </c>
      <c r="M863">
        <f>IF(ISNUMBER(H863),IF(H863&gt;0,1,0),"")</f>
        <v/>
      </c>
    </row>
    <row r="864">
      <c r="A864" t="inlineStr">
        <is>
          <t>SIMULATED_FEA_Commercial_Study</t>
        </is>
      </c>
      <c r="B864" t="inlineStr">
        <is>
          <t>V16</t>
        </is>
      </c>
      <c r="C864" t="inlineStr">
        <is>
          <t>Annotation</t>
        </is>
      </c>
      <c r="D864" t="inlineStr">
        <is>
          <t>Bin_06</t>
        </is>
      </c>
      <c r="E864" t="n">
        <v>10</v>
      </c>
      <c r="F864" t="inlineStr">
        <is>
          <t>Negative Valence</t>
        </is>
      </c>
      <c r="G864" t="n">
        <v>-50</v>
      </c>
      <c r="H864" t="n">
        <v>0</v>
      </c>
      <c r="I864" t="n">
        <v>0</v>
      </c>
      <c r="J864" t="inlineStr">
        <is>
          <t>NA</t>
        </is>
      </c>
      <c r="K864" t="n">
        <v>96.5</v>
      </c>
      <c r="L864">
        <f>IF(K864&gt;=80,"Yes","No")</f>
        <v/>
      </c>
      <c r="M864">
        <f>IF(ISNUMBER(H864),IF(H864&gt;0,1,0),"")</f>
        <v/>
      </c>
    </row>
    <row r="865">
      <c r="A865" t="inlineStr">
        <is>
          <t>SIMULATED_FEA_Commercial_Study</t>
        </is>
      </c>
      <c r="B865" t="inlineStr">
        <is>
          <t>V16</t>
        </is>
      </c>
      <c r="C865" t="inlineStr">
        <is>
          <t>Annotation</t>
        </is>
      </c>
      <c r="D865" t="inlineStr">
        <is>
          <t>Bin_06</t>
        </is>
      </c>
      <c r="E865" t="n">
        <v>10</v>
      </c>
      <c r="F865" t="inlineStr">
        <is>
          <t>Engagement</t>
        </is>
      </c>
      <c r="G865" t="inlineStr">
        <is>
          <t>NA</t>
        </is>
      </c>
      <c r="H865" t="inlineStr">
        <is>
          <t>NA</t>
        </is>
      </c>
      <c r="I865" t="inlineStr">
        <is>
          <t>NA</t>
        </is>
      </c>
      <c r="J865" t="n">
        <v>22.82</v>
      </c>
      <c r="K865" t="n">
        <v>96.5</v>
      </c>
      <c r="L865">
        <f>IF(K865&gt;=80,"Yes","No")</f>
        <v/>
      </c>
      <c r="M865">
        <f>IF(ISNUMBER(H865),IF(H865&gt;0,1,0),"")</f>
        <v/>
      </c>
    </row>
    <row r="866">
      <c r="A866" t="inlineStr">
        <is>
          <t>SIMULATED_FEA_Commercial_Study</t>
        </is>
      </c>
      <c r="B866" t="inlineStr">
        <is>
          <t>V17</t>
        </is>
      </c>
      <c r="C866" t="inlineStr">
        <is>
          <t>Stimulus</t>
        </is>
      </c>
      <c r="D866" t="inlineStr">
        <is>
          <t>Baseline</t>
        </is>
      </c>
      <c r="E866" t="n">
        <v>60</v>
      </c>
      <c r="F866" t="inlineStr">
        <is>
          <t>Joy</t>
        </is>
      </c>
      <c r="G866" t="n">
        <v>50</v>
      </c>
      <c r="H866" t="n">
        <v>0</v>
      </c>
      <c r="I866" t="n">
        <v>0</v>
      </c>
      <c r="J866" t="inlineStr">
        <is>
          <t>NA</t>
        </is>
      </c>
      <c r="K866" t="n">
        <v>97.09999999999999</v>
      </c>
      <c r="L866">
        <f>IF(K866&gt;=80,"Yes","No")</f>
        <v/>
      </c>
      <c r="M866">
        <f>IF(ISNUMBER(H866),IF(H866&gt;0,1,0),"")</f>
        <v/>
      </c>
    </row>
    <row r="867">
      <c r="A867" t="inlineStr">
        <is>
          <t>SIMULATED_FEA_Commercial_Study</t>
        </is>
      </c>
      <c r="B867" t="inlineStr">
        <is>
          <t>V17</t>
        </is>
      </c>
      <c r="C867" t="inlineStr">
        <is>
          <t>Stimulus</t>
        </is>
      </c>
      <c r="D867" t="inlineStr">
        <is>
          <t>Baseline</t>
        </is>
      </c>
      <c r="E867" t="n">
        <v>60</v>
      </c>
      <c r="F867" t="inlineStr">
        <is>
          <t>Surprise</t>
        </is>
      </c>
      <c r="G867" t="n">
        <v>50</v>
      </c>
      <c r="H867" t="n">
        <v>0</v>
      </c>
      <c r="I867" t="n">
        <v>0</v>
      </c>
      <c r="J867" t="inlineStr">
        <is>
          <t>NA</t>
        </is>
      </c>
      <c r="K867" t="n">
        <v>97.09999999999999</v>
      </c>
      <c r="L867">
        <f>IF(K867&gt;=80,"Yes","No")</f>
        <v/>
      </c>
      <c r="M867">
        <f>IF(ISNUMBER(H867),IF(H867&gt;0,1,0),"")</f>
        <v/>
      </c>
    </row>
    <row r="868">
      <c r="A868" t="inlineStr">
        <is>
          <t>SIMULATED_FEA_Commercial_Study</t>
        </is>
      </c>
      <c r="B868" t="inlineStr">
        <is>
          <t>V17</t>
        </is>
      </c>
      <c r="C868" t="inlineStr">
        <is>
          <t>Stimulus</t>
        </is>
      </c>
      <c r="D868" t="inlineStr">
        <is>
          <t>Baseline</t>
        </is>
      </c>
      <c r="E868" t="n">
        <v>60</v>
      </c>
      <c r="F868" t="inlineStr">
        <is>
          <t>Brow Furrow</t>
        </is>
      </c>
      <c r="G868" t="n">
        <v>50</v>
      </c>
      <c r="H868" t="n">
        <v>2.39</v>
      </c>
      <c r="I868" t="n">
        <v>1</v>
      </c>
      <c r="J868" t="inlineStr">
        <is>
          <t>NA</t>
        </is>
      </c>
      <c r="K868" t="n">
        <v>97.09999999999999</v>
      </c>
      <c r="L868">
        <f>IF(K868&gt;=80,"Yes","No")</f>
        <v/>
      </c>
      <c r="M868">
        <f>IF(ISNUMBER(H868),IF(H868&gt;0,1,0),"")</f>
        <v/>
      </c>
    </row>
    <row r="869">
      <c r="A869" t="inlineStr">
        <is>
          <t>SIMULATED_FEA_Commercial_Study</t>
        </is>
      </c>
      <c r="B869" t="inlineStr">
        <is>
          <t>V17</t>
        </is>
      </c>
      <c r="C869" t="inlineStr">
        <is>
          <t>Stimulus</t>
        </is>
      </c>
      <c r="D869" t="inlineStr">
        <is>
          <t>Baseline</t>
        </is>
      </c>
      <c r="E869" t="n">
        <v>60</v>
      </c>
      <c r="F869" t="inlineStr">
        <is>
          <t>Positive Valence</t>
        </is>
      </c>
      <c r="G869" t="n">
        <v>50</v>
      </c>
      <c r="H869" t="n">
        <v>0</v>
      </c>
      <c r="I869" t="n">
        <v>0</v>
      </c>
      <c r="J869" t="inlineStr">
        <is>
          <t>NA</t>
        </is>
      </c>
      <c r="K869" t="n">
        <v>97.09999999999999</v>
      </c>
      <c r="L869">
        <f>IF(K869&gt;=80,"Yes","No")</f>
        <v/>
      </c>
      <c r="M869">
        <f>IF(ISNUMBER(H869),IF(H869&gt;0,1,0),"")</f>
        <v/>
      </c>
    </row>
    <row r="870">
      <c r="A870" t="inlineStr">
        <is>
          <t>SIMULATED_FEA_Commercial_Study</t>
        </is>
      </c>
      <c r="B870" t="inlineStr">
        <is>
          <t>V17</t>
        </is>
      </c>
      <c r="C870" t="inlineStr">
        <is>
          <t>Stimulus</t>
        </is>
      </c>
      <c r="D870" t="inlineStr">
        <is>
          <t>Baseline</t>
        </is>
      </c>
      <c r="E870" t="n">
        <v>60</v>
      </c>
      <c r="F870" t="inlineStr">
        <is>
          <t>Negative Valence</t>
        </is>
      </c>
      <c r="G870" t="n">
        <v>-50</v>
      </c>
      <c r="H870" t="n">
        <v>1.11</v>
      </c>
      <c r="I870" t="n">
        <v>1</v>
      </c>
      <c r="J870" t="inlineStr">
        <is>
          <t>NA</t>
        </is>
      </c>
      <c r="K870" t="n">
        <v>97.09999999999999</v>
      </c>
      <c r="L870">
        <f>IF(K870&gt;=80,"Yes","No")</f>
        <v/>
      </c>
      <c r="M870">
        <f>IF(ISNUMBER(H870),IF(H870&gt;0,1,0),"")</f>
        <v/>
      </c>
    </row>
    <row r="871">
      <c r="A871" t="inlineStr">
        <is>
          <t>SIMULATED_FEA_Commercial_Study</t>
        </is>
      </c>
      <c r="B871" t="inlineStr">
        <is>
          <t>V17</t>
        </is>
      </c>
      <c r="C871" t="inlineStr">
        <is>
          <t>Stimulus</t>
        </is>
      </c>
      <c r="D871" t="inlineStr">
        <is>
          <t>Baseline</t>
        </is>
      </c>
      <c r="E871" t="n">
        <v>60</v>
      </c>
      <c r="F871" t="inlineStr">
        <is>
          <t>Engagement</t>
        </is>
      </c>
      <c r="G871" t="inlineStr">
        <is>
          <t>NA</t>
        </is>
      </c>
      <c r="H871" t="inlineStr">
        <is>
          <t>NA</t>
        </is>
      </c>
      <c r="I871" t="inlineStr">
        <is>
          <t>NA</t>
        </is>
      </c>
      <c r="J871" t="n">
        <v>6.46</v>
      </c>
      <c r="K871" t="n">
        <v>97.09999999999999</v>
      </c>
      <c r="L871">
        <f>IF(K871&gt;=80,"Yes","No")</f>
        <v/>
      </c>
      <c r="M871">
        <f>IF(ISNUMBER(H871),IF(H871&gt;0,1,0),"")</f>
        <v/>
      </c>
    </row>
    <row r="872">
      <c r="A872" t="inlineStr">
        <is>
          <t>SIMULATED_FEA_Commercial_Study</t>
        </is>
      </c>
      <c r="B872" t="inlineStr">
        <is>
          <t>V17</t>
        </is>
      </c>
      <c r="C872" t="inlineStr">
        <is>
          <t>Stimulus</t>
        </is>
      </c>
      <c r="D872" t="inlineStr">
        <is>
          <t>Commercial</t>
        </is>
      </c>
      <c r="E872" t="n">
        <v>60</v>
      </c>
      <c r="F872" t="inlineStr">
        <is>
          <t>Joy</t>
        </is>
      </c>
      <c r="G872" t="n">
        <v>50</v>
      </c>
      <c r="H872" t="n">
        <v>10.06</v>
      </c>
      <c r="I872" t="n">
        <v>4</v>
      </c>
      <c r="J872" t="inlineStr">
        <is>
          <t>NA</t>
        </is>
      </c>
      <c r="K872" t="n">
        <v>97.09999999999999</v>
      </c>
      <c r="L872">
        <f>IF(K872&gt;=80,"Yes","No")</f>
        <v/>
      </c>
      <c r="M872">
        <f>IF(ISNUMBER(H872),IF(H872&gt;0,1,0),"")</f>
        <v/>
      </c>
    </row>
    <row r="873">
      <c r="A873" t="inlineStr">
        <is>
          <t>SIMULATED_FEA_Commercial_Study</t>
        </is>
      </c>
      <c r="B873" t="inlineStr">
        <is>
          <t>V17</t>
        </is>
      </c>
      <c r="C873" t="inlineStr">
        <is>
          <t>Stimulus</t>
        </is>
      </c>
      <c r="D873" t="inlineStr">
        <is>
          <t>Commercial</t>
        </is>
      </c>
      <c r="E873" t="n">
        <v>60</v>
      </c>
      <c r="F873" t="inlineStr">
        <is>
          <t>Surprise</t>
        </is>
      </c>
      <c r="G873" t="n">
        <v>50</v>
      </c>
      <c r="H873" t="n">
        <v>4.11</v>
      </c>
      <c r="I873" t="n">
        <v>4</v>
      </c>
      <c r="J873" t="inlineStr">
        <is>
          <t>NA</t>
        </is>
      </c>
      <c r="K873" t="n">
        <v>97.09999999999999</v>
      </c>
      <c r="L873">
        <f>IF(K873&gt;=80,"Yes","No")</f>
        <v/>
      </c>
      <c r="M873">
        <f>IF(ISNUMBER(H873),IF(H873&gt;0,1,0),"")</f>
        <v/>
      </c>
    </row>
    <row r="874">
      <c r="A874" t="inlineStr">
        <is>
          <t>SIMULATED_FEA_Commercial_Study</t>
        </is>
      </c>
      <c r="B874" t="inlineStr">
        <is>
          <t>V17</t>
        </is>
      </c>
      <c r="C874" t="inlineStr">
        <is>
          <t>Stimulus</t>
        </is>
      </c>
      <c r="D874" t="inlineStr">
        <is>
          <t>Commercial</t>
        </is>
      </c>
      <c r="E874" t="n">
        <v>60</v>
      </c>
      <c r="F874" t="inlineStr">
        <is>
          <t>Brow Furrow</t>
        </is>
      </c>
      <c r="G874" t="n">
        <v>50</v>
      </c>
      <c r="H874" t="n">
        <v>3.56</v>
      </c>
      <c r="I874" t="n">
        <v>9</v>
      </c>
      <c r="J874" t="inlineStr">
        <is>
          <t>NA</t>
        </is>
      </c>
      <c r="K874" t="n">
        <v>97.09999999999999</v>
      </c>
      <c r="L874">
        <f>IF(K874&gt;=80,"Yes","No")</f>
        <v/>
      </c>
      <c r="M874">
        <f>IF(ISNUMBER(H874),IF(H874&gt;0,1,0),"")</f>
        <v/>
      </c>
    </row>
    <row r="875">
      <c r="A875" t="inlineStr">
        <is>
          <t>SIMULATED_FEA_Commercial_Study</t>
        </is>
      </c>
      <c r="B875" t="inlineStr">
        <is>
          <t>V17</t>
        </is>
      </c>
      <c r="C875" t="inlineStr">
        <is>
          <t>Stimulus</t>
        </is>
      </c>
      <c r="D875" t="inlineStr">
        <is>
          <t>Commercial</t>
        </is>
      </c>
      <c r="E875" t="n">
        <v>60</v>
      </c>
      <c r="F875" t="inlineStr">
        <is>
          <t>Positive Valence</t>
        </is>
      </c>
      <c r="G875" t="n">
        <v>50</v>
      </c>
      <c r="H875" t="n">
        <v>13.33</v>
      </c>
      <c r="I875" t="n">
        <v>5</v>
      </c>
      <c r="J875" t="inlineStr">
        <is>
          <t>NA</t>
        </is>
      </c>
      <c r="K875" t="n">
        <v>97.09999999999999</v>
      </c>
      <c r="L875">
        <f>IF(K875&gt;=80,"Yes","No")</f>
        <v/>
      </c>
      <c r="M875">
        <f>IF(ISNUMBER(H875),IF(H875&gt;0,1,0),"")</f>
        <v/>
      </c>
    </row>
    <row r="876">
      <c r="A876" t="inlineStr">
        <is>
          <t>SIMULATED_FEA_Commercial_Study</t>
        </is>
      </c>
      <c r="B876" t="inlineStr">
        <is>
          <t>V17</t>
        </is>
      </c>
      <c r="C876" t="inlineStr">
        <is>
          <t>Stimulus</t>
        </is>
      </c>
      <c r="D876" t="inlineStr">
        <is>
          <t>Commercial</t>
        </is>
      </c>
      <c r="E876" t="n">
        <v>60</v>
      </c>
      <c r="F876" t="inlineStr">
        <is>
          <t>Negative Valence</t>
        </is>
      </c>
      <c r="G876" t="n">
        <v>-50</v>
      </c>
      <c r="H876" t="n">
        <v>0</v>
      </c>
      <c r="I876" t="n">
        <v>0</v>
      </c>
      <c r="J876" t="inlineStr">
        <is>
          <t>NA</t>
        </is>
      </c>
      <c r="K876" t="n">
        <v>97.09999999999999</v>
      </c>
      <c r="L876">
        <f>IF(K876&gt;=80,"Yes","No")</f>
        <v/>
      </c>
      <c r="M876">
        <f>IF(ISNUMBER(H876),IF(H876&gt;0,1,0),"")</f>
        <v/>
      </c>
    </row>
    <row r="877">
      <c r="A877" t="inlineStr">
        <is>
          <t>SIMULATED_FEA_Commercial_Study</t>
        </is>
      </c>
      <c r="B877" t="inlineStr">
        <is>
          <t>V17</t>
        </is>
      </c>
      <c r="C877" t="inlineStr">
        <is>
          <t>Stimulus</t>
        </is>
      </c>
      <c r="D877" t="inlineStr">
        <is>
          <t>Commercial</t>
        </is>
      </c>
      <c r="E877" t="n">
        <v>60</v>
      </c>
      <c r="F877" t="inlineStr">
        <is>
          <t>Engagement</t>
        </is>
      </c>
      <c r="G877" t="inlineStr">
        <is>
          <t>NA</t>
        </is>
      </c>
      <c r="H877" t="inlineStr">
        <is>
          <t>NA</t>
        </is>
      </c>
      <c r="I877" t="inlineStr">
        <is>
          <t>NA</t>
        </is>
      </c>
      <c r="J877" t="n">
        <v>19.75</v>
      </c>
      <c r="K877" t="n">
        <v>97.09999999999999</v>
      </c>
      <c r="L877">
        <f>IF(K877&gt;=80,"Yes","No")</f>
        <v/>
      </c>
      <c r="M877">
        <f>IF(ISNUMBER(H877),IF(H877&gt;0,1,0),"")</f>
        <v/>
      </c>
    </row>
    <row r="878">
      <c r="A878" t="inlineStr">
        <is>
          <t>SIMULATED_FEA_Commercial_Study</t>
        </is>
      </c>
      <c r="B878" t="inlineStr">
        <is>
          <t>V17</t>
        </is>
      </c>
      <c r="C878" t="inlineStr">
        <is>
          <t>Stimulus</t>
        </is>
      </c>
      <c r="D878" t="inlineStr">
        <is>
          <t>Recovery</t>
        </is>
      </c>
      <c r="E878" t="n">
        <v>15</v>
      </c>
      <c r="F878" t="inlineStr">
        <is>
          <t>Joy</t>
        </is>
      </c>
      <c r="G878" t="n">
        <v>50</v>
      </c>
      <c r="H878" t="n">
        <v>0</v>
      </c>
      <c r="I878" t="n">
        <v>0</v>
      </c>
      <c r="J878" t="inlineStr">
        <is>
          <t>NA</t>
        </is>
      </c>
      <c r="K878" t="n">
        <v>97.09999999999999</v>
      </c>
      <c r="L878">
        <f>IF(K878&gt;=80,"Yes","No")</f>
        <v/>
      </c>
      <c r="M878">
        <f>IF(ISNUMBER(H878),IF(H878&gt;0,1,0),"")</f>
        <v/>
      </c>
    </row>
    <row r="879">
      <c r="A879" t="inlineStr">
        <is>
          <t>SIMULATED_FEA_Commercial_Study</t>
        </is>
      </c>
      <c r="B879" t="inlineStr">
        <is>
          <t>V17</t>
        </is>
      </c>
      <c r="C879" t="inlineStr">
        <is>
          <t>Stimulus</t>
        </is>
      </c>
      <c r="D879" t="inlineStr">
        <is>
          <t>Recovery</t>
        </is>
      </c>
      <c r="E879" t="n">
        <v>15</v>
      </c>
      <c r="F879" t="inlineStr">
        <is>
          <t>Surprise</t>
        </is>
      </c>
      <c r="G879" t="n">
        <v>50</v>
      </c>
      <c r="H879" t="n">
        <v>0</v>
      </c>
      <c r="I879" t="n">
        <v>0</v>
      </c>
      <c r="J879" t="inlineStr">
        <is>
          <t>NA</t>
        </is>
      </c>
      <c r="K879" t="n">
        <v>97.09999999999999</v>
      </c>
      <c r="L879">
        <f>IF(K879&gt;=80,"Yes","No")</f>
        <v/>
      </c>
      <c r="M879">
        <f>IF(ISNUMBER(H879),IF(H879&gt;0,1,0),"")</f>
        <v/>
      </c>
    </row>
    <row r="880">
      <c r="A880" t="inlineStr">
        <is>
          <t>SIMULATED_FEA_Commercial_Study</t>
        </is>
      </c>
      <c r="B880" t="inlineStr">
        <is>
          <t>V17</t>
        </is>
      </c>
      <c r="C880" t="inlineStr">
        <is>
          <t>Stimulus</t>
        </is>
      </c>
      <c r="D880" t="inlineStr">
        <is>
          <t>Recovery</t>
        </is>
      </c>
      <c r="E880" t="n">
        <v>15</v>
      </c>
      <c r="F880" t="inlineStr">
        <is>
          <t>Brow Furrow</t>
        </is>
      </c>
      <c r="G880" t="n">
        <v>50</v>
      </c>
      <c r="H880" t="n">
        <v>0</v>
      </c>
      <c r="I880" t="n">
        <v>0</v>
      </c>
      <c r="J880" t="inlineStr">
        <is>
          <t>NA</t>
        </is>
      </c>
      <c r="K880" t="n">
        <v>97.09999999999999</v>
      </c>
      <c r="L880">
        <f>IF(K880&gt;=80,"Yes","No")</f>
        <v/>
      </c>
      <c r="M880">
        <f>IF(ISNUMBER(H880),IF(H880&gt;0,1,0),"")</f>
        <v/>
      </c>
    </row>
    <row r="881">
      <c r="A881" t="inlineStr">
        <is>
          <t>SIMULATED_FEA_Commercial_Study</t>
        </is>
      </c>
      <c r="B881" t="inlineStr">
        <is>
          <t>V17</t>
        </is>
      </c>
      <c r="C881" t="inlineStr">
        <is>
          <t>Stimulus</t>
        </is>
      </c>
      <c r="D881" t="inlineStr">
        <is>
          <t>Recovery</t>
        </is>
      </c>
      <c r="E881" t="n">
        <v>15</v>
      </c>
      <c r="F881" t="inlineStr">
        <is>
          <t>Positive Valence</t>
        </is>
      </c>
      <c r="G881" t="n">
        <v>50</v>
      </c>
      <c r="H881" t="n">
        <v>0</v>
      </c>
      <c r="I881" t="n">
        <v>0</v>
      </c>
      <c r="J881" t="inlineStr">
        <is>
          <t>NA</t>
        </is>
      </c>
      <c r="K881" t="n">
        <v>97.09999999999999</v>
      </c>
      <c r="L881">
        <f>IF(K881&gt;=80,"Yes","No")</f>
        <v/>
      </c>
      <c r="M881">
        <f>IF(ISNUMBER(H881),IF(H881&gt;0,1,0),"")</f>
        <v/>
      </c>
    </row>
    <row r="882">
      <c r="A882" t="inlineStr">
        <is>
          <t>SIMULATED_FEA_Commercial_Study</t>
        </is>
      </c>
      <c r="B882" t="inlineStr">
        <is>
          <t>V17</t>
        </is>
      </c>
      <c r="C882" t="inlineStr">
        <is>
          <t>Stimulus</t>
        </is>
      </c>
      <c r="D882" t="inlineStr">
        <is>
          <t>Recovery</t>
        </is>
      </c>
      <c r="E882" t="n">
        <v>15</v>
      </c>
      <c r="F882" t="inlineStr">
        <is>
          <t>Negative Valence</t>
        </is>
      </c>
      <c r="G882" t="n">
        <v>-50</v>
      </c>
      <c r="H882" t="n">
        <v>0</v>
      </c>
      <c r="I882" t="n">
        <v>0</v>
      </c>
      <c r="J882" t="inlineStr">
        <is>
          <t>NA</t>
        </is>
      </c>
      <c r="K882" t="n">
        <v>97.09999999999999</v>
      </c>
      <c r="L882">
        <f>IF(K882&gt;=80,"Yes","No")</f>
        <v/>
      </c>
      <c r="M882">
        <f>IF(ISNUMBER(H882),IF(H882&gt;0,1,0),"")</f>
        <v/>
      </c>
    </row>
    <row r="883">
      <c r="A883" t="inlineStr">
        <is>
          <t>SIMULATED_FEA_Commercial_Study</t>
        </is>
      </c>
      <c r="B883" t="inlineStr">
        <is>
          <t>V17</t>
        </is>
      </c>
      <c r="C883" t="inlineStr">
        <is>
          <t>Stimulus</t>
        </is>
      </c>
      <c r="D883" t="inlineStr">
        <is>
          <t>Recovery</t>
        </is>
      </c>
      <c r="E883" t="n">
        <v>15</v>
      </c>
      <c r="F883" t="inlineStr">
        <is>
          <t>Engagement</t>
        </is>
      </c>
      <c r="G883" t="inlineStr">
        <is>
          <t>NA</t>
        </is>
      </c>
      <c r="H883" t="inlineStr">
        <is>
          <t>NA</t>
        </is>
      </c>
      <c r="I883" t="inlineStr">
        <is>
          <t>NA</t>
        </is>
      </c>
      <c r="J883" t="n">
        <v>4.79</v>
      </c>
      <c r="K883" t="n">
        <v>97.09999999999999</v>
      </c>
      <c r="L883">
        <f>IF(K883&gt;=80,"Yes","No")</f>
        <v/>
      </c>
      <c r="M883">
        <f>IF(ISNUMBER(H883),IF(H883&gt;0,1,0),"")</f>
        <v/>
      </c>
    </row>
    <row r="884">
      <c r="A884" t="inlineStr">
        <is>
          <t>SIMULATED_FEA_Commercial_Study</t>
        </is>
      </c>
      <c r="B884" t="inlineStr">
        <is>
          <t>V17</t>
        </is>
      </c>
      <c r="C884" t="inlineStr">
        <is>
          <t>Annotation</t>
        </is>
      </c>
      <c r="D884" t="inlineStr">
        <is>
          <t>Bin_01</t>
        </is>
      </c>
      <c r="E884" t="n">
        <v>10</v>
      </c>
      <c r="F884" t="inlineStr">
        <is>
          <t>Joy</t>
        </is>
      </c>
      <c r="G884" t="n">
        <v>50</v>
      </c>
      <c r="H884" t="n">
        <v>0</v>
      </c>
      <c r="I884" t="n">
        <v>0</v>
      </c>
      <c r="J884" t="inlineStr">
        <is>
          <t>NA</t>
        </is>
      </c>
      <c r="K884" t="n">
        <v>97.09999999999999</v>
      </c>
      <c r="L884">
        <f>IF(K884&gt;=80,"Yes","No")</f>
        <v/>
      </c>
      <c r="M884">
        <f>IF(ISNUMBER(H884),IF(H884&gt;0,1,0),"")</f>
        <v/>
      </c>
    </row>
    <row r="885">
      <c r="A885" t="inlineStr">
        <is>
          <t>SIMULATED_FEA_Commercial_Study</t>
        </is>
      </c>
      <c r="B885" t="inlineStr">
        <is>
          <t>V17</t>
        </is>
      </c>
      <c r="C885" t="inlineStr">
        <is>
          <t>Annotation</t>
        </is>
      </c>
      <c r="D885" t="inlineStr">
        <is>
          <t>Bin_01</t>
        </is>
      </c>
      <c r="E885" t="n">
        <v>10</v>
      </c>
      <c r="F885" t="inlineStr">
        <is>
          <t>Surprise</t>
        </is>
      </c>
      <c r="G885" t="n">
        <v>50</v>
      </c>
      <c r="H885" t="n">
        <v>0</v>
      </c>
      <c r="I885" t="n">
        <v>0</v>
      </c>
      <c r="J885" t="inlineStr">
        <is>
          <t>NA</t>
        </is>
      </c>
      <c r="K885" t="n">
        <v>97.09999999999999</v>
      </c>
      <c r="L885">
        <f>IF(K885&gt;=80,"Yes","No")</f>
        <v/>
      </c>
      <c r="M885">
        <f>IF(ISNUMBER(H885),IF(H885&gt;0,1,0),"")</f>
        <v/>
      </c>
    </row>
    <row r="886">
      <c r="A886" t="inlineStr">
        <is>
          <t>SIMULATED_FEA_Commercial_Study</t>
        </is>
      </c>
      <c r="B886" t="inlineStr">
        <is>
          <t>V17</t>
        </is>
      </c>
      <c r="C886" t="inlineStr">
        <is>
          <t>Annotation</t>
        </is>
      </c>
      <c r="D886" t="inlineStr">
        <is>
          <t>Bin_01</t>
        </is>
      </c>
      <c r="E886" t="n">
        <v>10</v>
      </c>
      <c r="F886" t="inlineStr">
        <is>
          <t>Brow Furrow</t>
        </is>
      </c>
      <c r="G886" t="n">
        <v>50</v>
      </c>
      <c r="H886" t="n">
        <v>0</v>
      </c>
      <c r="I886" t="n">
        <v>0</v>
      </c>
      <c r="J886" t="inlineStr">
        <is>
          <t>NA</t>
        </is>
      </c>
      <c r="K886" t="n">
        <v>97.09999999999999</v>
      </c>
      <c r="L886">
        <f>IF(K886&gt;=80,"Yes","No")</f>
        <v/>
      </c>
      <c r="M886">
        <f>IF(ISNUMBER(H886),IF(H886&gt;0,1,0),"")</f>
        <v/>
      </c>
    </row>
    <row r="887">
      <c r="A887" t="inlineStr">
        <is>
          <t>SIMULATED_FEA_Commercial_Study</t>
        </is>
      </c>
      <c r="B887" t="inlineStr">
        <is>
          <t>V17</t>
        </is>
      </c>
      <c r="C887" t="inlineStr">
        <is>
          <t>Annotation</t>
        </is>
      </c>
      <c r="D887" t="inlineStr">
        <is>
          <t>Bin_01</t>
        </is>
      </c>
      <c r="E887" t="n">
        <v>10</v>
      </c>
      <c r="F887" t="inlineStr">
        <is>
          <t>Positive Valence</t>
        </is>
      </c>
      <c r="G887" t="n">
        <v>50</v>
      </c>
      <c r="H887" t="n">
        <v>0</v>
      </c>
      <c r="I887" t="n">
        <v>0</v>
      </c>
      <c r="J887" t="inlineStr">
        <is>
          <t>NA</t>
        </is>
      </c>
      <c r="K887" t="n">
        <v>97.09999999999999</v>
      </c>
      <c r="L887">
        <f>IF(K887&gt;=80,"Yes","No")</f>
        <v/>
      </c>
      <c r="M887">
        <f>IF(ISNUMBER(H887),IF(H887&gt;0,1,0),"")</f>
        <v/>
      </c>
    </row>
    <row r="888">
      <c r="A888" t="inlineStr">
        <is>
          <t>SIMULATED_FEA_Commercial_Study</t>
        </is>
      </c>
      <c r="B888" t="inlineStr">
        <is>
          <t>V17</t>
        </is>
      </c>
      <c r="C888" t="inlineStr">
        <is>
          <t>Annotation</t>
        </is>
      </c>
      <c r="D888" t="inlineStr">
        <is>
          <t>Bin_01</t>
        </is>
      </c>
      <c r="E888" t="n">
        <v>10</v>
      </c>
      <c r="F888" t="inlineStr">
        <is>
          <t>Negative Valence</t>
        </is>
      </c>
      <c r="G888" t="n">
        <v>-50</v>
      </c>
      <c r="H888" t="n">
        <v>0</v>
      </c>
      <c r="I888" t="n">
        <v>0</v>
      </c>
      <c r="J888" t="inlineStr">
        <is>
          <t>NA</t>
        </is>
      </c>
      <c r="K888" t="n">
        <v>97.09999999999999</v>
      </c>
      <c r="L888">
        <f>IF(K888&gt;=80,"Yes","No")</f>
        <v/>
      </c>
      <c r="M888">
        <f>IF(ISNUMBER(H888),IF(H888&gt;0,1,0),"")</f>
        <v/>
      </c>
    </row>
    <row r="889">
      <c r="A889" t="inlineStr">
        <is>
          <t>SIMULATED_FEA_Commercial_Study</t>
        </is>
      </c>
      <c r="B889" t="inlineStr">
        <is>
          <t>V17</t>
        </is>
      </c>
      <c r="C889" t="inlineStr">
        <is>
          <t>Annotation</t>
        </is>
      </c>
      <c r="D889" t="inlineStr">
        <is>
          <t>Bin_01</t>
        </is>
      </c>
      <c r="E889" t="n">
        <v>10</v>
      </c>
      <c r="F889" t="inlineStr">
        <is>
          <t>Engagement</t>
        </is>
      </c>
      <c r="G889" t="inlineStr">
        <is>
          <t>NA</t>
        </is>
      </c>
      <c r="H889" t="inlineStr">
        <is>
          <t>NA</t>
        </is>
      </c>
      <c r="I889" t="inlineStr">
        <is>
          <t>NA</t>
        </is>
      </c>
      <c r="J889" t="n">
        <v>7.74</v>
      </c>
      <c r="K889" t="n">
        <v>97.09999999999999</v>
      </c>
      <c r="L889">
        <f>IF(K889&gt;=80,"Yes","No")</f>
        <v/>
      </c>
      <c r="M889">
        <f>IF(ISNUMBER(H889),IF(H889&gt;0,1,0),"")</f>
        <v/>
      </c>
    </row>
    <row r="890">
      <c r="A890" t="inlineStr">
        <is>
          <t>SIMULATED_FEA_Commercial_Study</t>
        </is>
      </c>
      <c r="B890" t="inlineStr">
        <is>
          <t>V17</t>
        </is>
      </c>
      <c r="C890" t="inlineStr">
        <is>
          <t>Annotation</t>
        </is>
      </c>
      <c r="D890" t="inlineStr">
        <is>
          <t>Bin_02</t>
        </is>
      </c>
      <c r="E890" t="n">
        <v>10</v>
      </c>
      <c r="F890" t="inlineStr">
        <is>
          <t>Joy</t>
        </is>
      </c>
      <c r="G890" t="n">
        <v>50</v>
      </c>
      <c r="H890" t="n">
        <v>11</v>
      </c>
      <c r="I890" t="n">
        <v>1</v>
      </c>
      <c r="J890" t="inlineStr">
        <is>
          <t>NA</t>
        </is>
      </c>
      <c r="K890" t="n">
        <v>97.09999999999999</v>
      </c>
      <c r="L890">
        <f>IF(K890&gt;=80,"Yes","No")</f>
        <v/>
      </c>
      <c r="M890">
        <f>IF(ISNUMBER(H890),IF(H890&gt;0,1,0),"")</f>
        <v/>
      </c>
    </row>
    <row r="891">
      <c r="A891" t="inlineStr">
        <is>
          <t>SIMULATED_FEA_Commercial_Study</t>
        </is>
      </c>
      <c r="B891" t="inlineStr">
        <is>
          <t>V17</t>
        </is>
      </c>
      <c r="C891" t="inlineStr">
        <is>
          <t>Annotation</t>
        </is>
      </c>
      <c r="D891" t="inlineStr">
        <is>
          <t>Bin_02</t>
        </is>
      </c>
      <c r="E891" t="n">
        <v>10</v>
      </c>
      <c r="F891" t="inlineStr">
        <is>
          <t>Surprise</t>
        </is>
      </c>
      <c r="G891" t="n">
        <v>50</v>
      </c>
      <c r="H891" t="n">
        <v>7</v>
      </c>
      <c r="I891" t="n">
        <v>1</v>
      </c>
      <c r="J891" t="inlineStr">
        <is>
          <t>NA</t>
        </is>
      </c>
      <c r="K891" t="n">
        <v>97.09999999999999</v>
      </c>
      <c r="L891">
        <f>IF(K891&gt;=80,"Yes","No")</f>
        <v/>
      </c>
      <c r="M891">
        <f>IF(ISNUMBER(H891),IF(H891&gt;0,1,0),"")</f>
        <v/>
      </c>
    </row>
    <row r="892">
      <c r="A892" t="inlineStr">
        <is>
          <t>SIMULATED_FEA_Commercial_Study</t>
        </is>
      </c>
      <c r="B892" t="inlineStr">
        <is>
          <t>V17</t>
        </is>
      </c>
      <c r="C892" t="inlineStr">
        <is>
          <t>Annotation</t>
        </is>
      </c>
      <c r="D892" t="inlineStr">
        <is>
          <t>Bin_02</t>
        </is>
      </c>
      <c r="E892" t="n">
        <v>10</v>
      </c>
      <c r="F892" t="inlineStr">
        <is>
          <t>Brow Furrow</t>
        </is>
      </c>
      <c r="G892" t="n">
        <v>50</v>
      </c>
      <c r="H892" t="n">
        <v>10.33</v>
      </c>
      <c r="I892" t="n">
        <v>5</v>
      </c>
      <c r="J892" t="inlineStr">
        <is>
          <t>NA</t>
        </is>
      </c>
      <c r="K892" t="n">
        <v>97.09999999999999</v>
      </c>
      <c r="L892">
        <f>IF(K892&gt;=80,"Yes","No")</f>
        <v/>
      </c>
      <c r="M892">
        <f>IF(ISNUMBER(H892),IF(H892&gt;0,1,0),"")</f>
        <v/>
      </c>
    </row>
    <row r="893">
      <c r="A893" t="inlineStr">
        <is>
          <t>SIMULATED_FEA_Commercial_Study</t>
        </is>
      </c>
      <c r="B893" t="inlineStr">
        <is>
          <t>V17</t>
        </is>
      </c>
      <c r="C893" t="inlineStr">
        <is>
          <t>Annotation</t>
        </is>
      </c>
      <c r="D893" t="inlineStr">
        <is>
          <t>Bin_02</t>
        </is>
      </c>
      <c r="E893" t="n">
        <v>10</v>
      </c>
      <c r="F893" t="inlineStr">
        <is>
          <t>Positive Valence</t>
        </is>
      </c>
      <c r="G893" t="n">
        <v>50</v>
      </c>
      <c r="H893" t="n">
        <v>11</v>
      </c>
      <c r="I893" t="n">
        <v>1</v>
      </c>
      <c r="J893" t="inlineStr">
        <is>
          <t>NA</t>
        </is>
      </c>
      <c r="K893" t="n">
        <v>97.09999999999999</v>
      </c>
      <c r="L893">
        <f>IF(K893&gt;=80,"Yes","No")</f>
        <v/>
      </c>
      <c r="M893">
        <f>IF(ISNUMBER(H893),IF(H893&gt;0,1,0),"")</f>
        <v/>
      </c>
    </row>
    <row r="894">
      <c r="A894" t="inlineStr">
        <is>
          <t>SIMULATED_FEA_Commercial_Study</t>
        </is>
      </c>
      <c r="B894" t="inlineStr">
        <is>
          <t>V17</t>
        </is>
      </c>
      <c r="C894" t="inlineStr">
        <is>
          <t>Annotation</t>
        </is>
      </c>
      <c r="D894" t="inlineStr">
        <is>
          <t>Bin_02</t>
        </is>
      </c>
      <c r="E894" t="n">
        <v>10</v>
      </c>
      <c r="F894" t="inlineStr">
        <is>
          <t>Negative Valence</t>
        </is>
      </c>
      <c r="G894" t="n">
        <v>-50</v>
      </c>
      <c r="H894" t="n">
        <v>0</v>
      </c>
      <c r="I894" t="n">
        <v>0</v>
      </c>
      <c r="J894" t="inlineStr">
        <is>
          <t>NA</t>
        </is>
      </c>
      <c r="K894" t="n">
        <v>97.09999999999999</v>
      </c>
      <c r="L894">
        <f>IF(K894&gt;=80,"Yes","No")</f>
        <v/>
      </c>
      <c r="M894">
        <f>IF(ISNUMBER(H894),IF(H894&gt;0,1,0),"")</f>
        <v/>
      </c>
    </row>
    <row r="895">
      <c r="A895" t="inlineStr">
        <is>
          <t>SIMULATED_FEA_Commercial_Study</t>
        </is>
      </c>
      <c r="B895" t="inlineStr">
        <is>
          <t>V17</t>
        </is>
      </c>
      <c r="C895" t="inlineStr">
        <is>
          <t>Annotation</t>
        </is>
      </c>
      <c r="D895" t="inlineStr">
        <is>
          <t>Bin_02</t>
        </is>
      </c>
      <c r="E895" t="n">
        <v>10</v>
      </c>
      <c r="F895" t="inlineStr">
        <is>
          <t>Engagement</t>
        </is>
      </c>
      <c r="G895" t="inlineStr">
        <is>
          <t>NA</t>
        </is>
      </c>
      <c r="H895" t="inlineStr">
        <is>
          <t>NA</t>
        </is>
      </c>
      <c r="I895" t="inlineStr">
        <is>
          <t>NA</t>
        </is>
      </c>
      <c r="J895" t="n">
        <v>32.55</v>
      </c>
      <c r="K895" t="n">
        <v>97.09999999999999</v>
      </c>
      <c r="L895">
        <f>IF(K895&gt;=80,"Yes","No")</f>
        <v/>
      </c>
      <c r="M895">
        <f>IF(ISNUMBER(H895),IF(H895&gt;0,1,0),"")</f>
        <v/>
      </c>
    </row>
    <row r="896">
      <c r="A896" t="inlineStr">
        <is>
          <t>SIMULATED_FEA_Commercial_Study</t>
        </is>
      </c>
      <c r="B896" t="inlineStr">
        <is>
          <t>V17</t>
        </is>
      </c>
      <c r="C896" t="inlineStr">
        <is>
          <t>Annotation</t>
        </is>
      </c>
      <c r="D896" t="inlineStr">
        <is>
          <t>Bin_03</t>
        </is>
      </c>
      <c r="E896" t="n">
        <v>10</v>
      </c>
      <c r="F896" t="inlineStr">
        <is>
          <t>Joy</t>
        </is>
      </c>
      <c r="G896" t="n">
        <v>50</v>
      </c>
      <c r="H896" t="n">
        <v>0</v>
      </c>
      <c r="I896" t="n">
        <v>0</v>
      </c>
      <c r="J896" t="inlineStr">
        <is>
          <t>NA</t>
        </is>
      </c>
      <c r="K896" t="n">
        <v>97.09999999999999</v>
      </c>
      <c r="L896">
        <f>IF(K896&gt;=80,"Yes","No")</f>
        <v/>
      </c>
      <c r="M896">
        <f>IF(ISNUMBER(H896),IF(H896&gt;0,1,0),"")</f>
        <v/>
      </c>
    </row>
    <row r="897">
      <c r="A897" t="inlineStr">
        <is>
          <t>SIMULATED_FEA_Commercial_Study</t>
        </is>
      </c>
      <c r="B897" t="inlineStr">
        <is>
          <t>V17</t>
        </is>
      </c>
      <c r="C897" t="inlineStr">
        <is>
          <t>Annotation</t>
        </is>
      </c>
      <c r="D897" t="inlineStr">
        <is>
          <t>Bin_03</t>
        </is>
      </c>
      <c r="E897" t="n">
        <v>10</v>
      </c>
      <c r="F897" t="inlineStr">
        <is>
          <t>Surprise</t>
        </is>
      </c>
      <c r="G897" t="n">
        <v>50</v>
      </c>
      <c r="H897" t="n">
        <v>12.33</v>
      </c>
      <c r="I897" t="n">
        <v>2</v>
      </c>
      <c r="J897" t="inlineStr">
        <is>
          <t>NA</t>
        </is>
      </c>
      <c r="K897" t="n">
        <v>97.09999999999999</v>
      </c>
      <c r="L897">
        <f>IF(K897&gt;=80,"Yes","No")</f>
        <v/>
      </c>
      <c r="M897">
        <f>IF(ISNUMBER(H897),IF(H897&gt;0,1,0),"")</f>
        <v/>
      </c>
    </row>
    <row r="898">
      <c r="A898" t="inlineStr">
        <is>
          <t>SIMULATED_FEA_Commercial_Study</t>
        </is>
      </c>
      <c r="B898" t="inlineStr">
        <is>
          <t>V17</t>
        </is>
      </c>
      <c r="C898" t="inlineStr">
        <is>
          <t>Annotation</t>
        </is>
      </c>
      <c r="D898" t="inlineStr">
        <is>
          <t>Bin_03</t>
        </is>
      </c>
      <c r="E898" t="n">
        <v>10</v>
      </c>
      <c r="F898" t="inlineStr">
        <is>
          <t>Brow Furrow</t>
        </is>
      </c>
      <c r="G898" t="n">
        <v>50</v>
      </c>
      <c r="H898" t="n">
        <v>0</v>
      </c>
      <c r="I898" t="n">
        <v>0</v>
      </c>
      <c r="J898" t="inlineStr">
        <is>
          <t>NA</t>
        </is>
      </c>
      <c r="K898" t="n">
        <v>97.09999999999999</v>
      </c>
      <c r="L898">
        <f>IF(K898&gt;=80,"Yes","No")</f>
        <v/>
      </c>
      <c r="M898">
        <f>IF(ISNUMBER(H898),IF(H898&gt;0,1,0),"")</f>
        <v/>
      </c>
    </row>
    <row r="899">
      <c r="A899" t="inlineStr">
        <is>
          <t>SIMULATED_FEA_Commercial_Study</t>
        </is>
      </c>
      <c r="B899" t="inlineStr">
        <is>
          <t>V17</t>
        </is>
      </c>
      <c r="C899" t="inlineStr">
        <is>
          <t>Annotation</t>
        </is>
      </c>
      <c r="D899" t="inlineStr">
        <is>
          <t>Bin_03</t>
        </is>
      </c>
      <c r="E899" t="n">
        <v>10</v>
      </c>
      <c r="F899" t="inlineStr">
        <is>
          <t>Positive Valence</t>
        </is>
      </c>
      <c r="G899" t="n">
        <v>50</v>
      </c>
      <c r="H899" t="n">
        <v>0</v>
      </c>
      <c r="I899" t="n">
        <v>0</v>
      </c>
      <c r="J899" t="inlineStr">
        <is>
          <t>NA</t>
        </is>
      </c>
      <c r="K899" t="n">
        <v>97.09999999999999</v>
      </c>
      <c r="L899">
        <f>IF(K899&gt;=80,"Yes","No")</f>
        <v/>
      </c>
      <c r="M899">
        <f>IF(ISNUMBER(H899),IF(H899&gt;0,1,0),"")</f>
        <v/>
      </c>
    </row>
    <row r="900">
      <c r="A900" t="inlineStr">
        <is>
          <t>SIMULATED_FEA_Commercial_Study</t>
        </is>
      </c>
      <c r="B900" t="inlineStr">
        <is>
          <t>V17</t>
        </is>
      </c>
      <c r="C900" t="inlineStr">
        <is>
          <t>Annotation</t>
        </is>
      </c>
      <c r="D900" t="inlineStr">
        <is>
          <t>Bin_03</t>
        </is>
      </c>
      <c r="E900" t="n">
        <v>10</v>
      </c>
      <c r="F900" t="inlineStr">
        <is>
          <t>Negative Valence</t>
        </is>
      </c>
      <c r="G900" t="n">
        <v>-50</v>
      </c>
      <c r="H900" t="n">
        <v>0</v>
      </c>
      <c r="I900" t="n">
        <v>0</v>
      </c>
      <c r="J900" t="inlineStr">
        <is>
          <t>NA</t>
        </is>
      </c>
      <c r="K900" t="n">
        <v>97.09999999999999</v>
      </c>
      <c r="L900">
        <f>IF(K900&gt;=80,"Yes","No")</f>
        <v/>
      </c>
      <c r="M900">
        <f>IF(ISNUMBER(H900),IF(H900&gt;0,1,0),"")</f>
        <v/>
      </c>
    </row>
    <row r="901">
      <c r="A901" t="inlineStr">
        <is>
          <t>SIMULATED_FEA_Commercial_Study</t>
        </is>
      </c>
      <c r="B901" t="inlineStr">
        <is>
          <t>V17</t>
        </is>
      </c>
      <c r="C901" t="inlineStr">
        <is>
          <t>Annotation</t>
        </is>
      </c>
      <c r="D901" t="inlineStr">
        <is>
          <t>Bin_03</t>
        </is>
      </c>
      <c r="E901" t="n">
        <v>10</v>
      </c>
      <c r="F901" t="inlineStr">
        <is>
          <t>Engagement</t>
        </is>
      </c>
      <c r="G901" t="inlineStr">
        <is>
          <t>NA</t>
        </is>
      </c>
      <c r="H901" t="inlineStr">
        <is>
          <t>NA</t>
        </is>
      </c>
      <c r="I901" t="inlineStr">
        <is>
          <t>NA</t>
        </is>
      </c>
      <c r="J901" t="n">
        <v>14.76</v>
      </c>
      <c r="K901" t="n">
        <v>97.09999999999999</v>
      </c>
      <c r="L901">
        <f>IF(K901&gt;=80,"Yes","No")</f>
        <v/>
      </c>
      <c r="M901">
        <f>IF(ISNUMBER(H901),IF(H901&gt;0,1,0),"")</f>
        <v/>
      </c>
    </row>
    <row r="902">
      <c r="A902" t="inlineStr">
        <is>
          <t>SIMULATED_FEA_Commercial_Study</t>
        </is>
      </c>
      <c r="B902" t="inlineStr">
        <is>
          <t>V17</t>
        </is>
      </c>
      <c r="C902" t="inlineStr">
        <is>
          <t>Annotation</t>
        </is>
      </c>
      <c r="D902" t="inlineStr">
        <is>
          <t>Bin_04</t>
        </is>
      </c>
      <c r="E902" t="n">
        <v>10</v>
      </c>
      <c r="F902" t="inlineStr">
        <is>
          <t>Joy</t>
        </is>
      </c>
      <c r="G902" t="n">
        <v>50</v>
      </c>
      <c r="H902" t="n">
        <v>0</v>
      </c>
      <c r="I902" t="n">
        <v>0</v>
      </c>
      <c r="J902" t="inlineStr">
        <is>
          <t>NA</t>
        </is>
      </c>
      <c r="K902" t="n">
        <v>97.09999999999999</v>
      </c>
      <c r="L902">
        <f>IF(K902&gt;=80,"Yes","No")</f>
        <v/>
      </c>
      <c r="M902">
        <f>IF(ISNUMBER(H902),IF(H902&gt;0,1,0),"")</f>
        <v/>
      </c>
    </row>
    <row r="903">
      <c r="A903" t="inlineStr">
        <is>
          <t>SIMULATED_FEA_Commercial_Study</t>
        </is>
      </c>
      <c r="B903" t="inlineStr">
        <is>
          <t>V17</t>
        </is>
      </c>
      <c r="C903" t="inlineStr">
        <is>
          <t>Annotation</t>
        </is>
      </c>
      <c r="D903" t="inlineStr">
        <is>
          <t>Bin_04</t>
        </is>
      </c>
      <c r="E903" t="n">
        <v>10</v>
      </c>
      <c r="F903" t="inlineStr">
        <is>
          <t>Surprise</t>
        </is>
      </c>
      <c r="G903" t="n">
        <v>50</v>
      </c>
      <c r="H903" t="n">
        <v>5.33</v>
      </c>
      <c r="I903" t="n">
        <v>1</v>
      </c>
      <c r="J903" t="inlineStr">
        <is>
          <t>NA</t>
        </is>
      </c>
      <c r="K903" t="n">
        <v>97.09999999999999</v>
      </c>
      <c r="L903">
        <f>IF(K903&gt;=80,"Yes","No")</f>
        <v/>
      </c>
      <c r="M903">
        <f>IF(ISNUMBER(H903),IF(H903&gt;0,1,0),"")</f>
        <v/>
      </c>
    </row>
    <row r="904">
      <c r="A904" t="inlineStr">
        <is>
          <t>SIMULATED_FEA_Commercial_Study</t>
        </is>
      </c>
      <c r="B904" t="inlineStr">
        <is>
          <t>V17</t>
        </is>
      </c>
      <c r="C904" t="inlineStr">
        <is>
          <t>Annotation</t>
        </is>
      </c>
      <c r="D904" t="inlineStr">
        <is>
          <t>Bin_04</t>
        </is>
      </c>
      <c r="E904" t="n">
        <v>10</v>
      </c>
      <c r="F904" t="inlineStr">
        <is>
          <t>Brow Furrow</t>
        </is>
      </c>
      <c r="G904" t="n">
        <v>50</v>
      </c>
      <c r="H904" t="n">
        <v>0</v>
      </c>
      <c r="I904" t="n">
        <v>0</v>
      </c>
      <c r="J904" t="inlineStr">
        <is>
          <t>NA</t>
        </is>
      </c>
      <c r="K904" t="n">
        <v>97.09999999999999</v>
      </c>
      <c r="L904">
        <f>IF(K904&gt;=80,"Yes","No")</f>
        <v/>
      </c>
      <c r="M904">
        <f>IF(ISNUMBER(H904),IF(H904&gt;0,1,0),"")</f>
        <v/>
      </c>
    </row>
    <row r="905">
      <c r="A905" t="inlineStr">
        <is>
          <t>SIMULATED_FEA_Commercial_Study</t>
        </is>
      </c>
      <c r="B905" t="inlineStr">
        <is>
          <t>V17</t>
        </is>
      </c>
      <c r="C905" t="inlineStr">
        <is>
          <t>Annotation</t>
        </is>
      </c>
      <c r="D905" t="inlineStr">
        <is>
          <t>Bin_04</t>
        </is>
      </c>
      <c r="E905" t="n">
        <v>10</v>
      </c>
      <c r="F905" t="inlineStr">
        <is>
          <t>Positive Valence</t>
        </is>
      </c>
      <c r="G905" t="n">
        <v>50</v>
      </c>
      <c r="H905" t="n">
        <v>24.33</v>
      </c>
      <c r="I905" t="n">
        <v>2</v>
      </c>
      <c r="J905" t="inlineStr">
        <is>
          <t>NA</t>
        </is>
      </c>
      <c r="K905" t="n">
        <v>97.09999999999999</v>
      </c>
      <c r="L905">
        <f>IF(K905&gt;=80,"Yes","No")</f>
        <v/>
      </c>
      <c r="M905">
        <f>IF(ISNUMBER(H905),IF(H905&gt;0,1,0),"")</f>
        <v/>
      </c>
    </row>
    <row r="906">
      <c r="A906" t="inlineStr">
        <is>
          <t>SIMULATED_FEA_Commercial_Study</t>
        </is>
      </c>
      <c r="B906" t="inlineStr">
        <is>
          <t>V17</t>
        </is>
      </c>
      <c r="C906" t="inlineStr">
        <is>
          <t>Annotation</t>
        </is>
      </c>
      <c r="D906" t="inlineStr">
        <is>
          <t>Bin_04</t>
        </is>
      </c>
      <c r="E906" t="n">
        <v>10</v>
      </c>
      <c r="F906" t="inlineStr">
        <is>
          <t>Negative Valence</t>
        </is>
      </c>
      <c r="G906" t="n">
        <v>-50</v>
      </c>
      <c r="H906" t="n">
        <v>0</v>
      </c>
      <c r="I906" t="n">
        <v>0</v>
      </c>
      <c r="J906" t="inlineStr">
        <is>
          <t>NA</t>
        </is>
      </c>
      <c r="K906" t="n">
        <v>97.09999999999999</v>
      </c>
      <c r="L906">
        <f>IF(K906&gt;=80,"Yes","No")</f>
        <v/>
      </c>
      <c r="M906">
        <f>IF(ISNUMBER(H906),IF(H906&gt;0,1,0),"")</f>
        <v/>
      </c>
    </row>
    <row r="907">
      <c r="A907" t="inlineStr">
        <is>
          <t>SIMULATED_FEA_Commercial_Study</t>
        </is>
      </c>
      <c r="B907" t="inlineStr">
        <is>
          <t>V17</t>
        </is>
      </c>
      <c r="C907" t="inlineStr">
        <is>
          <t>Annotation</t>
        </is>
      </c>
      <c r="D907" t="inlineStr">
        <is>
          <t>Bin_04</t>
        </is>
      </c>
      <c r="E907" t="n">
        <v>10</v>
      </c>
      <c r="F907" t="inlineStr">
        <is>
          <t>Engagement</t>
        </is>
      </c>
      <c r="G907" t="inlineStr">
        <is>
          <t>NA</t>
        </is>
      </c>
      <c r="H907" t="inlineStr">
        <is>
          <t>NA</t>
        </is>
      </c>
      <c r="I907" t="inlineStr">
        <is>
          <t>NA</t>
        </is>
      </c>
      <c r="J907" t="n">
        <v>18.29</v>
      </c>
      <c r="K907" t="n">
        <v>97.09999999999999</v>
      </c>
      <c r="L907">
        <f>IF(K907&gt;=80,"Yes","No")</f>
        <v/>
      </c>
      <c r="M907">
        <f>IF(ISNUMBER(H907),IF(H907&gt;0,1,0),"")</f>
        <v/>
      </c>
    </row>
    <row r="908">
      <c r="A908" t="inlineStr">
        <is>
          <t>SIMULATED_FEA_Commercial_Study</t>
        </is>
      </c>
      <c r="B908" t="inlineStr">
        <is>
          <t>V17</t>
        </is>
      </c>
      <c r="C908" t="inlineStr">
        <is>
          <t>Annotation</t>
        </is>
      </c>
      <c r="D908" t="inlineStr">
        <is>
          <t>Bin_05</t>
        </is>
      </c>
      <c r="E908" t="n">
        <v>10</v>
      </c>
      <c r="F908" t="inlineStr">
        <is>
          <t>Joy</t>
        </is>
      </c>
      <c r="G908" t="n">
        <v>50</v>
      </c>
      <c r="H908" t="n">
        <v>49.33</v>
      </c>
      <c r="I908" t="n">
        <v>3</v>
      </c>
      <c r="J908" t="inlineStr">
        <is>
          <t>NA</t>
        </is>
      </c>
      <c r="K908" t="n">
        <v>97.09999999999999</v>
      </c>
      <c r="L908">
        <f>IF(K908&gt;=80,"Yes","No")</f>
        <v/>
      </c>
      <c r="M908">
        <f>IF(ISNUMBER(H908),IF(H908&gt;0,1,0),"")</f>
        <v/>
      </c>
    </row>
    <row r="909">
      <c r="A909" t="inlineStr">
        <is>
          <t>SIMULATED_FEA_Commercial_Study</t>
        </is>
      </c>
      <c r="B909" t="inlineStr">
        <is>
          <t>V17</t>
        </is>
      </c>
      <c r="C909" t="inlineStr">
        <is>
          <t>Annotation</t>
        </is>
      </c>
      <c r="D909" t="inlineStr">
        <is>
          <t>Bin_05</t>
        </is>
      </c>
      <c r="E909" t="n">
        <v>10</v>
      </c>
      <c r="F909" t="inlineStr">
        <is>
          <t>Surprise</t>
        </is>
      </c>
      <c r="G909" t="n">
        <v>50</v>
      </c>
      <c r="H909" t="n">
        <v>0</v>
      </c>
      <c r="I909" t="n">
        <v>0</v>
      </c>
      <c r="J909" t="inlineStr">
        <is>
          <t>NA</t>
        </is>
      </c>
      <c r="K909" t="n">
        <v>97.09999999999999</v>
      </c>
      <c r="L909">
        <f>IF(K909&gt;=80,"Yes","No")</f>
        <v/>
      </c>
      <c r="M909">
        <f>IF(ISNUMBER(H909),IF(H909&gt;0,1,0),"")</f>
        <v/>
      </c>
    </row>
    <row r="910">
      <c r="A910" t="inlineStr">
        <is>
          <t>SIMULATED_FEA_Commercial_Study</t>
        </is>
      </c>
      <c r="B910" t="inlineStr">
        <is>
          <t>V17</t>
        </is>
      </c>
      <c r="C910" t="inlineStr">
        <is>
          <t>Annotation</t>
        </is>
      </c>
      <c r="D910" t="inlineStr">
        <is>
          <t>Bin_05</t>
        </is>
      </c>
      <c r="E910" t="n">
        <v>10</v>
      </c>
      <c r="F910" t="inlineStr">
        <is>
          <t>Brow Furrow</t>
        </is>
      </c>
      <c r="G910" t="n">
        <v>50</v>
      </c>
      <c r="H910" t="n">
        <v>11</v>
      </c>
      <c r="I910" t="n">
        <v>4</v>
      </c>
      <c r="J910" t="inlineStr">
        <is>
          <t>NA</t>
        </is>
      </c>
      <c r="K910" t="n">
        <v>97.09999999999999</v>
      </c>
      <c r="L910">
        <f>IF(K910&gt;=80,"Yes","No")</f>
        <v/>
      </c>
      <c r="M910">
        <f>IF(ISNUMBER(H910),IF(H910&gt;0,1,0),"")</f>
        <v/>
      </c>
    </row>
    <row r="911">
      <c r="A911" t="inlineStr">
        <is>
          <t>SIMULATED_FEA_Commercial_Study</t>
        </is>
      </c>
      <c r="B911" t="inlineStr">
        <is>
          <t>V17</t>
        </is>
      </c>
      <c r="C911" t="inlineStr">
        <is>
          <t>Annotation</t>
        </is>
      </c>
      <c r="D911" t="inlineStr">
        <is>
          <t>Bin_05</t>
        </is>
      </c>
      <c r="E911" t="n">
        <v>10</v>
      </c>
      <c r="F911" t="inlineStr">
        <is>
          <t>Positive Valence</t>
        </is>
      </c>
      <c r="G911" t="n">
        <v>50</v>
      </c>
      <c r="H911" t="n">
        <v>44.67</v>
      </c>
      <c r="I911" t="n">
        <v>2</v>
      </c>
      <c r="J911" t="inlineStr">
        <is>
          <t>NA</t>
        </is>
      </c>
      <c r="K911" t="n">
        <v>97.09999999999999</v>
      </c>
      <c r="L911">
        <f>IF(K911&gt;=80,"Yes","No")</f>
        <v/>
      </c>
      <c r="M911">
        <f>IF(ISNUMBER(H911),IF(H911&gt;0,1,0),"")</f>
        <v/>
      </c>
    </row>
    <row r="912">
      <c r="A912" t="inlineStr">
        <is>
          <t>SIMULATED_FEA_Commercial_Study</t>
        </is>
      </c>
      <c r="B912" t="inlineStr">
        <is>
          <t>V17</t>
        </is>
      </c>
      <c r="C912" t="inlineStr">
        <is>
          <t>Annotation</t>
        </is>
      </c>
      <c r="D912" t="inlineStr">
        <is>
          <t>Bin_05</t>
        </is>
      </c>
      <c r="E912" t="n">
        <v>10</v>
      </c>
      <c r="F912" t="inlineStr">
        <is>
          <t>Negative Valence</t>
        </is>
      </c>
      <c r="G912" t="n">
        <v>-50</v>
      </c>
      <c r="H912" t="n">
        <v>0</v>
      </c>
      <c r="I912" t="n">
        <v>0</v>
      </c>
      <c r="J912" t="inlineStr">
        <is>
          <t>NA</t>
        </is>
      </c>
      <c r="K912" t="n">
        <v>97.09999999999999</v>
      </c>
      <c r="L912">
        <f>IF(K912&gt;=80,"Yes","No")</f>
        <v/>
      </c>
      <c r="M912">
        <f>IF(ISNUMBER(H912),IF(H912&gt;0,1,0),"")</f>
        <v/>
      </c>
    </row>
    <row r="913">
      <c r="A913" t="inlineStr">
        <is>
          <t>SIMULATED_FEA_Commercial_Study</t>
        </is>
      </c>
      <c r="B913" t="inlineStr">
        <is>
          <t>V17</t>
        </is>
      </c>
      <c r="C913" t="inlineStr">
        <is>
          <t>Annotation</t>
        </is>
      </c>
      <c r="D913" t="inlineStr">
        <is>
          <t>Bin_05</t>
        </is>
      </c>
      <c r="E913" t="n">
        <v>10</v>
      </c>
      <c r="F913" t="inlineStr">
        <is>
          <t>Engagement</t>
        </is>
      </c>
      <c r="G913" t="inlineStr">
        <is>
          <t>NA</t>
        </is>
      </c>
      <c r="H913" t="inlineStr">
        <is>
          <t>NA</t>
        </is>
      </c>
      <c r="I913" t="inlineStr">
        <is>
          <t>NA</t>
        </is>
      </c>
      <c r="J913" t="n">
        <v>42.98</v>
      </c>
      <c r="K913" t="n">
        <v>97.09999999999999</v>
      </c>
      <c r="L913">
        <f>IF(K913&gt;=80,"Yes","No")</f>
        <v/>
      </c>
      <c r="M913">
        <f>IF(ISNUMBER(H913),IF(H913&gt;0,1,0),"")</f>
        <v/>
      </c>
    </row>
    <row r="914">
      <c r="A914" t="inlineStr">
        <is>
          <t>SIMULATED_FEA_Commercial_Study</t>
        </is>
      </c>
      <c r="B914" t="inlineStr">
        <is>
          <t>V17</t>
        </is>
      </c>
      <c r="C914" t="inlineStr">
        <is>
          <t>Annotation</t>
        </is>
      </c>
      <c r="D914" t="inlineStr">
        <is>
          <t>Bin_06</t>
        </is>
      </c>
      <c r="E914" t="n">
        <v>10</v>
      </c>
      <c r="F914" t="inlineStr">
        <is>
          <t>Joy</t>
        </is>
      </c>
      <c r="G914" t="n">
        <v>50</v>
      </c>
      <c r="H914" t="n">
        <v>0</v>
      </c>
      <c r="I914" t="n">
        <v>0</v>
      </c>
      <c r="J914" t="inlineStr">
        <is>
          <t>NA</t>
        </is>
      </c>
      <c r="K914" t="n">
        <v>97.09999999999999</v>
      </c>
      <c r="L914">
        <f>IF(K914&gt;=80,"Yes","No")</f>
        <v/>
      </c>
      <c r="M914">
        <f>IF(ISNUMBER(H914),IF(H914&gt;0,1,0),"")</f>
        <v/>
      </c>
    </row>
    <row r="915">
      <c r="A915" t="inlineStr">
        <is>
          <t>SIMULATED_FEA_Commercial_Study</t>
        </is>
      </c>
      <c r="B915" t="inlineStr">
        <is>
          <t>V17</t>
        </is>
      </c>
      <c r="C915" t="inlineStr">
        <is>
          <t>Annotation</t>
        </is>
      </c>
      <c r="D915" t="inlineStr">
        <is>
          <t>Bin_06</t>
        </is>
      </c>
      <c r="E915" t="n">
        <v>10</v>
      </c>
      <c r="F915" t="inlineStr">
        <is>
          <t>Surprise</t>
        </is>
      </c>
      <c r="G915" t="n">
        <v>50</v>
      </c>
      <c r="H915" t="n">
        <v>0</v>
      </c>
      <c r="I915" t="n">
        <v>0</v>
      </c>
      <c r="J915" t="inlineStr">
        <is>
          <t>NA</t>
        </is>
      </c>
      <c r="K915" t="n">
        <v>97.09999999999999</v>
      </c>
      <c r="L915">
        <f>IF(K915&gt;=80,"Yes","No")</f>
        <v/>
      </c>
      <c r="M915">
        <f>IF(ISNUMBER(H915),IF(H915&gt;0,1,0),"")</f>
        <v/>
      </c>
    </row>
    <row r="916">
      <c r="A916" t="inlineStr">
        <is>
          <t>SIMULATED_FEA_Commercial_Study</t>
        </is>
      </c>
      <c r="B916" t="inlineStr">
        <is>
          <t>V17</t>
        </is>
      </c>
      <c r="C916" t="inlineStr">
        <is>
          <t>Annotation</t>
        </is>
      </c>
      <c r="D916" t="inlineStr">
        <is>
          <t>Bin_06</t>
        </is>
      </c>
      <c r="E916" t="n">
        <v>10</v>
      </c>
      <c r="F916" t="inlineStr">
        <is>
          <t>Brow Furrow</t>
        </is>
      </c>
      <c r="G916" t="n">
        <v>50</v>
      </c>
      <c r="H916" t="n">
        <v>0</v>
      </c>
      <c r="I916" t="n">
        <v>0</v>
      </c>
      <c r="J916" t="inlineStr">
        <is>
          <t>NA</t>
        </is>
      </c>
      <c r="K916" t="n">
        <v>97.09999999999999</v>
      </c>
      <c r="L916">
        <f>IF(K916&gt;=80,"Yes","No")</f>
        <v/>
      </c>
      <c r="M916">
        <f>IF(ISNUMBER(H916),IF(H916&gt;0,1,0),"")</f>
        <v/>
      </c>
    </row>
    <row r="917">
      <c r="A917" t="inlineStr">
        <is>
          <t>SIMULATED_FEA_Commercial_Study</t>
        </is>
      </c>
      <c r="B917" t="inlineStr">
        <is>
          <t>V17</t>
        </is>
      </c>
      <c r="C917" t="inlineStr">
        <is>
          <t>Annotation</t>
        </is>
      </c>
      <c r="D917" t="inlineStr">
        <is>
          <t>Bin_06</t>
        </is>
      </c>
      <c r="E917" t="n">
        <v>10</v>
      </c>
      <c r="F917" t="inlineStr">
        <is>
          <t>Positive Valence</t>
        </is>
      </c>
      <c r="G917" t="n">
        <v>50</v>
      </c>
      <c r="H917" t="n">
        <v>0</v>
      </c>
      <c r="I917" t="n">
        <v>0</v>
      </c>
      <c r="J917" t="inlineStr">
        <is>
          <t>NA</t>
        </is>
      </c>
      <c r="K917" t="n">
        <v>97.09999999999999</v>
      </c>
      <c r="L917">
        <f>IF(K917&gt;=80,"Yes","No")</f>
        <v/>
      </c>
      <c r="M917">
        <f>IF(ISNUMBER(H917),IF(H917&gt;0,1,0),"")</f>
        <v/>
      </c>
    </row>
    <row r="918">
      <c r="A918" t="inlineStr">
        <is>
          <t>SIMULATED_FEA_Commercial_Study</t>
        </is>
      </c>
      <c r="B918" t="inlineStr">
        <is>
          <t>V17</t>
        </is>
      </c>
      <c r="C918" t="inlineStr">
        <is>
          <t>Annotation</t>
        </is>
      </c>
      <c r="D918" t="inlineStr">
        <is>
          <t>Bin_06</t>
        </is>
      </c>
      <c r="E918" t="n">
        <v>10</v>
      </c>
      <c r="F918" t="inlineStr">
        <is>
          <t>Negative Valence</t>
        </is>
      </c>
      <c r="G918" t="n">
        <v>-50</v>
      </c>
      <c r="H918" t="n">
        <v>0</v>
      </c>
      <c r="I918" t="n">
        <v>0</v>
      </c>
      <c r="J918" t="inlineStr">
        <is>
          <t>NA</t>
        </is>
      </c>
      <c r="K918" t="n">
        <v>97.09999999999999</v>
      </c>
      <c r="L918">
        <f>IF(K918&gt;=80,"Yes","No")</f>
        <v/>
      </c>
      <c r="M918">
        <f>IF(ISNUMBER(H918),IF(H918&gt;0,1,0),"")</f>
        <v/>
      </c>
    </row>
    <row r="919">
      <c r="A919" t="inlineStr">
        <is>
          <t>SIMULATED_FEA_Commercial_Study</t>
        </is>
      </c>
      <c r="B919" t="inlineStr">
        <is>
          <t>V17</t>
        </is>
      </c>
      <c r="C919" t="inlineStr">
        <is>
          <t>Annotation</t>
        </is>
      </c>
      <c r="D919" t="inlineStr">
        <is>
          <t>Bin_06</t>
        </is>
      </c>
      <c r="E919" t="n">
        <v>10</v>
      </c>
      <c r="F919" t="inlineStr">
        <is>
          <t>Engagement</t>
        </is>
      </c>
      <c r="G919" t="inlineStr">
        <is>
          <t>NA</t>
        </is>
      </c>
      <c r="H919" t="inlineStr">
        <is>
          <t>NA</t>
        </is>
      </c>
      <c r="I919" t="inlineStr">
        <is>
          <t>NA</t>
        </is>
      </c>
      <c r="J919" t="n">
        <v>4.53</v>
      </c>
      <c r="K919" t="n">
        <v>97.09999999999999</v>
      </c>
      <c r="L919">
        <f>IF(K919&gt;=80,"Yes","No")</f>
        <v/>
      </c>
      <c r="M919">
        <f>IF(ISNUMBER(H919),IF(H919&gt;0,1,0),"")</f>
        <v/>
      </c>
    </row>
    <row r="920">
      <c r="A920" t="inlineStr">
        <is>
          <t>SIMULATED_FEA_Commercial_Study</t>
        </is>
      </c>
      <c r="B920" t="inlineStr">
        <is>
          <t>V18</t>
        </is>
      </c>
      <c r="C920" t="inlineStr">
        <is>
          <t>Stimulus</t>
        </is>
      </c>
      <c r="D920" t="inlineStr">
        <is>
          <t>Baseline</t>
        </is>
      </c>
      <c r="E920" t="n">
        <v>60</v>
      </c>
      <c r="F920" t="inlineStr">
        <is>
          <t>Joy</t>
        </is>
      </c>
      <c r="G920" t="n">
        <v>50</v>
      </c>
      <c r="H920" t="n">
        <v>3.78</v>
      </c>
      <c r="I920" t="n">
        <v>1</v>
      </c>
      <c r="J920" t="inlineStr">
        <is>
          <t>NA</t>
        </is>
      </c>
      <c r="K920" t="n">
        <v>95.09999999999999</v>
      </c>
      <c r="L920">
        <f>IF(K920&gt;=80,"Yes","No")</f>
        <v/>
      </c>
      <c r="M920">
        <f>IF(ISNUMBER(H920),IF(H920&gt;0,1,0),"")</f>
        <v/>
      </c>
    </row>
    <row r="921">
      <c r="A921" t="inlineStr">
        <is>
          <t>SIMULATED_FEA_Commercial_Study</t>
        </is>
      </c>
      <c r="B921" t="inlineStr">
        <is>
          <t>V18</t>
        </is>
      </c>
      <c r="C921" t="inlineStr">
        <is>
          <t>Stimulus</t>
        </is>
      </c>
      <c r="D921" t="inlineStr">
        <is>
          <t>Baseline</t>
        </is>
      </c>
      <c r="E921" t="n">
        <v>60</v>
      </c>
      <c r="F921" t="inlineStr">
        <is>
          <t>Surprise</t>
        </is>
      </c>
      <c r="G921" t="n">
        <v>50</v>
      </c>
      <c r="H921" t="n">
        <v>0</v>
      </c>
      <c r="I921" t="n">
        <v>0</v>
      </c>
      <c r="J921" t="inlineStr">
        <is>
          <t>NA</t>
        </is>
      </c>
      <c r="K921" t="n">
        <v>95.09999999999999</v>
      </c>
      <c r="L921">
        <f>IF(K921&gt;=80,"Yes","No")</f>
        <v/>
      </c>
      <c r="M921">
        <f>IF(ISNUMBER(H921),IF(H921&gt;0,1,0),"")</f>
        <v/>
      </c>
    </row>
    <row r="922">
      <c r="A922" t="inlineStr">
        <is>
          <t>SIMULATED_FEA_Commercial_Study</t>
        </is>
      </c>
      <c r="B922" t="inlineStr">
        <is>
          <t>V18</t>
        </is>
      </c>
      <c r="C922" t="inlineStr">
        <is>
          <t>Stimulus</t>
        </is>
      </c>
      <c r="D922" t="inlineStr">
        <is>
          <t>Baseline</t>
        </is>
      </c>
      <c r="E922" t="n">
        <v>60</v>
      </c>
      <c r="F922" t="inlineStr">
        <is>
          <t>Brow Furrow</t>
        </is>
      </c>
      <c r="G922" t="n">
        <v>50</v>
      </c>
      <c r="H922" t="n">
        <v>5.67</v>
      </c>
      <c r="I922" t="n">
        <v>2</v>
      </c>
      <c r="J922" t="inlineStr">
        <is>
          <t>NA</t>
        </is>
      </c>
      <c r="K922" t="n">
        <v>95.09999999999999</v>
      </c>
      <c r="L922">
        <f>IF(K922&gt;=80,"Yes","No")</f>
        <v/>
      </c>
      <c r="M922">
        <f>IF(ISNUMBER(H922),IF(H922&gt;0,1,0),"")</f>
        <v/>
      </c>
    </row>
    <row r="923">
      <c r="A923" t="inlineStr">
        <is>
          <t>SIMULATED_FEA_Commercial_Study</t>
        </is>
      </c>
      <c r="B923" t="inlineStr">
        <is>
          <t>V18</t>
        </is>
      </c>
      <c r="C923" t="inlineStr">
        <is>
          <t>Stimulus</t>
        </is>
      </c>
      <c r="D923" t="inlineStr">
        <is>
          <t>Baseline</t>
        </is>
      </c>
      <c r="E923" t="n">
        <v>60</v>
      </c>
      <c r="F923" t="inlineStr">
        <is>
          <t>Positive Valence</t>
        </is>
      </c>
      <c r="G923" t="n">
        <v>50</v>
      </c>
      <c r="H923" t="n">
        <v>3.83</v>
      </c>
      <c r="I923" t="n">
        <v>1</v>
      </c>
      <c r="J923" t="inlineStr">
        <is>
          <t>NA</t>
        </is>
      </c>
      <c r="K923" t="n">
        <v>95.09999999999999</v>
      </c>
      <c r="L923">
        <f>IF(K923&gt;=80,"Yes","No")</f>
        <v/>
      </c>
      <c r="M923">
        <f>IF(ISNUMBER(H923),IF(H923&gt;0,1,0),"")</f>
        <v/>
      </c>
    </row>
    <row r="924">
      <c r="A924" t="inlineStr">
        <is>
          <t>SIMULATED_FEA_Commercial_Study</t>
        </is>
      </c>
      <c r="B924" t="inlineStr">
        <is>
          <t>V18</t>
        </is>
      </c>
      <c r="C924" t="inlineStr">
        <is>
          <t>Stimulus</t>
        </is>
      </c>
      <c r="D924" t="inlineStr">
        <is>
          <t>Baseline</t>
        </is>
      </c>
      <c r="E924" t="n">
        <v>60</v>
      </c>
      <c r="F924" t="inlineStr">
        <is>
          <t>Negative Valence</t>
        </is>
      </c>
      <c r="G924" t="n">
        <v>-50</v>
      </c>
      <c r="H924" t="n">
        <v>0</v>
      </c>
      <c r="I924" t="n">
        <v>0</v>
      </c>
      <c r="J924" t="inlineStr">
        <is>
          <t>NA</t>
        </is>
      </c>
      <c r="K924" t="n">
        <v>95.09999999999999</v>
      </c>
      <c r="L924">
        <f>IF(K924&gt;=80,"Yes","No")</f>
        <v/>
      </c>
      <c r="M924">
        <f>IF(ISNUMBER(H924),IF(H924&gt;0,1,0),"")</f>
        <v/>
      </c>
    </row>
    <row r="925">
      <c r="A925" t="inlineStr">
        <is>
          <t>SIMULATED_FEA_Commercial_Study</t>
        </is>
      </c>
      <c r="B925" t="inlineStr">
        <is>
          <t>V18</t>
        </is>
      </c>
      <c r="C925" t="inlineStr">
        <is>
          <t>Stimulus</t>
        </is>
      </c>
      <c r="D925" t="inlineStr">
        <is>
          <t>Baseline</t>
        </is>
      </c>
      <c r="E925" t="n">
        <v>60</v>
      </c>
      <c r="F925" t="inlineStr">
        <is>
          <t>Engagement</t>
        </is>
      </c>
      <c r="G925" t="inlineStr">
        <is>
          <t>NA</t>
        </is>
      </c>
      <c r="H925" t="inlineStr">
        <is>
          <t>NA</t>
        </is>
      </c>
      <c r="I925" t="inlineStr">
        <is>
          <t>NA</t>
        </is>
      </c>
      <c r="J925" t="n">
        <v>10.02</v>
      </c>
      <c r="K925" t="n">
        <v>95.09999999999999</v>
      </c>
      <c r="L925">
        <f>IF(K925&gt;=80,"Yes","No")</f>
        <v/>
      </c>
      <c r="M925">
        <f>IF(ISNUMBER(H925),IF(H925&gt;0,1,0),"")</f>
        <v/>
      </c>
    </row>
    <row r="926">
      <c r="A926" t="inlineStr">
        <is>
          <t>SIMULATED_FEA_Commercial_Study</t>
        </is>
      </c>
      <c r="B926" t="inlineStr">
        <is>
          <t>V18</t>
        </is>
      </c>
      <c r="C926" t="inlineStr">
        <is>
          <t>Stimulus</t>
        </is>
      </c>
      <c r="D926" t="inlineStr">
        <is>
          <t>Commercial</t>
        </is>
      </c>
      <c r="E926" t="n">
        <v>60</v>
      </c>
      <c r="F926" t="inlineStr">
        <is>
          <t>Joy</t>
        </is>
      </c>
      <c r="G926" t="n">
        <v>50</v>
      </c>
      <c r="H926" t="n">
        <v>10.44</v>
      </c>
      <c r="I926" t="n">
        <v>4</v>
      </c>
      <c r="J926" t="inlineStr">
        <is>
          <t>NA</t>
        </is>
      </c>
      <c r="K926" t="n">
        <v>95.09999999999999</v>
      </c>
      <c r="L926">
        <f>IF(K926&gt;=80,"Yes","No")</f>
        <v/>
      </c>
      <c r="M926">
        <f>IF(ISNUMBER(H926),IF(H926&gt;0,1,0),"")</f>
        <v/>
      </c>
    </row>
    <row r="927">
      <c r="A927" t="inlineStr">
        <is>
          <t>SIMULATED_FEA_Commercial_Study</t>
        </is>
      </c>
      <c r="B927" t="inlineStr">
        <is>
          <t>V18</t>
        </is>
      </c>
      <c r="C927" t="inlineStr">
        <is>
          <t>Stimulus</t>
        </is>
      </c>
      <c r="D927" t="inlineStr">
        <is>
          <t>Commercial</t>
        </is>
      </c>
      <c r="E927" t="n">
        <v>60</v>
      </c>
      <c r="F927" t="inlineStr">
        <is>
          <t>Surprise</t>
        </is>
      </c>
      <c r="G927" t="n">
        <v>50</v>
      </c>
      <c r="H927" t="n">
        <v>0.89</v>
      </c>
      <c r="I927" t="n">
        <v>1</v>
      </c>
      <c r="J927" t="inlineStr">
        <is>
          <t>NA</t>
        </is>
      </c>
      <c r="K927" t="n">
        <v>95.09999999999999</v>
      </c>
      <c r="L927">
        <f>IF(K927&gt;=80,"Yes","No")</f>
        <v/>
      </c>
      <c r="M927">
        <f>IF(ISNUMBER(H927),IF(H927&gt;0,1,0),"")</f>
        <v/>
      </c>
    </row>
    <row r="928">
      <c r="A928" t="inlineStr">
        <is>
          <t>SIMULATED_FEA_Commercial_Study</t>
        </is>
      </c>
      <c r="B928" t="inlineStr">
        <is>
          <t>V18</t>
        </is>
      </c>
      <c r="C928" t="inlineStr">
        <is>
          <t>Stimulus</t>
        </is>
      </c>
      <c r="D928" t="inlineStr">
        <is>
          <t>Commercial</t>
        </is>
      </c>
      <c r="E928" t="n">
        <v>60</v>
      </c>
      <c r="F928" t="inlineStr">
        <is>
          <t>Brow Furrow</t>
        </is>
      </c>
      <c r="G928" t="n">
        <v>50</v>
      </c>
      <c r="H928" t="n">
        <v>0.89</v>
      </c>
      <c r="I928" t="n">
        <v>1</v>
      </c>
      <c r="J928" t="inlineStr">
        <is>
          <t>NA</t>
        </is>
      </c>
      <c r="K928" t="n">
        <v>95.09999999999999</v>
      </c>
      <c r="L928">
        <f>IF(K928&gt;=80,"Yes","No")</f>
        <v/>
      </c>
      <c r="M928">
        <f>IF(ISNUMBER(H928),IF(H928&gt;0,1,0),"")</f>
        <v/>
      </c>
    </row>
    <row r="929">
      <c r="A929" t="inlineStr">
        <is>
          <t>SIMULATED_FEA_Commercial_Study</t>
        </is>
      </c>
      <c r="B929" t="inlineStr">
        <is>
          <t>V18</t>
        </is>
      </c>
      <c r="C929" t="inlineStr">
        <is>
          <t>Stimulus</t>
        </is>
      </c>
      <c r="D929" t="inlineStr">
        <is>
          <t>Commercial</t>
        </is>
      </c>
      <c r="E929" t="n">
        <v>60</v>
      </c>
      <c r="F929" t="inlineStr">
        <is>
          <t>Positive Valence</t>
        </is>
      </c>
      <c r="G929" t="n">
        <v>50</v>
      </c>
      <c r="H929" t="n">
        <v>28.22</v>
      </c>
      <c r="I929" t="n">
        <v>7</v>
      </c>
      <c r="J929" t="inlineStr">
        <is>
          <t>NA</t>
        </is>
      </c>
      <c r="K929" t="n">
        <v>95.09999999999999</v>
      </c>
      <c r="L929">
        <f>IF(K929&gt;=80,"Yes","No")</f>
        <v/>
      </c>
      <c r="M929">
        <f>IF(ISNUMBER(H929),IF(H929&gt;0,1,0),"")</f>
        <v/>
      </c>
    </row>
    <row r="930">
      <c r="A930" t="inlineStr">
        <is>
          <t>SIMULATED_FEA_Commercial_Study</t>
        </is>
      </c>
      <c r="B930" t="inlineStr">
        <is>
          <t>V18</t>
        </is>
      </c>
      <c r="C930" t="inlineStr">
        <is>
          <t>Stimulus</t>
        </is>
      </c>
      <c r="D930" t="inlineStr">
        <is>
          <t>Commercial</t>
        </is>
      </c>
      <c r="E930" t="n">
        <v>60</v>
      </c>
      <c r="F930" t="inlineStr">
        <is>
          <t>Negative Valence</t>
        </is>
      </c>
      <c r="G930" t="n">
        <v>-50</v>
      </c>
      <c r="H930" t="n">
        <v>0</v>
      </c>
      <c r="I930" t="n">
        <v>0</v>
      </c>
      <c r="J930" t="inlineStr">
        <is>
          <t>NA</t>
        </is>
      </c>
      <c r="K930" t="n">
        <v>95.09999999999999</v>
      </c>
      <c r="L930">
        <f>IF(K930&gt;=80,"Yes","No")</f>
        <v/>
      </c>
      <c r="M930">
        <f>IF(ISNUMBER(H930),IF(H930&gt;0,1,0),"")</f>
        <v/>
      </c>
    </row>
    <row r="931">
      <c r="A931" t="inlineStr">
        <is>
          <t>SIMULATED_FEA_Commercial_Study</t>
        </is>
      </c>
      <c r="B931" t="inlineStr">
        <is>
          <t>V18</t>
        </is>
      </c>
      <c r="C931" t="inlineStr">
        <is>
          <t>Stimulus</t>
        </is>
      </c>
      <c r="D931" t="inlineStr">
        <is>
          <t>Commercial</t>
        </is>
      </c>
      <c r="E931" t="n">
        <v>60</v>
      </c>
      <c r="F931" t="inlineStr">
        <is>
          <t>Engagement</t>
        </is>
      </c>
      <c r="G931" t="inlineStr">
        <is>
          <t>NA</t>
        </is>
      </c>
      <c r="H931" t="inlineStr">
        <is>
          <t>NA</t>
        </is>
      </c>
      <c r="I931" t="inlineStr">
        <is>
          <t>NA</t>
        </is>
      </c>
      <c r="J931" t="n">
        <v>18.33</v>
      </c>
      <c r="K931" t="n">
        <v>95.09999999999999</v>
      </c>
      <c r="L931">
        <f>IF(K931&gt;=80,"Yes","No")</f>
        <v/>
      </c>
      <c r="M931">
        <f>IF(ISNUMBER(H931),IF(H931&gt;0,1,0),"")</f>
        <v/>
      </c>
    </row>
    <row r="932">
      <c r="A932" t="inlineStr">
        <is>
          <t>SIMULATED_FEA_Commercial_Study</t>
        </is>
      </c>
      <c r="B932" t="inlineStr">
        <is>
          <t>V18</t>
        </is>
      </c>
      <c r="C932" t="inlineStr">
        <is>
          <t>Stimulus</t>
        </is>
      </c>
      <c r="D932" t="inlineStr">
        <is>
          <t>Recovery</t>
        </is>
      </c>
      <c r="E932" t="n">
        <v>15</v>
      </c>
      <c r="F932" t="inlineStr">
        <is>
          <t>Joy</t>
        </is>
      </c>
      <c r="G932" t="n">
        <v>50</v>
      </c>
      <c r="H932" t="n">
        <v>21.11</v>
      </c>
      <c r="I932" t="n">
        <v>1</v>
      </c>
      <c r="J932" t="inlineStr">
        <is>
          <t>NA</t>
        </is>
      </c>
      <c r="K932" t="n">
        <v>95.09999999999999</v>
      </c>
      <c r="L932">
        <f>IF(K932&gt;=80,"Yes","No")</f>
        <v/>
      </c>
      <c r="M932">
        <f>IF(ISNUMBER(H932),IF(H932&gt;0,1,0),"")</f>
        <v/>
      </c>
    </row>
    <row r="933">
      <c r="A933" t="inlineStr">
        <is>
          <t>SIMULATED_FEA_Commercial_Study</t>
        </is>
      </c>
      <c r="B933" t="inlineStr">
        <is>
          <t>V18</t>
        </is>
      </c>
      <c r="C933" t="inlineStr">
        <is>
          <t>Stimulus</t>
        </is>
      </c>
      <c r="D933" t="inlineStr">
        <is>
          <t>Recovery</t>
        </is>
      </c>
      <c r="E933" t="n">
        <v>15</v>
      </c>
      <c r="F933" t="inlineStr">
        <is>
          <t>Surprise</t>
        </is>
      </c>
      <c r="G933" t="n">
        <v>50</v>
      </c>
      <c r="H933" t="n">
        <v>0</v>
      </c>
      <c r="I933" t="n">
        <v>0</v>
      </c>
      <c r="J933" t="inlineStr">
        <is>
          <t>NA</t>
        </is>
      </c>
      <c r="K933" t="n">
        <v>95.09999999999999</v>
      </c>
      <c r="L933">
        <f>IF(K933&gt;=80,"Yes","No")</f>
        <v/>
      </c>
      <c r="M933">
        <f>IF(ISNUMBER(H933),IF(H933&gt;0,1,0),"")</f>
        <v/>
      </c>
    </row>
    <row r="934">
      <c r="A934" t="inlineStr">
        <is>
          <t>SIMULATED_FEA_Commercial_Study</t>
        </is>
      </c>
      <c r="B934" t="inlineStr">
        <is>
          <t>V18</t>
        </is>
      </c>
      <c r="C934" t="inlineStr">
        <is>
          <t>Stimulus</t>
        </is>
      </c>
      <c r="D934" t="inlineStr">
        <is>
          <t>Recovery</t>
        </is>
      </c>
      <c r="E934" t="n">
        <v>15</v>
      </c>
      <c r="F934" t="inlineStr">
        <is>
          <t>Brow Furrow</t>
        </is>
      </c>
      <c r="G934" t="n">
        <v>50</v>
      </c>
      <c r="H934" t="n">
        <v>0</v>
      </c>
      <c r="I934" t="n">
        <v>0</v>
      </c>
      <c r="J934" t="inlineStr">
        <is>
          <t>NA</t>
        </is>
      </c>
      <c r="K934" t="n">
        <v>95.09999999999999</v>
      </c>
      <c r="L934">
        <f>IF(K934&gt;=80,"Yes","No")</f>
        <v/>
      </c>
      <c r="M934">
        <f>IF(ISNUMBER(H934),IF(H934&gt;0,1,0),"")</f>
        <v/>
      </c>
    </row>
    <row r="935">
      <c r="A935" t="inlineStr">
        <is>
          <t>SIMULATED_FEA_Commercial_Study</t>
        </is>
      </c>
      <c r="B935" t="inlineStr">
        <is>
          <t>V18</t>
        </is>
      </c>
      <c r="C935" t="inlineStr">
        <is>
          <t>Stimulus</t>
        </is>
      </c>
      <c r="D935" t="inlineStr">
        <is>
          <t>Recovery</t>
        </is>
      </c>
      <c r="E935" t="n">
        <v>15</v>
      </c>
      <c r="F935" t="inlineStr">
        <is>
          <t>Positive Valence</t>
        </is>
      </c>
      <c r="G935" t="n">
        <v>50</v>
      </c>
      <c r="H935" t="n">
        <v>36.67</v>
      </c>
      <c r="I935" t="n">
        <v>3</v>
      </c>
      <c r="J935" t="inlineStr">
        <is>
          <t>NA</t>
        </is>
      </c>
      <c r="K935" t="n">
        <v>95.09999999999999</v>
      </c>
      <c r="L935">
        <f>IF(K935&gt;=80,"Yes","No")</f>
        <v/>
      </c>
      <c r="M935">
        <f>IF(ISNUMBER(H935),IF(H935&gt;0,1,0),"")</f>
        <v/>
      </c>
    </row>
    <row r="936">
      <c r="A936" t="inlineStr">
        <is>
          <t>SIMULATED_FEA_Commercial_Study</t>
        </is>
      </c>
      <c r="B936" t="inlineStr">
        <is>
          <t>V18</t>
        </is>
      </c>
      <c r="C936" t="inlineStr">
        <is>
          <t>Stimulus</t>
        </is>
      </c>
      <c r="D936" t="inlineStr">
        <is>
          <t>Recovery</t>
        </is>
      </c>
      <c r="E936" t="n">
        <v>15</v>
      </c>
      <c r="F936" t="inlineStr">
        <is>
          <t>Negative Valence</t>
        </is>
      </c>
      <c r="G936" t="n">
        <v>-50</v>
      </c>
      <c r="H936" t="n">
        <v>0</v>
      </c>
      <c r="I936" t="n">
        <v>0</v>
      </c>
      <c r="J936" t="inlineStr">
        <is>
          <t>NA</t>
        </is>
      </c>
      <c r="K936" t="n">
        <v>95.09999999999999</v>
      </c>
      <c r="L936">
        <f>IF(K936&gt;=80,"Yes","No")</f>
        <v/>
      </c>
      <c r="M936">
        <f>IF(ISNUMBER(H936),IF(H936&gt;0,1,0),"")</f>
        <v/>
      </c>
    </row>
    <row r="937">
      <c r="A937" t="inlineStr">
        <is>
          <t>SIMULATED_FEA_Commercial_Study</t>
        </is>
      </c>
      <c r="B937" t="inlineStr">
        <is>
          <t>V18</t>
        </is>
      </c>
      <c r="C937" t="inlineStr">
        <is>
          <t>Stimulus</t>
        </is>
      </c>
      <c r="D937" t="inlineStr">
        <is>
          <t>Recovery</t>
        </is>
      </c>
      <c r="E937" t="n">
        <v>15</v>
      </c>
      <c r="F937" t="inlineStr">
        <is>
          <t>Engagement</t>
        </is>
      </c>
      <c r="G937" t="inlineStr">
        <is>
          <t>NA</t>
        </is>
      </c>
      <c r="H937" t="inlineStr">
        <is>
          <t>NA</t>
        </is>
      </c>
      <c r="I937" t="inlineStr">
        <is>
          <t>NA</t>
        </is>
      </c>
      <c r="J937" t="n">
        <v>19.89</v>
      </c>
      <c r="K937" t="n">
        <v>95.09999999999999</v>
      </c>
      <c r="L937">
        <f>IF(K937&gt;=80,"Yes","No")</f>
        <v/>
      </c>
      <c r="M937">
        <f>IF(ISNUMBER(H937),IF(H937&gt;0,1,0),"")</f>
        <v/>
      </c>
    </row>
    <row r="938">
      <c r="A938" t="inlineStr">
        <is>
          <t>SIMULATED_FEA_Commercial_Study</t>
        </is>
      </c>
      <c r="B938" t="inlineStr">
        <is>
          <t>V18</t>
        </is>
      </c>
      <c r="C938" t="inlineStr">
        <is>
          <t>Annotation</t>
        </is>
      </c>
      <c r="D938" t="inlineStr">
        <is>
          <t>Bin_01</t>
        </is>
      </c>
      <c r="E938" t="n">
        <v>10</v>
      </c>
      <c r="F938" t="inlineStr">
        <is>
          <t>Joy</t>
        </is>
      </c>
      <c r="G938" t="n">
        <v>50</v>
      </c>
      <c r="H938" t="n">
        <v>0</v>
      </c>
      <c r="I938" t="n">
        <v>0</v>
      </c>
      <c r="J938" t="inlineStr">
        <is>
          <t>NA</t>
        </is>
      </c>
      <c r="K938" t="n">
        <v>95.09999999999999</v>
      </c>
      <c r="L938">
        <f>IF(K938&gt;=80,"Yes","No")</f>
        <v/>
      </c>
      <c r="M938">
        <f>IF(ISNUMBER(H938),IF(H938&gt;0,1,0),"")</f>
        <v/>
      </c>
    </row>
    <row r="939">
      <c r="A939" t="inlineStr">
        <is>
          <t>SIMULATED_FEA_Commercial_Study</t>
        </is>
      </c>
      <c r="B939" t="inlineStr">
        <is>
          <t>V18</t>
        </is>
      </c>
      <c r="C939" t="inlineStr">
        <is>
          <t>Annotation</t>
        </is>
      </c>
      <c r="D939" t="inlineStr">
        <is>
          <t>Bin_01</t>
        </is>
      </c>
      <c r="E939" t="n">
        <v>10</v>
      </c>
      <c r="F939" t="inlineStr">
        <is>
          <t>Surprise</t>
        </is>
      </c>
      <c r="G939" t="n">
        <v>50</v>
      </c>
      <c r="H939" t="n">
        <v>0</v>
      </c>
      <c r="I939" t="n">
        <v>0</v>
      </c>
      <c r="J939" t="inlineStr">
        <is>
          <t>NA</t>
        </is>
      </c>
      <c r="K939" t="n">
        <v>95.09999999999999</v>
      </c>
      <c r="L939">
        <f>IF(K939&gt;=80,"Yes","No")</f>
        <v/>
      </c>
      <c r="M939">
        <f>IF(ISNUMBER(H939),IF(H939&gt;0,1,0),"")</f>
        <v/>
      </c>
    </row>
    <row r="940">
      <c r="A940" t="inlineStr">
        <is>
          <t>SIMULATED_FEA_Commercial_Study</t>
        </is>
      </c>
      <c r="B940" t="inlineStr">
        <is>
          <t>V18</t>
        </is>
      </c>
      <c r="C940" t="inlineStr">
        <is>
          <t>Annotation</t>
        </is>
      </c>
      <c r="D940" t="inlineStr">
        <is>
          <t>Bin_01</t>
        </is>
      </c>
      <c r="E940" t="n">
        <v>10</v>
      </c>
      <c r="F940" t="inlineStr">
        <is>
          <t>Brow Furrow</t>
        </is>
      </c>
      <c r="G940" t="n">
        <v>50</v>
      </c>
      <c r="H940" t="n">
        <v>0</v>
      </c>
      <c r="I940" t="n">
        <v>0</v>
      </c>
      <c r="J940" t="inlineStr">
        <is>
          <t>NA</t>
        </is>
      </c>
      <c r="K940" t="n">
        <v>95.09999999999999</v>
      </c>
      <c r="L940">
        <f>IF(K940&gt;=80,"Yes","No")</f>
        <v/>
      </c>
      <c r="M940">
        <f>IF(ISNUMBER(H940),IF(H940&gt;0,1,0),"")</f>
        <v/>
      </c>
    </row>
    <row r="941">
      <c r="A941" t="inlineStr">
        <is>
          <t>SIMULATED_FEA_Commercial_Study</t>
        </is>
      </c>
      <c r="B941" t="inlineStr">
        <is>
          <t>V18</t>
        </is>
      </c>
      <c r="C941" t="inlineStr">
        <is>
          <t>Annotation</t>
        </is>
      </c>
      <c r="D941" t="inlineStr">
        <is>
          <t>Bin_01</t>
        </is>
      </c>
      <c r="E941" t="n">
        <v>10</v>
      </c>
      <c r="F941" t="inlineStr">
        <is>
          <t>Positive Valence</t>
        </is>
      </c>
      <c r="G941" t="n">
        <v>50</v>
      </c>
      <c r="H941" t="n">
        <v>0</v>
      </c>
      <c r="I941" t="n">
        <v>0</v>
      </c>
      <c r="J941" t="inlineStr">
        <is>
          <t>NA</t>
        </is>
      </c>
      <c r="K941" t="n">
        <v>95.09999999999999</v>
      </c>
      <c r="L941">
        <f>IF(K941&gt;=80,"Yes","No")</f>
        <v/>
      </c>
      <c r="M941">
        <f>IF(ISNUMBER(H941),IF(H941&gt;0,1,0),"")</f>
        <v/>
      </c>
    </row>
    <row r="942">
      <c r="A942" t="inlineStr">
        <is>
          <t>SIMULATED_FEA_Commercial_Study</t>
        </is>
      </c>
      <c r="B942" t="inlineStr">
        <is>
          <t>V18</t>
        </is>
      </c>
      <c r="C942" t="inlineStr">
        <is>
          <t>Annotation</t>
        </is>
      </c>
      <c r="D942" t="inlineStr">
        <is>
          <t>Bin_01</t>
        </is>
      </c>
      <c r="E942" t="n">
        <v>10</v>
      </c>
      <c r="F942" t="inlineStr">
        <is>
          <t>Negative Valence</t>
        </is>
      </c>
      <c r="G942" t="n">
        <v>-50</v>
      </c>
      <c r="H942" t="n">
        <v>0</v>
      </c>
      <c r="I942" t="n">
        <v>0</v>
      </c>
      <c r="J942" t="inlineStr">
        <is>
          <t>NA</t>
        </is>
      </c>
      <c r="K942" t="n">
        <v>95.09999999999999</v>
      </c>
      <c r="L942">
        <f>IF(K942&gt;=80,"Yes","No")</f>
        <v/>
      </c>
      <c r="M942">
        <f>IF(ISNUMBER(H942),IF(H942&gt;0,1,0),"")</f>
        <v/>
      </c>
    </row>
    <row r="943">
      <c r="A943" t="inlineStr">
        <is>
          <t>SIMULATED_FEA_Commercial_Study</t>
        </is>
      </c>
      <c r="B943" t="inlineStr">
        <is>
          <t>V18</t>
        </is>
      </c>
      <c r="C943" t="inlineStr">
        <is>
          <t>Annotation</t>
        </is>
      </c>
      <c r="D943" t="inlineStr">
        <is>
          <t>Bin_01</t>
        </is>
      </c>
      <c r="E943" t="n">
        <v>10</v>
      </c>
      <c r="F943" t="inlineStr">
        <is>
          <t>Engagement</t>
        </is>
      </c>
      <c r="G943" t="inlineStr">
        <is>
          <t>NA</t>
        </is>
      </c>
      <c r="H943" t="inlineStr">
        <is>
          <t>NA</t>
        </is>
      </c>
      <c r="I943" t="inlineStr">
        <is>
          <t>NA</t>
        </is>
      </c>
      <c r="J943" t="n">
        <v>3.43</v>
      </c>
      <c r="K943" t="n">
        <v>95.09999999999999</v>
      </c>
      <c r="L943">
        <f>IF(K943&gt;=80,"Yes","No")</f>
        <v/>
      </c>
      <c r="M943">
        <f>IF(ISNUMBER(H943),IF(H943&gt;0,1,0),"")</f>
        <v/>
      </c>
    </row>
    <row r="944">
      <c r="A944" t="inlineStr">
        <is>
          <t>SIMULATED_FEA_Commercial_Study</t>
        </is>
      </c>
      <c r="B944" t="inlineStr">
        <is>
          <t>V18</t>
        </is>
      </c>
      <c r="C944" t="inlineStr">
        <is>
          <t>Annotation</t>
        </is>
      </c>
      <c r="D944" t="inlineStr">
        <is>
          <t>Bin_02</t>
        </is>
      </c>
      <c r="E944" t="n">
        <v>10</v>
      </c>
      <c r="F944" t="inlineStr">
        <is>
          <t>Joy</t>
        </is>
      </c>
      <c r="G944" t="n">
        <v>50</v>
      </c>
      <c r="H944" t="n">
        <v>0</v>
      </c>
      <c r="I944" t="n">
        <v>0</v>
      </c>
      <c r="J944" t="inlineStr">
        <is>
          <t>NA</t>
        </is>
      </c>
      <c r="K944" t="n">
        <v>95.09999999999999</v>
      </c>
      <c r="L944">
        <f>IF(K944&gt;=80,"Yes","No")</f>
        <v/>
      </c>
      <c r="M944">
        <f>IF(ISNUMBER(H944),IF(H944&gt;0,1,0),"")</f>
        <v/>
      </c>
    </row>
    <row r="945">
      <c r="A945" t="inlineStr">
        <is>
          <t>SIMULATED_FEA_Commercial_Study</t>
        </is>
      </c>
      <c r="B945" t="inlineStr">
        <is>
          <t>V18</t>
        </is>
      </c>
      <c r="C945" t="inlineStr">
        <is>
          <t>Annotation</t>
        </is>
      </c>
      <c r="D945" t="inlineStr">
        <is>
          <t>Bin_02</t>
        </is>
      </c>
      <c r="E945" t="n">
        <v>10</v>
      </c>
      <c r="F945" t="inlineStr">
        <is>
          <t>Surprise</t>
        </is>
      </c>
      <c r="G945" t="n">
        <v>50</v>
      </c>
      <c r="H945" t="n">
        <v>0</v>
      </c>
      <c r="I945" t="n">
        <v>0</v>
      </c>
      <c r="J945" t="inlineStr">
        <is>
          <t>NA</t>
        </is>
      </c>
      <c r="K945" t="n">
        <v>95.09999999999999</v>
      </c>
      <c r="L945">
        <f>IF(K945&gt;=80,"Yes","No")</f>
        <v/>
      </c>
      <c r="M945">
        <f>IF(ISNUMBER(H945),IF(H945&gt;0,1,0),"")</f>
        <v/>
      </c>
    </row>
    <row r="946">
      <c r="A946" t="inlineStr">
        <is>
          <t>SIMULATED_FEA_Commercial_Study</t>
        </is>
      </c>
      <c r="B946" t="inlineStr">
        <is>
          <t>V18</t>
        </is>
      </c>
      <c r="C946" t="inlineStr">
        <is>
          <t>Annotation</t>
        </is>
      </c>
      <c r="D946" t="inlineStr">
        <is>
          <t>Bin_02</t>
        </is>
      </c>
      <c r="E946" t="n">
        <v>10</v>
      </c>
      <c r="F946" t="inlineStr">
        <is>
          <t>Brow Furrow</t>
        </is>
      </c>
      <c r="G946" t="n">
        <v>50</v>
      </c>
      <c r="H946" t="n">
        <v>5.33</v>
      </c>
      <c r="I946" t="n">
        <v>1</v>
      </c>
      <c r="J946" t="inlineStr">
        <is>
          <t>NA</t>
        </is>
      </c>
      <c r="K946" t="n">
        <v>95.09999999999999</v>
      </c>
      <c r="L946">
        <f>IF(K946&gt;=80,"Yes","No")</f>
        <v/>
      </c>
      <c r="M946">
        <f>IF(ISNUMBER(H946),IF(H946&gt;0,1,0),"")</f>
        <v/>
      </c>
    </row>
    <row r="947">
      <c r="A947" t="inlineStr">
        <is>
          <t>SIMULATED_FEA_Commercial_Study</t>
        </is>
      </c>
      <c r="B947" t="inlineStr">
        <is>
          <t>V18</t>
        </is>
      </c>
      <c r="C947" t="inlineStr">
        <is>
          <t>Annotation</t>
        </is>
      </c>
      <c r="D947" t="inlineStr">
        <is>
          <t>Bin_02</t>
        </is>
      </c>
      <c r="E947" t="n">
        <v>10</v>
      </c>
      <c r="F947" t="inlineStr">
        <is>
          <t>Positive Valence</t>
        </is>
      </c>
      <c r="G947" t="n">
        <v>50</v>
      </c>
      <c r="H947" t="n">
        <v>11</v>
      </c>
      <c r="I947" t="n">
        <v>1</v>
      </c>
      <c r="J947" t="inlineStr">
        <is>
          <t>NA</t>
        </is>
      </c>
      <c r="K947" t="n">
        <v>95.09999999999999</v>
      </c>
      <c r="L947">
        <f>IF(K947&gt;=80,"Yes","No")</f>
        <v/>
      </c>
      <c r="M947">
        <f>IF(ISNUMBER(H947),IF(H947&gt;0,1,0),"")</f>
        <v/>
      </c>
    </row>
    <row r="948">
      <c r="A948" t="inlineStr">
        <is>
          <t>SIMULATED_FEA_Commercial_Study</t>
        </is>
      </c>
      <c r="B948" t="inlineStr">
        <is>
          <t>V18</t>
        </is>
      </c>
      <c r="C948" t="inlineStr">
        <is>
          <t>Annotation</t>
        </is>
      </c>
      <c r="D948" t="inlineStr">
        <is>
          <t>Bin_02</t>
        </is>
      </c>
      <c r="E948" t="n">
        <v>10</v>
      </c>
      <c r="F948" t="inlineStr">
        <is>
          <t>Negative Valence</t>
        </is>
      </c>
      <c r="G948" t="n">
        <v>-50</v>
      </c>
      <c r="H948" t="n">
        <v>0</v>
      </c>
      <c r="I948" t="n">
        <v>0</v>
      </c>
      <c r="J948" t="inlineStr">
        <is>
          <t>NA</t>
        </is>
      </c>
      <c r="K948" t="n">
        <v>95.09999999999999</v>
      </c>
      <c r="L948">
        <f>IF(K948&gt;=80,"Yes","No")</f>
        <v/>
      </c>
      <c r="M948">
        <f>IF(ISNUMBER(H948),IF(H948&gt;0,1,0),"")</f>
        <v/>
      </c>
    </row>
    <row r="949">
      <c r="A949" t="inlineStr">
        <is>
          <t>SIMULATED_FEA_Commercial_Study</t>
        </is>
      </c>
      <c r="B949" t="inlineStr">
        <is>
          <t>V18</t>
        </is>
      </c>
      <c r="C949" t="inlineStr">
        <is>
          <t>Annotation</t>
        </is>
      </c>
      <c r="D949" t="inlineStr">
        <is>
          <t>Bin_02</t>
        </is>
      </c>
      <c r="E949" t="n">
        <v>10</v>
      </c>
      <c r="F949" t="inlineStr">
        <is>
          <t>Engagement</t>
        </is>
      </c>
      <c r="G949" t="inlineStr">
        <is>
          <t>NA</t>
        </is>
      </c>
      <c r="H949" t="inlineStr">
        <is>
          <t>NA</t>
        </is>
      </c>
      <c r="I949" t="inlineStr">
        <is>
          <t>NA</t>
        </is>
      </c>
      <c r="J949" t="n">
        <v>9.109999999999999</v>
      </c>
      <c r="K949" t="n">
        <v>95.09999999999999</v>
      </c>
      <c r="L949">
        <f>IF(K949&gt;=80,"Yes","No")</f>
        <v/>
      </c>
      <c r="M949">
        <f>IF(ISNUMBER(H949),IF(H949&gt;0,1,0),"")</f>
        <v/>
      </c>
    </row>
    <row r="950">
      <c r="A950" t="inlineStr">
        <is>
          <t>SIMULATED_FEA_Commercial_Study</t>
        </is>
      </c>
      <c r="B950" t="inlineStr">
        <is>
          <t>V18</t>
        </is>
      </c>
      <c r="C950" t="inlineStr">
        <is>
          <t>Annotation</t>
        </is>
      </c>
      <c r="D950" t="inlineStr">
        <is>
          <t>Bin_03</t>
        </is>
      </c>
      <c r="E950" t="n">
        <v>10</v>
      </c>
      <c r="F950" t="inlineStr">
        <is>
          <t>Joy</t>
        </is>
      </c>
      <c r="G950" t="n">
        <v>50</v>
      </c>
      <c r="H950" t="n">
        <v>0</v>
      </c>
      <c r="I950" t="n">
        <v>0</v>
      </c>
      <c r="J950" t="inlineStr">
        <is>
          <t>NA</t>
        </is>
      </c>
      <c r="K950" t="n">
        <v>95.09999999999999</v>
      </c>
      <c r="L950">
        <f>IF(K950&gt;=80,"Yes","No")</f>
        <v/>
      </c>
      <c r="M950">
        <f>IF(ISNUMBER(H950),IF(H950&gt;0,1,0),"")</f>
        <v/>
      </c>
    </row>
    <row r="951">
      <c r="A951" t="inlineStr">
        <is>
          <t>SIMULATED_FEA_Commercial_Study</t>
        </is>
      </c>
      <c r="B951" t="inlineStr">
        <is>
          <t>V18</t>
        </is>
      </c>
      <c r="C951" t="inlineStr">
        <is>
          <t>Annotation</t>
        </is>
      </c>
      <c r="D951" t="inlineStr">
        <is>
          <t>Bin_03</t>
        </is>
      </c>
      <c r="E951" t="n">
        <v>10</v>
      </c>
      <c r="F951" t="inlineStr">
        <is>
          <t>Surprise</t>
        </is>
      </c>
      <c r="G951" t="n">
        <v>50</v>
      </c>
      <c r="H951" t="n">
        <v>5.33</v>
      </c>
      <c r="I951" t="n">
        <v>1</v>
      </c>
      <c r="J951" t="inlineStr">
        <is>
          <t>NA</t>
        </is>
      </c>
      <c r="K951" t="n">
        <v>95.09999999999999</v>
      </c>
      <c r="L951">
        <f>IF(K951&gt;=80,"Yes","No")</f>
        <v/>
      </c>
      <c r="M951">
        <f>IF(ISNUMBER(H951),IF(H951&gt;0,1,0),"")</f>
        <v/>
      </c>
    </row>
    <row r="952">
      <c r="A952" t="inlineStr">
        <is>
          <t>SIMULATED_FEA_Commercial_Study</t>
        </is>
      </c>
      <c r="B952" t="inlineStr">
        <is>
          <t>V18</t>
        </is>
      </c>
      <c r="C952" t="inlineStr">
        <is>
          <t>Annotation</t>
        </is>
      </c>
      <c r="D952" t="inlineStr">
        <is>
          <t>Bin_03</t>
        </is>
      </c>
      <c r="E952" t="n">
        <v>10</v>
      </c>
      <c r="F952" t="inlineStr">
        <is>
          <t>Brow Furrow</t>
        </is>
      </c>
      <c r="G952" t="n">
        <v>50</v>
      </c>
      <c r="H952" t="n">
        <v>0</v>
      </c>
      <c r="I952" t="n">
        <v>0</v>
      </c>
      <c r="J952" t="inlineStr">
        <is>
          <t>NA</t>
        </is>
      </c>
      <c r="K952" t="n">
        <v>95.09999999999999</v>
      </c>
      <c r="L952">
        <f>IF(K952&gt;=80,"Yes","No")</f>
        <v/>
      </c>
      <c r="M952">
        <f>IF(ISNUMBER(H952),IF(H952&gt;0,1,0),"")</f>
        <v/>
      </c>
    </row>
    <row r="953">
      <c r="A953" t="inlineStr">
        <is>
          <t>SIMULATED_FEA_Commercial_Study</t>
        </is>
      </c>
      <c r="B953" t="inlineStr">
        <is>
          <t>V18</t>
        </is>
      </c>
      <c r="C953" t="inlineStr">
        <is>
          <t>Annotation</t>
        </is>
      </c>
      <c r="D953" t="inlineStr">
        <is>
          <t>Bin_03</t>
        </is>
      </c>
      <c r="E953" t="n">
        <v>10</v>
      </c>
      <c r="F953" t="inlineStr">
        <is>
          <t>Positive Valence</t>
        </is>
      </c>
      <c r="G953" t="n">
        <v>50</v>
      </c>
      <c r="H953" t="n">
        <v>49.33</v>
      </c>
      <c r="I953" t="n">
        <v>2</v>
      </c>
      <c r="J953" t="inlineStr">
        <is>
          <t>NA</t>
        </is>
      </c>
      <c r="K953" t="n">
        <v>95.09999999999999</v>
      </c>
      <c r="L953">
        <f>IF(K953&gt;=80,"Yes","No")</f>
        <v/>
      </c>
      <c r="M953">
        <f>IF(ISNUMBER(H953),IF(H953&gt;0,1,0),"")</f>
        <v/>
      </c>
    </row>
    <row r="954">
      <c r="A954" t="inlineStr">
        <is>
          <t>SIMULATED_FEA_Commercial_Study</t>
        </is>
      </c>
      <c r="B954" t="inlineStr">
        <is>
          <t>V18</t>
        </is>
      </c>
      <c r="C954" t="inlineStr">
        <is>
          <t>Annotation</t>
        </is>
      </c>
      <c r="D954" t="inlineStr">
        <is>
          <t>Bin_03</t>
        </is>
      </c>
      <c r="E954" t="n">
        <v>10</v>
      </c>
      <c r="F954" t="inlineStr">
        <is>
          <t>Negative Valence</t>
        </is>
      </c>
      <c r="G954" t="n">
        <v>-50</v>
      </c>
      <c r="H954" t="n">
        <v>0</v>
      </c>
      <c r="I954" t="n">
        <v>0</v>
      </c>
      <c r="J954" t="inlineStr">
        <is>
          <t>NA</t>
        </is>
      </c>
      <c r="K954" t="n">
        <v>95.09999999999999</v>
      </c>
      <c r="L954">
        <f>IF(K954&gt;=80,"Yes","No")</f>
        <v/>
      </c>
      <c r="M954">
        <f>IF(ISNUMBER(H954),IF(H954&gt;0,1,0),"")</f>
        <v/>
      </c>
    </row>
    <row r="955">
      <c r="A955" t="inlineStr">
        <is>
          <t>SIMULATED_FEA_Commercial_Study</t>
        </is>
      </c>
      <c r="B955" t="inlineStr">
        <is>
          <t>V18</t>
        </is>
      </c>
      <c r="C955" t="inlineStr">
        <is>
          <t>Annotation</t>
        </is>
      </c>
      <c r="D955" t="inlineStr">
        <is>
          <t>Bin_03</t>
        </is>
      </c>
      <c r="E955" t="n">
        <v>10</v>
      </c>
      <c r="F955" t="inlineStr">
        <is>
          <t>Engagement</t>
        </is>
      </c>
      <c r="G955" t="inlineStr">
        <is>
          <t>NA</t>
        </is>
      </c>
      <c r="H955" t="inlineStr">
        <is>
          <t>NA</t>
        </is>
      </c>
      <c r="I955" t="inlineStr">
        <is>
          <t>NA</t>
        </is>
      </c>
      <c r="J955" t="n">
        <v>22.88</v>
      </c>
      <c r="K955" t="n">
        <v>95.09999999999999</v>
      </c>
      <c r="L955">
        <f>IF(K955&gt;=80,"Yes","No")</f>
        <v/>
      </c>
      <c r="M955">
        <f>IF(ISNUMBER(H955),IF(H955&gt;0,1,0),"")</f>
        <v/>
      </c>
    </row>
    <row r="956">
      <c r="A956" t="inlineStr">
        <is>
          <t>SIMULATED_FEA_Commercial_Study</t>
        </is>
      </c>
      <c r="B956" t="inlineStr">
        <is>
          <t>V18</t>
        </is>
      </c>
      <c r="C956" t="inlineStr">
        <is>
          <t>Annotation</t>
        </is>
      </c>
      <c r="D956" t="inlineStr">
        <is>
          <t>Bin_04</t>
        </is>
      </c>
      <c r="E956" t="n">
        <v>10</v>
      </c>
      <c r="F956" t="inlineStr">
        <is>
          <t>Joy</t>
        </is>
      </c>
      <c r="G956" t="n">
        <v>50</v>
      </c>
      <c r="H956" t="n">
        <v>0</v>
      </c>
      <c r="I956" t="n">
        <v>0</v>
      </c>
      <c r="J956" t="inlineStr">
        <is>
          <t>NA</t>
        </is>
      </c>
      <c r="K956" t="n">
        <v>95.09999999999999</v>
      </c>
      <c r="L956">
        <f>IF(K956&gt;=80,"Yes","No")</f>
        <v/>
      </c>
      <c r="M956">
        <f>IF(ISNUMBER(H956),IF(H956&gt;0,1,0),"")</f>
        <v/>
      </c>
    </row>
    <row r="957">
      <c r="A957" t="inlineStr">
        <is>
          <t>SIMULATED_FEA_Commercial_Study</t>
        </is>
      </c>
      <c r="B957" t="inlineStr">
        <is>
          <t>V18</t>
        </is>
      </c>
      <c r="C957" t="inlineStr">
        <is>
          <t>Annotation</t>
        </is>
      </c>
      <c r="D957" t="inlineStr">
        <is>
          <t>Bin_04</t>
        </is>
      </c>
      <c r="E957" t="n">
        <v>10</v>
      </c>
      <c r="F957" t="inlineStr">
        <is>
          <t>Surprise</t>
        </is>
      </c>
      <c r="G957" t="n">
        <v>50</v>
      </c>
      <c r="H957" t="n">
        <v>0</v>
      </c>
      <c r="I957" t="n">
        <v>0</v>
      </c>
      <c r="J957" t="inlineStr">
        <is>
          <t>NA</t>
        </is>
      </c>
      <c r="K957" t="n">
        <v>95.09999999999999</v>
      </c>
      <c r="L957">
        <f>IF(K957&gt;=80,"Yes","No")</f>
        <v/>
      </c>
      <c r="M957">
        <f>IF(ISNUMBER(H957),IF(H957&gt;0,1,0),"")</f>
        <v/>
      </c>
    </row>
    <row r="958">
      <c r="A958" t="inlineStr">
        <is>
          <t>SIMULATED_FEA_Commercial_Study</t>
        </is>
      </c>
      <c r="B958" t="inlineStr">
        <is>
          <t>V18</t>
        </is>
      </c>
      <c r="C958" t="inlineStr">
        <is>
          <t>Annotation</t>
        </is>
      </c>
      <c r="D958" t="inlineStr">
        <is>
          <t>Bin_04</t>
        </is>
      </c>
      <c r="E958" t="n">
        <v>10</v>
      </c>
      <c r="F958" t="inlineStr">
        <is>
          <t>Brow Furrow</t>
        </is>
      </c>
      <c r="G958" t="n">
        <v>50</v>
      </c>
      <c r="H958" t="n">
        <v>0</v>
      </c>
      <c r="I958" t="n">
        <v>0</v>
      </c>
      <c r="J958" t="inlineStr">
        <is>
          <t>NA</t>
        </is>
      </c>
      <c r="K958" t="n">
        <v>95.09999999999999</v>
      </c>
      <c r="L958">
        <f>IF(K958&gt;=80,"Yes","No")</f>
        <v/>
      </c>
      <c r="M958">
        <f>IF(ISNUMBER(H958),IF(H958&gt;0,1,0),"")</f>
        <v/>
      </c>
    </row>
    <row r="959">
      <c r="A959" t="inlineStr">
        <is>
          <t>SIMULATED_FEA_Commercial_Study</t>
        </is>
      </c>
      <c r="B959" t="inlineStr">
        <is>
          <t>V18</t>
        </is>
      </c>
      <c r="C959" t="inlineStr">
        <is>
          <t>Annotation</t>
        </is>
      </c>
      <c r="D959" t="inlineStr">
        <is>
          <t>Bin_04</t>
        </is>
      </c>
      <c r="E959" t="n">
        <v>10</v>
      </c>
      <c r="F959" t="inlineStr">
        <is>
          <t>Positive Valence</t>
        </is>
      </c>
      <c r="G959" t="n">
        <v>50</v>
      </c>
      <c r="H959" t="n">
        <v>26.33</v>
      </c>
      <c r="I959" t="n">
        <v>1</v>
      </c>
      <c r="J959" t="inlineStr">
        <is>
          <t>NA</t>
        </is>
      </c>
      <c r="K959" t="n">
        <v>95.09999999999999</v>
      </c>
      <c r="L959">
        <f>IF(K959&gt;=80,"Yes","No")</f>
        <v/>
      </c>
      <c r="M959">
        <f>IF(ISNUMBER(H959),IF(H959&gt;0,1,0),"")</f>
        <v/>
      </c>
    </row>
    <row r="960">
      <c r="A960" t="inlineStr">
        <is>
          <t>SIMULATED_FEA_Commercial_Study</t>
        </is>
      </c>
      <c r="B960" t="inlineStr">
        <is>
          <t>V18</t>
        </is>
      </c>
      <c r="C960" t="inlineStr">
        <is>
          <t>Annotation</t>
        </is>
      </c>
      <c r="D960" t="inlineStr">
        <is>
          <t>Bin_04</t>
        </is>
      </c>
      <c r="E960" t="n">
        <v>10</v>
      </c>
      <c r="F960" t="inlineStr">
        <is>
          <t>Negative Valence</t>
        </is>
      </c>
      <c r="G960" t="n">
        <v>-50</v>
      </c>
      <c r="H960" t="n">
        <v>0</v>
      </c>
      <c r="I960" t="n">
        <v>0</v>
      </c>
      <c r="J960" t="inlineStr">
        <is>
          <t>NA</t>
        </is>
      </c>
      <c r="K960" t="n">
        <v>95.09999999999999</v>
      </c>
      <c r="L960">
        <f>IF(K960&gt;=80,"Yes","No")</f>
        <v/>
      </c>
      <c r="M960">
        <f>IF(ISNUMBER(H960),IF(H960&gt;0,1,0),"")</f>
        <v/>
      </c>
    </row>
    <row r="961">
      <c r="A961" t="inlineStr">
        <is>
          <t>SIMULATED_FEA_Commercial_Study</t>
        </is>
      </c>
      <c r="B961" t="inlineStr">
        <is>
          <t>V18</t>
        </is>
      </c>
      <c r="C961" t="inlineStr">
        <is>
          <t>Annotation</t>
        </is>
      </c>
      <c r="D961" t="inlineStr">
        <is>
          <t>Bin_04</t>
        </is>
      </c>
      <c r="E961" t="n">
        <v>10</v>
      </c>
      <c r="F961" t="inlineStr">
        <is>
          <t>Engagement</t>
        </is>
      </c>
      <c r="G961" t="inlineStr">
        <is>
          <t>NA</t>
        </is>
      </c>
      <c r="H961" t="inlineStr">
        <is>
          <t>NA</t>
        </is>
      </c>
      <c r="I961" t="inlineStr">
        <is>
          <t>NA</t>
        </is>
      </c>
      <c r="J961" t="n">
        <v>17.28</v>
      </c>
      <c r="K961" t="n">
        <v>95.09999999999999</v>
      </c>
      <c r="L961">
        <f>IF(K961&gt;=80,"Yes","No")</f>
        <v/>
      </c>
      <c r="M961">
        <f>IF(ISNUMBER(H961),IF(H961&gt;0,1,0),"")</f>
        <v/>
      </c>
    </row>
    <row r="962">
      <c r="A962" t="inlineStr">
        <is>
          <t>SIMULATED_FEA_Commercial_Study</t>
        </is>
      </c>
      <c r="B962" t="inlineStr">
        <is>
          <t>V18</t>
        </is>
      </c>
      <c r="C962" t="inlineStr">
        <is>
          <t>Annotation</t>
        </is>
      </c>
      <c r="D962" t="inlineStr">
        <is>
          <t>Bin_05</t>
        </is>
      </c>
      <c r="E962" t="n">
        <v>10</v>
      </c>
      <c r="F962" t="inlineStr">
        <is>
          <t>Joy</t>
        </is>
      </c>
      <c r="G962" t="n">
        <v>50</v>
      </c>
      <c r="H962" t="n">
        <v>45.67</v>
      </c>
      <c r="I962" t="n">
        <v>3</v>
      </c>
      <c r="J962" t="inlineStr">
        <is>
          <t>NA</t>
        </is>
      </c>
      <c r="K962" t="n">
        <v>95.09999999999999</v>
      </c>
      <c r="L962">
        <f>IF(K962&gt;=80,"Yes","No")</f>
        <v/>
      </c>
      <c r="M962">
        <f>IF(ISNUMBER(H962),IF(H962&gt;0,1,0),"")</f>
        <v/>
      </c>
    </row>
    <row r="963">
      <c r="A963" t="inlineStr">
        <is>
          <t>SIMULATED_FEA_Commercial_Study</t>
        </is>
      </c>
      <c r="B963" t="inlineStr">
        <is>
          <t>V18</t>
        </is>
      </c>
      <c r="C963" t="inlineStr">
        <is>
          <t>Annotation</t>
        </is>
      </c>
      <c r="D963" t="inlineStr">
        <is>
          <t>Bin_05</t>
        </is>
      </c>
      <c r="E963" t="n">
        <v>10</v>
      </c>
      <c r="F963" t="inlineStr">
        <is>
          <t>Surprise</t>
        </is>
      </c>
      <c r="G963" t="n">
        <v>50</v>
      </c>
      <c r="H963" t="n">
        <v>0</v>
      </c>
      <c r="I963" t="n">
        <v>0</v>
      </c>
      <c r="J963" t="inlineStr">
        <is>
          <t>NA</t>
        </is>
      </c>
      <c r="K963" t="n">
        <v>95.09999999999999</v>
      </c>
      <c r="L963">
        <f>IF(K963&gt;=80,"Yes","No")</f>
        <v/>
      </c>
      <c r="M963">
        <f>IF(ISNUMBER(H963),IF(H963&gt;0,1,0),"")</f>
        <v/>
      </c>
    </row>
    <row r="964">
      <c r="A964" t="inlineStr">
        <is>
          <t>SIMULATED_FEA_Commercial_Study</t>
        </is>
      </c>
      <c r="B964" t="inlineStr">
        <is>
          <t>V18</t>
        </is>
      </c>
      <c r="C964" t="inlineStr">
        <is>
          <t>Annotation</t>
        </is>
      </c>
      <c r="D964" t="inlineStr">
        <is>
          <t>Bin_05</t>
        </is>
      </c>
      <c r="E964" t="n">
        <v>10</v>
      </c>
      <c r="F964" t="inlineStr">
        <is>
          <t>Brow Furrow</t>
        </is>
      </c>
      <c r="G964" t="n">
        <v>50</v>
      </c>
      <c r="H964" t="n">
        <v>0</v>
      </c>
      <c r="I964" t="n">
        <v>0</v>
      </c>
      <c r="J964" t="inlineStr">
        <is>
          <t>NA</t>
        </is>
      </c>
      <c r="K964" t="n">
        <v>95.09999999999999</v>
      </c>
      <c r="L964">
        <f>IF(K964&gt;=80,"Yes","No")</f>
        <v/>
      </c>
      <c r="M964">
        <f>IF(ISNUMBER(H964),IF(H964&gt;0,1,0),"")</f>
        <v/>
      </c>
    </row>
    <row r="965">
      <c r="A965" t="inlineStr">
        <is>
          <t>SIMULATED_FEA_Commercial_Study</t>
        </is>
      </c>
      <c r="B965" t="inlineStr">
        <is>
          <t>V18</t>
        </is>
      </c>
      <c r="C965" t="inlineStr">
        <is>
          <t>Annotation</t>
        </is>
      </c>
      <c r="D965" t="inlineStr">
        <is>
          <t>Bin_05</t>
        </is>
      </c>
      <c r="E965" t="n">
        <v>10</v>
      </c>
      <c r="F965" t="inlineStr">
        <is>
          <t>Positive Valence</t>
        </is>
      </c>
      <c r="G965" t="n">
        <v>50</v>
      </c>
      <c r="H965" t="n">
        <v>59</v>
      </c>
      <c r="I965" t="n">
        <v>3</v>
      </c>
      <c r="J965" t="inlineStr">
        <is>
          <t>NA</t>
        </is>
      </c>
      <c r="K965" t="n">
        <v>95.09999999999999</v>
      </c>
      <c r="L965">
        <f>IF(K965&gt;=80,"Yes","No")</f>
        <v/>
      </c>
      <c r="M965">
        <f>IF(ISNUMBER(H965),IF(H965&gt;0,1,0),"")</f>
        <v/>
      </c>
    </row>
    <row r="966">
      <c r="A966" t="inlineStr">
        <is>
          <t>SIMULATED_FEA_Commercial_Study</t>
        </is>
      </c>
      <c r="B966" t="inlineStr">
        <is>
          <t>V18</t>
        </is>
      </c>
      <c r="C966" t="inlineStr">
        <is>
          <t>Annotation</t>
        </is>
      </c>
      <c r="D966" t="inlineStr">
        <is>
          <t>Bin_05</t>
        </is>
      </c>
      <c r="E966" t="n">
        <v>10</v>
      </c>
      <c r="F966" t="inlineStr">
        <is>
          <t>Negative Valence</t>
        </is>
      </c>
      <c r="G966" t="n">
        <v>-50</v>
      </c>
      <c r="H966" t="n">
        <v>0</v>
      </c>
      <c r="I966" t="n">
        <v>0</v>
      </c>
      <c r="J966" t="inlineStr">
        <is>
          <t>NA</t>
        </is>
      </c>
      <c r="K966" t="n">
        <v>95.09999999999999</v>
      </c>
      <c r="L966">
        <f>IF(K966&gt;=80,"Yes","No")</f>
        <v/>
      </c>
      <c r="M966">
        <f>IF(ISNUMBER(H966),IF(H966&gt;0,1,0),"")</f>
        <v/>
      </c>
    </row>
    <row r="967">
      <c r="A967" t="inlineStr">
        <is>
          <t>SIMULATED_FEA_Commercial_Study</t>
        </is>
      </c>
      <c r="B967" t="inlineStr">
        <is>
          <t>V18</t>
        </is>
      </c>
      <c r="C967" t="inlineStr">
        <is>
          <t>Annotation</t>
        </is>
      </c>
      <c r="D967" t="inlineStr">
        <is>
          <t>Bin_05</t>
        </is>
      </c>
      <c r="E967" t="n">
        <v>10</v>
      </c>
      <c r="F967" t="inlineStr">
        <is>
          <t>Engagement</t>
        </is>
      </c>
      <c r="G967" t="inlineStr">
        <is>
          <t>NA</t>
        </is>
      </c>
      <c r="H967" t="inlineStr">
        <is>
          <t>NA</t>
        </is>
      </c>
      <c r="I967" t="inlineStr">
        <is>
          <t>NA</t>
        </is>
      </c>
      <c r="J967" t="n">
        <v>33.71</v>
      </c>
      <c r="K967" t="n">
        <v>95.09999999999999</v>
      </c>
      <c r="L967">
        <f>IF(K967&gt;=80,"Yes","No")</f>
        <v/>
      </c>
      <c r="M967">
        <f>IF(ISNUMBER(H967),IF(H967&gt;0,1,0),"")</f>
        <v/>
      </c>
    </row>
    <row r="968">
      <c r="A968" t="inlineStr">
        <is>
          <t>SIMULATED_FEA_Commercial_Study</t>
        </is>
      </c>
      <c r="B968" t="inlineStr">
        <is>
          <t>V18</t>
        </is>
      </c>
      <c r="C968" t="inlineStr">
        <is>
          <t>Annotation</t>
        </is>
      </c>
      <c r="D968" t="inlineStr">
        <is>
          <t>Bin_06</t>
        </is>
      </c>
      <c r="E968" t="n">
        <v>10</v>
      </c>
      <c r="F968" t="inlineStr">
        <is>
          <t>Joy</t>
        </is>
      </c>
      <c r="G968" t="n">
        <v>50</v>
      </c>
      <c r="H968" t="n">
        <v>17</v>
      </c>
      <c r="I968" t="n">
        <v>1</v>
      </c>
      <c r="J968" t="inlineStr">
        <is>
          <t>NA</t>
        </is>
      </c>
      <c r="K968" t="n">
        <v>95.09999999999999</v>
      </c>
      <c r="L968">
        <f>IF(K968&gt;=80,"Yes","No")</f>
        <v/>
      </c>
      <c r="M968">
        <f>IF(ISNUMBER(H968),IF(H968&gt;0,1,0),"")</f>
        <v/>
      </c>
    </row>
    <row r="969">
      <c r="A969" t="inlineStr">
        <is>
          <t>SIMULATED_FEA_Commercial_Study</t>
        </is>
      </c>
      <c r="B969" t="inlineStr">
        <is>
          <t>V18</t>
        </is>
      </c>
      <c r="C969" t="inlineStr">
        <is>
          <t>Annotation</t>
        </is>
      </c>
      <c r="D969" t="inlineStr">
        <is>
          <t>Bin_06</t>
        </is>
      </c>
      <c r="E969" t="n">
        <v>10</v>
      </c>
      <c r="F969" t="inlineStr">
        <is>
          <t>Surprise</t>
        </is>
      </c>
      <c r="G969" t="n">
        <v>50</v>
      </c>
      <c r="H969" t="n">
        <v>0</v>
      </c>
      <c r="I969" t="n">
        <v>0</v>
      </c>
      <c r="J969" t="inlineStr">
        <is>
          <t>NA</t>
        </is>
      </c>
      <c r="K969" t="n">
        <v>95.09999999999999</v>
      </c>
      <c r="L969">
        <f>IF(K969&gt;=80,"Yes","No")</f>
        <v/>
      </c>
      <c r="M969">
        <f>IF(ISNUMBER(H969),IF(H969&gt;0,1,0),"")</f>
        <v/>
      </c>
    </row>
    <row r="970">
      <c r="A970" t="inlineStr">
        <is>
          <t>SIMULATED_FEA_Commercial_Study</t>
        </is>
      </c>
      <c r="B970" t="inlineStr">
        <is>
          <t>V18</t>
        </is>
      </c>
      <c r="C970" t="inlineStr">
        <is>
          <t>Annotation</t>
        </is>
      </c>
      <c r="D970" t="inlineStr">
        <is>
          <t>Bin_06</t>
        </is>
      </c>
      <c r="E970" t="n">
        <v>10</v>
      </c>
      <c r="F970" t="inlineStr">
        <is>
          <t>Brow Furrow</t>
        </is>
      </c>
      <c r="G970" t="n">
        <v>50</v>
      </c>
      <c r="H970" t="n">
        <v>0</v>
      </c>
      <c r="I970" t="n">
        <v>0</v>
      </c>
      <c r="J970" t="inlineStr">
        <is>
          <t>NA</t>
        </is>
      </c>
      <c r="K970" t="n">
        <v>95.09999999999999</v>
      </c>
      <c r="L970">
        <f>IF(K970&gt;=80,"Yes","No")</f>
        <v/>
      </c>
      <c r="M970">
        <f>IF(ISNUMBER(H970),IF(H970&gt;0,1,0),"")</f>
        <v/>
      </c>
    </row>
    <row r="971">
      <c r="A971" t="inlineStr">
        <is>
          <t>SIMULATED_FEA_Commercial_Study</t>
        </is>
      </c>
      <c r="B971" t="inlineStr">
        <is>
          <t>V18</t>
        </is>
      </c>
      <c r="C971" t="inlineStr">
        <is>
          <t>Annotation</t>
        </is>
      </c>
      <c r="D971" t="inlineStr">
        <is>
          <t>Bin_06</t>
        </is>
      </c>
      <c r="E971" t="n">
        <v>10</v>
      </c>
      <c r="F971" t="inlineStr">
        <is>
          <t>Positive Valence</t>
        </is>
      </c>
      <c r="G971" t="n">
        <v>50</v>
      </c>
      <c r="H971" t="n">
        <v>23.67</v>
      </c>
      <c r="I971" t="n">
        <v>2</v>
      </c>
      <c r="J971" t="inlineStr">
        <is>
          <t>NA</t>
        </is>
      </c>
      <c r="K971" t="n">
        <v>95.09999999999999</v>
      </c>
      <c r="L971">
        <f>IF(K971&gt;=80,"Yes","No")</f>
        <v/>
      </c>
      <c r="M971">
        <f>IF(ISNUMBER(H971),IF(H971&gt;0,1,0),"")</f>
        <v/>
      </c>
    </row>
    <row r="972">
      <c r="A972" t="inlineStr">
        <is>
          <t>SIMULATED_FEA_Commercial_Study</t>
        </is>
      </c>
      <c r="B972" t="inlineStr">
        <is>
          <t>V18</t>
        </is>
      </c>
      <c r="C972" t="inlineStr">
        <is>
          <t>Annotation</t>
        </is>
      </c>
      <c r="D972" t="inlineStr">
        <is>
          <t>Bin_06</t>
        </is>
      </c>
      <c r="E972" t="n">
        <v>10</v>
      </c>
      <c r="F972" t="inlineStr">
        <is>
          <t>Negative Valence</t>
        </is>
      </c>
      <c r="G972" t="n">
        <v>-50</v>
      </c>
      <c r="H972" t="n">
        <v>0</v>
      </c>
      <c r="I972" t="n">
        <v>0</v>
      </c>
      <c r="J972" t="inlineStr">
        <is>
          <t>NA</t>
        </is>
      </c>
      <c r="K972" t="n">
        <v>95.09999999999999</v>
      </c>
      <c r="L972">
        <f>IF(K972&gt;=80,"Yes","No")</f>
        <v/>
      </c>
      <c r="M972">
        <f>IF(ISNUMBER(H972),IF(H972&gt;0,1,0),"")</f>
        <v/>
      </c>
    </row>
    <row r="973">
      <c r="A973" t="inlineStr">
        <is>
          <t>SIMULATED_FEA_Commercial_Study</t>
        </is>
      </c>
      <c r="B973" t="inlineStr">
        <is>
          <t>V18</t>
        </is>
      </c>
      <c r="C973" t="inlineStr">
        <is>
          <t>Annotation</t>
        </is>
      </c>
      <c r="D973" t="inlineStr">
        <is>
          <t>Bin_06</t>
        </is>
      </c>
      <c r="E973" t="n">
        <v>10</v>
      </c>
      <c r="F973" t="inlineStr">
        <is>
          <t>Engagement</t>
        </is>
      </c>
      <c r="G973" t="inlineStr">
        <is>
          <t>NA</t>
        </is>
      </c>
      <c r="H973" t="inlineStr">
        <is>
          <t>NA</t>
        </is>
      </c>
      <c r="I973" t="inlineStr">
        <is>
          <t>NA</t>
        </is>
      </c>
      <c r="J973" t="n">
        <v>24.3</v>
      </c>
      <c r="K973" t="n">
        <v>95.09999999999999</v>
      </c>
      <c r="L973">
        <f>IF(K973&gt;=80,"Yes","No")</f>
        <v/>
      </c>
      <c r="M973">
        <f>IF(ISNUMBER(H973),IF(H973&gt;0,1,0),"")</f>
        <v/>
      </c>
    </row>
    <row r="974">
      <c r="A974" t="inlineStr">
        <is>
          <t>SIMULATED_FEA_Commercial_Study</t>
        </is>
      </c>
      <c r="B974" t="inlineStr">
        <is>
          <t>V19</t>
        </is>
      </c>
      <c r="C974" t="inlineStr">
        <is>
          <t>Stimulus</t>
        </is>
      </c>
      <c r="D974" t="inlineStr">
        <is>
          <t>Baseline</t>
        </is>
      </c>
      <c r="E974" t="n">
        <v>60</v>
      </c>
      <c r="F974" t="inlineStr">
        <is>
          <t>Joy</t>
        </is>
      </c>
      <c r="G974" t="n">
        <v>50</v>
      </c>
      <c r="H974" t="n">
        <v>1.94</v>
      </c>
      <c r="I974" t="n">
        <v>1</v>
      </c>
      <c r="J974" t="inlineStr">
        <is>
          <t>NA</t>
        </is>
      </c>
      <c r="K974" t="n">
        <v>72</v>
      </c>
      <c r="L974">
        <f>IF(K974&gt;=80,"Yes","No")</f>
        <v/>
      </c>
      <c r="M974">
        <f>IF(ISNUMBER(H974),IF(H974&gt;0,1,0),"")</f>
        <v/>
      </c>
    </row>
    <row r="975">
      <c r="A975" t="inlineStr">
        <is>
          <t>SIMULATED_FEA_Commercial_Study</t>
        </is>
      </c>
      <c r="B975" t="inlineStr">
        <is>
          <t>V19</t>
        </is>
      </c>
      <c r="C975" t="inlineStr">
        <is>
          <t>Stimulus</t>
        </is>
      </c>
      <c r="D975" t="inlineStr">
        <is>
          <t>Baseline</t>
        </is>
      </c>
      <c r="E975" t="n">
        <v>60</v>
      </c>
      <c r="F975" t="inlineStr">
        <is>
          <t>Surprise</t>
        </is>
      </c>
      <c r="G975" t="n">
        <v>50</v>
      </c>
      <c r="H975" t="n">
        <v>0</v>
      </c>
      <c r="I975" t="n">
        <v>0</v>
      </c>
      <c r="J975" t="inlineStr">
        <is>
          <t>NA</t>
        </is>
      </c>
      <c r="K975" t="n">
        <v>72</v>
      </c>
      <c r="L975">
        <f>IF(K975&gt;=80,"Yes","No")</f>
        <v/>
      </c>
      <c r="M975">
        <f>IF(ISNUMBER(H975),IF(H975&gt;0,1,0),"")</f>
        <v/>
      </c>
    </row>
    <row r="976">
      <c r="A976" t="inlineStr">
        <is>
          <t>SIMULATED_FEA_Commercial_Study</t>
        </is>
      </c>
      <c r="B976" t="inlineStr">
        <is>
          <t>V19</t>
        </is>
      </c>
      <c r="C976" t="inlineStr">
        <is>
          <t>Stimulus</t>
        </is>
      </c>
      <c r="D976" t="inlineStr">
        <is>
          <t>Baseline</t>
        </is>
      </c>
      <c r="E976" t="n">
        <v>60</v>
      </c>
      <c r="F976" t="inlineStr">
        <is>
          <t>Brow Furrow</t>
        </is>
      </c>
      <c r="G976" t="n">
        <v>50</v>
      </c>
      <c r="H976" t="n">
        <v>0</v>
      </c>
      <c r="I976" t="n">
        <v>0</v>
      </c>
      <c r="J976" t="inlineStr">
        <is>
          <t>NA</t>
        </is>
      </c>
      <c r="K976" t="n">
        <v>72</v>
      </c>
      <c r="L976">
        <f>IF(K976&gt;=80,"Yes","No")</f>
        <v/>
      </c>
      <c r="M976">
        <f>IF(ISNUMBER(H976),IF(H976&gt;0,1,0),"")</f>
        <v/>
      </c>
    </row>
    <row r="977">
      <c r="A977" t="inlineStr">
        <is>
          <t>SIMULATED_FEA_Commercial_Study</t>
        </is>
      </c>
      <c r="B977" t="inlineStr">
        <is>
          <t>V19</t>
        </is>
      </c>
      <c r="C977" t="inlineStr">
        <is>
          <t>Stimulus</t>
        </is>
      </c>
      <c r="D977" t="inlineStr">
        <is>
          <t>Baseline</t>
        </is>
      </c>
      <c r="E977" t="n">
        <v>60</v>
      </c>
      <c r="F977" t="inlineStr">
        <is>
          <t>Positive Valence</t>
        </is>
      </c>
      <c r="G977" t="n">
        <v>50</v>
      </c>
      <c r="H977" t="n">
        <v>6.39</v>
      </c>
      <c r="I977" t="n">
        <v>4</v>
      </c>
      <c r="J977" t="inlineStr">
        <is>
          <t>NA</t>
        </is>
      </c>
      <c r="K977" t="n">
        <v>72</v>
      </c>
      <c r="L977">
        <f>IF(K977&gt;=80,"Yes","No")</f>
        <v/>
      </c>
      <c r="M977">
        <f>IF(ISNUMBER(H977),IF(H977&gt;0,1,0),"")</f>
        <v/>
      </c>
    </row>
    <row r="978">
      <c r="A978" t="inlineStr">
        <is>
          <t>SIMULATED_FEA_Commercial_Study</t>
        </is>
      </c>
      <c r="B978" t="inlineStr">
        <is>
          <t>V19</t>
        </is>
      </c>
      <c r="C978" t="inlineStr">
        <is>
          <t>Stimulus</t>
        </is>
      </c>
      <c r="D978" t="inlineStr">
        <is>
          <t>Baseline</t>
        </is>
      </c>
      <c r="E978" t="n">
        <v>60</v>
      </c>
      <c r="F978" t="inlineStr">
        <is>
          <t>Negative Valence</t>
        </is>
      </c>
      <c r="G978" t="n">
        <v>-50</v>
      </c>
      <c r="H978" t="n">
        <v>0</v>
      </c>
      <c r="I978" t="n">
        <v>0</v>
      </c>
      <c r="J978" t="inlineStr">
        <is>
          <t>NA</t>
        </is>
      </c>
      <c r="K978" t="n">
        <v>72</v>
      </c>
      <c r="L978">
        <f>IF(K978&gt;=80,"Yes","No")</f>
        <v/>
      </c>
      <c r="M978">
        <f>IF(ISNUMBER(H978),IF(H978&gt;0,1,0),"")</f>
        <v/>
      </c>
    </row>
    <row r="979">
      <c r="A979" t="inlineStr">
        <is>
          <t>SIMULATED_FEA_Commercial_Study</t>
        </is>
      </c>
      <c r="B979" t="inlineStr">
        <is>
          <t>V19</t>
        </is>
      </c>
      <c r="C979" t="inlineStr">
        <is>
          <t>Stimulus</t>
        </is>
      </c>
      <c r="D979" t="inlineStr">
        <is>
          <t>Baseline</t>
        </is>
      </c>
      <c r="E979" t="n">
        <v>60</v>
      </c>
      <c r="F979" t="inlineStr">
        <is>
          <t>Engagement</t>
        </is>
      </c>
      <c r="G979" t="inlineStr">
        <is>
          <t>NA</t>
        </is>
      </c>
      <c r="H979" t="inlineStr">
        <is>
          <t>NA</t>
        </is>
      </c>
      <c r="I979" t="inlineStr">
        <is>
          <t>NA</t>
        </is>
      </c>
      <c r="J979" t="n">
        <v>9.76</v>
      </c>
      <c r="K979" t="n">
        <v>72</v>
      </c>
      <c r="L979">
        <f>IF(K979&gt;=80,"Yes","No")</f>
        <v/>
      </c>
      <c r="M979">
        <f>IF(ISNUMBER(H979),IF(H979&gt;0,1,0),"")</f>
        <v/>
      </c>
    </row>
    <row r="980">
      <c r="A980" t="inlineStr">
        <is>
          <t>SIMULATED_FEA_Commercial_Study</t>
        </is>
      </c>
      <c r="B980" t="inlineStr">
        <is>
          <t>V19</t>
        </is>
      </c>
      <c r="C980" t="inlineStr">
        <is>
          <t>Stimulus</t>
        </is>
      </c>
      <c r="D980" t="inlineStr">
        <is>
          <t>Commercial</t>
        </is>
      </c>
      <c r="E980" t="n">
        <v>60</v>
      </c>
      <c r="F980" t="inlineStr">
        <is>
          <t>Joy</t>
        </is>
      </c>
      <c r="G980" t="n">
        <v>50</v>
      </c>
      <c r="H980" t="n">
        <v>7.5</v>
      </c>
      <c r="I980" t="n">
        <v>3</v>
      </c>
      <c r="J980" t="inlineStr">
        <is>
          <t>NA</t>
        </is>
      </c>
      <c r="K980" t="n">
        <v>72</v>
      </c>
      <c r="L980">
        <f>IF(K980&gt;=80,"Yes","No")</f>
        <v/>
      </c>
      <c r="M980">
        <f>IF(ISNUMBER(H980),IF(H980&gt;0,1,0),"")</f>
        <v/>
      </c>
    </row>
    <row r="981">
      <c r="A981" t="inlineStr">
        <is>
          <t>SIMULATED_FEA_Commercial_Study</t>
        </is>
      </c>
      <c r="B981" t="inlineStr">
        <is>
          <t>V19</t>
        </is>
      </c>
      <c r="C981" t="inlineStr">
        <is>
          <t>Stimulus</t>
        </is>
      </c>
      <c r="D981" t="inlineStr">
        <is>
          <t>Commercial</t>
        </is>
      </c>
      <c r="E981" t="n">
        <v>60</v>
      </c>
      <c r="F981" t="inlineStr">
        <is>
          <t>Surprise</t>
        </is>
      </c>
      <c r="G981" t="n">
        <v>50</v>
      </c>
      <c r="H981" t="n">
        <v>0</v>
      </c>
      <c r="I981" t="n">
        <v>0</v>
      </c>
      <c r="J981" t="inlineStr">
        <is>
          <t>NA</t>
        </is>
      </c>
      <c r="K981" t="n">
        <v>72</v>
      </c>
      <c r="L981">
        <f>IF(K981&gt;=80,"Yes","No")</f>
        <v/>
      </c>
      <c r="M981">
        <f>IF(ISNUMBER(H981),IF(H981&gt;0,1,0),"")</f>
        <v/>
      </c>
    </row>
    <row r="982">
      <c r="A982" t="inlineStr">
        <is>
          <t>SIMULATED_FEA_Commercial_Study</t>
        </is>
      </c>
      <c r="B982" t="inlineStr">
        <is>
          <t>V19</t>
        </is>
      </c>
      <c r="C982" t="inlineStr">
        <is>
          <t>Stimulus</t>
        </is>
      </c>
      <c r="D982" t="inlineStr">
        <is>
          <t>Commercial</t>
        </is>
      </c>
      <c r="E982" t="n">
        <v>60</v>
      </c>
      <c r="F982" t="inlineStr">
        <is>
          <t>Brow Furrow</t>
        </is>
      </c>
      <c r="G982" t="n">
        <v>50</v>
      </c>
      <c r="H982" t="n">
        <v>3.11</v>
      </c>
      <c r="I982" t="n">
        <v>3</v>
      </c>
      <c r="J982" t="inlineStr">
        <is>
          <t>NA</t>
        </is>
      </c>
      <c r="K982" t="n">
        <v>72</v>
      </c>
      <c r="L982">
        <f>IF(K982&gt;=80,"Yes","No")</f>
        <v/>
      </c>
      <c r="M982">
        <f>IF(ISNUMBER(H982),IF(H982&gt;0,1,0),"")</f>
        <v/>
      </c>
    </row>
    <row r="983">
      <c r="A983" t="inlineStr">
        <is>
          <t>SIMULATED_FEA_Commercial_Study</t>
        </is>
      </c>
      <c r="B983" t="inlineStr">
        <is>
          <t>V19</t>
        </is>
      </c>
      <c r="C983" t="inlineStr">
        <is>
          <t>Stimulus</t>
        </is>
      </c>
      <c r="D983" t="inlineStr">
        <is>
          <t>Commercial</t>
        </is>
      </c>
      <c r="E983" t="n">
        <v>60</v>
      </c>
      <c r="F983" t="inlineStr">
        <is>
          <t>Positive Valence</t>
        </is>
      </c>
      <c r="G983" t="n">
        <v>50</v>
      </c>
      <c r="H983" t="n">
        <v>6.39</v>
      </c>
      <c r="I983" t="n">
        <v>3</v>
      </c>
      <c r="J983" t="inlineStr">
        <is>
          <t>NA</t>
        </is>
      </c>
      <c r="K983" t="n">
        <v>72</v>
      </c>
      <c r="L983">
        <f>IF(K983&gt;=80,"Yes","No")</f>
        <v/>
      </c>
      <c r="M983">
        <f>IF(ISNUMBER(H983),IF(H983&gt;0,1,0),"")</f>
        <v/>
      </c>
    </row>
    <row r="984">
      <c r="A984" t="inlineStr">
        <is>
          <t>SIMULATED_FEA_Commercial_Study</t>
        </is>
      </c>
      <c r="B984" t="inlineStr">
        <is>
          <t>V19</t>
        </is>
      </c>
      <c r="C984" t="inlineStr">
        <is>
          <t>Stimulus</t>
        </is>
      </c>
      <c r="D984" t="inlineStr">
        <is>
          <t>Commercial</t>
        </is>
      </c>
      <c r="E984" t="n">
        <v>60</v>
      </c>
      <c r="F984" t="inlineStr">
        <is>
          <t>Negative Valence</t>
        </is>
      </c>
      <c r="G984" t="n">
        <v>-50</v>
      </c>
      <c r="H984" t="n">
        <v>0</v>
      </c>
      <c r="I984" t="n">
        <v>0</v>
      </c>
      <c r="J984" t="inlineStr">
        <is>
          <t>NA</t>
        </is>
      </c>
      <c r="K984" t="n">
        <v>72</v>
      </c>
      <c r="L984">
        <f>IF(K984&gt;=80,"Yes","No")</f>
        <v/>
      </c>
      <c r="M984">
        <f>IF(ISNUMBER(H984),IF(H984&gt;0,1,0),"")</f>
        <v/>
      </c>
    </row>
    <row r="985">
      <c r="A985" t="inlineStr">
        <is>
          <t>SIMULATED_FEA_Commercial_Study</t>
        </is>
      </c>
      <c r="B985" t="inlineStr">
        <is>
          <t>V19</t>
        </is>
      </c>
      <c r="C985" t="inlineStr">
        <is>
          <t>Stimulus</t>
        </is>
      </c>
      <c r="D985" t="inlineStr">
        <is>
          <t>Commercial</t>
        </is>
      </c>
      <c r="E985" t="n">
        <v>60</v>
      </c>
      <c r="F985" t="inlineStr">
        <is>
          <t>Engagement</t>
        </is>
      </c>
      <c r="G985" t="inlineStr">
        <is>
          <t>NA</t>
        </is>
      </c>
      <c r="H985" t="inlineStr">
        <is>
          <t>NA</t>
        </is>
      </c>
      <c r="I985" t="inlineStr">
        <is>
          <t>NA</t>
        </is>
      </c>
      <c r="J985" t="n">
        <v>15.42</v>
      </c>
      <c r="K985" t="n">
        <v>72</v>
      </c>
      <c r="L985">
        <f>IF(K985&gt;=80,"Yes","No")</f>
        <v/>
      </c>
      <c r="M985">
        <f>IF(ISNUMBER(H985),IF(H985&gt;0,1,0),"")</f>
        <v/>
      </c>
    </row>
    <row r="986">
      <c r="A986" t="inlineStr">
        <is>
          <t>SIMULATED_FEA_Commercial_Study</t>
        </is>
      </c>
      <c r="B986" t="inlineStr">
        <is>
          <t>V19</t>
        </is>
      </c>
      <c r="C986" t="inlineStr">
        <is>
          <t>Stimulus</t>
        </is>
      </c>
      <c r="D986" t="inlineStr">
        <is>
          <t>Recovery</t>
        </is>
      </c>
      <c r="E986" t="n">
        <v>15</v>
      </c>
      <c r="F986" t="inlineStr">
        <is>
          <t>Joy</t>
        </is>
      </c>
      <c r="G986" t="n">
        <v>50</v>
      </c>
      <c r="H986" t="n">
        <v>0</v>
      </c>
      <c r="I986" t="n">
        <v>0</v>
      </c>
      <c r="J986" t="inlineStr">
        <is>
          <t>NA</t>
        </is>
      </c>
      <c r="K986" t="n">
        <v>72</v>
      </c>
      <c r="L986">
        <f>IF(K986&gt;=80,"Yes","No")</f>
        <v/>
      </c>
      <c r="M986">
        <f>IF(ISNUMBER(H986),IF(H986&gt;0,1,0),"")</f>
        <v/>
      </c>
    </row>
    <row r="987">
      <c r="A987" t="inlineStr">
        <is>
          <t>SIMULATED_FEA_Commercial_Study</t>
        </is>
      </c>
      <c r="B987" t="inlineStr">
        <is>
          <t>V19</t>
        </is>
      </c>
      <c r="C987" t="inlineStr">
        <is>
          <t>Stimulus</t>
        </is>
      </c>
      <c r="D987" t="inlineStr">
        <is>
          <t>Recovery</t>
        </is>
      </c>
      <c r="E987" t="n">
        <v>15</v>
      </c>
      <c r="F987" t="inlineStr">
        <is>
          <t>Surprise</t>
        </is>
      </c>
      <c r="G987" t="n">
        <v>50</v>
      </c>
      <c r="H987" t="n">
        <v>5.56</v>
      </c>
      <c r="I987" t="n">
        <v>1</v>
      </c>
      <c r="J987" t="inlineStr">
        <is>
          <t>NA</t>
        </is>
      </c>
      <c r="K987" t="n">
        <v>72</v>
      </c>
      <c r="L987">
        <f>IF(K987&gt;=80,"Yes","No")</f>
        <v/>
      </c>
      <c r="M987">
        <f>IF(ISNUMBER(H987),IF(H987&gt;0,1,0),"")</f>
        <v/>
      </c>
    </row>
    <row r="988">
      <c r="A988" t="inlineStr">
        <is>
          <t>SIMULATED_FEA_Commercial_Study</t>
        </is>
      </c>
      <c r="B988" t="inlineStr">
        <is>
          <t>V19</t>
        </is>
      </c>
      <c r="C988" t="inlineStr">
        <is>
          <t>Stimulus</t>
        </is>
      </c>
      <c r="D988" t="inlineStr">
        <is>
          <t>Recovery</t>
        </is>
      </c>
      <c r="E988" t="n">
        <v>15</v>
      </c>
      <c r="F988" t="inlineStr">
        <is>
          <t>Brow Furrow</t>
        </is>
      </c>
      <c r="G988" t="n">
        <v>50</v>
      </c>
      <c r="H988" t="n">
        <v>52.44</v>
      </c>
      <c r="I988" t="n">
        <v>2</v>
      </c>
      <c r="J988" t="inlineStr">
        <is>
          <t>NA</t>
        </is>
      </c>
      <c r="K988" t="n">
        <v>72</v>
      </c>
      <c r="L988">
        <f>IF(K988&gt;=80,"Yes","No")</f>
        <v/>
      </c>
      <c r="M988">
        <f>IF(ISNUMBER(H988),IF(H988&gt;0,1,0),"")</f>
        <v/>
      </c>
    </row>
    <row r="989">
      <c r="A989" t="inlineStr">
        <is>
          <t>SIMULATED_FEA_Commercial_Study</t>
        </is>
      </c>
      <c r="B989" t="inlineStr">
        <is>
          <t>V19</t>
        </is>
      </c>
      <c r="C989" t="inlineStr">
        <is>
          <t>Stimulus</t>
        </is>
      </c>
      <c r="D989" t="inlineStr">
        <is>
          <t>Recovery</t>
        </is>
      </c>
      <c r="E989" t="n">
        <v>15</v>
      </c>
      <c r="F989" t="inlineStr">
        <is>
          <t>Positive Valence</t>
        </is>
      </c>
      <c r="G989" t="n">
        <v>50</v>
      </c>
      <c r="H989" t="n">
        <v>0</v>
      </c>
      <c r="I989" t="n">
        <v>0</v>
      </c>
      <c r="J989" t="inlineStr">
        <is>
          <t>NA</t>
        </is>
      </c>
      <c r="K989" t="n">
        <v>72</v>
      </c>
      <c r="L989">
        <f>IF(K989&gt;=80,"Yes","No")</f>
        <v/>
      </c>
      <c r="M989">
        <f>IF(ISNUMBER(H989),IF(H989&gt;0,1,0),"")</f>
        <v/>
      </c>
    </row>
    <row r="990">
      <c r="A990" t="inlineStr">
        <is>
          <t>SIMULATED_FEA_Commercial_Study</t>
        </is>
      </c>
      <c r="B990" t="inlineStr">
        <is>
          <t>V19</t>
        </is>
      </c>
      <c r="C990" t="inlineStr">
        <is>
          <t>Stimulus</t>
        </is>
      </c>
      <c r="D990" t="inlineStr">
        <is>
          <t>Recovery</t>
        </is>
      </c>
      <c r="E990" t="n">
        <v>15</v>
      </c>
      <c r="F990" t="inlineStr">
        <is>
          <t>Negative Valence</t>
        </is>
      </c>
      <c r="G990" t="n">
        <v>-50</v>
      </c>
      <c r="H990" t="n">
        <v>0</v>
      </c>
      <c r="I990" t="n">
        <v>0</v>
      </c>
      <c r="J990" t="inlineStr">
        <is>
          <t>NA</t>
        </is>
      </c>
      <c r="K990" t="n">
        <v>72</v>
      </c>
      <c r="L990">
        <f>IF(K990&gt;=80,"Yes","No")</f>
        <v/>
      </c>
      <c r="M990">
        <f>IF(ISNUMBER(H990),IF(H990&gt;0,1,0),"")</f>
        <v/>
      </c>
    </row>
    <row r="991">
      <c r="A991" t="inlineStr">
        <is>
          <t>SIMULATED_FEA_Commercial_Study</t>
        </is>
      </c>
      <c r="B991" t="inlineStr">
        <is>
          <t>V19</t>
        </is>
      </c>
      <c r="C991" t="inlineStr">
        <is>
          <t>Stimulus</t>
        </is>
      </c>
      <c r="D991" t="inlineStr">
        <is>
          <t>Recovery</t>
        </is>
      </c>
      <c r="E991" t="n">
        <v>15</v>
      </c>
      <c r="F991" t="inlineStr">
        <is>
          <t>Engagement</t>
        </is>
      </c>
      <c r="G991" t="inlineStr">
        <is>
          <t>NA</t>
        </is>
      </c>
      <c r="H991" t="inlineStr">
        <is>
          <t>NA</t>
        </is>
      </c>
      <c r="I991" t="inlineStr">
        <is>
          <t>NA</t>
        </is>
      </c>
      <c r="J991" t="n">
        <v>27.66</v>
      </c>
      <c r="K991" t="n">
        <v>72</v>
      </c>
      <c r="L991">
        <f>IF(K991&gt;=80,"Yes","No")</f>
        <v/>
      </c>
      <c r="M991">
        <f>IF(ISNUMBER(H991),IF(H991&gt;0,1,0),"")</f>
        <v/>
      </c>
    </row>
    <row r="992">
      <c r="A992" t="inlineStr">
        <is>
          <t>SIMULATED_FEA_Commercial_Study</t>
        </is>
      </c>
      <c r="B992" t="inlineStr">
        <is>
          <t>V19</t>
        </is>
      </c>
      <c r="C992" t="inlineStr">
        <is>
          <t>Annotation</t>
        </is>
      </c>
      <c r="D992" t="inlineStr">
        <is>
          <t>Bin_01</t>
        </is>
      </c>
      <c r="E992" t="n">
        <v>10</v>
      </c>
      <c r="F992" t="inlineStr">
        <is>
          <t>Joy</t>
        </is>
      </c>
      <c r="G992" t="n">
        <v>50</v>
      </c>
      <c r="H992" t="n">
        <v>0</v>
      </c>
      <c r="I992" t="n">
        <v>0</v>
      </c>
      <c r="J992" t="inlineStr">
        <is>
          <t>NA</t>
        </is>
      </c>
      <c r="K992" t="n">
        <v>72</v>
      </c>
      <c r="L992">
        <f>IF(K992&gt;=80,"Yes","No")</f>
        <v/>
      </c>
      <c r="M992">
        <f>IF(ISNUMBER(H992),IF(H992&gt;0,1,0),"")</f>
        <v/>
      </c>
    </row>
    <row r="993">
      <c r="A993" t="inlineStr">
        <is>
          <t>SIMULATED_FEA_Commercial_Study</t>
        </is>
      </c>
      <c r="B993" t="inlineStr">
        <is>
          <t>V19</t>
        </is>
      </c>
      <c r="C993" t="inlineStr">
        <is>
          <t>Annotation</t>
        </is>
      </c>
      <c r="D993" t="inlineStr">
        <is>
          <t>Bin_01</t>
        </is>
      </c>
      <c r="E993" t="n">
        <v>10</v>
      </c>
      <c r="F993" t="inlineStr">
        <is>
          <t>Surprise</t>
        </is>
      </c>
      <c r="G993" t="n">
        <v>50</v>
      </c>
      <c r="H993" t="n">
        <v>0</v>
      </c>
      <c r="I993" t="n">
        <v>0</v>
      </c>
      <c r="J993" t="inlineStr">
        <is>
          <t>NA</t>
        </is>
      </c>
      <c r="K993" t="n">
        <v>72</v>
      </c>
      <c r="L993">
        <f>IF(K993&gt;=80,"Yes","No")</f>
        <v/>
      </c>
      <c r="M993">
        <f>IF(ISNUMBER(H993),IF(H993&gt;0,1,0),"")</f>
        <v/>
      </c>
    </row>
    <row r="994">
      <c r="A994" t="inlineStr">
        <is>
          <t>SIMULATED_FEA_Commercial_Study</t>
        </is>
      </c>
      <c r="B994" t="inlineStr">
        <is>
          <t>V19</t>
        </is>
      </c>
      <c r="C994" t="inlineStr">
        <is>
          <t>Annotation</t>
        </is>
      </c>
      <c r="D994" t="inlineStr">
        <is>
          <t>Bin_01</t>
        </is>
      </c>
      <c r="E994" t="n">
        <v>10</v>
      </c>
      <c r="F994" t="inlineStr">
        <is>
          <t>Brow Furrow</t>
        </is>
      </c>
      <c r="G994" t="n">
        <v>50</v>
      </c>
      <c r="H994" t="n">
        <v>4</v>
      </c>
      <c r="I994" t="n">
        <v>1</v>
      </c>
      <c r="J994" t="inlineStr">
        <is>
          <t>NA</t>
        </is>
      </c>
      <c r="K994" t="n">
        <v>72</v>
      </c>
      <c r="L994">
        <f>IF(K994&gt;=80,"Yes","No")</f>
        <v/>
      </c>
      <c r="M994">
        <f>IF(ISNUMBER(H994),IF(H994&gt;0,1,0),"")</f>
        <v/>
      </c>
    </row>
    <row r="995">
      <c r="A995" t="inlineStr">
        <is>
          <t>SIMULATED_FEA_Commercial_Study</t>
        </is>
      </c>
      <c r="B995" t="inlineStr">
        <is>
          <t>V19</t>
        </is>
      </c>
      <c r="C995" t="inlineStr">
        <is>
          <t>Annotation</t>
        </is>
      </c>
      <c r="D995" t="inlineStr">
        <is>
          <t>Bin_01</t>
        </is>
      </c>
      <c r="E995" t="n">
        <v>10</v>
      </c>
      <c r="F995" t="inlineStr">
        <is>
          <t>Positive Valence</t>
        </is>
      </c>
      <c r="G995" t="n">
        <v>50</v>
      </c>
      <c r="H995" t="n">
        <v>0</v>
      </c>
      <c r="I995" t="n">
        <v>0</v>
      </c>
      <c r="J995" t="inlineStr">
        <is>
          <t>NA</t>
        </is>
      </c>
      <c r="K995" t="n">
        <v>72</v>
      </c>
      <c r="L995">
        <f>IF(K995&gt;=80,"Yes","No")</f>
        <v/>
      </c>
      <c r="M995">
        <f>IF(ISNUMBER(H995),IF(H995&gt;0,1,0),"")</f>
        <v/>
      </c>
    </row>
    <row r="996">
      <c r="A996" t="inlineStr">
        <is>
          <t>SIMULATED_FEA_Commercial_Study</t>
        </is>
      </c>
      <c r="B996" t="inlineStr">
        <is>
          <t>V19</t>
        </is>
      </c>
      <c r="C996" t="inlineStr">
        <is>
          <t>Annotation</t>
        </is>
      </c>
      <c r="D996" t="inlineStr">
        <is>
          <t>Bin_01</t>
        </is>
      </c>
      <c r="E996" t="n">
        <v>10</v>
      </c>
      <c r="F996" t="inlineStr">
        <is>
          <t>Negative Valence</t>
        </is>
      </c>
      <c r="G996" t="n">
        <v>-50</v>
      </c>
      <c r="H996" t="n">
        <v>0</v>
      </c>
      <c r="I996" t="n">
        <v>0</v>
      </c>
      <c r="J996" t="inlineStr">
        <is>
          <t>NA</t>
        </is>
      </c>
      <c r="K996" t="n">
        <v>72</v>
      </c>
      <c r="L996">
        <f>IF(K996&gt;=80,"Yes","No")</f>
        <v/>
      </c>
      <c r="M996">
        <f>IF(ISNUMBER(H996),IF(H996&gt;0,1,0),"")</f>
        <v/>
      </c>
    </row>
    <row r="997">
      <c r="A997" t="inlineStr">
        <is>
          <t>SIMULATED_FEA_Commercial_Study</t>
        </is>
      </c>
      <c r="B997" t="inlineStr">
        <is>
          <t>V19</t>
        </is>
      </c>
      <c r="C997" t="inlineStr">
        <is>
          <t>Annotation</t>
        </is>
      </c>
      <c r="D997" t="inlineStr">
        <is>
          <t>Bin_01</t>
        </is>
      </c>
      <c r="E997" t="n">
        <v>10</v>
      </c>
      <c r="F997" t="inlineStr">
        <is>
          <t>Engagement</t>
        </is>
      </c>
      <c r="G997" t="inlineStr">
        <is>
          <t>NA</t>
        </is>
      </c>
      <c r="H997" t="inlineStr">
        <is>
          <t>NA</t>
        </is>
      </c>
      <c r="I997" t="inlineStr">
        <is>
          <t>NA</t>
        </is>
      </c>
      <c r="J997" t="n">
        <v>6.53</v>
      </c>
      <c r="K997" t="n">
        <v>72</v>
      </c>
      <c r="L997">
        <f>IF(K997&gt;=80,"Yes","No")</f>
        <v/>
      </c>
      <c r="M997">
        <f>IF(ISNUMBER(H997),IF(H997&gt;0,1,0),"")</f>
        <v/>
      </c>
    </row>
    <row r="998">
      <c r="A998" t="inlineStr">
        <is>
          <t>SIMULATED_FEA_Commercial_Study</t>
        </is>
      </c>
      <c r="B998" t="inlineStr">
        <is>
          <t>V19</t>
        </is>
      </c>
      <c r="C998" t="inlineStr">
        <is>
          <t>Annotation</t>
        </is>
      </c>
      <c r="D998" t="inlineStr">
        <is>
          <t>Bin_02</t>
        </is>
      </c>
      <c r="E998" t="n">
        <v>10</v>
      </c>
      <c r="F998" t="inlineStr">
        <is>
          <t>Joy</t>
        </is>
      </c>
      <c r="G998" t="n">
        <v>50</v>
      </c>
      <c r="H998" t="n">
        <v>0</v>
      </c>
      <c r="I998" t="n">
        <v>0</v>
      </c>
      <c r="J998" t="inlineStr">
        <is>
          <t>NA</t>
        </is>
      </c>
      <c r="K998" t="n">
        <v>72</v>
      </c>
      <c r="L998">
        <f>IF(K998&gt;=80,"Yes","No")</f>
        <v/>
      </c>
      <c r="M998">
        <f>IF(ISNUMBER(H998),IF(H998&gt;0,1,0),"")</f>
        <v/>
      </c>
    </row>
    <row r="999">
      <c r="A999" t="inlineStr">
        <is>
          <t>SIMULATED_FEA_Commercial_Study</t>
        </is>
      </c>
      <c r="B999" t="inlineStr">
        <is>
          <t>V19</t>
        </is>
      </c>
      <c r="C999" t="inlineStr">
        <is>
          <t>Annotation</t>
        </is>
      </c>
      <c r="D999" t="inlineStr">
        <is>
          <t>Bin_02</t>
        </is>
      </c>
      <c r="E999" t="n">
        <v>10</v>
      </c>
      <c r="F999" t="inlineStr">
        <is>
          <t>Surprise</t>
        </is>
      </c>
      <c r="G999" t="n">
        <v>50</v>
      </c>
      <c r="H999" t="n">
        <v>0</v>
      </c>
      <c r="I999" t="n">
        <v>0</v>
      </c>
      <c r="J999" t="inlineStr">
        <is>
          <t>NA</t>
        </is>
      </c>
      <c r="K999" t="n">
        <v>72</v>
      </c>
      <c r="L999">
        <f>IF(K999&gt;=80,"Yes","No")</f>
        <v/>
      </c>
      <c r="M999">
        <f>IF(ISNUMBER(H999),IF(H999&gt;0,1,0),"")</f>
        <v/>
      </c>
    </row>
    <row r="1000">
      <c r="A1000" t="inlineStr">
        <is>
          <t>SIMULATED_FEA_Commercial_Study</t>
        </is>
      </c>
      <c r="B1000" t="inlineStr">
        <is>
          <t>V19</t>
        </is>
      </c>
      <c r="C1000" t="inlineStr">
        <is>
          <t>Annotation</t>
        </is>
      </c>
      <c r="D1000" t="inlineStr">
        <is>
          <t>Bin_02</t>
        </is>
      </c>
      <c r="E1000" t="n">
        <v>10</v>
      </c>
      <c r="F1000" t="inlineStr">
        <is>
          <t>Brow Furrow</t>
        </is>
      </c>
      <c r="G1000" t="n">
        <v>50</v>
      </c>
      <c r="H1000" t="n">
        <v>0</v>
      </c>
      <c r="I1000" t="n">
        <v>0</v>
      </c>
      <c r="J1000" t="inlineStr">
        <is>
          <t>NA</t>
        </is>
      </c>
      <c r="K1000" t="n">
        <v>72</v>
      </c>
      <c r="L1000">
        <f>IF(K1000&gt;=80,"Yes","No")</f>
        <v/>
      </c>
      <c r="M1000">
        <f>IF(ISNUMBER(H1000),IF(H1000&gt;0,1,0),"")</f>
        <v/>
      </c>
    </row>
    <row r="1001">
      <c r="A1001" t="inlineStr">
        <is>
          <t>SIMULATED_FEA_Commercial_Study</t>
        </is>
      </c>
      <c r="B1001" t="inlineStr">
        <is>
          <t>V19</t>
        </is>
      </c>
      <c r="C1001" t="inlineStr">
        <is>
          <t>Annotation</t>
        </is>
      </c>
      <c r="D1001" t="inlineStr">
        <is>
          <t>Bin_02</t>
        </is>
      </c>
      <c r="E1001" t="n">
        <v>10</v>
      </c>
      <c r="F1001" t="inlineStr">
        <is>
          <t>Positive Valence</t>
        </is>
      </c>
      <c r="G1001" t="n">
        <v>50</v>
      </c>
      <c r="H1001" t="n">
        <v>0</v>
      </c>
      <c r="I1001" t="n">
        <v>0</v>
      </c>
      <c r="J1001" t="inlineStr">
        <is>
          <t>NA</t>
        </is>
      </c>
      <c r="K1001" t="n">
        <v>72</v>
      </c>
      <c r="L1001">
        <f>IF(K1001&gt;=80,"Yes","No")</f>
        <v/>
      </c>
      <c r="M1001">
        <f>IF(ISNUMBER(H1001),IF(H1001&gt;0,1,0),"")</f>
        <v/>
      </c>
    </row>
    <row r="1002">
      <c r="A1002" t="inlineStr">
        <is>
          <t>SIMULATED_FEA_Commercial_Study</t>
        </is>
      </c>
      <c r="B1002" t="inlineStr">
        <is>
          <t>V19</t>
        </is>
      </c>
      <c r="C1002" t="inlineStr">
        <is>
          <t>Annotation</t>
        </is>
      </c>
      <c r="D1002" t="inlineStr">
        <is>
          <t>Bin_02</t>
        </is>
      </c>
      <c r="E1002" t="n">
        <v>10</v>
      </c>
      <c r="F1002" t="inlineStr">
        <is>
          <t>Negative Valence</t>
        </is>
      </c>
      <c r="G1002" t="n">
        <v>-50</v>
      </c>
      <c r="H1002" t="n">
        <v>0</v>
      </c>
      <c r="I1002" t="n">
        <v>0</v>
      </c>
      <c r="J1002" t="inlineStr">
        <is>
          <t>NA</t>
        </is>
      </c>
      <c r="K1002" t="n">
        <v>72</v>
      </c>
      <c r="L1002">
        <f>IF(K1002&gt;=80,"Yes","No")</f>
        <v/>
      </c>
      <c r="M1002">
        <f>IF(ISNUMBER(H1002),IF(H1002&gt;0,1,0),"")</f>
        <v/>
      </c>
    </row>
    <row r="1003">
      <c r="A1003" t="inlineStr">
        <is>
          <t>SIMULATED_FEA_Commercial_Study</t>
        </is>
      </c>
      <c r="B1003" t="inlineStr">
        <is>
          <t>V19</t>
        </is>
      </c>
      <c r="C1003" t="inlineStr">
        <is>
          <t>Annotation</t>
        </is>
      </c>
      <c r="D1003" t="inlineStr">
        <is>
          <t>Bin_02</t>
        </is>
      </c>
      <c r="E1003" t="n">
        <v>10</v>
      </c>
      <c r="F1003" t="inlineStr">
        <is>
          <t>Engagement</t>
        </is>
      </c>
      <c r="G1003" t="inlineStr">
        <is>
          <t>NA</t>
        </is>
      </c>
      <c r="H1003" t="inlineStr">
        <is>
          <t>NA</t>
        </is>
      </c>
      <c r="I1003" t="inlineStr">
        <is>
          <t>NA</t>
        </is>
      </c>
      <c r="J1003" t="n">
        <v>4.58</v>
      </c>
      <c r="K1003" t="n">
        <v>72</v>
      </c>
      <c r="L1003">
        <f>IF(K1003&gt;=80,"Yes","No")</f>
        <v/>
      </c>
      <c r="M1003">
        <f>IF(ISNUMBER(H1003),IF(H1003&gt;0,1,0),"")</f>
        <v/>
      </c>
    </row>
    <row r="1004">
      <c r="A1004" t="inlineStr">
        <is>
          <t>SIMULATED_FEA_Commercial_Study</t>
        </is>
      </c>
      <c r="B1004" t="inlineStr">
        <is>
          <t>V19</t>
        </is>
      </c>
      <c r="C1004" t="inlineStr">
        <is>
          <t>Annotation</t>
        </is>
      </c>
      <c r="D1004" t="inlineStr">
        <is>
          <t>Bin_03</t>
        </is>
      </c>
      <c r="E1004" t="n">
        <v>10</v>
      </c>
      <c r="F1004" t="inlineStr">
        <is>
          <t>Joy</t>
        </is>
      </c>
      <c r="G1004" t="n">
        <v>50</v>
      </c>
      <c r="H1004" t="n">
        <v>0</v>
      </c>
      <c r="I1004" t="n">
        <v>0</v>
      </c>
      <c r="J1004" t="inlineStr">
        <is>
          <t>NA</t>
        </is>
      </c>
      <c r="K1004" t="n">
        <v>72</v>
      </c>
      <c r="L1004">
        <f>IF(K1004&gt;=80,"Yes","No")</f>
        <v/>
      </c>
      <c r="M1004">
        <f>IF(ISNUMBER(H1004),IF(H1004&gt;0,1,0),"")</f>
        <v/>
      </c>
    </row>
    <row r="1005">
      <c r="A1005" t="inlineStr">
        <is>
          <t>SIMULATED_FEA_Commercial_Study</t>
        </is>
      </c>
      <c r="B1005" t="inlineStr">
        <is>
          <t>V19</t>
        </is>
      </c>
      <c r="C1005" t="inlineStr">
        <is>
          <t>Annotation</t>
        </is>
      </c>
      <c r="D1005" t="inlineStr">
        <is>
          <t>Bin_03</t>
        </is>
      </c>
      <c r="E1005" t="n">
        <v>10</v>
      </c>
      <c r="F1005" t="inlineStr">
        <is>
          <t>Surprise</t>
        </is>
      </c>
      <c r="G1005" t="n">
        <v>50</v>
      </c>
      <c r="H1005" t="n">
        <v>0</v>
      </c>
      <c r="I1005" t="n">
        <v>0</v>
      </c>
      <c r="J1005" t="inlineStr">
        <is>
          <t>NA</t>
        </is>
      </c>
      <c r="K1005" t="n">
        <v>72</v>
      </c>
      <c r="L1005">
        <f>IF(K1005&gt;=80,"Yes","No")</f>
        <v/>
      </c>
      <c r="M1005">
        <f>IF(ISNUMBER(H1005),IF(H1005&gt;0,1,0),"")</f>
        <v/>
      </c>
    </row>
    <row r="1006">
      <c r="A1006" t="inlineStr">
        <is>
          <t>SIMULATED_FEA_Commercial_Study</t>
        </is>
      </c>
      <c r="B1006" t="inlineStr">
        <is>
          <t>V19</t>
        </is>
      </c>
      <c r="C1006" t="inlineStr">
        <is>
          <t>Annotation</t>
        </is>
      </c>
      <c r="D1006" t="inlineStr">
        <is>
          <t>Bin_03</t>
        </is>
      </c>
      <c r="E1006" t="n">
        <v>10</v>
      </c>
      <c r="F1006" t="inlineStr">
        <is>
          <t>Brow Furrow</t>
        </is>
      </c>
      <c r="G1006" t="n">
        <v>50</v>
      </c>
      <c r="H1006" t="n">
        <v>0</v>
      </c>
      <c r="I1006" t="n">
        <v>0</v>
      </c>
      <c r="J1006" t="inlineStr">
        <is>
          <t>NA</t>
        </is>
      </c>
      <c r="K1006" t="n">
        <v>72</v>
      </c>
      <c r="L1006">
        <f>IF(K1006&gt;=80,"Yes","No")</f>
        <v/>
      </c>
      <c r="M1006">
        <f>IF(ISNUMBER(H1006),IF(H1006&gt;0,1,0),"")</f>
        <v/>
      </c>
    </row>
    <row r="1007">
      <c r="A1007" t="inlineStr">
        <is>
          <t>SIMULATED_FEA_Commercial_Study</t>
        </is>
      </c>
      <c r="B1007" t="inlineStr">
        <is>
          <t>V19</t>
        </is>
      </c>
      <c r="C1007" t="inlineStr">
        <is>
          <t>Annotation</t>
        </is>
      </c>
      <c r="D1007" t="inlineStr">
        <is>
          <t>Bin_03</t>
        </is>
      </c>
      <c r="E1007" t="n">
        <v>10</v>
      </c>
      <c r="F1007" t="inlineStr">
        <is>
          <t>Positive Valence</t>
        </is>
      </c>
      <c r="G1007" t="n">
        <v>50</v>
      </c>
      <c r="H1007" t="n">
        <v>0</v>
      </c>
      <c r="I1007" t="n">
        <v>0</v>
      </c>
      <c r="J1007" t="inlineStr">
        <is>
          <t>NA</t>
        </is>
      </c>
      <c r="K1007" t="n">
        <v>72</v>
      </c>
      <c r="L1007">
        <f>IF(K1007&gt;=80,"Yes","No")</f>
        <v/>
      </c>
      <c r="M1007">
        <f>IF(ISNUMBER(H1007),IF(H1007&gt;0,1,0),"")</f>
        <v/>
      </c>
    </row>
    <row r="1008">
      <c r="A1008" t="inlineStr">
        <is>
          <t>SIMULATED_FEA_Commercial_Study</t>
        </is>
      </c>
      <c r="B1008" t="inlineStr">
        <is>
          <t>V19</t>
        </is>
      </c>
      <c r="C1008" t="inlineStr">
        <is>
          <t>Annotation</t>
        </is>
      </c>
      <c r="D1008" t="inlineStr">
        <is>
          <t>Bin_03</t>
        </is>
      </c>
      <c r="E1008" t="n">
        <v>10</v>
      </c>
      <c r="F1008" t="inlineStr">
        <is>
          <t>Negative Valence</t>
        </is>
      </c>
      <c r="G1008" t="n">
        <v>-50</v>
      </c>
      <c r="H1008" t="n">
        <v>0</v>
      </c>
      <c r="I1008" t="n">
        <v>0</v>
      </c>
      <c r="J1008" t="inlineStr">
        <is>
          <t>NA</t>
        </is>
      </c>
      <c r="K1008" t="n">
        <v>72</v>
      </c>
      <c r="L1008">
        <f>IF(K1008&gt;=80,"Yes","No")</f>
        <v/>
      </c>
      <c r="M1008">
        <f>IF(ISNUMBER(H1008),IF(H1008&gt;0,1,0),"")</f>
        <v/>
      </c>
    </row>
    <row r="1009">
      <c r="A1009" t="inlineStr">
        <is>
          <t>SIMULATED_FEA_Commercial_Study</t>
        </is>
      </c>
      <c r="B1009" t="inlineStr">
        <is>
          <t>V19</t>
        </is>
      </c>
      <c r="C1009" t="inlineStr">
        <is>
          <t>Annotation</t>
        </is>
      </c>
      <c r="D1009" t="inlineStr">
        <is>
          <t>Bin_03</t>
        </is>
      </c>
      <c r="E1009" t="n">
        <v>10</v>
      </c>
      <c r="F1009" t="inlineStr">
        <is>
          <t>Engagement</t>
        </is>
      </c>
      <c r="G1009" t="inlineStr">
        <is>
          <t>NA</t>
        </is>
      </c>
      <c r="H1009" t="inlineStr">
        <is>
          <t>NA</t>
        </is>
      </c>
      <c r="I1009" t="inlineStr">
        <is>
          <t>NA</t>
        </is>
      </c>
      <c r="J1009" t="inlineStr">
        <is>
          <t>NA</t>
        </is>
      </c>
      <c r="K1009" t="n">
        <v>72</v>
      </c>
      <c r="L1009">
        <f>IF(K1009&gt;=80,"Yes","No")</f>
        <v/>
      </c>
      <c r="M1009">
        <f>IF(ISNUMBER(H1009),IF(H1009&gt;0,1,0),"")</f>
        <v/>
      </c>
    </row>
    <row r="1010">
      <c r="A1010" t="inlineStr">
        <is>
          <t>SIMULATED_FEA_Commercial_Study</t>
        </is>
      </c>
      <c r="B1010" t="inlineStr">
        <is>
          <t>V19</t>
        </is>
      </c>
      <c r="C1010" t="inlineStr">
        <is>
          <t>Annotation</t>
        </is>
      </c>
      <c r="D1010" t="inlineStr">
        <is>
          <t>Bin_04</t>
        </is>
      </c>
      <c r="E1010" t="n">
        <v>10</v>
      </c>
      <c r="F1010" t="inlineStr">
        <is>
          <t>Joy</t>
        </is>
      </c>
      <c r="G1010" t="n">
        <v>50</v>
      </c>
      <c r="H1010" t="n">
        <v>15.67</v>
      </c>
      <c r="I1010" t="n">
        <v>1</v>
      </c>
      <c r="J1010" t="inlineStr">
        <is>
          <t>NA</t>
        </is>
      </c>
      <c r="K1010" t="n">
        <v>72</v>
      </c>
      <c r="L1010">
        <f>IF(K1010&gt;=80,"Yes","No")</f>
        <v/>
      </c>
      <c r="M1010">
        <f>IF(ISNUMBER(H1010),IF(H1010&gt;0,1,0),"")</f>
        <v/>
      </c>
    </row>
    <row r="1011">
      <c r="A1011" t="inlineStr">
        <is>
          <t>SIMULATED_FEA_Commercial_Study</t>
        </is>
      </c>
      <c r="B1011" t="inlineStr">
        <is>
          <t>V19</t>
        </is>
      </c>
      <c r="C1011" t="inlineStr">
        <is>
          <t>Annotation</t>
        </is>
      </c>
      <c r="D1011" t="inlineStr">
        <is>
          <t>Bin_04</t>
        </is>
      </c>
      <c r="E1011" t="n">
        <v>10</v>
      </c>
      <c r="F1011" t="inlineStr">
        <is>
          <t>Surprise</t>
        </is>
      </c>
      <c r="G1011" t="n">
        <v>50</v>
      </c>
      <c r="H1011" t="n">
        <v>0</v>
      </c>
      <c r="I1011" t="n">
        <v>0</v>
      </c>
      <c r="J1011" t="inlineStr">
        <is>
          <t>NA</t>
        </is>
      </c>
      <c r="K1011" t="n">
        <v>72</v>
      </c>
      <c r="L1011">
        <f>IF(K1011&gt;=80,"Yes","No")</f>
        <v/>
      </c>
      <c r="M1011">
        <f>IF(ISNUMBER(H1011),IF(H1011&gt;0,1,0),"")</f>
        <v/>
      </c>
    </row>
    <row r="1012">
      <c r="A1012" t="inlineStr">
        <is>
          <t>SIMULATED_FEA_Commercial_Study</t>
        </is>
      </c>
      <c r="B1012" t="inlineStr">
        <is>
          <t>V19</t>
        </is>
      </c>
      <c r="C1012" t="inlineStr">
        <is>
          <t>Annotation</t>
        </is>
      </c>
      <c r="D1012" t="inlineStr">
        <is>
          <t>Bin_04</t>
        </is>
      </c>
      <c r="E1012" t="n">
        <v>10</v>
      </c>
      <c r="F1012" t="inlineStr">
        <is>
          <t>Brow Furrow</t>
        </is>
      </c>
      <c r="G1012" t="n">
        <v>50</v>
      </c>
      <c r="H1012" t="n">
        <v>14.67</v>
      </c>
      <c r="I1012" t="n">
        <v>2</v>
      </c>
      <c r="J1012" t="inlineStr">
        <is>
          <t>NA</t>
        </is>
      </c>
      <c r="K1012" t="n">
        <v>72</v>
      </c>
      <c r="L1012">
        <f>IF(K1012&gt;=80,"Yes","No")</f>
        <v/>
      </c>
      <c r="M1012">
        <f>IF(ISNUMBER(H1012),IF(H1012&gt;0,1,0),"")</f>
        <v/>
      </c>
    </row>
    <row r="1013">
      <c r="A1013" t="inlineStr">
        <is>
          <t>SIMULATED_FEA_Commercial_Study</t>
        </is>
      </c>
      <c r="B1013" t="inlineStr">
        <is>
          <t>V19</t>
        </is>
      </c>
      <c r="C1013" t="inlineStr">
        <is>
          <t>Annotation</t>
        </is>
      </c>
      <c r="D1013" t="inlineStr">
        <is>
          <t>Bin_04</t>
        </is>
      </c>
      <c r="E1013" t="n">
        <v>10</v>
      </c>
      <c r="F1013" t="inlineStr">
        <is>
          <t>Positive Valence</t>
        </is>
      </c>
      <c r="G1013" t="n">
        <v>50</v>
      </c>
      <c r="H1013" t="n">
        <v>11.33</v>
      </c>
      <c r="I1013" t="n">
        <v>2</v>
      </c>
      <c r="J1013" t="inlineStr">
        <is>
          <t>NA</t>
        </is>
      </c>
      <c r="K1013" t="n">
        <v>72</v>
      </c>
      <c r="L1013">
        <f>IF(K1013&gt;=80,"Yes","No")</f>
        <v/>
      </c>
      <c r="M1013">
        <f>IF(ISNUMBER(H1013),IF(H1013&gt;0,1,0),"")</f>
        <v/>
      </c>
    </row>
    <row r="1014">
      <c r="A1014" t="inlineStr">
        <is>
          <t>SIMULATED_FEA_Commercial_Study</t>
        </is>
      </c>
      <c r="B1014" t="inlineStr">
        <is>
          <t>V19</t>
        </is>
      </c>
      <c r="C1014" t="inlineStr">
        <is>
          <t>Annotation</t>
        </is>
      </c>
      <c r="D1014" t="inlineStr">
        <is>
          <t>Bin_04</t>
        </is>
      </c>
      <c r="E1014" t="n">
        <v>10</v>
      </c>
      <c r="F1014" t="inlineStr">
        <is>
          <t>Negative Valence</t>
        </is>
      </c>
      <c r="G1014" t="n">
        <v>-50</v>
      </c>
      <c r="H1014" t="n">
        <v>0</v>
      </c>
      <c r="I1014" t="n">
        <v>0</v>
      </c>
      <c r="J1014" t="inlineStr">
        <is>
          <t>NA</t>
        </is>
      </c>
      <c r="K1014" t="n">
        <v>72</v>
      </c>
      <c r="L1014">
        <f>IF(K1014&gt;=80,"Yes","No")</f>
        <v/>
      </c>
      <c r="M1014">
        <f>IF(ISNUMBER(H1014),IF(H1014&gt;0,1,0),"")</f>
        <v/>
      </c>
    </row>
    <row r="1015">
      <c r="A1015" t="inlineStr">
        <is>
          <t>SIMULATED_FEA_Commercial_Study</t>
        </is>
      </c>
      <c r="B1015" t="inlineStr">
        <is>
          <t>V19</t>
        </is>
      </c>
      <c r="C1015" t="inlineStr">
        <is>
          <t>Annotation</t>
        </is>
      </c>
      <c r="D1015" t="inlineStr">
        <is>
          <t>Bin_04</t>
        </is>
      </c>
      <c r="E1015" t="n">
        <v>10</v>
      </c>
      <c r="F1015" t="inlineStr">
        <is>
          <t>Engagement</t>
        </is>
      </c>
      <c r="G1015" t="inlineStr">
        <is>
          <t>NA</t>
        </is>
      </c>
      <c r="H1015" t="inlineStr">
        <is>
          <t>NA</t>
        </is>
      </c>
      <c r="I1015" t="inlineStr">
        <is>
          <t>NA</t>
        </is>
      </c>
      <c r="J1015" t="n">
        <v>27.52</v>
      </c>
      <c r="K1015" t="n">
        <v>72</v>
      </c>
      <c r="L1015">
        <f>IF(K1015&gt;=80,"Yes","No")</f>
        <v/>
      </c>
      <c r="M1015">
        <f>IF(ISNUMBER(H1015),IF(H1015&gt;0,1,0),"")</f>
        <v/>
      </c>
    </row>
    <row r="1016">
      <c r="A1016" t="inlineStr">
        <is>
          <t>SIMULATED_FEA_Commercial_Study</t>
        </is>
      </c>
      <c r="B1016" t="inlineStr">
        <is>
          <t>V19</t>
        </is>
      </c>
      <c r="C1016" t="inlineStr">
        <is>
          <t>Annotation</t>
        </is>
      </c>
      <c r="D1016" t="inlineStr">
        <is>
          <t>Bin_05</t>
        </is>
      </c>
      <c r="E1016" t="n">
        <v>10</v>
      </c>
      <c r="F1016" t="inlineStr">
        <is>
          <t>Joy</t>
        </is>
      </c>
      <c r="G1016" t="n">
        <v>50</v>
      </c>
      <c r="H1016" t="n">
        <v>29.33</v>
      </c>
      <c r="I1016" t="n">
        <v>2</v>
      </c>
      <c r="J1016" t="inlineStr">
        <is>
          <t>NA</t>
        </is>
      </c>
      <c r="K1016" t="n">
        <v>72</v>
      </c>
      <c r="L1016">
        <f>IF(K1016&gt;=80,"Yes","No")</f>
        <v/>
      </c>
      <c r="M1016">
        <f>IF(ISNUMBER(H1016),IF(H1016&gt;0,1,0),"")</f>
        <v/>
      </c>
    </row>
    <row r="1017">
      <c r="A1017" t="inlineStr">
        <is>
          <t>SIMULATED_FEA_Commercial_Study</t>
        </is>
      </c>
      <c r="B1017" t="inlineStr">
        <is>
          <t>V19</t>
        </is>
      </c>
      <c r="C1017" t="inlineStr">
        <is>
          <t>Annotation</t>
        </is>
      </c>
      <c r="D1017" t="inlineStr">
        <is>
          <t>Bin_05</t>
        </is>
      </c>
      <c r="E1017" t="n">
        <v>10</v>
      </c>
      <c r="F1017" t="inlineStr">
        <is>
          <t>Surprise</t>
        </is>
      </c>
      <c r="G1017" t="n">
        <v>50</v>
      </c>
      <c r="H1017" t="n">
        <v>0</v>
      </c>
      <c r="I1017" t="n">
        <v>0</v>
      </c>
      <c r="J1017" t="inlineStr">
        <is>
          <t>NA</t>
        </is>
      </c>
      <c r="K1017" t="n">
        <v>72</v>
      </c>
      <c r="L1017">
        <f>IF(K1017&gt;=80,"Yes","No")</f>
        <v/>
      </c>
      <c r="M1017">
        <f>IF(ISNUMBER(H1017),IF(H1017&gt;0,1,0),"")</f>
        <v/>
      </c>
    </row>
    <row r="1018">
      <c r="A1018" t="inlineStr">
        <is>
          <t>SIMULATED_FEA_Commercial_Study</t>
        </is>
      </c>
      <c r="B1018" t="inlineStr">
        <is>
          <t>V19</t>
        </is>
      </c>
      <c r="C1018" t="inlineStr">
        <is>
          <t>Annotation</t>
        </is>
      </c>
      <c r="D1018" t="inlineStr">
        <is>
          <t>Bin_05</t>
        </is>
      </c>
      <c r="E1018" t="n">
        <v>10</v>
      </c>
      <c r="F1018" t="inlineStr">
        <is>
          <t>Brow Furrow</t>
        </is>
      </c>
      <c r="G1018" t="n">
        <v>50</v>
      </c>
      <c r="H1018" t="n">
        <v>0</v>
      </c>
      <c r="I1018" t="n">
        <v>0</v>
      </c>
      <c r="J1018" t="inlineStr">
        <is>
          <t>NA</t>
        </is>
      </c>
      <c r="K1018" t="n">
        <v>72</v>
      </c>
      <c r="L1018">
        <f>IF(K1018&gt;=80,"Yes","No")</f>
        <v/>
      </c>
      <c r="M1018">
        <f>IF(ISNUMBER(H1018),IF(H1018&gt;0,1,0),"")</f>
        <v/>
      </c>
    </row>
    <row r="1019">
      <c r="A1019" t="inlineStr">
        <is>
          <t>SIMULATED_FEA_Commercial_Study</t>
        </is>
      </c>
      <c r="B1019" t="inlineStr">
        <is>
          <t>V19</t>
        </is>
      </c>
      <c r="C1019" t="inlineStr">
        <is>
          <t>Annotation</t>
        </is>
      </c>
      <c r="D1019" t="inlineStr">
        <is>
          <t>Bin_05</t>
        </is>
      </c>
      <c r="E1019" t="n">
        <v>10</v>
      </c>
      <c r="F1019" t="inlineStr">
        <is>
          <t>Positive Valence</t>
        </is>
      </c>
      <c r="G1019" t="n">
        <v>50</v>
      </c>
      <c r="H1019" t="n">
        <v>27</v>
      </c>
      <c r="I1019" t="n">
        <v>1</v>
      </c>
      <c r="J1019" t="inlineStr">
        <is>
          <t>NA</t>
        </is>
      </c>
      <c r="K1019" t="n">
        <v>72</v>
      </c>
      <c r="L1019">
        <f>IF(K1019&gt;=80,"Yes","No")</f>
        <v/>
      </c>
      <c r="M1019">
        <f>IF(ISNUMBER(H1019),IF(H1019&gt;0,1,0),"")</f>
        <v/>
      </c>
    </row>
    <row r="1020">
      <c r="A1020" t="inlineStr">
        <is>
          <t>SIMULATED_FEA_Commercial_Study</t>
        </is>
      </c>
      <c r="B1020" t="inlineStr">
        <is>
          <t>V19</t>
        </is>
      </c>
      <c r="C1020" t="inlineStr">
        <is>
          <t>Annotation</t>
        </is>
      </c>
      <c r="D1020" t="inlineStr">
        <is>
          <t>Bin_05</t>
        </is>
      </c>
      <c r="E1020" t="n">
        <v>10</v>
      </c>
      <c r="F1020" t="inlineStr">
        <is>
          <t>Negative Valence</t>
        </is>
      </c>
      <c r="G1020" t="n">
        <v>-50</v>
      </c>
      <c r="H1020" t="n">
        <v>0</v>
      </c>
      <c r="I1020" t="n">
        <v>0</v>
      </c>
      <c r="J1020" t="inlineStr">
        <is>
          <t>NA</t>
        </is>
      </c>
      <c r="K1020" t="n">
        <v>72</v>
      </c>
      <c r="L1020">
        <f>IF(K1020&gt;=80,"Yes","No")</f>
        <v/>
      </c>
      <c r="M1020">
        <f>IF(ISNUMBER(H1020),IF(H1020&gt;0,1,0),"")</f>
        <v/>
      </c>
    </row>
    <row r="1021">
      <c r="A1021" t="inlineStr">
        <is>
          <t>SIMULATED_FEA_Commercial_Study</t>
        </is>
      </c>
      <c r="B1021" t="inlineStr">
        <is>
          <t>V19</t>
        </is>
      </c>
      <c r="C1021" t="inlineStr">
        <is>
          <t>Annotation</t>
        </is>
      </c>
      <c r="D1021" t="inlineStr">
        <is>
          <t>Bin_05</t>
        </is>
      </c>
      <c r="E1021" t="n">
        <v>10</v>
      </c>
      <c r="F1021" t="inlineStr">
        <is>
          <t>Engagement</t>
        </is>
      </c>
      <c r="G1021" t="inlineStr">
        <is>
          <t>NA</t>
        </is>
      </c>
      <c r="H1021" t="inlineStr">
        <is>
          <t>NA</t>
        </is>
      </c>
      <c r="I1021" t="inlineStr">
        <is>
          <t>NA</t>
        </is>
      </c>
      <c r="J1021" t="n">
        <v>38.51</v>
      </c>
      <c r="K1021" t="n">
        <v>72</v>
      </c>
      <c r="L1021">
        <f>IF(K1021&gt;=80,"Yes","No")</f>
        <v/>
      </c>
      <c r="M1021">
        <f>IF(ISNUMBER(H1021),IF(H1021&gt;0,1,0),"")</f>
        <v/>
      </c>
    </row>
    <row r="1022">
      <c r="A1022" t="inlineStr">
        <is>
          <t>SIMULATED_FEA_Commercial_Study</t>
        </is>
      </c>
      <c r="B1022" t="inlineStr">
        <is>
          <t>V19</t>
        </is>
      </c>
      <c r="C1022" t="inlineStr">
        <is>
          <t>Annotation</t>
        </is>
      </c>
      <c r="D1022" t="inlineStr">
        <is>
          <t>Bin_06</t>
        </is>
      </c>
      <c r="E1022" t="n">
        <v>10</v>
      </c>
      <c r="F1022" t="inlineStr">
        <is>
          <t>Joy</t>
        </is>
      </c>
      <c r="G1022" t="n">
        <v>50</v>
      </c>
      <c r="H1022" t="n">
        <v>0</v>
      </c>
      <c r="I1022" t="n">
        <v>0</v>
      </c>
      <c r="J1022" t="inlineStr">
        <is>
          <t>NA</t>
        </is>
      </c>
      <c r="K1022" t="n">
        <v>72</v>
      </c>
      <c r="L1022">
        <f>IF(K1022&gt;=80,"Yes","No")</f>
        <v/>
      </c>
      <c r="M1022">
        <f>IF(ISNUMBER(H1022),IF(H1022&gt;0,1,0),"")</f>
        <v/>
      </c>
    </row>
    <row r="1023">
      <c r="A1023" t="inlineStr">
        <is>
          <t>SIMULATED_FEA_Commercial_Study</t>
        </is>
      </c>
      <c r="B1023" t="inlineStr">
        <is>
          <t>V19</t>
        </is>
      </c>
      <c r="C1023" t="inlineStr">
        <is>
          <t>Annotation</t>
        </is>
      </c>
      <c r="D1023" t="inlineStr">
        <is>
          <t>Bin_06</t>
        </is>
      </c>
      <c r="E1023" t="n">
        <v>10</v>
      </c>
      <c r="F1023" t="inlineStr">
        <is>
          <t>Surprise</t>
        </is>
      </c>
      <c r="G1023" t="n">
        <v>50</v>
      </c>
      <c r="H1023" t="n">
        <v>0</v>
      </c>
      <c r="I1023" t="n">
        <v>0</v>
      </c>
      <c r="J1023" t="inlineStr">
        <is>
          <t>NA</t>
        </is>
      </c>
      <c r="K1023" t="n">
        <v>72</v>
      </c>
      <c r="L1023">
        <f>IF(K1023&gt;=80,"Yes","No")</f>
        <v/>
      </c>
      <c r="M1023">
        <f>IF(ISNUMBER(H1023),IF(H1023&gt;0,1,0),"")</f>
        <v/>
      </c>
    </row>
    <row r="1024">
      <c r="A1024" t="inlineStr">
        <is>
          <t>SIMULATED_FEA_Commercial_Study</t>
        </is>
      </c>
      <c r="B1024" t="inlineStr">
        <is>
          <t>V19</t>
        </is>
      </c>
      <c r="C1024" t="inlineStr">
        <is>
          <t>Annotation</t>
        </is>
      </c>
      <c r="D1024" t="inlineStr">
        <is>
          <t>Bin_06</t>
        </is>
      </c>
      <c r="E1024" t="n">
        <v>10</v>
      </c>
      <c r="F1024" t="inlineStr">
        <is>
          <t>Brow Furrow</t>
        </is>
      </c>
      <c r="G1024" t="n">
        <v>50</v>
      </c>
      <c r="H1024" t="n">
        <v>0</v>
      </c>
      <c r="I1024" t="n">
        <v>0</v>
      </c>
      <c r="J1024" t="inlineStr">
        <is>
          <t>NA</t>
        </is>
      </c>
      <c r="K1024" t="n">
        <v>72</v>
      </c>
      <c r="L1024">
        <f>IF(K1024&gt;=80,"Yes","No")</f>
        <v/>
      </c>
      <c r="M1024">
        <f>IF(ISNUMBER(H1024),IF(H1024&gt;0,1,0),"")</f>
        <v/>
      </c>
    </row>
    <row r="1025">
      <c r="A1025" t="inlineStr">
        <is>
          <t>SIMULATED_FEA_Commercial_Study</t>
        </is>
      </c>
      <c r="B1025" t="inlineStr">
        <is>
          <t>V19</t>
        </is>
      </c>
      <c r="C1025" t="inlineStr">
        <is>
          <t>Annotation</t>
        </is>
      </c>
      <c r="D1025" t="inlineStr">
        <is>
          <t>Bin_06</t>
        </is>
      </c>
      <c r="E1025" t="n">
        <v>10</v>
      </c>
      <c r="F1025" t="inlineStr">
        <is>
          <t>Positive Valence</t>
        </is>
      </c>
      <c r="G1025" t="n">
        <v>50</v>
      </c>
      <c r="H1025" t="n">
        <v>0</v>
      </c>
      <c r="I1025" t="n">
        <v>0</v>
      </c>
      <c r="J1025" t="inlineStr">
        <is>
          <t>NA</t>
        </is>
      </c>
      <c r="K1025" t="n">
        <v>72</v>
      </c>
      <c r="L1025">
        <f>IF(K1025&gt;=80,"Yes","No")</f>
        <v/>
      </c>
      <c r="M1025">
        <f>IF(ISNUMBER(H1025),IF(H1025&gt;0,1,0),"")</f>
        <v/>
      </c>
    </row>
    <row r="1026">
      <c r="A1026" t="inlineStr">
        <is>
          <t>SIMULATED_FEA_Commercial_Study</t>
        </is>
      </c>
      <c r="B1026" t="inlineStr">
        <is>
          <t>V19</t>
        </is>
      </c>
      <c r="C1026" t="inlineStr">
        <is>
          <t>Annotation</t>
        </is>
      </c>
      <c r="D1026" t="inlineStr">
        <is>
          <t>Bin_06</t>
        </is>
      </c>
      <c r="E1026" t="n">
        <v>10</v>
      </c>
      <c r="F1026" t="inlineStr">
        <is>
          <t>Negative Valence</t>
        </is>
      </c>
      <c r="G1026" t="n">
        <v>-50</v>
      </c>
      <c r="H1026" t="n">
        <v>0</v>
      </c>
      <c r="I1026" t="n">
        <v>0</v>
      </c>
      <c r="J1026" t="inlineStr">
        <is>
          <t>NA</t>
        </is>
      </c>
      <c r="K1026" t="n">
        <v>72</v>
      </c>
      <c r="L1026">
        <f>IF(K1026&gt;=80,"Yes","No")</f>
        <v/>
      </c>
      <c r="M1026">
        <f>IF(ISNUMBER(H1026),IF(H1026&gt;0,1,0),"")</f>
        <v/>
      </c>
    </row>
    <row r="1027">
      <c r="A1027" t="inlineStr">
        <is>
          <t>SIMULATED_FEA_Commercial_Study</t>
        </is>
      </c>
      <c r="B1027" t="inlineStr">
        <is>
          <t>V19</t>
        </is>
      </c>
      <c r="C1027" t="inlineStr">
        <is>
          <t>Annotation</t>
        </is>
      </c>
      <c r="D1027" t="inlineStr">
        <is>
          <t>Bin_06</t>
        </is>
      </c>
      <c r="E1027" t="n">
        <v>10</v>
      </c>
      <c r="F1027" t="inlineStr">
        <is>
          <t>Engagement</t>
        </is>
      </c>
      <c r="G1027" t="inlineStr">
        <is>
          <t>NA</t>
        </is>
      </c>
      <c r="H1027" t="inlineStr">
        <is>
          <t>NA</t>
        </is>
      </c>
      <c r="I1027" t="inlineStr">
        <is>
          <t>NA</t>
        </is>
      </c>
      <c r="J1027" t="n">
        <v>8.02</v>
      </c>
      <c r="K1027" t="n">
        <v>72</v>
      </c>
      <c r="L1027">
        <f>IF(K1027&gt;=80,"Yes","No")</f>
        <v/>
      </c>
      <c r="M1027">
        <f>IF(ISNUMBER(H1027),IF(H1027&gt;0,1,0),"")</f>
        <v/>
      </c>
    </row>
    <row r="1028">
      <c r="A1028" t="inlineStr">
        <is>
          <t>SIMULATED_FEA_Commercial_Study</t>
        </is>
      </c>
      <c r="B1028" t="inlineStr">
        <is>
          <t>V20</t>
        </is>
      </c>
      <c r="C1028" t="inlineStr">
        <is>
          <t>Stimulus</t>
        </is>
      </c>
      <c r="D1028" t="inlineStr">
        <is>
          <t>Baseline</t>
        </is>
      </c>
      <c r="E1028" t="n">
        <v>60</v>
      </c>
      <c r="F1028" t="inlineStr">
        <is>
          <t>Joy</t>
        </is>
      </c>
      <c r="G1028" t="n">
        <v>50</v>
      </c>
      <c r="H1028" t="n">
        <v>9.779999999999999</v>
      </c>
      <c r="I1028" t="n">
        <v>4</v>
      </c>
      <c r="J1028" t="inlineStr">
        <is>
          <t>NA</t>
        </is>
      </c>
      <c r="K1028" t="n">
        <v>87.8</v>
      </c>
      <c r="L1028">
        <f>IF(K1028&gt;=80,"Yes","No")</f>
        <v/>
      </c>
      <c r="M1028">
        <f>IF(ISNUMBER(H1028),IF(H1028&gt;0,1,0),"")</f>
        <v/>
      </c>
    </row>
    <row r="1029">
      <c r="A1029" t="inlineStr">
        <is>
          <t>SIMULATED_FEA_Commercial_Study</t>
        </is>
      </c>
      <c r="B1029" t="inlineStr">
        <is>
          <t>V20</t>
        </is>
      </c>
      <c r="C1029" t="inlineStr">
        <is>
          <t>Stimulus</t>
        </is>
      </c>
      <c r="D1029" t="inlineStr">
        <is>
          <t>Baseline</t>
        </is>
      </c>
      <c r="E1029" t="n">
        <v>60</v>
      </c>
      <c r="F1029" t="inlineStr">
        <is>
          <t>Surprise</t>
        </is>
      </c>
      <c r="G1029" t="n">
        <v>50</v>
      </c>
      <c r="H1029" t="n">
        <v>0</v>
      </c>
      <c r="I1029" t="n">
        <v>0</v>
      </c>
      <c r="J1029" t="inlineStr">
        <is>
          <t>NA</t>
        </is>
      </c>
      <c r="K1029" t="n">
        <v>87.8</v>
      </c>
      <c r="L1029">
        <f>IF(K1029&gt;=80,"Yes","No")</f>
        <v/>
      </c>
      <c r="M1029">
        <f>IF(ISNUMBER(H1029),IF(H1029&gt;0,1,0),"")</f>
        <v/>
      </c>
    </row>
    <row r="1030">
      <c r="A1030" t="inlineStr">
        <is>
          <t>SIMULATED_FEA_Commercial_Study</t>
        </is>
      </c>
      <c r="B1030" t="inlineStr">
        <is>
          <t>V20</t>
        </is>
      </c>
      <c r="C1030" t="inlineStr">
        <is>
          <t>Stimulus</t>
        </is>
      </c>
      <c r="D1030" t="inlineStr">
        <is>
          <t>Baseline</t>
        </is>
      </c>
      <c r="E1030" t="n">
        <v>60</v>
      </c>
      <c r="F1030" t="inlineStr">
        <is>
          <t>Brow Furrow</t>
        </is>
      </c>
      <c r="G1030" t="n">
        <v>50</v>
      </c>
      <c r="H1030" t="n">
        <v>9.56</v>
      </c>
      <c r="I1030" t="n">
        <v>3</v>
      </c>
      <c r="J1030" t="inlineStr">
        <is>
          <t>NA</t>
        </is>
      </c>
      <c r="K1030" t="n">
        <v>87.8</v>
      </c>
      <c r="L1030">
        <f>IF(K1030&gt;=80,"Yes","No")</f>
        <v/>
      </c>
      <c r="M1030">
        <f>IF(ISNUMBER(H1030),IF(H1030&gt;0,1,0),"")</f>
        <v/>
      </c>
    </row>
    <row r="1031">
      <c r="A1031" t="inlineStr">
        <is>
          <t>SIMULATED_FEA_Commercial_Study</t>
        </is>
      </c>
      <c r="B1031" t="inlineStr">
        <is>
          <t>V20</t>
        </is>
      </c>
      <c r="C1031" t="inlineStr">
        <is>
          <t>Stimulus</t>
        </is>
      </c>
      <c r="D1031" t="inlineStr">
        <is>
          <t>Baseline</t>
        </is>
      </c>
      <c r="E1031" t="n">
        <v>60</v>
      </c>
      <c r="F1031" t="inlineStr">
        <is>
          <t>Positive Valence</t>
        </is>
      </c>
      <c r="G1031" t="n">
        <v>50</v>
      </c>
      <c r="H1031" t="n">
        <v>8.609999999999999</v>
      </c>
      <c r="I1031" t="n">
        <v>4</v>
      </c>
      <c r="J1031" t="inlineStr">
        <is>
          <t>NA</t>
        </is>
      </c>
      <c r="K1031" t="n">
        <v>87.8</v>
      </c>
      <c r="L1031">
        <f>IF(K1031&gt;=80,"Yes","No")</f>
        <v/>
      </c>
      <c r="M1031">
        <f>IF(ISNUMBER(H1031),IF(H1031&gt;0,1,0),"")</f>
        <v/>
      </c>
    </row>
    <row r="1032">
      <c r="A1032" t="inlineStr">
        <is>
          <t>SIMULATED_FEA_Commercial_Study</t>
        </is>
      </c>
      <c r="B1032" t="inlineStr">
        <is>
          <t>V20</t>
        </is>
      </c>
      <c r="C1032" t="inlineStr">
        <is>
          <t>Stimulus</t>
        </is>
      </c>
      <c r="D1032" t="inlineStr">
        <is>
          <t>Baseline</t>
        </is>
      </c>
      <c r="E1032" t="n">
        <v>60</v>
      </c>
      <c r="F1032" t="inlineStr">
        <is>
          <t>Negative Valence</t>
        </is>
      </c>
      <c r="G1032" t="n">
        <v>-50</v>
      </c>
      <c r="H1032" t="n">
        <v>0</v>
      </c>
      <c r="I1032" t="n">
        <v>0</v>
      </c>
      <c r="J1032" t="inlineStr">
        <is>
          <t>NA</t>
        </is>
      </c>
      <c r="K1032" t="n">
        <v>87.8</v>
      </c>
      <c r="L1032">
        <f>IF(K1032&gt;=80,"Yes","No")</f>
        <v/>
      </c>
      <c r="M1032">
        <f>IF(ISNUMBER(H1032),IF(H1032&gt;0,1,0),"")</f>
        <v/>
      </c>
    </row>
    <row r="1033">
      <c r="A1033" t="inlineStr">
        <is>
          <t>SIMULATED_FEA_Commercial_Study</t>
        </is>
      </c>
      <c r="B1033" t="inlineStr">
        <is>
          <t>V20</t>
        </is>
      </c>
      <c r="C1033" t="inlineStr">
        <is>
          <t>Stimulus</t>
        </is>
      </c>
      <c r="D1033" t="inlineStr">
        <is>
          <t>Baseline</t>
        </is>
      </c>
      <c r="E1033" t="n">
        <v>60</v>
      </c>
      <c r="F1033" t="inlineStr">
        <is>
          <t>Engagement</t>
        </is>
      </c>
      <c r="G1033" t="inlineStr">
        <is>
          <t>NA</t>
        </is>
      </c>
      <c r="H1033" t="inlineStr">
        <is>
          <t>NA</t>
        </is>
      </c>
      <c r="I1033" t="inlineStr">
        <is>
          <t>NA</t>
        </is>
      </c>
      <c r="J1033" t="n">
        <v>11.61</v>
      </c>
      <c r="K1033" t="n">
        <v>87.8</v>
      </c>
      <c r="L1033">
        <f>IF(K1033&gt;=80,"Yes","No")</f>
        <v/>
      </c>
      <c r="M1033">
        <f>IF(ISNUMBER(H1033),IF(H1033&gt;0,1,0),"")</f>
        <v/>
      </c>
    </row>
    <row r="1034">
      <c r="A1034" t="inlineStr">
        <is>
          <t>SIMULATED_FEA_Commercial_Study</t>
        </is>
      </c>
      <c r="B1034" t="inlineStr">
        <is>
          <t>V20</t>
        </is>
      </c>
      <c r="C1034" t="inlineStr">
        <is>
          <t>Stimulus</t>
        </is>
      </c>
      <c r="D1034" t="inlineStr">
        <is>
          <t>Commercial</t>
        </is>
      </c>
      <c r="E1034" t="n">
        <v>60</v>
      </c>
      <c r="F1034" t="inlineStr">
        <is>
          <t>Joy</t>
        </is>
      </c>
      <c r="G1034" t="n">
        <v>50</v>
      </c>
      <c r="H1034" t="n">
        <v>6.72</v>
      </c>
      <c r="I1034" t="n">
        <v>2</v>
      </c>
      <c r="J1034" t="inlineStr">
        <is>
          <t>NA</t>
        </is>
      </c>
      <c r="K1034" t="n">
        <v>87.8</v>
      </c>
      <c r="L1034">
        <f>IF(K1034&gt;=80,"Yes","No")</f>
        <v/>
      </c>
      <c r="M1034">
        <f>IF(ISNUMBER(H1034),IF(H1034&gt;0,1,0),"")</f>
        <v/>
      </c>
    </row>
    <row r="1035">
      <c r="A1035" t="inlineStr">
        <is>
          <t>SIMULATED_FEA_Commercial_Study</t>
        </is>
      </c>
      <c r="B1035" t="inlineStr">
        <is>
          <t>V20</t>
        </is>
      </c>
      <c r="C1035" t="inlineStr">
        <is>
          <t>Stimulus</t>
        </is>
      </c>
      <c r="D1035" t="inlineStr">
        <is>
          <t>Commercial</t>
        </is>
      </c>
      <c r="E1035" t="n">
        <v>60</v>
      </c>
      <c r="F1035" t="inlineStr">
        <is>
          <t>Surprise</t>
        </is>
      </c>
      <c r="G1035" t="n">
        <v>50</v>
      </c>
      <c r="H1035" t="n">
        <v>2.44</v>
      </c>
      <c r="I1035" t="n">
        <v>2</v>
      </c>
      <c r="J1035" t="inlineStr">
        <is>
          <t>NA</t>
        </is>
      </c>
      <c r="K1035" t="n">
        <v>87.8</v>
      </c>
      <c r="L1035">
        <f>IF(K1035&gt;=80,"Yes","No")</f>
        <v/>
      </c>
      <c r="M1035">
        <f>IF(ISNUMBER(H1035),IF(H1035&gt;0,1,0),"")</f>
        <v/>
      </c>
    </row>
    <row r="1036">
      <c r="A1036" t="inlineStr">
        <is>
          <t>SIMULATED_FEA_Commercial_Study</t>
        </is>
      </c>
      <c r="B1036" t="inlineStr">
        <is>
          <t>V20</t>
        </is>
      </c>
      <c r="C1036" t="inlineStr">
        <is>
          <t>Stimulus</t>
        </is>
      </c>
      <c r="D1036" t="inlineStr">
        <is>
          <t>Commercial</t>
        </is>
      </c>
      <c r="E1036" t="n">
        <v>60</v>
      </c>
      <c r="F1036" t="inlineStr">
        <is>
          <t>Brow Furrow</t>
        </is>
      </c>
      <c r="G1036" t="n">
        <v>50</v>
      </c>
      <c r="H1036" t="n">
        <v>5.11</v>
      </c>
      <c r="I1036" t="n">
        <v>1</v>
      </c>
      <c r="J1036" t="inlineStr">
        <is>
          <t>NA</t>
        </is>
      </c>
      <c r="K1036" t="n">
        <v>87.8</v>
      </c>
      <c r="L1036">
        <f>IF(K1036&gt;=80,"Yes","No")</f>
        <v/>
      </c>
      <c r="M1036">
        <f>IF(ISNUMBER(H1036),IF(H1036&gt;0,1,0),"")</f>
        <v/>
      </c>
    </row>
    <row r="1037">
      <c r="A1037" t="inlineStr">
        <is>
          <t>SIMULATED_FEA_Commercial_Study</t>
        </is>
      </c>
      <c r="B1037" t="inlineStr">
        <is>
          <t>V20</t>
        </is>
      </c>
      <c r="C1037" t="inlineStr">
        <is>
          <t>Stimulus</t>
        </is>
      </c>
      <c r="D1037" t="inlineStr">
        <is>
          <t>Commercial</t>
        </is>
      </c>
      <c r="E1037" t="n">
        <v>60</v>
      </c>
      <c r="F1037" t="inlineStr">
        <is>
          <t>Positive Valence</t>
        </is>
      </c>
      <c r="G1037" t="n">
        <v>50</v>
      </c>
      <c r="H1037" t="n">
        <v>13.89</v>
      </c>
      <c r="I1037" t="n">
        <v>6</v>
      </c>
      <c r="J1037" t="inlineStr">
        <is>
          <t>NA</t>
        </is>
      </c>
      <c r="K1037" t="n">
        <v>87.8</v>
      </c>
      <c r="L1037">
        <f>IF(K1037&gt;=80,"Yes","No")</f>
        <v/>
      </c>
      <c r="M1037">
        <f>IF(ISNUMBER(H1037),IF(H1037&gt;0,1,0),"")</f>
        <v/>
      </c>
    </row>
    <row r="1038">
      <c r="A1038" t="inlineStr">
        <is>
          <t>SIMULATED_FEA_Commercial_Study</t>
        </is>
      </c>
      <c r="B1038" t="inlineStr">
        <is>
          <t>V20</t>
        </is>
      </c>
      <c r="C1038" t="inlineStr">
        <is>
          <t>Stimulus</t>
        </is>
      </c>
      <c r="D1038" t="inlineStr">
        <is>
          <t>Commercial</t>
        </is>
      </c>
      <c r="E1038" t="n">
        <v>60</v>
      </c>
      <c r="F1038" t="inlineStr">
        <is>
          <t>Negative Valence</t>
        </is>
      </c>
      <c r="G1038" t="n">
        <v>-50</v>
      </c>
      <c r="H1038" t="n">
        <v>0</v>
      </c>
      <c r="I1038" t="n">
        <v>0</v>
      </c>
      <c r="J1038" t="inlineStr">
        <is>
          <t>NA</t>
        </is>
      </c>
      <c r="K1038" t="n">
        <v>87.8</v>
      </c>
      <c r="L1038">
        <f>IF(K1038&gt;=80,"Yes","No")</f>
        <v/>
      </c>
      <c r="M1038">
        <f>IF(ISNUMBER(H1038),IF(H1038&gt;0,1,0),"")</f>
        <v/>
      </c>
    </row>
    <row r="1039">
      <c r="A1039" t="inlineStr">
        <is>
          <t>SIMULATED_FEA_Commercial_Study</t>
        </is>
      </c>
      <c r="B1039" t="inlineStr">
        <is>
          <t>V20</t>
        </is>
      </c>
      <c r="C1039" t="inlineStr">
        <is>
          <t>Stimulus</t>
        </is>
      </c>
      <c r="D1039" t="inlineStr">
        <is>
          <t>Commercial</t>
        </is>
      </c>
      <c r="E1039" t="n">
        <v>60</v>
      </c>
      <c r="F1039" t="inlineStr">
        <is>
          <t>Engagement</t>
        </is>
      </c>
      <c r="G1039" t="inlineStr">
        <is>
          <t>NA</t>
        </is>
      </c>
      <c r="H1039" t="inlineStr">
        <is>
          <t>NA</t>
        </is>
      </c>
      <c r="I1039" t="inlineStr">
        <is>
          <t>NA</t>
        </is>
      </c>
      <c r="J1039" t="n">
        <v>13.8</v>
      </c>
      <c r="K1039" t="n">
        <v>87.8</v>
      </c>
      <c r="L1039">
        <f>IF(K1039&gt;=80,"Yes","No")</f>
        <v/>
      </c>
      <c r="M1039">
        <f>IF(ISNUMBER(H1039),IF(H1039&gt;0,1,0),"")</f>
        <v/>
      </c>
    </row>
    <row r="1040">
      <c r="A1040" t="inlineStr">
        <is>
          <t>SIMULATED_FEA_Commercial_Study</t>
        </is>
      </c>
      <c r="B1040" t="inlineStr">
        <is>
          <t>V20</t>
        </is>
      </c>
      <c r="C1040" t="inlineStr">
        <is>
          <t>Stimulus</t>
        </is>
      </c>
      <c r="D1040" t="inlineStr">
        <is>
          <t>Recovery</t>
        </is>
      </c>
      <c r="E1040" t="n">
        <v>15</v>
      </c>
      <c r="F1040" t="inlineStr">
        <is>
          <t>Joy</t>
        </is>
      </c>
      <c r="G1040" t="n">
        <v>50</v>
      </c>
      <c r="H1040" t="n">
        <v>20.89</v>
      </c>
      <c r="I1040" t="n">
        <v>1</v>
      </c>
      <c r="J1040" t="inlineStr">
        <is>
          <t>NA</t>
        </is>
      </c>
      <c r="K1040" t="n">
        <v>87.8</v>
      </c>
      <c r="L1040">
        <f>IF(K1040&gt;=80,"Yes","No")</f>
        <v/>
      </c>
      <c r="M1040">
        <f>IF(ISNUMBER(H1040),IF(H1040&gt;0,1,0),"")</f>
        <v/>
      </c>
    </row>
    <row r="1041">
      <c r="A1041" t="inlineStr">
        <is>
          <t>SIMULATED_FEA_Commercial_Study</t>
        </is>
      </c>
      <c r="B1041" t="inlineStr">
        <is>
          <t>V20</t>
        </is>
      </c>
      <c r="C1041" t="inlineStr">
        <is>
          <t>Stimulus</t>
        </is>
      </c>
      <c r="D1041" t="inlineStr">
        <is>
          <t>Recovery</t>
        </is>
      </c>
      <c r="E1041" t="n">
        <v>15</v>
      </c>
      <c r="F1041" t="inlineStr">
        <is>
          <t>Surprise</t>
        </is>
      </c>
      <c r="G1041" t="n">
        <v>50</v>
      </c>
      <c r="H1041" t="n">
        <v>0</v>
      </c>
      <c r="I1041" t="n">
        <v>0</v>
      </c>
      <c r="J1041" t="inlineStr">
        <is>
          <t>NA</t>
        </is>
      </c>
      <c r="K1041" t="n">
        <v>87.8</v>
      </c>
      <c r="L1041">
        <f>IF(K1041&gt;=80,"Yes","No")</f>
        <v/>
      </c>
      <c r="M1041">
        <f>IF(ISNUMBER(H1041),IF(H1041&gt;0,1,0),"")</f>
        <v/>
      </c>
    </row>
    <row r="1042">
      <c r="A1042" t="inlineStr">
        <is>
          <t>SIMULATED_FEA_Commercial_Study</t>
        </is>
      </c>
      <c r="B1042" t="inlineStr">
        <is>
          <t>V20</t>
        </is>
      </c>
      <c r="C1042" t="inlineStr">
        <is>
          <t>Stimulus</t>
        </is>
      </c>
      <c r="D1042" t="inlineStr">
        <is>
          <t>Recovery</t>
        </is>
      </c>
      <c r="E1042" t="n">
        <v>15</v>
      </c>
      <c r="F1042" t="inlineStr">
        <is>
          <t>Brow Furrow</t>
        </is>
      </c>
      <c r="G1042" t="n">
        <v>50</v>
      </c>
      <c r="H1042" t="n">
        <v>0</v>
      </c>
      <c r="I1042" t="n">
        <v>0</v>
      </c>
      <c r="J1042" t="inlineStr">
        <is>
          <t>NA</t>
        </is>
      </c>
      <c r="K1042" t="n">
        <v>87.8</v>
      </c>
      <c r="L1042">
        <f>IF(K1042&gt;=80,"Yes","No")</f>
        <v/>
      </c>
      <c r="M1042">
        <f>IF(ISNUMBER(H1042),IF(H1042&gt;0,1,0),"")</f>
        <v/>
      </c>
    </row>
    <row r="1043">
      <c r="A1043" t="inlineStr">
        <is>
          <t>SIMULATED_FEA_Commercial_Study</t>
        </is>
      </c>
      <c r="B1043" t="inlineStr">
        <is>
          <t>V20</t>
        </is>
      </c>
      <c r="C1043" t="inlineStr">
        <is>
          <t>Stimulus</t>
        </is>
      </c>
      <c r="D1043" t="inlineStr">
        <is>
          <t>Recovery</t>
        </is>
      </c>
      <c r="E1043" t="n">
        <v>15</v>
      </c>
      <c r="F1043" t="inlineStr">
        <is>
          <t>Positive Valence</t>
        </is>
      </c>
      <c r="G1043" t="n">
        <v>50</v>
      </c>
      <c r="H1043" t="n">
        <v>18.89</v>
      </c>
      <c r="I1043" t="n">
        <v>1</v>
      </c>
      <c r="J1043" t="inlineStr">
        <is>
          <t>NA</t>
        </is>
      </c>
      <c r="K1043" t="n">
        <v>87.8</v>
      </c>
      <c r="L1043">
        <f>IF(K1043&gt;=80,"Yes","No")</f>
        <v/>
      </c>
      <c r="M1043">
        <f>IF(ISNUMBER(H1043),IF(H1043&gt;0,1,0),"")</f>
        <v/>
      </c>
    </row>
    <row r="1044">
      <c r="A1044" t="inlineStr">
        <is>
          <t>SIMULATED_FEA_Commercial_Study</t>
        </is>
      </c>
      <c r="B1044" t="inlineStr">
        <is>
          <t>V20</t>
        </is>
      </c>
      <c r="C1044" t="inlineStr">
        <is>
          <t>Stimulus</t>
        </is>
      </c>
      <c r="D1044" t="inlineStr">
        <is>
          <t>Recovery</t>
        </is>
      </c>
      <c r="E1044" t="n">
        <v>15</v>
      </c>
      <c r="F1044" t="inlineStr">
        <is>
          <t>Negative Valence</t>
        </is>
      </c>
      <c r="G1044" t="n">
        <v>-50</v>
      </c>
      <c r="H1044" t="n">
        <v>0</v>
      </c>
      <c r="I1044" t="n">
        <v>0</v>
      </c>
      <c r="J1044" t="inlineStr">
        <is>
          <t>NA</t>
        </is>
      </c>
      <c r="K1044" t="n">
        <v>87.8</v>
      </c>
      <c r="L1044">
        <f>IF(K1044&gt;=80,"Yes","No")</f>
        <v/>
      </c>
      <c r="M1044">
        <f>IF(ISNUMBER(H1044),IF(H1044&gt;0,1,0),"")</f>
        <v/>
      </c>
    </row>
    <row r="1045">
      <c r="A1045" t="inlineStr">
        <is>
          <t>SIMULATED_FEA_Commercial_Study</t>
        </is>
      </c>
      <c r="B1045" t="inlineStr">
        <is>
          <t>V20</t>
        </is>
      </c>
      <c r="C1045" t="inlineStr">
        <is>
          <t>Stimulus</t>
        </is>
      </c>
      <c r="D1045" t="inlineStr">
        <is>
          <t>Recovery</t>
        </is>
      </c>
      <c r="E1045" t="n">
        <v>15</v>
      </c>
      <c r="F1045" t="inlineStr">
        <is>
          <t>Engagement</t>
        </is>
      </c>
      <c r="G1045" t="inlineStr">
        <is>
          <t>NA</t>
        </is>
      </c>
      <c r="H1045" t="inlineStr">
        <is>
          <t>NA</t>
        </is>
      </c>
      <c r="I1045" t="inlineStr">
        <is>
          <t>NA</t>
        </is>
      </c>
      <c r="J1045" t="n">
        <v>17.83</v>
      </c>
      <c r="K1045" t="n">
        <v>87.8</v>
      </c>
      <c r="L1045">
        <f>IF(K1045&gt;=80,"Yes","No")</f>
        <v/>
      </c>
      <c r="M1045">
        <f>IF(ISNUMBER(H1045),IF(H1045&gt;0,1,0),"")</f>
        <v/>
      </c>
    </row>
    <row r="1046">
      <c r="A1046" t="inlineStr">
        <is>
          <t>SIMULATED_FEA_Commercial_Study</t>
        </is>
      </c>
      <c r="B1046" t="inlineStr">
        <is>
          <t>V20</t>
        </is>
      </c>
      <c r="C1046" t="inlineStr">
        <is>
          <t>Annotation</t>
        </is>
      </c>
      <c r="D1046" t="inlineStr">
        <is>
          <t>Bin_01</t>
        </is>
      </c>
      <c r="E1046" t="n">
        <v>10</v>
      </c>
      <c r="F1046" t="inlineStr">
        <is>
          <t>Joy</t>
        </is>
      </c>
      <c r="G1046" t="n">
        <v>50</v>
      </c>
      <c r="H1046" t="n">
        <v>0</v>
      </c>
      <c r="I1046" t="n">
        <v>0</v>
      </c>
      <c r="J1046" t="inlineStr">
        <is>
          <t>NA</t>
        </is>
      </c>
      <c r="K1046" t="n">
        <v>87.8</v>
      </c>
      <c r="L1046">
        <f>IF(K1046&gt;=80,"Yes","No")</f>
        <v/>
      </c>
      <c r="M1046">
        <f>IF(ISNUMBER(H1046),IF(H1046&gt;0,1,0),"")</f>
        <v/>
      </c>
    </row>
    <row r="1047">
      <c r="A1047" t="inlineStr">
        <is>
          <t>SIMULATED_FEA_Commercial_Study</t>
        </is>
      </c>
      <c r="B1047" t="inlineStr">
        <is>
          <t>V20</t>
        </is>
      </c>
      <c r="C1047" t="inlineStr">
        <is>
          <t>Annotation</t>
        </is>
      </c>
      <c r="D1047" t="inlineStr">
        <is>
          <t>Bin_01</t>
        </is>
      </c>
      <c r="E1047" t="n">
        <v>10</v>
      </c>
      <c r="F1047" t="inlineStr">
        <is>
          <t>Surprise</t>
        </is>
      </c>
      <c r="G1047" t="n">
        <v>50</v>
      </c>
      <c r="H1047" t="n">
        <v>0</v>
      </c>
      <c r="I1047" t="n">
        <v>0</v>
      </c>
      <c r="J1047" t="inlineStr">
        <is>
          <t>NA</t>
        </is>
      </c>
      <c r="K1047" t="n">
        <v>87.8</v>
      </c>
      <c r="L1047">
        <f>IF(K1047&gt;=80,"Yes","No")</f>
        <v/>
      </c>
      <c r="M1047">
        <f>IF(ISNUMBER(H1047),IF(H1047&gt;0,1,0),"")</f>
        <v/>
      </c>
    </row>
    <row r="1048">
      <c r="A1048" t="inlineStr">
        <is>
          <t>SIMULATED_FEA_Commercial_Study</t>
        </is>
      </c>
      <c r="B1048" t="inlineStr">
        <is>
          <t>V20</t>
        </is>
      </c>
      <c r="C1048" t="inlineStr">
        <is>
          <t>Annotation</t>
        </is>
      </c>
      <c r="D1048" t="inlineStr">
        <is>
          <t>Bin_01</t>
        </is>
      </c>
      <c r="E1048" t="n">
        <v>10</v>
      </c>
      <c r="F1048" t="inlineStr">
        <is>
          <t>Brow Furrow</t>
        </is>
      </c>
      <c r="G1048" t="n">
        <v>50</v>
      </c>
      <c r="H1048" t="n">
        <v>0</v>
      </c>
      <c r="I1048" t="n">
        <v>0</v>
      </c>
      <c r="J1048" t="inlineStr">
        <is>
          <t>NA</t>
        </is>
      </c>
      <c r="K1048" t="n">
        <v>87.8</v>
      </c>
      <c r="L1048">
        <f>IF(K1048&gt;=80,"Yes","No")</f>
        <v/>
      </c>
      <c r="M1048">
        <f>IF(ISNUMBER(H1048),IF(H1048&gt;0,1,0),"")</f>
        <v/>
      </c>
    </row>
    <row r="1049">
      <c r="A1049" t="inlineStr">
        <is>
          <t>SIMULATED_FEA_Commercial_Study</t>
        </is>
      </c>
      <c r="B1049" t="inlineStr">
        <is>
          <t>V20</t>
        </is>
      </c>
      <c r="C1049" t="inlineStr">
        <is>
          <t>Annotation</t>
        </is>
      </c>
      <c r="D1049" t="inlineStr">
        <is>
          <t>Bin_01</t>
        </is>
      </c>
      <c r="E1049" t="n">
        <v>10</v>
      </c>
      <c r="F1049" t="inlineStr">
        <is>
          <t>Positive Valence</t>
        </is>
      </c>
      <c r="G1049" t="n">
        <v>50</v>
      </c>
      <c r="H1049" t="n">
        <v>0</v>
      </c>
      <c r="I1049" t="n">
        <v>0</v>
      </c>
      <c r="J1049" t="inlineStr">
        <is>
          <t>NA</t>
        </is>
      </c>
      <c r="K1049" t="n">
        <v>87.8</v>
      </c>
      <c r="L1049">
        <f>IF(K1049&gt;=80,"Yes","No")</f>
        <v/>
      </c>
      <c r="M1049">
        <f>IF(ISNUMBER(H1049),IF(H1049&gt;0,1,0),"")</f>
        <v/>
      </c>
    </row>
    <row r="1050">
      <c r="A1050" t="inlineStr">
        <is>
          <t>SIMULATED_FEA_Commercial_Study</t>
        </is>
      </c>
      <c r="B1050" t="inlineStr">
        <is>
          <t>V20</t>
        </is>
      </c>
      <c r="C1050" t="inlineStr">
        <is>
          <t>Annotation</t>
        </is>
      </c>
      <c r="D1050" t="inlineStr">
        <is>
          <t>Bin_01</t>
        </is>
      </c>
      <c r="E1050" t="n">
        <v>10</v>
      </c>
      <c r="F1050" t="inlineStr">
        <is>
          <t>Negative Valence</t>
        </is>
      </c>
      <c r="G1050" t="n">
        <v>-50</v>
      </c>
      <c r="H1050" t="n">
        <v>0</v>
      </c>
      <c r="I1050" t="n">
        <v>0</v>
      </c>
      <c r="J1050" t="inlineStr">
        <is>
          <t>NA</t>
        </is>
      </c>
      <c r="K1050" t="n">
        <v>87.8</v>
      </c>
      <c r="L1050">
        <f>IF(K1050&gt;=80,"Yes","No")</f>
        <v/>
      </c>
      <c r="M1050">
        <f>IF(ISNUMBER(H1050),IF(H1050&gt;0,1,0),"")</f>
        <v/>
      </c>
    </row>
    <row r="1051">
      <c r="A1051" t="inlineStr">
        <is>
          <t>SIMULATED_FEA_Commercial_Study</t>
        </is>
      </c>
      <c r="B1051" t="inlineStr">
        <is>
          <t>V20</t>
        </is>
      </c>
      <c r="C1051" t="inlineStr">
        <is>
          <t>Annotation</t>
        </is>
      </c>
      <c r="D1051" t="inlineStr">
        <is>
          <t>Bin_01</t>
        </is>
      </c>
      <c r="E1051" t="n">
        <v>10</v>
      </c>
      <c r="F1051" t="inlineStr">
        <is>
          <t>Engagement</t>
        </is>
      </c>
      <c r="G1051" t="inlineStr">
        <is>
          <t>NA</t>
        </is>
      </c>
      <c r="H1051" t="inlineStr">
        <is>
          <t>NA</t>
        </is>
      </c>
      <c r="I1051" t="inlineStr">
        <is>
          <t>NA</t>
        </is>
      </c>
      <c r="J1051" t="n">
        <v>3.24</v>
      </c>
      <c r="K1051" t="n">
        <v>87.8</v>
      </c>
      <c r="L1051">
        <f>IF(K1051&gt;=80,"Yes","No")</f>
        <v/>
      </c>
      <c r="M1051">
        <f>IF(ISNUMBER(H1051),IF(H1051&gt;0,1,0),"")</f>
        <v/>
      </c>
    </row>
    <row r="1052">
      <c r="A1052" t="inlineStr">
        <is>
          <t>SIMULATED_FEA_Commercial_Study</t>
        </is>
      </c>
      <c r="B1052" t="inlineStr">
        <is>
          <t>V20</t>
        </is>
      </c>
      <c r="C1052" t="inlineStr">
        <is>
          <t>Annotation</t>
        </is>
      </c>
      <c r="D1052" t="inlineStr">
        <is>
          <t>Bin_02</t>
        </is>
      </c>
      <c r="E1052" t="n">
        <v>10</v>
      </c>
      <c r="F1052" t="inlineStr">
        <is>
          <t>Joy</t>
        </is>
      </c>
      <c r="G1052" t="n">
        <v>50</v>
      </c>
      <c r="H1052" t="n">
        <v>0</v>
      </c>
      <c r="I1052" t="n">
        <v>0</v>
      </c>
      <c r="J1052" t="inlineStr">
        <is>
          <t>NA</t>
        </is>
      </c>
      <c r="K1052" t="n">
        <v>87.8</v>
      </c>
      <c r="L1052">
        <f>IF(K1052&gt;=80,"Yes","No")</f>
        <v/>
      </c>
      <c r="M1052">
        <f>IF(ISNUMBER(H1052),IF(H1052&gt;0,1,0),"")</f>
        <v/>
      </c>
    </row>
    <row r="1053">
      <c r="A1053" t="inlineStr">
        <is>
          <t>SIMULATED_FEA_Commercial_Study</t>
        </is>
      </c>
      <c r="B1053" t="inlineStr">
        <is>
          <t>V20</t>
        </is>
      </c>
      <c r="C1053" t="inlineStr">
        <is>
          <t>Annotation</t>
        </is>
      </c>
      <c r="D1053" t="inlineStr">
        <is>
          <t>Bin_02</t>
        </is>
      </c>
      <c r="E1053" t="n">
        <v>10</v>
      </c>
      <c r="F1053" t="inlineStr">
        <is>
          <t>Surprise</t>
        </is>
      </c>
      <c r="G1053" t="n">
        <v>50</v>
      </c>
      <c r="H1053" t="n">
        <v>0</v>
      </c>
      <c r="I1053" t="n">
        <v>0</v>
      </c>
      <c r="J1053" t="inlineStr">
        <is>
          <t>NA</t>
        </is>
      </c>
      <c r="K1053" t="n">
        <v>87.8</v>
      </c>
      <c r="L1053">
        <f>IF(K1053&gt;=80,"Yes","No")</f>
        <v/>
      </c>
      <c r="M1053">
        <f>IF(ISNUMBER(H1053),IF(H1053&gt;0,1,0),"")</f>
        <v/>
      </c>
    </row>
    <row r="1054">
      <c r="A1054" t="inlineStr">
        <is>
          <t>SIMULATED_FEA_Commercial_Study</t>
        </is>
      </c>
      <c r="B1054" t="inlineStr">
        <is>
          <t>V20</t>
        </is>
      </c>
      <c r="C1054" t="inlineStr">
        <is>
          <t>Annotation</t>
        </is>
      </c>
      <c r="D1054" t="inlineStr">
        <is>
          <t>Bin_02</t>
        </is>
      </c>
      <c r="E1054" t="n">
        <v>10</v>
      </c>
      <c r="F1054" t="inlineStr">
        <is>
          <t>Brow Furrow</t>
        </is>
      </c>
      <c r="G1054" t="n">
        <v>50</v>
      </c>
      <c r="H1054" t="n">
        <v>0</v>
      </c>
      <c r="I1054" t="n">
        <v>0</v>
      </c>
      <c r="J1054" t="inlineStr">
        <is>
          <t>NA</t>
        </is>
      </c>
      <c r="K1054" t="n">
        <v>87.8</v>
      </c>
      <c r="L1054">
        <f>IF(K1054&gt;=80,"Yes","No")</f>
        <v/>
      </c>
      <c r="M1054">
        <f>IF(ISNUMBER(H1054),IF(H1054&gt;0,1,0),"")</f>
        <v/>
      </c>
    </row>
    <row r="1055">
      <c r="A1055" t="inlineStr">
        <is>
          <t>SIMULATED_FEA_Commercial_Study</t>
        </is>
      </c>
      <c r="B1055" t="inlineStr">
        <is>
          <t>V20</t>
        </is>
      </c>
      <c r="C1055" t="inlineStr">
        <is>
          <t>Annotation</t>
        </is>
      </c>
      <c r="D1055" t="inlineStr">
        <is>
          <t>Bin_02</t>
        </is>
      </c>
      <c r="E1055" t="n">
        <v>10</v>
      </c>
      <c r="F1055" t="inlineStr">
        <is>
          <t>Positive Valence</t>
        </is>
      </c>
      <c r="G1055" t="n">
        <v>50</v>
      </c>
      <c r="H1055" t="n">
        <v>15.33</v>
      </c>
      <c r="I1055" t="n">
        <v>1</v>
      </c>
      <c r="J1055" t="inlineStr">
        <is>
          <t>NA</t>
        </is>
      </c>
      <c r="K1055" t="n">
        <v>87.8</v>
      </c>
      <c r="L1055">
        <f>IF(K1055&gt;=80,"Yes","No")</f>
        <v/>
      </c>
      <c r="M1055">
        <f>IF(ISNUMBER(H1055),IF(H1055&gt;0,1,0),"")</f>
        <v/>
      </c>
    </row>
    <row r="1056">
      <c r="A1056" t="inlineStr">
        <is>
          <t>SIMULATED_FEA_Commercial_Study</t>
        </is>
      </c>
      <c r="B1056" t="inlineStr">
        <is>
          <t>V20</t>
        </is>
      </c>
      <c r="C1056" t="inlineStr">
        <is>
          <t>Annotation</t>
        </is>
      </c>
      <c r="D1056" t="inlineStr">
        <is>
          <t>Bin_02</t>
        </is>
      </c>
      <c r="E1056" t="n">
        <v>10</v>
      </c>
      <c r="F1056" t="inlineStr">
        <is>
          <t>Negative Valence</t>
        </is>
      </c>
      <c r="G1056" t="n">
        <v>-50</v>
      </c>
      <c r="H1056" t="n">
        <v>0</v>
      </c>
      <c r="I1056" t="n">
        <v>0</v>
      </c>
      <c r="J1056" t="inlineStr">
        <is>
          <t>NA</t>
        </is>
      </c>
      <c r="K1056" t="n">
        <v>87.8</v>
      </c>
      <c r="L1056">
        <f>IF(K1056&gt;=80,"Yes","No")</f>
        <v/>
      </c>
      <c r="M1056">
        <f>IF(ISNUMBER(H1056),IF(H1056&gt;0,1,0),"")</f>
        <v/>
      </c>
    </row>
    <row r="1057">
      <c r="A1057" t="inlineStr">
        <is>
          <t>SIMULATED_FEA_Commercial_Study</t>
        </is>
      </c>
      <c r="B1057" t="inlineStr">
        <is>
          <t>V20</t>
        </is>
      </c>
      <c r="C1057" t="inlineStr">
        <is>
          <t>Annotation</t>
        </is>
      </c>
      <c r="D1057" t="inlineStr">
        <is>
          <t>Bin_02</t>
        </is>
      </c>
      <c r="E1057" t="n">
        <v>10</v>
      </c>
      <c r="F1057" t="inlineStr">
        <is>
          <t>Engagement</t>
        </is>
      </c>
      <c r="G1057" t="inlineStr">
        <is>
          <t>NA</t>
        </is>
      </c>
      <c r="H1057" t="inlineStr">
        <is>
          <t>NA</t>
        </is>
      </c>
      <c r="I1057" t="inlineStr">
        <is>
          <t>NA</t>
        </is>
      </c>
      <c r="J1057" t="n">
        <v>7.53</v>
      </c>
      <c r="K1057" t="n">
        <v>87.8</v>
      </c>
      <c r="L1057">
        <f>IF(K1057&gt;=80,"Yes","No")</f>
        <v/>
      </c>
      <c r="M1057">
        <f>IF(ISNUMBER(H1057),IF(H1057&gt;0,1,0),"")</f>
        <v/>
      </c>
    </row>
    <row r="1058">
      <c r="A1058" t="inlineStr">
        <is>
          <t>SIMULATED_FEA_Commercial_Study</t>
        </is>
      </c>
      <c r="B1058" t="inlineStr">
        <is>
          <t>V20</t>
        </is>
      </c>
      <c r="C1058" t="inlineStr">
        <is>
          <t>Annotation</t>
        </is>
      </c>
      <c r="D1058" t="inlineStr">
        <is>
          <t>Bin_03</t>
        </is>
      </c>
      <c r="E1058" t="n">
        <v>10</v>
      </c>
      <c r="F1058" t="inlineStr">
        <is>
          <t>Joy</t>
        </is>
      </c>
      <c r="G1058" t="n">
        <v>50</v>
      </c>
      <c r="H1058" t="n">
        <v>0</v>
      </c>
      <c r="I1058" t="n">
        <v>0</v>
      </c>
      <c r="J1058" t="inlineStr">
        <is>
          <t>NA</t>
        </is>
      </c>
      <c r="K1058" t="n">
        <v>87.8</v>
      </c>
      <c r="L1058">
        <f>IF(K1058&gt;=80,"Yes","No")</f>
        <v/>
      </c>
      <c r="M1058">
        <f>IF(ISNUMBER(H1058),IF(H1058&gt;0,1,0),"")</f>
        <v/>
      </c>
    </row>
    <row r="1059">
      <c r="A1059" t="inlineStr">
        <is>
          <t>SIMULATED_FEA_Commercial_Study</t>
        </is>
      </c>
      <c r="B1059" t="inlineStr">
        <is>
          <t>V20</t>
        </is>
      </c>
      <c r="C1059" t="inlineStr">
        <is>
          <t>Annotation</t>
        </is>
      </c>
      <c r="D1059" t="inlineStr">
        <is>
          <t>Bin_03</t>
        </is>
      </c>
      <c r="E1059" t="n">
        <v>10</v>
      </c>
      <c r="F1059" t="inlineStr">
        <is>
          <t>Surprise</t>
        </is>
      </c>
      <c r="G1059" t="n">
        <v>50</v>
      </c>
      <c r="H1059" t="n">
        <v>6.67</v>
      </c>
      <c r="I1059" t="n">
        <v>1</v>
      </c>
      <c r="J1059" t="inlineStr">
        <is>
          <t>NA</t>
        </is>
      </c>
      <c r="K1059" t="n">
        <v>87.8</v>
      </c>
      <c r="L1059">
        <f>IF(K1059&gt;=80,"Yes","No")</f>
        <v/>
      </c>
      <c r="M1059">
        <f>IF(ISNUMBER(H1059),IF(H1059&gt;0,1,0),"")</f>
        <v/>
      </c>
    </row>
    <row r="1060">
      <c r="A1060" t="inlineStr">
        <is>
          <t>SIMULATED_FEA_Commercial_Study</t>
        </is>
      </c>
      <c r="B1060" t="inlineStr">
        <is>
          <t>V20</t>
        </is>
      </c>
      <c r="C1060" t="inlineStr">
        <is>
          <t>Annotation</t>
        </is>
      </c>
      <c r="D1060" t="inlineStr">
        <is>
          <t>Bin_03</t>
        </is>
      </c>
      <c r="E1060" t="n">
        <v>10</v>
      </c>
      <c r="F1060" t="inlineStr">
        <is>
          <t>Brow Furrow</t>
        </is>
      </c>
      <c r="G1060" t="n">
        <v>50</v>
      </c>
      <c r="H1060" t="n">
        <v>0</v>
      </c>
      <c r="I1060" t="n">
        <v>0</v>
      </c>
      <c r="J1060" t="inlineStr">
        <is>
          <t>NA</t>
        </is>
      </c>
      <c r="K1060" t="n">
        <v>87.8</v>
      </c>
      <c r="L1060">
        <f>IF(K1060&gt;=80,"Yes","No")</f>
        <v/>
      </c>
      <c r="M1060">
        <f>IF(ISNUMBER(H1060),IF(H1060&gt;0,1,0),"")</f>
        <v/>
      </c>
    </row>
    <row r="1061">
      <c r="A1061" t="inlineStr">
        <is>
          <t>SIMULATED_FEA_Commercial_Study</t>
        </is>
      </c>
      <c r="B1061" t="inlineStr">
        <is>
          <t>V20</t>
        </is>
      </c>
      <c r="C1061" t="inlineStr">
        <is>
          <t>Annotation</t>
        </is>
      </c>
      <c r="D1061" t="inlineStr">
        <is>
          <t>Bin_03</t>
        </is>
      </c>
      <c r="E1061" t="n">
        <v>10</v>
      </c>
      <c r="F1061" t="inlineStr">
        <is>
          <t>Positive Valence</t>
        </is>
      </c>
      <c r="G1061" t="n">
        <v>50</v>
      </c>
      <c r="H1061" t="n">
        <v>4</v>
      </c>
      <c r="I1061" t="n">
        <v>1</v>
      </c>
      <c r="J1061" t="inlineStr">
        <is>
          <t>NA</t>
        </is>
      </c>
      <c r="K1061" t="n">
        <v>87.8</v>
      </c>
      <c r="L1061">
        <f>IF(K1061&gt;=80,"Yes","No")</f>
        <v/>
      </c>
      <c r="M1061">
        <f>IF(ISNUMBER(H1061),IF(H1061&gt;0,1,0),"")</f>
        <v/>
      </c>
    </row>
    <row r="1062">
      <c r="A1062" t="inlineStr">
        <is>
          <t>SIMULATED_FEA_Commercial_Study</t>
        </is>
      </c>
      <c r="B1062" t="inlineStr">
        <is>
          <t>V20</t>
        </is>
      </c>
      <c r="C1062" t="inlineStr">
        <is>
          <t>Annotation</t>
        </is>
      </c>
      <c r="D1062" t="inlineStr">
        <is>
          <t>Bin_03</t>
        </is>
      </c>
      <c r="E1062" t="n">
        <v>10</v>
      </c>
      <c r="F1062" t="inlineStr">
        <is>
          <t>Negative Valence</t>
        </is>
      </c>
      <c r="G1062" t="n">
        <v>-50</v>
      </c>
      <c r="H1062" t="n">
        <v>0</v>
      </c>
      <c r="I1062" t="n">
        <v>0</v>
      </c>
      <c r="J1062" t="inlineStr">
        <is>
          <t>NA</t>
        </is>
      </c>
      <c r="K1062" t="n">
        <v>87.8</v>
      </c>
      <c r="L1062">
        <f>IF(K1062&gt;=80,"Yes","No")</f>
        <v/>
      </c>
      <c r="M1062">
        <f>IF(ISNUMBER(H1062),IF(H1062&gt;0,1,0),"")</f>
        <v/>
      </c>
    </row>
    <row r="1063">
      <c r="A1063" t="inlineStr">
        <is>
          <t>SIMULATED_FEA_Commercial_Study</t>
        </is>
      </c>
      <c r="B1063" t="inlineStr">
        <is>
          <t>V20</t>
        </is>
      </c>
      <c r="C1063" t="inlineStr">
        <is>
          <t>Annotation</t>
        </is>
      </c>
      <c r="D1063" t="inlineStr">
        <is>
          <t>Bin_03</t>
        </is>
      </c>
      <c r="E1063" t="n">
        <v>10</v>
      </c>
      <c r="F1063" t="inlineStr">
        <is>
          <t>Engagement</t>
        </is>
      </c>
      <c r="G1063" t="inlineStr">
        <is>
          <t>NA</t>
        </is>
      </c>
      <c r="H1063" t="inlineStr">
        <is>
          <t>NA</t>
        </is>
      </c>
      <c r="I1063" t="inlineStr">
        <is>
          <t>NA</t>
        </is>
      </c>
      <c r="J1063" t="n">
        <v>8.94</v>
      </c>
      <c r="K1063" t="n">
        <v>87.8</v>
      </c>
      <c r="L1063">
        <f>IF(K1063&gt;=80,"Yes","No")</f>
        <v/>
      </c>
      <c r="M1063">
        <f>IF(ISNUMBER(H1063),IF(H1063&gt;0,1,0),"")</f>
        <v/>
      </c>
    </row>
    <row r="1064">
      <c r="A1064" t="inlineStr">
        <is>
          <t>SIMULATED_FEA_Commercial_Study</t>
        </is>
      </c>
      <c r="B1064" t="inlineStr">
        <is>
          <t>V20</t>
        </is>
      </c>
      <c r="C1064" t="inlineStr">
        <is>
          <t>Annotation</t>
        </is>
      </c>
      <c r="D1064" t="inlineStr">
        <is>
          <t>Bin_04</t>
        </is>
      </c>
      <c r="E1064" t="n">
        <v>10</v>
      </c>
      <c r="F1064" t="inlineStr">
        <is>
          <t>Joy</t>
        </is>
      </c>
      <c r="G1064" t="n">
        <v>50</v>
      </c>
      <c r="H1064" t="n">
        <v>0</v>
      </c>
      <c r="I1064" t="n">
        <v>0</v>
      </c>
      <c r="J1064" t="inlineStr">
        <is>
          <t>NA</t>
        </is>
      </c>
      <c r="K1064" t="n">
        <v>87.8</v>
      </c>
      <c r="L1064">
        <f>IF(K1064&gt;=80,"Yes","No")</f>
        <v/>
      </c>
      <c r="M1064">
        <f>IF(ISNUMBER(H1064),IF(H1064&gt;0,1,0),"")</f>
        <v/>
      </c>
    </row>
    <row r="1065">
      <c r="A1065" t="inlineStr">
        <is>
          <t>SIMULATED_FEA_Commercial_Study</t>
        </is>
      </c>
      <c r="B1065" t="inlineStr">
        <is>
          <t>V20</t>
        </is>
      </c>
      <c r="C1065" t="inlineStr">
        <is>
          <t>Annotation</t>
        </is>
      </c>
      <c r="D1065" t="inlineStr">
        <is>
          <t>Bin_04</t>
        </is>
      </c>
      <c r="E1065" t="n">
        <v>10</v>
      </c>
      <c r="F1065" t="inlineStr">
        <is>
          <t>Surprise</t>
        </is>
      </c>
      <c r="G1065" t="n">
        <v>50</v>
      </c>
      <c r="H1065" t="n">
        <v>8</v>
      </c>
      <c r="I1065" t="n">
        <v>1</v>
      </c>
      <c r="J1065" t="inlineStr">
        <is>
          <t>NA</t>
        </is>
      </c>
      <c r="K1065" t="n">
        <v>87.8</v>
      </c>
      <c r="L1065">
        <f>IF(K1065&gt;=80,"Yes","No")</f>
        <v/>
      </c>
      <c r="M1065">
        <f>IF(ISNUMBER(H1065),IF(H1065&gt;0,1,0),"")</f>
        <v/>
      </c>
    </row>
    <row r="1066">
      <c r="A1066" t="inlineStr">
        <is>
          <t>SIMULATED_FEA_Commercial_Study</t>
        </is>
      </c>
      <c r="B1066" t="inlineStr">
        <is>
          <t>V20</t>
        </is>
      </c>
      <c r="C1066" t="inlineStr">
        <is>
          <t>Annotation</t>
        </is>
      </c>
      <c r="D1066" t="inlineStr">
        <is>
          <t>Bin_04</t>
        </is>
      </c>
      <c r="E1066" t="n">
        <v>10</v>
      </c>
      <c r="F1066" t="inlineStr">
        <is>
          <t>Brow Furrow</t>
        </is>
      </c>
      <c r="G1066" t="n">
        <v>50</v>
      </c>
      <c r="H1066" t="n">
        <v>0</v>
      </c>
      <c r="I1066" t="n">
        <v>0</v>
      </c>
      <c r="J1066" t="inlineStr">
        <is>
          <t>NA</t>
        </is>
      </c>
      <c r="K1066" t="n">
        <v>87.8</v>
      </c>
      <c r="L1066">
        <f>IF(K1066&gt;=80,"Yes","No")</f>
        <v/>
      </c>
      <c r="M1066">
        <f>IF(ISNUMBER(H1066),IF(H1066&gt;0,1,0),"")</f>
        <v/>
      </c>
    </row>
    <row r="1067">
      <c r="A1067" t="inlineStr">
        <is>
          <t>SIMULATED_FEA_Commercial_Study</t>
        </is>
      </c>
      <c r="B1067" t="inlineStr">
        <is>
          <t>V20</t>
        </is>
      </c>
      <c r="C1067" t="inlineStr">
        <is>
          <t>Annotation</t>
        </is>
      </c>
      <c r="D1067" t="inlineStr">
        <is>
          <t>Bin_04</t>
        </is>
      </c>
      <c r="E1067" t="n">
        <v>10</v>
      </c>
      <c r="F1067" t="inlineStr">
        <is>
          <t>Positive Valence</t>
        </is>
      </c>
      <c r="G1067" t="n">
        <v>50</v>
      </c>
      <c r="H1067" t="n">
        <v>0</v>
      </c>
      <c r="I1067" t="n">
        <v>0</v>
      </c>
      <c r="J1067" t="inlineStr">
        <is>
          <t>NA</t>
        </is>
      </c>
      <c r="K1067" t="n">
        <v>87.8</v>
      </c>
      <c r="L1067">
        <f>IF(K1067&gt;=80,"Yes","No")</f>
        <v/>
      </c>
      <c r="M1067">
        <f>IF(ISNUMBER(H1067),IF(H1067&gt;0,1,0),"")</f>
        <v/>
      </c>
    </row>
    <row r="1068">
      <c r="A1068" t="inlineStr">
        <is>
          <t>SIMULATED_FEA_Commercial_Study</t>
        </is>
      </c>
      <c r="B1068" t="inlineStr">
        <is>
          <t>V20</t>
        </is>
      </c>
      <c r="C1068" t="inlineStr">
        <is>
          <t>Annotation</t>
        </is>
      </c>
      <c r="D1068" t="inlineStr">
        <is>
          <t>Bin_04</t>
        </is>
      </c>
      <c r="E1068" t="n">
        <v>10</v>
      </c>
      <c r="F1068" t="inlineStr">
        <is>
          <t>Negative Valence</t>
        </is>
      </c>
      <c r="G1068" t="n">
        <v>-50</v>
      </c>
      <c r="H1068" t="n">
        <v>0</v>
      </c>
      <c r="I1068" t="n">
        <v>0</v>
      </c>
      <c r="J1068" t="inlineStr">
        <is>
          <t>NA</t>
        </is>
      </c>
      <c r="K1068" t="n">
        <v>87.8</v>
      </c>
      <c r="L1068">
        <f>IF(K1068&gt;=80,"Yes","No")</f>
        <v/>
      </c>
      <c r="M1068">
        <f>IF(ISNUMBER(H1068),IF(H1068&gt;0,1,0),"")</f>
        <v/>
      </c>
    </row>
    <row r="1069">
      <c r="A1069" t="inlineStr">
        <is>
          <t>SIMULATED_FEA_Commercial_Study</t>
        </is>
      </c>
      <c r="B1069" t="inlineStr">
        <is>
          <t>V20</t>
        </is>
      </c>
      <c r="C1069" t="inlineStr">
        <is>
          <t>Annotation</t>
        </is>
      </c>
      <c r="D1069" t="inlineStr">
        <is>
          <t>Bin_04</t>
        </is>
      </c>
      <c r="E1069" t="n">
        <v>10</v>
      </c>
      <c r="F1069" t="inlineStr">
        <is>
          <t>Engagement</t>
        </is>
      </c>
      <c r="G1069" t="inlineStr">
        <is>
          <t>NA</t>
        </is>
      </c>
      <c r="H1069" t="inlineStr">
        <is>
          <t>NA</t>
        </is>
      </c>
      <c r="I1069" t="inlineStr">
        <is>
          <t>NA</t>
        </is>
      </c>
      <c r="J1069" t="n">
        <v>11.16</v>
      </c>
      <c r="K1069" t="n">
        <v>87.8</v>
      </c>
      <c r="L1069">
        <f>IF(K1069&gt;=80,"Yes","No")</f>
        <v/>
      </c>
      <c r="M1069">
        <f>IF(ISNUMBER(H1069),IF(H1069&gt;0,1,0),"")</f>
        <v/>
      </c>
    </row>
    <row r="1070">
      <c r="A1070" t="inlineStr">
        <is>
          <t>SIMULATED_FEA_Commercial_Study</t>
        </is>
      </c>
      <c r="B1070" t="inlineStr">
        <is>
          <t>V20</t>
        </is>
      </c>
      <c r="C1070" t="inlineStr">
        <is>
          <t>Annotation</t>
        </is>
      </c>
      <c r="D1070" t="inlineStr">
        <is>
          <t>Bin_05</t>
        </is>
      </c>
      <c r="E1070" t="n">
        <v>10</v>
      </c>
      <c r="F1070" t="inlineStr">
        <is>
          <t>Joy</t>
        </is>
      </c>
      <c r="G1070" t="n">
        <v>50</v>
      </c>
      <c r="H1070" t="n">
        <v>3</v>
      </c>
      <c r="I1070" t="n">
        <v>1</v>
      </c>
      <c r="J1070" t="inlineStr">
        <is>
          <t>NA</t>
        </is>
      </c>
      <c r="K1070" t="n">
        <v>87.8</v>
      </c>
      <c r="L1070">
        <f>IF(K1070&gt;=80,"Yes","No")</f>
        <v/>
      </c>
      <c r="M1070">
        <f>IF(ISNUMBER(H1070),IF(H1070&gt;0,1,0),"")</f>
        <v/>
      </c>
    </row>
    <row r="1071">
      <c r="A1071" t="inlineStr">
        <is>
          <t>SIMULATED_FEA_Commercial_Study</t>
        </is>
      </c>
      <c r="B1071" t="inlineStr">
        <is>
          <t>V20</t>
        </is>
      </c>
      <c r="C1071" t="inlineStr">
        <is>
          <t>Annotation</t>
        </is>
      </c>
      <c r="D1071" t="inlineStr">
        <is>
          <t>Bin_05</t>
        </is>
      </c>
      <c r="E1071" t="n">
        <v>10</v>
      </c>
      <c r="F1071" t="inlineStr">
        <is>
          <t>Surprise</t>
        </is>
      </c>
      <c r="G1071" t="n">
        <v>50</v>
      </c>
      <c r="H1071" t="n">
        <v>0</v>
      </c>
      <c r="I1071" t="n">
        <v>0</v>
      </c>
      <c r="J1071" t="inlineStr">
        <is>
          <t>NA</t>
        </is>
      </c>
      <c r="K1071" t="n">
        <v>87.8</v>
      </c>
      <c r="L1071">
        <f>IF(K1071&gt;=80,"Yes","No")</f>
        <v/>
      </c>
      <c r="M1071">
        <f>IF(ISNUMBER(H1071),IF(H1071&gt;0,1,0),"")</f>
        <v/>
      </c>
    </row>
    <row r="1072">
      <c r="A1072" t="inlineStr">
        <is>
          <t>SIMULATED_FEA_Commercial_Study</t>
        </is>
      </c>
      <c r="B1072" t="inlineStr">
        <is>
          <t>V20</t>
        </is>
      </c>
      <c r="C1072" t="inlineStr">
        <is>
          <t>Annotation</t>
        </is>
      </c>
      <c r="D1072" t="inlineStr">
        <is>
          <t>Bin_05</t>
        </is>
      </c>
      <c r="E1072" t="n">
        <v>10</v>
      </c>
      <c r="F1072" t="inlineStr">
        <is>
          <t>Brow Furrow</t>
        </is>
      </c>
      <c r="G1072" t="n">
        <v>50</v>
      </c>
      <c r="H1072" t="n">
        <v>0</v>
      </c>
      <c r="I1072" t="n">
        <v>0</v>
      </c>
      <c r="J1072" t="inlineStr">
        <is>
          <t>NA</t>
        </is>
      </c>
      <c r="K1072" t="n">
        <v>87.8</v>
      </c>
      <c r="L1072">
        <f>IF(K1072&gt;=80,"Yes","No")</f>
        <v/>
      </c>
      <c r="M1072">
        <f>IF(ISNUMBER(H1072),IF(H1072&gt;0,1,0),"")</f>
        <v/>
      </c>
    </row>
    <row r="1073">
      <c r="A1073" t="inlineStr">
        <is>
          <t>SIMULATED_FEA_Commercial_Study</t>
        </is>
      </c>
      <c r="B1073" t="inlineStr">
        <is>
          <t>V20</t>
        </is>
      </c>
      <c r="C1073" t="inlineStr">
        <is>
          <t>Annotation</t>
        </is>
      </c>
      <c r="D1073" t="inlineStr">
        <is>
          <t>Bin_05</t>
        </is>
      </c>
      <c r="E1073" t="n">
        <v>10</v>
      </c>
      <c r="F1073" t="inlineStr">
        <is>
          <t>Positive Valence</t>
        </is>
      </c>
      <c r="G1073" t="n">
        <v>50</v>
      </c>
      <c r="H1073" t="n">
        <v>32.67</v>
      </c>
      <c r="I1073" t="n">
        <v>3</v>
      </c>
      <c r="J1073" t="inlineStr">
        <is>
          <t>NA</t>
        </is>
      </c>
      <c r="K1073" t="n">
        <v>87.8</v>
      </c>
      <c r="L1073">
        <f>IF(K1073&gt;=80,"Yes","No")</f>
        <v/>
      </c>
      <c r="M1073">
        <f>IF(ISNUMBER(H1073),IF(H1073&gt;0,1,0),"")</f>
        <v/>
      </c>
    </row>
    <row r="1074">
      <c r="A1074" t="inlineStr">
        <is>
          <t>SIMULATED_FEA_Commercial_Study</t>
        </is>
      </c>
      <c r="B1074" t="inlineStr">
        <is>
          <t>V20</t>
        </is>
      </c>
      <c r="C1074" t="inlineStr">
        <is>
          <t>Annotation</t>
        </is>
      </c>
      <c r="D1074" t="inlineStr">
        <is>
          <t>Bin_05</t>
        </is>
      </c>
      <c r="E1074" t="n">
        <v>10</v>
      </c>
      <c r="F1074" t="inlineStr">
        <is>
          <t>Negative Valence</t>
        </is>
      </c>
      <c r="G1074" t="n">
        <v>-50</v>
      </c>
      <c r="H1074" t="n">
        <v>0</v>
      </c>
      <c r="I1074" t="n">
        <v>0</v>
      </c>
      <c r="J1074" t="inlineStr">
        <is>
          <t>NA</t>
        </is>
      </c>
      <c r="K1074" t="n">
        <v>87.8</v>
      </c>
      <c r="L1074">
        <f>IF(K1074&gt;=80,"Yes","No")</f>
        <v/>
      </c>
      <c r="M1074">
        <f>IF(ISNUMBER(H1074),IF(H1074&gt;0,1,0),"")</f>
        <v/>
      </c>
    </row>
    <row r="1075">
      <c r="A1075" t="inlineStr">
        <is>
          <t>SIMULATED_FEA_Commercial_Study</t>
        </is>
      </c>
      <c r="B1075" t="inlineStr">
        <is>
          <t>V20</t>
        </is>
      </c>
      <c r="C1075" t="inlineStr">
        <is>
          <t>Annotation</t>
        </is>
      </c>
      <c r="D1075" t="inlineStr">
        <is>
          <t>Bin_05</t>
        </is>
      </c>
      <c r="E1075" t="n">
        <v>10</v>
      </c>
      <c r="F1075" t="inlineStr">
        <is>
          <t>Engagement</t>
        </is>
      </c>
      <c r="G1075" t="inlineStr">
        <is>
          <t>NA</t>
        </is>
      </c>
      <c r="H1075" t="inlineStr">
        <is>
          <t>NA</t>
        </is>
      </c>
      <c r="I1075" t="inlineStr">
        <is>
          <t>NA</t>
        </is>
      </c>
      <c r="J1075" t="n">
        <v>15.78</v>
      </c>
      <c r="K1075" t="n">
        <v>87.8</v>
      </c>
      <c r="L1075">
        <f>IF(K1075&gt;=80,"Yes","No")</f>
        <v/>
      </c>
      <c r="M1075">
        <f>IF(ISNUMBER(H1075),IF(H1075&gt;0,1,0),"")</f>
        <v/>
      </c>
    </row>
    <row r="1076">
      <c r="A1076" t="inlineStr">
        <is>
          <t>SIMULATED_FEA_Commercial_Study</t>
        </is>
      </c>
      <c r="B1076" t="inlineStr">
        <is>
          <t>V20</t>
        </is>
      </c>
      <c r="C1076" t="inlineStr">
        <is>
          <t>Annotation</t>
        </is>
      </c>
      <c r="D1076" t="inlineStr">
        <is>
          <t>Bin_06</t>
        </is>
      </c>
      <c r="E1076" t="n">
        <v>10</v>
      </c>
      <c r="F1076" t="inlineStr">
        <is>
          <t>Joy</t>
        </is>
      </c>
      <c r="G1076" t="n">
        <v>50</v>
      </c>
      <c r="H1076" t="n">
        <v>37.33</v>
      </c>
      <c r="I1076" t="n">
        <v>1</v>
      </c>
      <c r="J1076" t="inlineStr">
        <is>
          <t>NA</t>
        </is>
      </c>
      <c r="K1076" t="n">
        <v>87.8</v>
      </c>
      <c r="L1076">
        <f>IF(K1076&gt;=80,"Yes","No")</f>
        <v/>
      </c>
      <c r="M1076">
        <f>IF(ISNUMBER(H1076),IF(H1076&gt;0,1,0),"")</f>
        <v/>
      </c>
    </row>
    <row r="1077">
      <c r="A1077" t="inlineStr">
        <is>
          <t>SIMULATED_FEA_Commercial_Study</t>
        </is>
      </c>
      <c r="B1077" t="inlineStr">
        <is>
          <t>V20</t>
        </is>
      </c>
      <c r="C1077" t="inlineStr">
        <is>
          <t>Annotation</t>
        </is>
      </c>
      <c r="D1077" t="inlineStr">
        <is>
          <t>Bin_06</t>
        </is>
      </c>
      <c r="E1077" t="n">
        <v>10</v>
      </c>
      <c r="F1077" t="inlineStr">
        <is>
          <t>Surprise</t>
        </is>
      </c>
      <c r="G1077" t="n">
        <v>50</v>
      </c>
      <c r="H1077" t="n">
        <v>0</v>
      </c>
      <c r="I1077" t="n">
        <v>0</v>
      </c>
      <c r="J1077" t="inlineStr">
        <is>
          <t>NA</t>
        </is>
      </c>
      <c r="K1077" t="n">
        <v>87.8</v>
      </c>
      <c r="L1077">
        <f>IF(K1077&gt;=80,"Yes","No")</f>
        <v/>
      </c>
      <c r="M1077">
        <f>IF(ISNUMBER(H1077),IF(H1077&gt;0,1,0),"")</f>
        <v/>
      </c>
    </row>
    <row r="1078">
      <c r="A1078" t="inlineStr">
        <is>
          <t>SIMULATED_FEA_Commercial_Study</t>
        </is>
      </c>
      <c r="B1078" t="inlineStr">
        <is>
          <t>V20</t>
        </is>
      </c>
      <c r="C1078" t="inlineStr">
        <is>
          <t>Annotation</t>
        </is>
      </c>
      <c r="D1078" t="inlineStr">
        <is>
          <t>Bin_06</t>
        </is>
      </c>
      <c r="E1078" t="n">
        <v>10</v>
      </c>
      <c r="F1078" t="inlineStr">
        <is>
          <t>Brow Furrow</t>
        </is>
      </c>
      <c r="G1078" t="n">
        <v>50</v>
      </c>
      <c r="H1078" t="n">
        <v>30.67</v>
      </c>
      <c r="I1078" t="n">
        <v>1</v>
      </c>
      <c r="J1078" t="inlineStr">
        <is>
          <t>NA</t>
        </is>
      </c>
      <c r="K1078" t="n">
        <v>87.8</v>
      </c>
      <c r="L1078">
        <f>IF(K1078&gt;=80,"Yes","No")</f>
        <v/>
      </c>
      <c r="M1078">
        <f>IF(ISNUMBER(H1078),IF(H1078&gt;0,1,0),"")</f>
        <v/>
      </c>
    </row>
    <row r="1079">
      <c r="A1079" t="inlineStr">
        <is>
          <t>SIMULATED_FEA_Commercial_Study</t>
        </is>
      </c>
      <c r="B1079" t="inlineStr">
        <is>
          <t>V20</t>
        </is>
      </c>
      <c r="C1079" t="inlineStr">
        <is>
          <t>Annotation</t>
        </is>
      </c>
      <c r="D1079" t="inlineStr">
        <is>
          <t>Bin_06</t>
        </is>
      </c>
      <c r="E1079" t="n">
        <v>10</v>
      </c>
      <c r="F1079" t="inlineStr">
        <is>
          <t>Positive Valence</t>
        </is>
      </c>
      <c r="G1079" t="n">
        <v>50</v>
      </c>
      <c r="H1079" t="n">
        <v>31.33</v>
      </c>
      <c r="I1079" t="n">
        <v>1</v>
      </c>
      <c r="J1079" t="inlineStr">
        <is>
          <t>NA</t>
        </is>
      </c>
      <c r="K1079" t="n">
        <v>87.8</v>
      </c>
      <c r="L1079">
        <f>IF(K1079&gt;=80,"Yes","No")</f>
        <v/>
      </c>
      <c r="M1079">
        <f>IF(ISNUMBER(H1079),IF(H1079&gt;0,1,0),"")</f>
        <v/>
      </c>
    </row>
    <row r="1080">
      <c r="A1080" t="inlineStr">
        <is>
          <t>SIMULATED_FEA_Commercial_Study</t>
        </is>
      </c>
      <c r="B1080" t="inlineStr">
        <is>
          <t>V20</t>
        </is>
      </c>
      <c r="C1080" t="inlineStr">
        <is>
          <t>Annotation</t>
        </is>
      </c>
      <c r="D1080" t="inlineStr">
        <is>
          <t>Bin_06</t>
        </is>
      </c>
      <c r="E1080" t="n">
        <v>10</v>
      </c>
      <c r="F1080" t="inlineStr">
        <is>
          <t>Negative Valence</t>
        </is>
      </c>
      <c r="G1080" t="n">
        <v>-50</v>
      </c>
      <c r="H1080" t="n">
        <v>0</v>
      </c>
      <c r="I1080" t="n">
        <v>0</v>
      </c>
      <c r="J1080" t="inlineStr">
        <is>
          <t>NA</t>
        </is>
      </c>
      <c r="K1080" t="n">
        <v>87.8</v>
      </c>
      <c r="L1080">
        <f>IF(K1080&gt;=80,"Yes","No")</f>
        <v/>
      </c>
      <c r="M1080">
        <f>IF(ISNUMBER(H1080),IF(H1080&gt;0,1,0),"")</f>
        <v/>
      </c>
    </row>
    <row r="1081">
      <c r="A1081" t="inlineStr">
        <is>
          <t>SIMULATED_FEA_Commercial_Study</t>
        </is>
      </c>
      <c r="B1081" t="inlineStr">
        <is>
          <t>V20</t>
        </is>
      </c>
      <c r="C1081" t="inlineStr">
        <is>
          <t>Annotation</t>
        </is>
      </c>
      <c r="D1081" t="inlineStr">
        <is>
          <t>Bin_06</t>
        </is>
      </c>
      <c r="E1081" t="n">
        <v>10</v>
      </c>
      <c r="F1081" t="inlineStr">
        <is>
          <t>Engagement</t>
        </is>
      </c>
      <c r="G1081" t="inlineStr">
        <is>
          <t>NA</t>
        </is>
      </c>
      <c r="H1081" t="inlineStr">
        <is>
          <t>NA</t>
        </is>
      </c>
      <c r="I1081" t="inlineStr">
        <is>
          <t>NA</t>
        </is>
      </c>
      <c r="J1081" t="n">
        <v>34.23</v>
      </c>
      <c r="K1081" t="n">
        <v>87.8</v>
      </c>
      <c r="L1081">
        <f>IF(K1081&gt;=80,"Yes","No")</f>
        <v/>
      </c>
      <c r="M1081">
        <f>IF(ISNUMBER(H1081),IF(H1081&gt;0,1,0),"")</f>
        <v/>
      </c>
    </row>
    <row r="1082">
      <c r="A1082" t="inlineStr">
        <is>
          <t>SIMULATED_FEA_Commercial_Study</t>
        </is>
      </c>
      <c r="B1082" t="inlineStr">
        <is>
          <t>V21</t>
        </is>
      </c>
      <c r="C1082" t="inlineStr">
        <is>
          <t>Stimulus</t>
        </is>
      </c>
      <c r="D1082" t="inlineStr">
        <is>
          <t>Baseline</t>
        </is>
      </c>
      <c r="E1082" t="n">
        <v>60</v>
      </c>
      <c r="F1082" t="inlineStr">
        <is>
          <t>Joy</t>
        </is>
      </c>
      <c r="G1082" t="n">
        <v>50</v>
      </c>
      <c r="H1082" t="n">
        <v>0</v>
      </c>
      <c r="I1082" t="n">
        <v>0</v>
      </c>
      <c r="J1082" t="inlineStr">
        <is>
          <t>NA</t>
        </is>
      </c>
      <c r="K1082" t="n">
        <v>92.59999999999999</v>
      </c>
      <c r="L1082">
        <f>IF(K1082&gt;=80,"Yes","No")</f>
        <v/>
      </c>
      <c r="M1082">
        <f>IF(ISNUMBER(H1082),IF(H1082&gt;0,1,0),"")</f>
        <v/>
      </c>
    </row>
    <row r="1083">
      <c r="A1083" t="inlineStr">
        <is>
          <t>SIMULATED_FEA_Commercial_Study</t>
        </is>
      </c>
      <c r="B1083" t="inlineStr">
        <is>
          <t>V21</t>
        </is>
      </c>
      <c r="C1083" t="inlineStr">
        <is>
          <t>Stimulus</t>
        </is>
      </c>
      <c r="D1083" t="inlineStr">
        <is>
          <t>Baseline</t>
        </is>
      </c>
      <c r="E1083" t="n">
        <v>60</v>
      </c>
      <c r="F1083" t="inlineStr">
        <is>
          <t>Surprise</t>
        </is>
      </c>
      <c r="G1083" t="n">
        <v>50</v>
      </c>
      <c r="H1083" t="n">
        <v>3.5</v>
      </c>
      <c r="I1083" t="n">
        <v>2</v>
      </c>
      <c r="J1083" t="inlineStr">
        <is>
          <t>NA</t>
        </is>
      </c>
      <c r="K1083" t="n">
        <v>92.59999999999999</v>
      </c>
      <c r="L1083">
        <f>IF(K1083&gt;=80,"Yes","No")</f>
        <v/>
      </c>
      <c r="M1083">
        <f>IF(ISNUMBER(H1083),IF(H1083&gt;0,1,0),"")</f>
        <v/>
      </c>
    </row>
    <row r="1084">
      <c r="A1084" t="inlineStr">
        <is>
          <t>SIMULATED_FEA_Commercial_Study</t>
        </is>
      </c>
      <c r="B1084" t="inlineStr">
        <is>
          <t>V21</t>
        </is>
      </c>
      <c r="C1084" t="inlineStr">
        <is>
          <t>Stimulus</t>
        </is>
      </c>
      <c r="D1084" t="inlineStr">
        <is>
          <t>Baseline</t>
        </is>
      </c>
      <c r="E1084" t="n">
        <v>60</v>
      </c>
      <c r="F1084" t="inlineStr">
        <is>
          <t>Brow Furrow</t>
        </is>
      </c>
      <c r="G1084" t="n">
        <v>50</v>
      </c>
      <c r="H1084" t="n">
        <v>0</v>
      </c>
      <c r="I1084" t="n">
        <v>0</v>
      </c>
      <c r="J1084" t="inlineStr">
        <is>
          <t>NA</t>
        </is>
      </c>
      <c r="K1084" t="n">
        <v>92.59999999999999</v>
      </c>
      <c r="L1084">
        <f>IF(K1084&gt;=80,"Yes","No")</f>
        <v/>
      </c>
      <c r="M1084">
        <f>IF(ISNUMBER(H1084),IF(H1084&gt;0,1,0),"")</f>
        <v/>
      </c>
    </row>
    <row r="1085">
      <c r="A1085" t="inlineStr">
        <is>
          <t>SIMULATED_FEA_Commercial_Study</t>
        </is>
      </c>
      <c r="B1085" t="inlineStr">
        <is>
          <t>V21</t>
        </is>
      </c>
      <c r="C1085" t="inlineStr">
        <is>
          <t>Stimulus</t>
        </is>
      </c>
      <c r="D1085" t="inlineStr">
        <is>
          <t>Baseline</t>
        </is>
      </c>
      <c r="E1085" t="n">
        <v>60</v>
      </c>
      <c r="F1085" t="inlineStr">
        <is>
          <t>Positive Valence</t>
        </is>
      </c>
      <c r="G1085" t="n">
        <v>50</v>
      </c>
      <c r="H1085" t="n">
        <v>0</v>
      </c>
      <c r="I1085" t="n">
        <v>0</v>
      </c>
      <c r="J1085" t="inlineStr">
        <is>
          <t>NA</t>
        </is>
      </c>
      <c r="K1085" t="n">
        <v>92.59999999999999</v>
      </c>
      <c r="L1085">
        <f>IF(K1085&gt;=80,"Yes","No")</f>
        <v/>
      </c>
      <c r="M1085">
        <f>IF(ISNUMBER(H1085),IF(H1085&gt;0,1,0),"")</f>
        <v/>
      </c>
    </row>
    <row r="1086">
      <c r="A1086" t="inlineStr">
        <is>
          <t>SIMULATED_FEA_Commercial_Study</t>
        </is>
      </c>
      <c r="B1086" t="inlineStr">
        <is>
          <t>V21</t>
        </is>
      </c>
      <c r="C1086" t="inlineStr">
        <is>
          <t>Stimulus</t>
        </is>
      </c>
      <c r="D1086" t="inlineStr">
        <is>
          <t>Baseline</t>
        </is>
      </c>
      <c r="E1086" t="n">
        <v>60</v>
      </c>
      <c r="F1086" t="inlineStr">
        <is>
          <t>Negative Valence</t>
        </is>
      </c>
      <c r="G1086" t="n">
        <v>-50</v>
      </c>
      <c r="H1086" t="n">
        <v>0</v>
      </c>
      <c r="I1086" t="n">
        <v>0</v>
      </c>
      <c r="J1086" t="inlineStr">
        <is>
          <t>NA</t>
        </is>
      </c>
      <c r="K1086" t="n">
        <v>92.59999999999999</v>
      </c>
      <c r="L1086">
        <f>IF(K1086&gt;=80,"Yes","No")</f>
        <v/>
      </c>
      <c r="M1086">
        <f>IF(ISNUMBER(H1086),IF(H1086&gt;0,1,0),"")</f>
        <v/>
      </c>
    </row>
    <row r="1087">
      <c r="A1087" t="inlineStr">
        <is>
          <t>SIMULATED_FEA_Commercial_Study</t>
        </is>
      </c>
      <c r="B1087" t="inlineStr">
        <is>
          <t>V21</t>
        </is>
      </c>
      <c r="C1087" t="inlineStr">
        <is>
          <t>Stimulus</t>
        </is>
      </c>
      <c r="D1087" t="inlineStr">
        <is>
          <t>Baseline</t>
        </is>
      </c>
      <c r="E1087" t="n">
        <v>60</v>
      </c>
      <c r="F1087" t="inlineStr">
        <is>
          <t>Engagement</t>
        </is>
      </c>
      <c r="G1087" t="inlineStr">
        <is>
          <t>NA</t>
        </is>
      </c>
      <c r="H1087" t="inlineStr">
        <is>
          <t>NA</t>
        </is>
      </c>
      <c r="I1087" t="inlineStr">
        <is>
          <t>NA</t>
        </is>
      </c>
      <c r="J1087" t="n">
        <v>6.93</v>
      </c>
      <c r="K1087" t="n">
        <v>92.59999999999999</v>
      </c>
      <c r="L1087">
        <f>IF(K1087&gt;=80,"Yes","No")</f>
        <v/>
      </c>
      <c r="M1087">
        <f>IF(ISNUMBER(H1087),IF(H1087&gt;0,1,0),"")</f>
        <v/>
      </c>
    </row>
    <row r="1088">
      <c r="A1088" t="inlineStr">
        <is>
          <t>SIMULATED_FEA_Commercial_Study</t>
        </is>
      </c>
      <c r="B1088" t="inlineStr">
        <is>
          <t>V21</t>
        </is>
      </c>
      <c r="C1088" t="inlineStr">
        <is>
          <t>Stimulus</t>
        </is>
      </c>
      <c r="D1088" t="inlineStr">
        <is>
          <t>Commercial</t>
        </is>
      </c>
      <c r="E1088" t="n">
        <v>60</v>
      </c>
      <c r="F1088" t="inlineStr">
        <is>
          <t>Joy</t>
        </is>
      </c>
      <c r="G1088" t="n">
        <v>50</v>
      </c>
      <c r="H1088" t="n">
        <v>18.61</v>
      </c>
      <c r="I1088" t="n">
        <v>4</v>
      </c>
      <c r="J1088" t="inlineStr">
        <is>
          <t>NA</t>
        </is>
      </c>
      <c r="K1088" t="n">
        <v>92.59999999999999</v>
      </c>
      <c r="L1088">
        <f>IF(K1088&gt;=80,"Yes","No")</f>
        <v/>
      </c>
      <c r="M1088">
        <f>IF(ISNUMBER(H1088),IF(H1088&gt;0,1,0),"")</f>
        <v/>
      </c>
    </row>
    <row r="1089">
      <c r="A1089" t="inlineStr">
        <is>
          <t>SIMULATED_FEA_Commercial_Study</t>
        </is>
      </c>
      <c r="B1089" t="inlineStr">
        <is>
          <t>V21</t>
        </is>
      </c>
      <c r="C1089" t="inlineStr">
        <is>
          <t>Stimulus</t>
        </is>
      </c>
      <c r="D1089" t="inlineStr">
        <is>
          <t>Commercial</t>
        </is>
      </c>
      <c r="E1089" t="n">
        <v>60</v>
      </c>
      <c r="F1089" t="inlineStr">
        <is>
          <t>Surprise</t>
        </is>
      </c>
      <c r="G1089" t="n">
        <v>50</v>
      </c>
      <c r="H1089" t="n">
        <v>0</v>
      </c>
      <c r="I1089" t="n">
        <v>0</v>
      </c>
      <c r="J1089" t="inlineStr">
        <is>
          <t>NA</t>
        </is>
      </c>
      <c r="K1089" t="n">
        <v>92.59999999999999</v>
      </c>
      <c r="L1089">
        <f>IF(K1089&gt;=80,"Yes","No")</f>
        <v/>
      </c>
      <c r="M1089">
        <f>IF(ISNUMBER(H1089),IF(H1089&gt;0,1,0),"")</f>
        <v/>
      </c>
    </row>
    <row r="1090">
      <c r="A1090" t="inlineStr">
        <is>
          <t>SIMULATED_FEA_Commercial_Study</t>
        </is>
      </c>
      <c r="B1090" t="inlineStr">
        <is>
          <t>V21</t>
        </is>
      </c>
      <c r="C1090" t="inlineStr">
        <is>
          <t>Stimulus</t>
        </is>
      </c>
      <c r="D1090" t="inlineStr">
        <is>
          <t>Commercial</t>
        </is>
      </c>
      <c r="E1090" t="n">
        <v>60</v>
      </c>
      <c r="F1090" t="inlineStr">
        <is>
          <t>Brow Furrow</t>
        </is>
      </c>
      <c r="G1090" t="n">
        <v>50</v>
      </c>
      <c r="H1090" t="n">
        <v>0</v>
      </c>
      <c r="I1090" t="n">
        <v>0</v>
      </c>
      <c r="J1090" t="inlineStr">
        <is>
          <t>NA</t>
        </is>
      </c>
      <c r="K1090" t="n">
        <v>92.59999999999999</v>
      </c>
      <c r="L1090">
        <f>IF(K1090&gt;=80,"Yes","No")</f>
        <v/>
      </c>
      <c r="M1090">
        <f>IF(ISNUMBER(H1090),IF(H1090&gt;0,1,0),"")</f>
        <v/>
      </c>
    </row>
    <row r="1091">
      <c r="A1091" t="inlineStr">
        <is>
          <t>SIMULATED_FEA_Commercial_Study</t>
        </is>
      </c>
      <c r="B1091" t="inlineStr">
        <is>
          <t>V21</t>
        </is>
      </c>
      <c r="C1091" t="inlineStr">
        <is>
          <t>Stimulus</t>
        </is>
      </c>
      <c r="D1091" t="inlineStr">
        <is>
          <t>Commercial</t>
        </is>
      </c>
      <c r="E1091" t="n">
        <v>60</v>
      </c>
      <c r="F1091" t="inlineStr">
        <is>
          <t>Positive Valence</t>
        </is>
      </c>
      <c r="G1091" t="n">
        <v>50</v>
      </c>
      <c r="H1091" t="n">
        <v>13.5</v>
      </c>
      <c r="I1091" t="n">
        <v>3</v>
      </c>
      <c r="J1091" t="inlineStr">
        <is>
          <t>NA</t>
        </is>
      </c>
      <c r="K1091" t="n">
        <v>92.59999999999999</v>
      </c>
      <c r="L1091">
        <f>IF(K1091&gt;=80,"Yes","No")</f>
        <v/>
      </c>
      <c r="M1091">
        <f>IF(ISNUMBER(H1091),IF(H1091&gt;0,1,0),"")</f>
        <v/>
      </c>
    </row>
    <row r="1092">
      <c r="A1092" t="inlineStr">
        <is>
          <t>SIMULATED_FEA_Commercial_Study</t>
        </is>
      </c>
      <c r="B1092" t="inlineStr">
        <is>
          <t>V21</t>
        </is>
      </c>
      <c r="C1092" t="inlineStr">
        <is>
          <t>Stimulus</t>
        </is>
      </c>
      <c r="D1092" t="inlineStr">
        <is>
          <t>Commercial</t>
        </is>
      </c>
      <c r="E1092" t="n">
        <v>60</v>
      </c>
      <c r="F1092" t="inlineStr">
        <is>
          <t>Negative Valence</t>
        </is>
      </c>
      <c r="G1092" t="n">
        <v>-50</v>
      </c>
      <c r="H1092" t="n">
        <v>0</v>
      </c>
      <c r="I1092" t="n">
        <v>0</v>
      </c>
      <c r="J1092" t="inlineStr">
        <is>
          <t>NA</t>
        </is>
      </c>
      <c r="K1092" t="n">
        <v>92.59999999999999</v>
      </c>
      <c r="L1092">
        <f>IF(K1092&gt;=80,"Yes","No")</f>
        <v/>
      </c>
      <c r="M1092">
        <f>IF(ISNUMBER(H1092),IF(H1092&gt;0,1,0),"")</f>
        <v/>
      </c>
    </row>
    <row r="1093">
      <c r="A1093" t="inlineStr">
        <is>
          <t>SIMULATED_FEA_Commercial_Study</t>
        </is>
      </c>
      <c r="B1093" t="inlineStr">
        <is>
          <t>V21</t>
        </is>
      </c>
      <c r="C1093" t="inlineStr">
        <is>
          <t>Stimulus</t>
        </is>
      </c>
      <c r="D1093" t="inlineStr">
        <is>
          <t>Commercial</t>
        </is>
      </c>
      <c r="E1093" t="n">
        <v>60</v>
      </c>
      <c r="F1093" t="inlineStr">
        <is>
          <t>Engagement</t>
        </is>
      </c>
      <c r="G1093" t="inlineStr">
        <is>
          <t>NA</t>
        </is>
      </c>
      <c r="H1093" t="inlineStr">
        <is>
          <t>NA</t>
        </is>
      </c>
      <c r="I1093" t="inlineStr">
        <is>
          <t>NA</t>
        </is>
      </c>
      <c r="J1093" t="n">
        <v>11.99</v>
      </c>
      <c r="K1093" t="n">
        <v>92.59999999999999</v>
      </c>
      <c r="L1093">
        <f>IF(K1093&gt;=80,"Yes","No")</f>
        <v/>
      </c>
      <c r="M1093">
        <f>IF(ISNUMBER(H1093),IF(H1093&gt;0,1,0),"")</f>
        <v/>
      </c>
    </row>
    <row r="1094">
      <c r="A1094" t="inlineStr">
        <is>
          <t>SIMULATED_FEA_Commercial_Study</t>
        </is>
      </c>
      <c r="B1094" t="inlineStr">
        <is>
          <t>V21</t>
        </is>
      </c>
      <c r="C1094" t="inlineStr">
        <is>
          <t>Stimulus</t>
        </is>
      </c>
      <c r="D1094" t="inlineStr">
        <is>
          <t>Recovery</t>
        </is>
      </c>
      <c r="E1094" t="n">
        <v>15</v>
      </c>
      <c r="F1094" t="inlineStr">
        <is>
          <t>Joy</t>
        </is>
      </c>
      <c r="G1094" t="n">
        <v>50</v>
      </c>
      <c r="H1094" t="n">
        <v>0</v>
      </c>
      <c r="I1094" t="n">
        <v>0</v>
      </c>
      <c r="J1094" t="inlineStr">
        <is>
          <t>NA</t>
        </is>
      </c>
      <c r="K1094" t="n">
        <v>92.59999999999999</v>
      </c>
      <c r="L1094">
        <f>IF(K1094&gt;=80,"Yes","No")</f>
        <v/>
      </c>
      <c r="M1094">
        <f>IF(ISNUMBER(H1094),IF(H1094&gt;0,1,0),"")</f>
        <v/>
      </c>
    </row>
    <row r="1095">
      <c r="A1095" t="inlineStr">
        <is>
          <t>SIMULATED_FEA_Commercial_Study</t>
        </is>
      </c>
      <c r="B1095" t="inlineStr">
        <is>
          <t>V21</t>
        </is>
      </c>
      <c r="C1095" t="inlineStr">
        <is>
          <t>Stimulus</t>
        </is>
      </c>
      <c r="D1095" t="inlineStr">
        <is>
          <t>Recovery</t>
        </is>
      </c>
      <c r="E1095" t="n">
        <v>15</v>
      </c>
      <c r="F1095" t="inlineStr">
        <is>
          <t>Surprise</t>
        </is>
      </c>
      <c r="G1095" t="n">
        <v>50</v>
      </c>
      <c r="H1095" t="n">
        <v>0</v>
      </c>
      <c r="I1095" t="n">
        <v>0</v>
      </c>
      <c r="J1095" t="inlineStr">
        <is>
          <t>NA</t>
        </is>
      </c>
      <c r="K1095" t="n">
        <v>92.59999999999999</v>
      </c>
      <c r="L1095">
        <f>IF(K1095&gt;=80,"Yes","No")</f>
        <v/>
      </c>
      <c r="M1095">
        <f>IF(ISNUMBER(H1095),IF(H1095&gt;0,1,0),"")</f>
        <v/>
      </c>
    </row>
    <row r="1096">
      <c r="A1096" t="inlineStr">
        <is>
          <t>SIMULATED_FEA_Commercial_Study</t>
        </is>
      </c>
      <c r="B1096" t="inlineStr">
        <is>
          <t>V21</t>
        </is>
      </c>
      <c r="C1096" t="inlineStr">
        <is>
          <t>Stimulus</t>
        </is>
      </c>
      <c r="D1096" t="inlineStr">
        <is>
          <t>Recovery</t>
        </is>
      </c>
      <c r="E1096" t="n">
        <v>15</v>
      </c>
      <c r="F1096" t="inlineStr">
        <is>
          <t>Brow Furrow</t>
        </is>
      </c>
      <c r="G1096" t="n">
        <v>50</v>
      </c>
      <c r="H1096" t="n">
        <v>28.44</v>
      </c>
      <c r="I1096" t="n">
        <v>1</v>
      </c>
      <c r="J1096" t="inlineStr">
        <is>
          <t>NA</t>
        </is>
      </c>
      <c r="K1096" t="n">
        <v>92.59999999999999</v>
      </c>
      <c r="L1096">
        <f>IF(K1096&gt;=80,"Yes","No")</f>
        <v/>
      </c>
      <c r="M1096">
        <f>IF(ISNUMBER(H1096),IF(H1096&gt;0,1,0),"")</f>
        <v/>
      </c>
    </row>
    <row r="1097">
      <c r="A1097" t="inlineStr">
        <is>
          <t>SIMULATED_FEA_Commercial_Study</t>
        </is>
      </c>
      <c r="B1097" t="inlineStr">
        <is>
          <t>V21</t>
        </is>
      </c>
      <c r="C1097" t="inlineStr">
        <is>
          <t>Stimulus</t>
        </is>
      </c>
      <c r="D1097" t="inlineStr">
        <is>
          <t>Recovery</t>
        </is>
      </c>
      <c r="E1097" t="n">
        <v>15</v>
      </c>
      <c r="F1097" t="inlineStr">
        <is>
          <t>Positive Valence</t>
        </is>
      </c>
      <c r="G1097" t="n">
        <v>50</v>
      </c>
      <c r="H1097" t="n">
        <v>0</v>
      </c>
      <c r="I1097" t="n">
        <v>0</v>
      </c>
      <c r="J1097" t="inlineStr">
        <is>
          <t>NA</t>
        </is>
      </c>
      <c r="K1097" t="n">
        <v>92.59999999999999</v>
      </c>
      <c r="L1097">
        <f>IF(K1097&gt;=80,"Yes","No")</f>
        <v/>
      </c>
      <c r="M1097">
        <f>IF(ISNUMBER(H1097),IF(H1097&gt;0,1,0),"")</f>
        <v/>
      </c>
    </row>
    <row r="1098">
      <c r="A1098" t="inlineStr">
        <is>
          <t>SIMULATED_FEA_Commercial_Study</t>
        </is>
      </c>
      <c r="B1098" t="inlineStr">
        <is>
          <t>V21</t>
        </is>
      </c>
      <c r="C1098" t="inlineStr">
        <is>
          <t>Stimulus</t>
        </is>
      </c>
      <c r="D1098" t="inlineStr">
        <is>
          <t>Recovery</t>
        </is>
      </c>
      <c r="E1098" t="n">
        <v>15</v>
      </c>
      <c r="F1098" t="inlineStr">
        <is>
          <t>Negative Valence</t>
        </is>
      </c>
      <c r="G1098" t="n">
        <v>-50</v>
      </c>
      <c r="H1098" t="n">
        <v>0</v>
      </c>
      <c r="I1098" t="n">
        <v>0</v>
      </c>
      <c r="J1098" t="inlineStr">
        <is>
          <t>NA</t>
        </is>
      </c>
      <c r="K1098" t="n">
        <v>92.59999999999999</v>
      </c>
      <c r="L1098">
        <f>IF(K1098&gt;=80,"Yes","No")</f>
        <v/>
      </c>
      <c r="M1098">
        <f>IF(ISNUMBER(H1098),IF(H1098&gt;0,1,0),"")</f>
        <v/>
      </c>
    </row>
    <row r="1099">
      <c r="A1099" t="inlineStr">
        <is>
          <t>SIMULATED_FEA_Commercial_Study</t>
        </is>
      </c>
      <c r="B1099" t="inlineStr">
        <is>
          <t>V21</t>
        </is>
      </c>
      <c r="C1099" t="inlineStr">
        <is>
          <t>Stimulus</t>
        </is>
      </c>
      <c r="D1099" t="inlineStr">
        <is>
          <t>Recovery</t>
        </is>
      </c>
      <c r="E1099" t="n">
        <v>15</v>
      </c>
      <c r="F1099" t="inlineStr">
        <is>
          <t>Engagement</t>
        </is>
      </c>
      <c r="G1099" t="inlineStr">
        <is>
          <t>NA</t>
        </is>
      </c>
      <c r="H1099" t="inlineStr">
        <is>
          <t>NA</t>
        </is>
      </c>
      <c r="I1099" t="inlineStr">
        <is>
          <t>NA</t>
        </is>
      </c>
      <c r="J1099" t="n">
        <v>15.16</v>
      </c>
      <c r="K1099" t="n">
        <v>92.59999999999999</v>
      </c>
      <c r="L1099">
        <f>IF(K1099&gt;=80,"Yes","No")</f>
        <v/>
      </c>
      <c r="M1099">
        <f>IF(ISNUMBER(H1099),IF(H1099&gt;0,1,0),"")</f>
        <v/>
      </c>
    </row>
    <row r="1100">
      <c r="A1100" t="inlineStr">
        <is>
          <t>SIMULATED_FEA_Commercial_Study</t>
        </is>
      </c>
      <c r="B1100" t="inlineStr">
        <is>
          <t>V21</t>
        </is>
      </c>
      <c r="C1100" t="inlineStr">
        <is>
          <t>Annotation</t>
        </is>
      </c>
      <c r="D1100" t="inlineStr">
        <is>
          <t>Bin_01</t>
        </is>
      </c>
      <c r="E1100" t="n">
        <v>10</v>
      </c>
      <c r="F1100" t="inlineStr">
        <is>
          <t>Joy</t>
        </is>
      </c>
      <c r="G1100" t="n">
        <v>50</v>
      </c>
      <c r="H1100" t="n">
        <v>0</v>
      </c>
      <c r="I1100" t="n">
        <v>0</v>
      </c>
      <c r="J1100" t="inlineStr">
        <is>
          <t>NA</t>
        </is>
      </c>
      <c r="K1100" t="n">
        <v>92.59999999999999</v>
      </c>
      <c r="L1100">
        <f>IF(K1100&gt;=80,"Yes","No")</f>
        <v/>
      </c>
      <c r="M1100">
        <f>IF(ISNUMBER(H1100),IF(H1100&gt;0,1,0),"")</f>
        <v/>
      </c>
    </row>
    <row r="1101">
      <c r="A1101" t="inlineStr">
        <is>
          <t>SIMULATED_FEA_Commercial_Study</t>
        </is>
      </c>
      <c r="B1101" t="inlineStr">
        <is>
          <t>V21</t>
        </is>
      </c>
      <c r="C1101" t="inlineStr">
        <is>
          <t>Annotation</t>
        </is>
      </c>
      <c r="D1101" t="inlineStr">
        <is>
          <t>Bin_01</t>
        </is>
      </c>
      <c r="E1101" t="n">
        <v>10</v>
      </c>
      <c r="F1101" t="inlineStr">
        <is>
          <t>Surprise</t>
        </is>
      </c>
      <c r="G1101" t="n">
        <v>50</v>
      </c>
      <c r="H1101" t="n">
        <v>0</v>
      </c>
      <c r="I1101" t="n">
        <v>0</v>
      </c>
      <c r="J1101" t="inlineStr">
        <is>
          <t>NA</t>
        </is>
      </c>
      <c r="K1101" t="n">
        <v>92.59999999999999</v>
      </c>
      <c r="L1101">
        <f>IF(K1101&gt;=80,"Yes","No")</f>
        <v/>
      </c>
      <c r="M1101">
        <f>IF(ISNUMBER(H1101),IF(H1101&gt;0,1,0),"")</f>
        <v/>
      </c>
    </row>
    <row r="1102">
      <c r="A1102" t="inlineStr">
        <is>
          <t>SIMULATED_FEA_Commercial_Study</t>
        </is>
      </c>
      <c r="B1102" t="inlineStr">
        <is>
          <t>V21</t>
        </is>
      </c>
      <c r="C1102" t="inlineStr">
        <is>
          <t>Annotation</t>
        </is>
      </c>
      <c r="D1102" t="inlineStr">
        <is>
          <t>Bin_01</t>
        </is>
      </c>
      <c r="E1102" t="n">
        <v>10</v>
      </c>
      <c r="F1102" t="inlineStr">
        <is>
          <t>Brow Furrow</t>
        </is>
      </c>
      <c r="G1102" t="n">
        <v>50</v>
      </c>
      <c r="H1102" t="n">
        <v>0</v>
      </c>
      <c r="I1102" t="n">
        <v>0</v>
      </c>
      <c r="J1102" t="inlineStr">
        <is>
          <t>NA</t>
        </is>
      </c>
      <c r="K1102" t="n">
        <v>92.59999999999999</v>
      </c>
      <c r="L1102">
        <f>IF(K1102&gt;=80,"Yes","No")</f>
        <v/>
      </c>
      <c r="M1102">
        <f>IF(ISNUMBER(H1102),IF(H1102&gt;0,1,0),"")</f>
        <v/>
      </c>
    </row>
    <row r="1103">
      <c r="A1103" t="inlineStr">
        <is>
          <t>SIMULATED_FEA_Commercial_Study</t>
        </is>
      </c>
      <c r="B1103" t="inlineStr">
        <is>
          <t>V21</t>
        </is>
      </c>
      <c r="C1103" t="inlineStr">
        <is>
          <t>Annotation</t>
        </is>
      </c>
      <c r="D1103" t="inlineStr">
        <is>
          <t>Bin_01</t>
        </is>
      </c>
      <c r="E1103" t="n">
        <v>10</v>
      </c>
      <c r="F1103" t="inlineStr">
        <is>
          <t>Positive Valence</t>
        </is>
      </c>
      <c r="G1103" t="n">
        <v>50</v>
      </c>
      <c r="H1103" t="n">
        <v>0</v>
      </c>
      <c r="I1103" t="n">
        <v>0</v>
      </c>
      <c r="J1103" t="inlineStr">
        <is>
          <t>NA</t>
        </is>
      </c>
      <c r="K1103" t="n">
        <v>92.59999999999999</v>
      </c>
      <c r="L1103">
        <f>IF(K1103&gt;=80,"Yes","No")</f>
        <v/>
      </c>
      <c r="M1103">
        <f>IF(ISNUMBER(H1103),IF(H1103&gt;0,1,0),"")</f>
        <v/>
      </c>
    </row>
    <row r="1104">
      <c r="A1104" t="inlineStr">
        <is>
          <t>SIMULATED_FEA_Commercial_Study</t>
        </is>
      </c>
      <c r="B1104" t="inlineStr">
        <is>
          <t>V21</t>
        </is>
      </c>
      <c r="C1104" t="inlineStr">
        <is>
          <t>Annotation</t>
        </is>
      </c>
      <c r="D1104" t="inlineStr">
        <is>
          <t>Bin_01</t>
        </is>
      </c>
      <c r="E1104" t="n">
        <v>10</v>
      </c>
      <c r="F1104" t="inlineStr">
        <is>
          <t>Negative Valence</t>
        </is>
      </c>
      <c r="G1104" t="n">
        <v>-50</v>
      </c>
      <c r="H1104" t="n">
        <v>0</v>
      </c>
      <c r="I1104" t="n">
        <v>0</v>
      </c>
      <c r="J1104" t="inlineStr">
        <is>
          <t>NA</t>
        </is>
      </c>
      <c r="K1104" t="n">
        <v>92.59999999999999</v>
      </c>
      <c r="L1104">
        <f>IF(K1104&gt;=80,"Yes","No")</f>
        <v/>
      </c>
      <c r="M1104">
        <f>IF(ISNUMBER(H1104),IF(H1104&gt;0,1,0),"")</f>
        <v/>
      </c>
    </row>
    <row r="1105">
      <c r="A1105" t="inlineStr">
        <is>
          <t>SIMULATED_FEA_Commercial_Study</t>
        </is>
      </c>
      <c r="B1105" t="inlineStr">
        <is>
          <t>V21</t>
        </is>
      </c>
      <c r="C1105" t="inlineStr">
        <is>
          <t>Annotation</t>
        </is>
      </c>
      <c r="D1105" t="inlineStr">
        <is>
          <t>Bin_01</t>
        </is>
      </c>
      <c r="E1105" t="n">
        <v>10</v>
      </c>
      <c r="F1105" t="inlineStr">
        <is>
          <t>Engagement</t>
        </is>
      </c>
      <c r="G1105" t="inlineStr">
        <is>
          <t>NA</t>
        </is>
      </c>
      <c r="H1105" t="inlineStr">
        <is>
          <t>NA</t>
        </is>
      </c>
      <c r="I1105" t="inlineStr">
        <is>
          <t>NA</t>
        </is>
      </c>
      <c r="J1105" t="n">
        <v>7.02</v>
      </c>
      <c r="K1105" t="n">
        <v>92.59999999999999</v>
      </c>
      <c r="L1105">
        <f>IF(K1105&gt;=80,"Yes","No")</f>
        <v/>
      </c>
      <c r="M1105">
        <f>IF(ISNUMBER(H1105),IF(H1105&gt;0,1,0),"")</f>
        <v/>
      </c>
    </row>
    <row r="1106">
      <c r="A1106" t="inlineStr">
        <is>
          <t>SIMULATED_FEA_Commercial_Study</t>
        </is>
      </c>
      <c r="B1106" t="inlineStr">
        <is>
          <t>V21</t>
        </is>
      </c>
      <c r="C1106" t="inlineStr">
        <is>
          <t>Annotation</t>
        </is>
      </c>
      <c r="D1106" t="inlineStr">
        <is>
          <t>Bin_02</t>
        </is>
      </c>
      <c r="E1106" t="n">
        <v>10</v>
      </c>
      <c r="F1106" t="inlineStr">
        <is>
          <t>Joy</t>
        </is>
      </c>
      <c r="G1106" t="n">
        <v>50</v>
      </c>
      <c r="H1106" t="n">
        <v>0</v>
      </c>
      <c r="I1106" t="n">
        <v>0</v>
      </c>
      <c r="J1106" t="inlineStr">
        <is>
          <t>NA</t>
        </is>
      </c>
      <c r="K1106" t="n">
        <v>92.59999999999999</v>
      </c>
      <c r="L1106">
        <f>IF(K1106&gt;=80,"Yes","No")</f>
        <v/>
      </c>
      <c r="M1106">
        <f>IF(ISNUMBER(H1106),IF(H1106&gt;0,1,0),"")</f>
        <v/>
      </c>
    </row>
    <row r="1107">
      <c r="A1107" t="inlineStr">
        <is>
          <t>SIMULATED_FEA_Commercial_Study</t>
        </is>
      </c>
      <c r="B1107" t="inlineStr">
        <is>
          <t>V21</t>
        </is>
      </c>
      <c r="C1107" t="inlineStr">
        <is>
          <t>Annotation</t>
        </is>
      </c>
      <c r="D1107" t="inlineStr">
        <is>
          <t>Bin_02</t>
        </is>
      </c>
      <c r="E1107" t="n">
        <v>10</v>
      </c>
      <c r="F1107" t="inlineStr">
        <is>
          <t>Surprise</t>
        </is>
      </c>
      <c r="G1107" t="n">
        <v>50</v>
      </c>
      <c r="H1107" t="n">
        <v>0</v>
      </c>
      <c r="I1107" t="n">
        <v>0</v>
      </c>
      <c r="J1107" t="inlineStr">
        <is>
          <t>NA</t>
        </is>
      </c>
      <c r="K1107" t="n">
        <v>92.59999999999999</v>
      </c>
      <c r="L1107">
        <f>IF(K1107&gt;=80,"Yes","No")</f>
        <v/>
      </c>
      <c r="M1107">
        <f>IF(ISNUMBER(H1107),IF(H1107&gt;0,1,0),"")</f>
        <v/>
      </c>
    </row>
    <row r="1108">
      <c r="A1108" t="inlineStr">
        <is>
          <t>SIMULATED_FEA_Commercial_Study</t>
        </is>
      </c>
      <c r="B1108" t="inlineStr">
        <is>
          <t>V21</t>
        </is>
      </c>
      <c r="C1108" t="inlineStr">
        <is>
          <t>Annotation</t>
        </is>
      </c>
      <c r="D1108" t="inlineStr">
        <is>
          <t>Bin_02</t>
        </is>
      </c>
      <c r="E1108" t="n">
        <v>10</v>
      </c>
      <c r="F1108" t="inlineStr">
        <is>
          <t>Brow Furrow</t>
        </is>
      </c>
      <c r="G1108" t="n">
        <v>50</v>
      </c>
      <c r="H1108" t="n">
        <v>0</v>
      </c>
      <c r="I1108" t="n">
        <v>0</v>
      </c>
      <c r="J1108" t="inlineStr">
        <is>
          <t>NA</t>
        </is>
      </c>
      <c r="K1108" t="n">
        <v>92.59999999999999</v>
      </c>
      <c r="L1108">
        <f>IF(K1108&gt;=80,"Yes","No")</f>
        <v/>
      </c>
      <c r="M1108">
        <f>IF(ISNUMBER(H1108),IF(H1108&gt;0,1,0),"")</f>
        <v/>
      </c>
    </row>
    <row r="1109">
      <c r="A1109" t="inlineStr">
        <is>
          <t>SIMULATED_FEA_Commercial_Study</t>
        </is>
      </c>
      <c r="B1109" t="inlineStr">
        <is>
          <t>V21</t>
        </is>
      </c>
      <c r="C1109" t="inlineStr">
        <is>
          <t>Annotation</t>
        </is>
      </c>
      <c r="D1109" t="inlineStr">
        <is>
          <t>Bin_02</t>
        </is>
      </c>
      <c r="E1109" t="n">
        <v>10</v>
      </c>
      <c r="F1109" t="inlineStr">
        <is>
          <t>Positive Valence</t>
        </is>
      </c>
      <c r="G1109" t="n">
        <v>50</v>
      </c>
      <c r="H1109" t="n">
        <v>0</v>
      </c>
      <c r="I1109" t="n">
        <v>0</v>
      </c>
      <c r="J1109" t="inlineStr">
        <is>
          <t>NA</t>
        </is>
      </c>
      <c r="K1109" t="n">
        <v>92.59999999999999</v>
      </c>
      <c r="L1109">
        <f>IF(K1109&gt;=80,"Yes","No")</f>
        <v/>
      </c>
      <c r="M1109">
        <f>IF(ISNUMBER(H1109),IF(H1109&gt;0,1,0),"")</f>
        <v/>
      </c>
    </row>
    <row r="1110">
      <c r="A1110" t="inlineStr">
        <is>
          <t>SIMULATED_FEA_Commercial_Study</t>
        </is>
      </c>
      <c r="B1110" t="inlineStr">
        <is>
          <t>V21</t>
        </is>
      </c>
      <c r="C1110" t="inlineStr">
        <is>
          <t>Annotation</t>
        </is>
      </c>
      <c r="D1110" t="inlineStr">
        <is>
          <t>Bin_02</t>
        </is>
      </c>
      <c r="E1110" t="n">
        <v>10</v>
      </c>
      <c r="F1110" t="inlineStr">
        <is>
          <t>Negative Valence</t>
        </is>
      </c>
      <c r="G1110" t="n">
        <v>-50</v>
      </c>
      <c r="H1110" t="n">
        <v>0</v>
      </c>
      <c r="I1110" t="n">
        <v>0</v>
      </c>
      <c r="J1110" t="inlineStr">
        <is>
          <t>NA</t>
        </is>
      </c>
      <c r="K1110" t="n">
        <v>92.59999999999999</v>
      </c>
      <c r="L1110">
        <f>IF(K1110&gt;=80,"Yes","No")</f>
        <v/>
      </c>
      <c r="M1110">
        <f>IF(ISNUMBER(H1110),IF(H1110&gt;0,1,0),"")</f>
        <v/>
      </c>
    </row>
    <row r="1111">
      <c r="A1111" t="inlineStr">
        <is>
          <t>SIMULATED_FEA_Commercial_Study</t>
        </is>
      </c>
      <c r="B1111" t="inlineStr">
        <is>
          <t>V21</t>
        </is>
      </c>
      <c r="C1111" t="inlineStr">
        <is>
          <t>Annotation</t>
        </is>
      </c>
      <c r="D1111" t="inlineStr">
        <is>
          <t>Bin_02</t>
        </is>
      </c>
      <c r="E1111" t="n">
        <v>10</v>
      </c>
      <c r="F1111" t="inlineStr">
        <is>
          <t>Engagement</t>
        </is>
      </c>
      <c r="G1111" t="inlineStr">
        <is>
          <t>NA</t>
        </is>
      </c>
      <c r="H1111" t="inlineStr">
        <is>
          <t>NA</t>
        </is>
      </c>
      <c r="I1111" t="inlineStr">
        <is>
          <t>NA</t>
        </is>
      </c>
      <c r="J1111" t="n">
        <v>4.69</v>
      </c>
      <c r="K1111" t="n">
        <v>92.59999999999999</v>
      </c>
      <c r="L1111">
        <f>IF(K1111&gt;=80,"Yes","No")</f>
        <v/>
      </c>
      <c r="M1111">
        <f>IF(ISNUMBER(H1111),IF(H1111&gt;0,1,0),"")</f>
        <v/>
      </c>
    </row>
    <row r="1112">
      <c r="A1112" t="inlineStr">
        <is>
          <t>SIMULATED_FEA_Commercial_Study</t>
        </is>
      </c>
      <c r="B1112" t="inlineStr">
        <is>
          <t>V21</t>
        </is>
      </c>
      <c r="C1112" t="inlineStr">
        <is>
          <t>Annotation</t>
        </is>
      </c>
      <c r="D1112" t="inlineStr">
        <is>
          <t>Bin_03</t>
        </is>
      </c>
      <c r="E1112" t="n">
        <v>10</v>
      </c>
      <c r="F1112" t="inlineStr">
        <is>
          <t>Joy</t>
        </is>
      </c>
      <c r="G1112" t="n">
        <v>50</v>
      </c>
      <c r="H1112" t="n">
        <v>0</v>
      </c>
      <c r="I1112" t="n">
        <v>0</v>
      </c>
      <c r="J1112" t="inlineStr">
        <is>
          <t>NA</t>
        </is>
      </c>
      <c r="K1112" t="n">
        <v>92.59999999999999</v>
      </c>
      <c r="L1112">
        <f>IF(K1112&gt;=80,"Yes","No")</f>
        <v/>
      </c>
      <c r="M1112">
        <f>IF(ISNUMBER(H1112),IF(H1112&gt;0,1,0),"")</f>
        <v/>
      </c>
    </row>
    <row r="1113">
      <c r="A1113" t="inlineStr">
        <is>
          <t>SIMULATED_FEA_Commercial_Study</t>
        </is>
      </c>
      <c r="B1113" t="inlineStr">
        <is>
          <t>V21</t>
        </is>
      </c>
      <c r="C1113" t="inlineStr">
        <is>
          <t>Annotation</t>
        </is>
      </c>
      <c r="D1113" t="inlineStr">
        <is>
          <t>Bin_03</t>
        </is>
      </c>
      <c r="E1113" t="n">
        <v>10</v>
      </c>
      <c r="F1113" t="inlineStr">
        <is>
          <t>Surprise</t>
        </is>
      </c>
      <c r="G1113" t="n">
        <v>50</v>
      </c>
      <c r="H1113" t="n">
        <v>0</v>
      </c>
      <c r="I1113" t="n">
        <v>0</v>
      </c>
      <c r="J1113" t="inlineStr">
        <is>
          <t>NA</t>
        </is>
      </c>
      <c r="K1113" t="n">
        <v>92.59999999999999</v>
      </c>
      <c r="L1113">
        <f>IF(K1113&gt;=80,"Yes","No")</f>
        <v/>
      </c>
      <c r="M1113">
        <f>IF(ISNUMBER(H1113),IF(H1113&gt;0,1,0),"")</f>
        <v/>
      </c>
    </row>
    <row r="1114">
      <c r="A1114" t="inlineStr">
        <is>
          <t>SIMULATED_FEA_Commercial_Study</t>
        </is>
      </c>
      <c r="B1114" t="inlineStr">
        <is>
          <t>V21</t>
        </is>
      </c>
      <c r="C1114" t="inlineStr">
        <is>
          <t>Annotation</t>
        </is>
      </c>
      <c r="D1114" t="inlineStr">
        <is>
          <t>Bin_03</t>
        </is>
      </c>
      <c r="E1114" t="n">
        <v>10</v>
      </c>
      <c r="F1114" t="inlineStr">
        <is>
          <t>Brow Furrow</t>
        </is>
      </c>
      <c r="G1114" t="n">
        <v>50</v>
      </c>
      <c r="H1114" t="n">
        <v>0</v>
      </c>
      <c r="I1114" t="n">
        <v>0</v>
      </c>
      <c r="J1114" t="inlineStr">
        <is>
          <t>NA</t>
        </is>
      </c>
      <c r="K1114" t="n">
        <v>92.59999999999999</v>
      </c>
      <c r="L1114">
        <f>IF(K1114&gt;=80,"Yes","No")</f>
        <v/>
      </c>
      <c r="M1114">
        <f>IF(ISNUMBER(H1114),IF(H1114&gt;0,1,0),"")</f>
        <v/>
      </c>
    </row>
    <row r="1115">
      <c r="A1115" t="inlineStr">
        <is>
          <t>SIMULATED_FEA_Commercial_Study</t>
        </is>
      </c>
      <c r="B1115" t="inlineStr">
        <is>
          <t>V21</t>
        </is>
      </c>
      <c r="C1115" t="inlineStr">
        <is>
          <t>Annotation</t>
        </is>
      </c>
      <c r="D1115" t="inlineStr">
        <is>
          <t>Bin_03</t>
        </is>
      </c>
      <c r="E1115" t="n">
        <v>10</v>
      </c>
      <c r="F1115" t="inlineStr">
        <is>
          <t>Positive Valence</t>
        </is>
      </c>
      <c r="G1115" t="n">
        <v>50</v>
      </c>
      <c r="H1115" t="n">
        <v>0</v>
      </c>
      <c r="I1115" t="n">
        <v>0</v>
      </c>
      <c r="J1115" t="inlineStr">
        <is>
          <t>NA</t>
        </is>
      </c>
      <c r="K1115" t="n">
        <v>92.59999999999999</v>
      </c>
      <c r="L1115">
        <f>IF(K1115&gt;=80,"Yes","No")</f>
        <v/>
      </c>
      <c r="M1115">
        <f>IF(ISNUMBER(H1115),IF(H1115&gt;0,1,0),"")</f>
        <v/>
      </c>
    </row>
    <row r="1116">
      <c r="A1116" t="inlineStr">
        <is>
          <t>SIMULATED_FEA_Commercial_Study</t>
        </is>
      </c>
      <c r="B1116" t="inlineStr">
        <is>
          <t>V21</t>
        </is>
      </c>
      <c r="C1116" t="inlineStr">
        <is>
          <t>Annotation</t>
        </is>
      </c>
      <c r="D1116" t="inlineStr">
        <is>
          <t>Bin_03</t>
        </is>
      </c>
      <c r="E1116" t="n">
        <v>10</v>
      </c>
      <c r="F1116" t="inlineStr">
        <is>
          <t>Negative Valence</t>
        </is>
      </c>
      <c r="G1116" t="n">
        <v>-50</v>
      </c>
      <c r="H1116" t="n">
        <v>0</v>
      </c>
      <c r="I1116" t="n">
        <v>0</v>
      </c>
      <c r="J1116" t="inlineStr">
        <is>
          <t>NA</t>
        </is>
      </c>
      <c r="K1116" t="n">
        <v>92.59999999999999</v>
      </c>
      <c r="L1116">
        <f>IF(K1116&gt;=80,"Yes","No")</f>
        <v/>
      </c>
      <c r="M1116">
        <f>IF(ISNUMBER(H1116),IF(H1116&gt;0,1,0),"")</f>
        <v/>
      </c>
    </row>
    <row r="1117">
      <c r="A1117" t="inlineStr">
        <is>
          <t>SIMULATED_FEA_Commercial_Study</t>
        </is>
      </c>
      <c r="B1117" t="inlineStr">
        <is>
          <t>V21</t>
        </is>
      </c>
      <c r="C1117" t="inlineStr">
        <is>
          <t>Annotation</t>
        </is>
      </c>
      <c r="D1117" t="inlineStr">
        <is>
          <t>Bin_03</t>
        </is>
      </c>
      <c r="E1117" t="n">
        <v>10</v>
      </c>
      <c r="F1117" t="inlineStr">
        <is>
          <t>Engagement</t>
        </is>
      </c>
      <c r="G1117" t="inlineStr">
        <is>
          <t>NA</t>
        </is>
      </c>
      <c r="H1117" t="inlineStr">
        <is>
          <t>NA</t>
        </is>
      </c>
      <c r="I1117" t="inlineStr">
        <is>
          <t>NA</t>
        </is>
      </c>
      <c r="J1117" t="n">
        <v>3.71</v>
      </c>
      <c r="K1117" t="n">
        <v>92.59999999999999</v>
      </c>
      <c r="L1117">
        <f>IF(K1117&gt;=80,"Yes","No")</f>
        <v/>
      </c>
      <c r="M1117">
        <f>IF(ISNUMBER(H1117),IF(H1117&gt;0,1,0),"")</f>
        <v/>
      </c>
    </row>
    <row r="1118">
      <c r="A1118" t="inlineStr">
        <is>
          <t>SIMULATED_FEA_Commercial_Study</t>
        </is>
      </c>
      <c r="B1118" t="inlineStr">
        <is>
          <t>V21</t>
        </is>
      </c>
      <c r="C1118" t="inlineStr">
        <is>
          <t>Annotation</t>
        </is>
      </c>
      <c r="D1118" t="inlineStr">
        <is>
          <t>Bin_04</t>
        </is>
      </c>
      <c r="E1118" t="n">
        <v>10</v>
      </c>
      <c r="F1118" t="inlineStr">
        <is>
          <t>Joy</t>
        </is>
      </c>
      <c r="G1118" t="n">
        <v>50</v>
      </c>
      <c r="H1118" t="n">
        <v>0</v>
      </c>
      <c r="I1118" t="n">
        <v>0</v>
      </c>
      <c r="J1118" t="inlineStr">
        <is>
          <t>NA</t>
        </is>
      </c>
      <c r="K1118" t="n">
        <v>92.59999999999999</v>
      </c>
      <c r="L1118">
        <f>IF(K1118&gt;=80,"Yes","No")</f>
        <v/>
      </c>
      <c r="M1118">
        <f>IF(ISNUMBER(H1118),IF(H1118&gt;0,1,0),"")</f>
        <v/>
      </c>
    </row>
    <row r="1119">
      <c r="A1119" t="inlineStr">
        <is>
          <t>SIMULATED_FEA_Commercial_Study</t>
        </is>
      </c>
      <c r="B1119" t="inlineStr">
        <is>
          <t>V21</t>
        </is>
      </c>
      <c r="C1119" t="inlineStr">
        <is>
          <t>Annotation</t>
        </is>
      </c>
      <c r="D1119" t="inlineStr">
        <is>
          <t>Bin_04</t>
        </is>
      </c>
      <c r="E1119" t="n">
        <v>10</v>
      </c>
      <c r="F1119" t="inlineStr">
        <is>
          <t>Surprise</t>
        </is>
      </c>
      <c r="G1119" t="n">
        <v>50</v>
      </c>
      <c r="H1119" t="n">
        <v>0</v>
      </c>
      <c r="I1119" t="n">
        <v>0</v>
      </c>
      <c r="J1119" t="inlineStr">
        <is>
          <t>NA</t>
        </is>
      </c>
      <c r="K1119" t="n">
        <v>92.59999999999999</v>
      </c>
      <c r="L1119">
        <f>IF(K1119&gt;=80,"Yes","No")</f>
        <v/>
      </c>
      <c r="M1119">
        <f>IF(ISNUMBER(H1119),IF(H1119&gt;0,1,0),"")</f>
        <v/>
      </c>
    </row>
    <row r="1120">
      <c r="A1120" t="inlineStr">
        <is>
          <t>SIMULATED_FEA_Commercial_Study</t>
        </is>
      </c>
      <c r="B1120" t="inlineStr">
        <is>
          <t>V21</t>
        </is>
      </c>
      <c r="C1120" t="inlineStr">
        <is>
          <t>Annotation</t>
        </is>
      </c>
      <c r="D1120" t="inlineStr">
        <is>
          <t>Bin_04</t>
        </is>
      </c>
      <c r="E1120" t="n">
        <v>10</v>
      </c>
      <c r="F1120" t="inlineStr">
        <is>
          <t>Brow Furrow</t>
        </is>
      </c>
      <c r="G1120" t="n">
        <v>50</v>
      </c>
      <c r="H1120" t="n">
        <v>0</v>
      </c>
      <c r="I1120" t="n">
        <v>0</v>
      </c>
      <c r="J1120" t="inlineStr">
        <is>
          <t>NA</t>
        </is>
      </c>
      <c r="K1120" t="n">
        <v>92.59999999999999</v>
      </c>
      <c r="L1120">
        <f>IF(K1120&gt;=80,"Yes","No")</f>
        <v/>
      </c>
      <c r="M1120">
        <f>IF(ISNUMBER(H1120),IF(H1120&gt;0,1,0),"")</f>
        <v/>
      </c>
    </row>
    <row r="1121">
      <c r="A1121" t="inlineStr">
        <is>
          <t>SIMULATED_FEA_Commercial_Study</t>
        </is>
      </c>
      <c r="B1121" t="inlineStr">
        <is>
          <t>V21</t>
        </is>
      </c>
      <c r="C1121" t="inlineStr">
        <is>
          <t>Annotation</t>
        </is>
      </c>
      <c r="D1121" t="inlineStr">
        <is>
          <t>Bin_04</t>
        </is>
      </c>
      <c r="E1121" t="n">
        <v>10</v>
      </c>
      <c r="F1121" t="inlineStr">
        <is>
          <t>Positive Valence</t>
        </is>
      </c>
      <c r="G1121" t="n">
        <v>50</v>
      </c>
      <c r="H1121" t="n">
        <v>0</v>
      </c>
      <c r="I1121" t="n">
        <v>0</v>
      </c>
      <c r="J1121" t="inlineStr">
        <is>
          <t>NA</t>
        </is>
      </c>
      <c r="K1121" t="n">
        <v>92.59999999999999</v>
      </c>
      <c r="L1121">
        <f>IF(K1121&gt;=80,"Yes","No")</f>
        <v/>
      </c>
      <c r="M1121">
        <f>IF(ISNUMBER(H1121),IF(H1121&gt;0,1,0),"")</f>
        <v/>
      </c>
    </row>
    <row r="1122">
      <c r="A1122" t="inlineStr">
        <is>
          <t>SIMULATED_FEA_Commercial_Study</t>
        </is>
      </c>
      <c r="B1122" t="inlineStr">
        <is>
          <t>V21</t>
        </is>
      </c>
      <c r="C1122" t="inlineStr">
        <is>
          <t>Annotation</t>
        </is>
      </c>
      <c r="D1122" t="inlineStr">
        <is>
          <t>Bin_04</t>
        </is>
      </c>
      <c r="E1122" t="n">
        <v>10</v>
      </c>
      <c r="F1122" t="inlineStr">
        <is>
          <t>Negative Valence</t>
        </is>
      </c>
      <c r="G1122" t="n">
        <v>-50</v>
      </c>
      <c r="H1122" t="n">
        <v>0</v>
      </c>
      <c r="I1122" t="n">
        <v>0</v>
      </c>
      <c r="J1122" t="inlineStr">
        <is>
          <t>NA</t>
        </is>
      </c>
      <c r="K1122" t="n">
        <v>92.59999999999999</v>
      </c>
      <c r="L1122">
        <f>IF(K1122&gt;=80,"Yes","No")</f>
        <v/>
      </c>
      <c r="M1122">
        <f>IF(ISNUMBER(H1122),IF(H1122&gt;0,1,0),"")</f>
        <v/>
      </c>
    </row>
    <row r="1123">
      <c r="A1123" t="inlineStr">
        <is>
          <t>SIMULATED_FEA_Commercial_Study</t>
        </is>
      </c>
      <c r="B1123" t="inlineStr">
        <is>
          <t>V21</t>
        </is>
      </c>
      <c r="C1123" t="inlineStr">
        <is>
          <t>Annotation</t>
        </is>
      </c>
      <c r="D1123" t="inlineStr">
        <is>
          <t>Bin_04</t>
        </is>
      </c>
      <c r="E1123" t="n">
        <v>10</v>
      </c>
      <c r="F1123" t="inlineStr">
        <is>
          <t>Engagement</t>
        </is>
      </c>
      <c r="G1123" t="inlineStr">
        <is>
          <t>NA</t>
        </is>
      </c>
      <c r="H1123" t="inlineStr">
        <is>
          <t>NA</t>
        </is>
      </c>
      <c r="I1123" t="inlineStr">
        <is>
          <t>NA</t>
        </is>
      </c>
      <c r="J1123" t="n">
        <v>4.81</v>
      </c>
      <c r="K1123" t="n">
        <v>92.59999999999999</v>
      </c>
      <c r="L1123">
        <f>IF(K1123&gt;=80,"Yes","No")</f>
        <v/>
      </c>
      <c r="M1123">
        <f>IF(ISNUMBER(H1123),IF(H1123&gt;0,1,0),"")</f>
        <v/>
      </c>
    </row>
    <row r="1124">
      <c r="A1124" t="inlineStr">
        <is>
          <t>SIMULATED_FEA_Commercial_Study</t>
        </is>
      </c>
      <c r="B1124" t="inlineStr">
        <is>
          <t>V21</t>
        </is>
      </c>
      <c r="C1124" t="inlineStr">
        <is>
          <t>Annotation</t>
        </is>
      </c>
      <c r="D1124" t="inlineStr">
        <is>
          <t>Bin_05</t>
        </is>
      </c>
      <c r="E1124" t="n">
        <v>10</v>
      </c>
      <c r="F1124" t="inlineStr">
        <is>
          <t>Joy</t>
        </is>
      </c>
      <c r="G1124" t="n">
        <v>50</v>
      </c>
      <c r="H1124" t="n">
        <v>47</v>
      </c>
      <c r="I1124" t="n">
        <v>2</v>
      </c>
      <c r="J1124" t="inlineStr">
        <is>
          <t>NA</t>
        </is>
      </c>
      <c r="K1124" t="n">
        <v>92.59999999999999</v>
      </c>
      <c r="L1124">
        <f>IF(K1124&gt;=80,"Yes","No")</f>
        <v/>
      </c>
      <c r="M1124">
        <f>IF(ISNUMBER(H1124),IF(H1124&gt;0,1,0),"")</f>
        <v/>
      </c>
    </row>
    <row r="1125">
      <c r="A1125" t="inlineStr">
        <is>
          <t>SIMULATED_FEA_Commercial_Study</t>
        </is>
      </c>
      <c r="B1125" t="inlineStr">
        <is>
          <t>V21</t>
        </is>
      </c>
      <c r="C1125" t="inlineStr">
        <is>
          <t>Annotation</t>
        </is>
      </c>
      <c r="D1125" t="inlineStr">
        <is>
          <t>Bin_05</t>
        </is>
      </c>
      <c r="E1125" t="n">
        <v>10</v>
      </c>
      <c r="F1125" t="inlineStr">
        <is>
          <t>Surprise</t>
        </is>
      </c>
      <c r="G1125" t="n">
        <v>50</v>
      </c>
      <c r="H1125" t="n">
        <v>0</v>
      </c>
      <c r="I1125" t="n">
        <v>0</v>
      </c>
      <c r="J1125" t="inlineStr">
        <is>
          <t>NA</t>
        </is>
      </c>
      <c r="K1125" t="n">
        <v>92.59999999999999</v>
      </c>
      <c r="L1125">
        <f>IF(K1125&gt;=80,"Yes","No")</f>
        <v/>
      </c>
      <c r="M1125">
        <f>IF(ISNUMBER(H1125),IF(H1125&gt;0,1,0),"")</f>
        <v/>
      </c>
    </row>
    <row r="1126">
      <c r="A1126" t="inlineStr">
        <is>
          <t>SIMULATED_FEA_Commercial_Study</t>
        </is>
      </c>
      <c r="B1126" t="inlineStr">
        <is>
          <t>V21</t>
        </is>
      </c>
      <c r="C1126" t="inlineStr">
        <is>
          <t>Annotation</t>
        </is>
      </c>
      <c r="D1126" t="inlineStr">
        <is>
          <t>Bin_05</t>
        </is>
      </c>
      <c r="E1126" t="n">
        <v>10</v>
      </c>
      <c r="F1126" t="inlineStr">
        <is>
          <t>Brow Furrow</t>
        </is>
      </c>
      <c r="G1126" t="n">
        <v>50</v>
      </c>
      <c r="H1126" t="n">
        <v>0</v>
      </c>
      <c r="I1126" t="n">
        <v>0</v>
      </c>
      <c r="J1126" t="inlineStr">
        <is>
          <t>NA</t>
        </is>
      </c>
      <c r="K1126" t="n">
        <v>92.59999999999999</v>
      </c>
      <c r="L1126">
        <f>IF(K1126&gt;=80,"Yes","No")</f>
        <v/>
      </c>
      <c r="M1126">
        <f>IF(ISNUMBER(H1126),IF(H1126&gt;0,1,0),"")</f>
        <v/>
      </c>
    </row>
    <row r="1127">
      <c r="A1127" t="inlineStr">
        <is>
          <t>SIMULATED_FEA_Commercial_Study</t>
        </is>
      </c>
      <c r="B1127" t="inlineStr">
        <is>
          <t>V21</t>
        </is>
      </c>
      <c r="C1127" t="inlineStr">
        <is>
          <t>Annotation</t>
        </is>
      </c>
      <c r="D1127" t="inlineStr">
        <is>
          <t>Bin_05</t>
        </is>
      </c>
      <c r="E1127" t="n">
        <v>10</v>
      </c>
      <c r="F1127" t="inlineStr">
        <is>
          <t>Positive Valence</t>
        </is>
      </c>
      <c r="G1127" t="n">
        <v>50</v>
      </c>
      <c r="H1127" t="n">
        <v>17.33</v>
      </c>
      <c r="I1127" t="n">
        <v>1</v>
      </c>
      <c r="J1127" t="inlineStr">
        <is>
          <t>NA</t>
        </is>
      </c>
      <c r="K1127" t="n">
        <v>92.59999999999999</v>
      </c>
      <c r="L1127">
        <f>IF(K1127&gt;=80,"Yes","No")</f>
        <v/>
      </c>
      <c r="M1127">
        <f>IF(ISNUMBER(H1127),IF(H1127&gt;0,1,0),"")</f>
        <v/>
      </c>
    </row>
    <row r="1128">
      <c r="A1128" t="inlineStr">
        <is>
          <t>SIMULATED_FEA_Commercial_Study</t>
        </is>
      </c>
      <c r="B1128" t="inlineStr">
        <is>
          <t>V21</t>
        </is>
      </c>
      <c r="C1128" t="inlineStr">
        <is>
          <t>Annotation</t>
        </is>
      </c>
      <c r="D1128" t="inlineStr">
        <is>
          <t>Bin_05</t>
        </is>
      </c>
      <c r="E1128" t="n">
        <v>10</v>
      </c>
      <c r="F1128" t="inlineStr">
        <is>
          <t>Negative Valence</t>
        </is>
      </c>
      <c r="G1128" t="n">
        <v>-50</v>
      </c>
      <c r="H1128" t="n">
        <v>0</v>
      </c>
      <c r="I1128" t="n">
        <v>0</v>
      </c>
      <c r="J1128" t="inlineStr">
        <is>
          <t>NA</t>
        </is>
      </c>
      <c r="K1128" t="n">
        <v>92.59999999999999</v>
      </c>
      <c r="L1128">
        <f>IF(K1128&gt;=80,"Yes","No")</f>
        <v/>
      </c>
      <c r="M1128">
        <f>IF(ISNUMBER(H1128),IF(H1128&gt;0,1,0),"")</f>
        <v/>
      </c>
    </row>
    <row r="1129">
      <c r="A1129" t="inlineStr">
        <is>
          <t>SIMULATED_FEA_Commercial_Study</t>
        </is>
      </c>
      <c r="B1129" t="inlineStr">
        <is>
          <t>V21</t>
        </is>
      </c>
      <c r="C1129" t="inlineStr">
        <is>
          <t>Annotation</t>
        </is>
      </c>
      <c r="D1129" t="inlineStr">
        <is>
          <t>Bin_05</t>
        </is>
      </c>
      <c r="E1129" t="n">
        <v>10</v>
      </c>
      <c r="F1129" t="inlineStr">
        <is>
          <t>Engagement</t>
        </is>
      </c>
      <c r="G1129" t="inlineStr">
        <is>
          <t>NA</t>
        </is>
      </c>
      <c r="H1129" t="inlineStr">
        <is>
          <t>NA</t>
        </is>
      </c>
      <c r="I1129" t="inlineStr">
        <is>
          <t>NA</t>
        </is>
      </c>
      <c r="J1129" t="n">
        <v>27.02</v>
      </c>
      <c r="K1129" t="n">
        <v>92.59999999999999</v>
      </c>
      <c r="L1129">
        <f>IF(K1129&gt;=80,"Yes","No")</f>
        <v/>
      </c>
      <c r="M1129">
        <f>IF(ISNUMBER(H1129),IF(H1129&gt;0,1,0),"")</f>
        <v/>
      </c>
    </row>
    <row r="1130">
      <c r="A1130" t="inlineStr">
        <is>
          <t>SIMULATED_FEA_Commercial_Study</t>
        </is>
      </c>
      <c r="B1130" t="inlineStr">
        <is>
          <t>V21</t>
        </is>
      </c>
      <c r="C1130" t="inlineStr">
        <is>
          <t>Annotation</t>
        </is>
      </c>
      <c r="D1130" t="inlineStr">
        <is>
          <t>Bin_06</t>
        </is>
      </c>
      <c r="E1130" t="n">
        <v>10</v>
      </c>
      <c r="F1130" t="inlineStr">
        <is>
          <t>Joy</t>
        </is>
      </c>
      <c r="G1130" t="n">
        <v>50</v>
      </c>
      <c r="H1130" t="n">
        <v>64.67</v>
      </c>
      <c r="I1130" t="n">
        <v>2</v>
      </c>
      <c r="J1130" t="inlineStr">
        <is>
          <t>NA</t>
        </is>
      </c>
      <c r="K1130" t="n">
        <v>92.59999999999999</v>
      </c>
      <c r="L1130">
        <f>IF(K1130&gt;=80,"Yes","No")</f>
        <v/>
      </c>
      <c r="M1130">
        <f>IF(ISNUMBER(H1130),IF(H1130&gt;0,1,0),"")</f>
        <v/>
      </c>
    </row>
    <row r="1131">
      <c r="A1131" t="inlineStr">
        <is>
          <t>SIMULATED_FEA_Commercial_Study</t>
        </is>
      </c>
      <c r="B1131" t="inlineStr">
        <is>
          <t>V21</t>
        </is>
      </c>
      <c r="C1131" t="inlineStr">
        <is>
          <t>Annotation</t>
        </is>
      </c>
      <c r="D1131" t="inlineStr">
        <is>
          <t>Bin_06</t>
        </is>
      </c>
      <c r="E1131" t="n">
        <v>10</v>
      </c>
      <c r="F1131" t="inlineStr">
        <is>
          <t>Surprise</t>
        </is>
      </c>
      <c r="G1131" t="n">
        <v>50</v>
      </c>
      <c r="H1131" t="n">
        <v>0</v>
      </c>
      <c r="I1131" t="n">
        <v>0</v>
      </c>
      <c r="J1131" t="inlineStr">
        <is>
          <t>NA</t>
        </is>
      </c>
      <c r="K1131" t="n">
        <v>92.59999999999999</v>
      </c>
      <c r="L1131">
        <f>IF(K1131&gt;=80,"Yes","No")</f>
        <v/>
      </c>
      <c r="M1131">
        <f>IF(ISNUMBER(H1131),IF(H1131&gt;0,1,0),"")</f>
        <v/>
      </c>
    </row>
    <row r="1132">
      <c r="A1132" t="inlineStr">
        <is>
          <t>SIMULATED_FEA_Commercial_Study</t>
        </is>
      </c>
      <c r="B1132" t="inlineStr">
        <is>
          <t>V21</t>
        </is>
      </c>
      <c r="C1132" t="inlineStr">
        <is>
          <t>Annotation</t>
        </is>
      </c>
      <c r="D1132" t="inlineStr">
        <is>
          <t>Bin_06</t>
        </is>
      </c>
      <c r="E1132" t="n">
        <v>10</v>
      </c>
      <c r="F1132" t="inlineStr">
        <is>
          <t>Brow Furrow</t>
        </is>
      </c>
      <c r="G1132" t="n">
        <v>50</v>
      </c>
      <c r="H1132" t="n">
        <v>0</v>
      </c>
      <c r="I1132" t="n">
        <v>0</v>
      </c>
      <c r="J1132" t="inlineStr">
        <is>
          <t>NA</t>
        </is>
      </c>
      <c r="K1132" t="n">
        <v>92.59999999999999</v>
      </c>
      <c r="L1132">
        <f>IF(K1132&gt;=80,"Yes","No")</f>
        <v/>
      </c>
      <c r="M1132">
        <f>IF(ISNUMBER(H1132),IF(H1132&gt;0,1,0),"")</f>
        <v/>
      </c>
    </row>
    <row r="1133">
      <c r="A1133" t="inlineStr">
        <is>
          <t>SIMULATED_FEA_Commercial_Study</t>
        </is>
      </c>
      <c r="B1133" t="inlineStr">
        <is>
          <t>V21</t>
        </is>
      </c>
      <c r="C1133" t="inlineStr">
        <is>
          <t>Annotation</t>
        </is>
      </c>
      <c r="D1133" t="inlineStr">
        <is>
          <t>Bin_06</t>
        </is>
      </c>
      <c r="E1133" t="n">
        <v>10</v>
      </c>
      <c r="F1133" t="inlineStr">
        <is>
          <t>Positive Valence</t>
        </is>
      </c>
      <c r="G1133" t="n">
        <v>50</v>
      </c>
      <c r="H1133" t="n">
        <v>63.67</v>
      </c>
      <c r="I1133" t="n">
        <v>2</v>
      </c>
      <c r="J1133" t="inlineStr">
        <is>
          <t>NA</t>
        </is>
      </c>
      <c r="K1133" t="n">
        <v>92.59999999999999</v>
      </c>
      <c r="L1133">
        <f>IF(K1133&gt;=80,"Yes","No")</f>
        <v/>
      </c>
      <c r="M1133">
        <f>IF(ISNUMBER(H1133),IF(H1133&gt;0,1,0),"")</f>
        <v/>
      </c>
    </row>
    <row r="1134">
      <c r="A1134" t="inlineStr">
        <is>
          <t>SIMULATED_FEA_Commercial_Study</t>
        </is>
      </c>
      <c r="B1134" t="inlineStr">
        <is>
          <t>V21</t>
        </is>
      </c>
      <c r="C1134" t="inlineStr">
        <is>
          <t>Annotation</t>
        </is>
      </c>
      <c r="D1134" t="inlineStr">
        <is>
          <t>Bin_06</t>
        </is>
      </c>
      <c r="E1134" t="n">
        <v>10</v>
      </c>
      <c r="F1134" t="inlineStr">
        <is>
          <t>Negative Valence</t>
        </is>
      </c>
      <c r="G1134" t="n">
        <v>-50</v>
      </c>
      <c r="H1134" t="n">
        <v>0</v>
      </c>
      <c r="I1134" t="n">
        <v>0</v>
      </c>
      <c r="J1134" t="inlineStr">
        <is>
          <t>NA</t>
        </is>
      </c>
      <c r="K1134" t="n">
        <v>92.59999999999999</v>
      </c>
      <c r="L1134">
        <f>IF(K1134&gt;=80,"Yes","No")</f>
        <v/>
      </c>
      <c r="M1134">
        <f>IF(ISNUMBER(H1134),IF(H1134&gt;0,1,0),"")</f>
        <v/>
      </c>
    </row>
    <row r="1135">
      <c r="A1135" t="inlineStr">
        <is>
          <t>SIMULATED_FEA_Commercial_Study</t>
        </is>
      </c>
      <c r="B1135" t="inlineStr">
        <is>
          <t>V21</t>
        </is>
      </c>
      <c r="C1135" t="inlineStr">
        <is>
          <t>Annotation</t>
        </is>
      </c>
      <c r="D1135" t="inlineStr">
        <is>
          <t>Bin_06</t>
        </is>
      </c>
      <c r="E1135" t="n">
        <v>10</v>
      </c>
      <c r="F1135" t="inlineStr">
        <is>
          <t>Engagement</t>
        </is>
      </c>
      <c r="G1135" t="inlineStr">
        <is>
          <t>NA</t>
        </is>
      </c>
      <c r="H1135" t="inlineStr">
        <is>
          <t>NA</t>
        </is>
      </c>
      <c r="I1135" t="inlineStr">
        <is>
          <t>NA</t>
        </is>
      </c>
      <c r="J1135" t="n">
        <v>30.61</v>
      </c>
      <c r="K1135" t="n">
        <v>92.59999999999999</v>
      </c>
      <c r="L1135">
        <f>IF(K1135&gt;=80,"Yes","No")</f>
        <v/>
      </c>
      <c r="M1135">
        <f>IF(ISNUMBER(H1135),IF(H1135&gt;0,1,0),"")</f>
        <v/>
      </c>
    </row>
    <row r="1136">
      <c r="A1136" t="inlineStr">
        <is>
          <t>SIMULATED_FEA_Commercial_Study</t>
        </is>
      </c>
      <c r="B1136" t="inlineStr">
        <is>
          <t>V22</t>
        </is>
      </c>
      <c r="C1136" t="inlineStr">
        <is>
          <t>Stimulus</t>
        </is>
      </c>
      <c r="D1136" t="inlineStr">
        <is>
          <t>Baseline</t>
        </is>
      </c>
      <c r="E1136" t="n">
        <v>60</v>
      </c>
      <c r="F1136" t="inlineStr">
        <is>
          <t>Joy</t>
        </is>
      </c>
      <c r="G1136" t="n">
        <v>50</v>
      </c>
      <c r="H1136" t="n">
        <v>0</v>
      </c>
      <c r="I1136" t="n">
        <v>0</v>
      </c>
      <c r="J1136" t="inlineStr">
        <is>
          <t>NA</t>
        </is>
      </c>
      <c r="K1136" t="n">
        <v>93.3</v>
      </c>
      <c r="L1136">
        <f>IF(K1136&gt;=80,"Yes","No")</f>
        <v/>
      </c>
      <c r="M1136">
        <f>IF(ISNUMBER(H1136),IF(H1136&gt;0,1,0),"")</f>
        <v/>
      </c>
    </row>
    <row r="1137">
      <c r="A1137" t="inlineStr">
        <is>
          <t>SIMULATED_FEA_Commercial_Study</t>
        </is>
      </c>
      <c r="B1137" t="inlineStr">
        <is>
          <t>V22</t>
        </is>
      </c>
      <c r="C1137" t="inlineStr">
        <is>
          <t>Stimulus</t>
        </is>
      </c>
      <c r="D1137" t="inlineStr">
        <is>
          <t>Baseline</t>
        </is>
      </c>
      <c r="E1137" t="n">
        <v>60</v>
      </c>
      <c r="F1137" t="inlineStr">
        <is>
          <t>Surprise</t>
        </is>
      </c>
      <c r="G1137" t="n">
        <v>50</v>
      </c>
      <c r="H1137" t="n">
        <v>0</v>
      </c>
      <c r="I1137" t="n">
        <v>0</v>
      </c>
      <c r="J1137" t="inlineStr">
        <is>
          <t>NA</t>
        </is>
      </c>
      <c r="K1137" t="n">
        <v>93.3</v>
      </c>
      <c r="L1137">
        <f>IF(K1137&gt;=80,"Yes","No")</f>
        <v/>
      </c>
      <c r="M1137">
        <f>IF(ISNUMBER(H1137),IF(H1137&gt;0,1,0),"")</f>
        <v/>
      </c>
    </row>
    <row r="1138">
      <c r="A1138" t="inlineStr">
        <is>
          <t>SIMULATED_FEA_Commercial_Study</t>
        </is>
      </c>
      <c r="B1138" t="inlineStr">
        <is>
          <t>V22</t>
        </is>
      </c>
      <c r="C1138" t="inlineStr">
        <is>
          <t>Stimulus</t>
        </is>
      </c>
      <c r="D1138" t="inlineStr">
        <is>
          <t>Baseline</t>
        </is>
      </c>
      <c r="E1138" t="n">
        <v>60</v>
      </c>
      <c r="F1138" t="inlineStr">
        <is>
          <t>Brow Furrow</t>
        </is>
      </c>
      <c r="G1138" t="n">
        <v>50</v>
      </c>
      <c r="H1138" t="n">
        <v>0</v>
      </c>
      <c r="I1138" t="n">
        <v>0</v>
      </c>
      <c r="J1138" t="inlineStr">
        <is>
          <t>NA</t>
        </is>
      </c>
      <c r="K1138" t="n">
        <v>93.3</v>
      </c>
      <c r="L1138">
        <f>IF(K1138&gt;=80,"Yes","No")</f>
        <v/>
      </c>
      <c r="M1138">
        <f>IF(ISNUMBER(H1138),IF(H1138&gt;0,1,0),"")</f>
        <v/>
      </c>
    </row>
    <row r="1139">
      <c r="A1139" t="inlineStr">
        <is>
          <t>SIMULATED_FEA_Commercial_Study</t>
        </is>
      </c>
      <c r="B1139" t="inlineStr">
        <is>
          <t>V22</t>
        </is>
      </c>
      <c r="C1139" t="inlineStr">
        <is>
          <t>Stimulus</t>
        </is>
      </c>
      <c r="D1139" t="inlineStr">
        <is>
          <t>Baseline</t>
        </is>
      </c>
      <c r="E1139" t="n">
        <v>60</v>
      </c>
      <c r="F1139" t="inlineStr">
        <is>
          <t>Positive Valence</t>
        </is>
      </c>
      <c r="G1139" t="n">
        <v>50</v>
      </c>
      <c r="H1139" t="n">
        <v>0</v>
      </c>
      <c r="I1139" t="n">
        <v>0</v>
      </c>
      <c r="J1139" t="inlineStr">
        <is>
          <t>NA</t>
        </is>
      </c>
      <c r="K1139" t="n">
        <v>93.3</v>
      </c>
      <c r="L1139">
        <f>IF(K1139&gt;=80,"Yes","No")</f>
        <v/>
      </c>
      <c r="M1139">
        <f>IF(ISNUMBER(H1139),IF(H1139&gt;0,1,0),"")</f>
        <v/>
      </c>
    </row>
    <row r="1140">
      <c r="A1140" t="inlineStr">
        <is>
          <t>SIMULATED_FEA_Commercial_Study</t>
        </is>
      </c>
      <c r="B1140" t="inlineStr">
        <is>
          <t>V22</t>
        </is>
      </c>
      <c r="C1140" t="inlineStr">
        <is>
          <t>Stimulus</t>
        </is>
      </c>
      <c r="D1140" t="inlineStr">
        <is>
          <t>Baseline</t>
        </is>
      </c>
      <c r="E1140" t="n">
        <v>60</v>
      </c>
      <c r="F1140" t="inlineStr">
        <is>
          <t>Negative Valence</t>
        </is>
      </c>
      <c r="G1140" t="n">
        <v>-50</v>
      </c>
      <c r="H1140" t="n">
        <v>0</v>
      </c>
      <c r="I1140" t="n">
        <v>0</v>
      </c>
      <c r="J1140" t="inlineStr">
        <is>
          <t>NA</t>
        </is>
      </c>
      <c r="K1140" t="n">
        <v>93.3</v>
      </c>
      <c r="L1140">
        <f>IF(K1140&gt;=80,"Yes","No")</f>
        <v/>
      </c>
      <c r="M1140">
        <f>IF(ISNUMBER(H1140),IF(H1140&gt;0,1,0),"")</f>
        <v/>
      </c>
    </row>
    <row r="1141">
      <c r="A1141" t="inlineStr">
        <is>
          <t>SIMULATED_FEA_Commercial_Study</t>
        </is>
      </c>
      <c r="B1141" t="inlineStr">
        <is>
          <t>V22</t>
        </is>
      </c>
      <c r="C1141" t="inlineStr">
        <is>
          <t>Stimulus</t>
        </is>
      </c>
      <c r="D1141" t="inlineStr">
        <is>
          <t>Baseline</t>
        </is>
      </c>
      <c r="E1141" t="n">
        <v>60</v>
      </c>
      <c r="F1141" t="inlineStr">
        <is>
          <t>Engagement</t>
        </is>
      </c>
      <c r="G1141" t="inlineStr">
        <is>
          <t>NA</t>
        </is>
      </c>
      <c r="H1141" t="inlineStr">
        <is>
          <t>NA</t>
        </is>
      </c>
      <c r="I1141" t="inlineStr">
        <is>
          <t>NA</t>
        </is>
      </c>
      <c r="J1141" t="n">
        <v>4.73</v>
      </c>
      <c r="K1141" t="n">
        <v>93.3</v>
      </c>
      <c r="L1141">
        <f>IF(K1141&gt;=80,"Yes","No")</f>
        <v/>
      </c>
      <c r="M1141">
        <f>IF(ISNUMBER(H1141),IF(H1141&gt;0,1,0),"")</f>
        <v/>
      </c>
    </row>
    <row r="1142">
      <c r="A1142" t="inlineStr">
        <is>
          <t>SIMULATED_FEA_Commercial_Study</t>
        </is>
      </c>
      <c r="B1142" t="inlineStr">
        <is>
          <t>V22</t>
        </is>
      </c>
      <c r="C1142" t="inlineStr">
        <is>
          <t>Stimulus</t>
        </is>
      </c>
      <c r="D1142" t="inlineStr">
        <is>
          <t>Commercial</t>
        </is>
      </c>
      <c r="E1142" t="n">
        <v>60</v>
      </c>
      <c r="F1142" t="inlineStr">
        <is>
          <t>Joy</t>
        </is>
      </c>
      <c r="G1142" t="n">
        <v>50</v>
      </c>
      <c r="H1142" t="n">
        <v>14.67</v>
      </c>
      <c r="I1142" t="n">
        <v>4</v>
      </c>
      <c r="J1142" t="inlineStr">
        <is>
          <t>NA</t>
        </is>
      </c>
      <c r="K1142" t="n">
        <v>93.3</v>
      </c>
      <c r="L1142">
        <f>IF(K1142&gt;=80,"Yes","No")</f>
        <v/>
      </c>
      <c r="M1142">
        <f>IF(ISNUMBER(H1142),IF(H1142&gt;0,1,0),"")</f>
        <v/>
      </c>
    </row>
    <row r="1143">
      <c r="A1143" t="inlineStr">
        <is>
          <t>SIMULATED_FEA_Commercial_Study</t>
        </is>
      </c>
      <c r="B1143" t="inlineStr">
        <is>
          <t>V22</t>
        </is>
      </c>
      <c r="C1143" t="inlineStr">
        <is>
          <t>Stimulus</t>
        </is>
      </c>
      <c r="D1143" t="inlineStr">
        <is>
          <t>Commercial</t>
        </is>
      </c>
      <c r="E1143" t="n">
        <v>60</v>
      </c>
      <c r="F1143" t="inlineStr">
        <is>
          <t>Surprise</t>
        </is>
      </c>
      <c r="G1143" t="n">
        <v>50</v>
      </c>
      <c r="H1143" t="n">
        <v>0</v>
      </c>
      <c r="I1143" t="n">
        <v>0</v>
      </c>
      <c r="J1143" t="inlineStr">
        <is>
          <t>NA</t>
        </is>
      </c>
      <c r="K1143" t="n">
        <v>93.3</v>
      </c>
      <c r="L1143">
        <f>IF(K1143&gt;=80,"Yes","No")</f>
        <v/>
      </c>
      <c r="M1143">
        <f>IF(ISNUMBER(H1143),IF(H1143&gt;0,1,0),"")</f>
        <v/>
      </c>
    </row>
    <row r="1144">
      <c r="A1144" t="inlineStr">
        <is>
          <t>SIMULATED_FEA_Commercial_Study</t>
        </is>
      </c>
      <c r="B1144" t="inlineStr">
        <is>
          <t>V22</t>
        </is>
      </c>
      <c r="C1144" t="inlineStr">
        <is>
          <t>Stimulus</t>
        </is>
      </c>
      <c r="D1144" t="inlineStr">
        <is>
          <t>Commercial</t>
        </is>
      </c>
      <c r="E1144" t="n">
        <v>60</v>
      </c>
      <c r="F1144" t="inlineStr">
        <is>
          <t>Brow Furrow</t>
        </is>
      </c>
      <c r="G1144" t="n">
        <v>50</v>
      </c>
      <c r="H1144" t="n">
        <v>0</v>
      </c>
      <c r="I1144" t="n">
        <v>0</v>
      </c>
      <c r="J1144" t="inlineStr">
        <is>
          <t>NA</t>
        </is>
      </c>
      <c r="K1144" t="n">
        <v>93.3</v>
      </c>
      <c r="L1144">
        <f>IF(K1144&gt;=80,"Yes","No")</f>
        <v/>
      </c>
      <c r="M1144">
        <f>IF(ISNUMBER(H1144),IF(H1144&gt;0,1,0),"")</f>
        <v/>
      </c>
    </row>
    <row r="1145">
      <c r="A1145" t="inlineStr">
        <is>
          <t>SIMULATED_FEA_Commercial_Study</t>
        </is>
      </c>
      <c r="B1145" t="inlineStr">
        <is>
          <t>V22</t>
        </is>
      </c>
      <c r="C1145" t="inlineStr">
        <is>
          <t>Stimulus</t>
        </is>
      </c>
      <c r="D1145" t="inlineStr">
        <is>
          <t>Commercial</t>
        </is>
      </c>
      <c r="E1145" t="n">
        <v>60</v>
      </c>
      <c r="F1145" t="inlineStr">
        <is>
          <t>Positive Valence</t>
        </is>
      </c>
      <c r="G1145" t="n">
        <v>50</v>
      </c>
      <c r="H1145" t="n">
        <v>10.94</v>
      </c>
      <c r="I1145" t="n">
        <v>8</v>
      </c>
      <c r="J1145" t="inlineStr">
        <is>
          <t>NA</t>
        </is>
      </c>
      <c r="K1145" t="n">
        <v>93.3</v>
      </c>
      <c r="L1145">
        <f>IF(K1145&gt;=80,"Yes","No")</f>
        <v/>
      </c>
      <c r="M1145">
        <f>IF(ISNUMBER(H1145),IF(H1145&gt;0,1,0),"")</f>
        <v/>
      </c>
    </row>
    <row r="1146">
      <c r="A1146" t="inlineStr">
        <is>
          <t>SIMULATED_FEA_Commercial_Study</t>
        </is>
      </c>
      <c r="B1146" t="inlineStr">
        <is>
          <t>V22</t>
        </is>
      </c>
      <c r="C1146" t="inlineStr">
        <is>
          <t>Stimulus</t>
        </is>
      </c>
      <c r="D1146" t="inlineStr">
        <is>
          <t>Commercial</t>
        </is>
      </c>
      <c r="E1146" t="n">
        <v>60</v>
      </c>
      <c r="F1146" t="inlineStr">
        <is>
          <t>Negative Valence</t>
        </is>
      </c>
      <c r="G1146" t="n">
        <v>-50</v>
      </c>
      <c r="H1146" t="n">
        <v>0</v>
      </c>
      <c r="I1146" t="n">
        <v>0</v>
      </c>
      <c r="J1146" t="inlineStr">
        <is>
          <t>NA</t>
        </is>
      </c>
      <c r="K1146" t="n">
        <v>93.3</v>
      </c>
      <c r="L1146">
        <f>IF(K1146&gt;=80,"Yes","No")</f>
        <v/>
      </c>
      <c r="M1146">
        <f>IF(ISNUMBER(H1146),IF(H1146&gt;0,1,0),"")</f>
        <v/>
      </c>
    </row>
    <row r="1147">
      <c r="A1147" t="inlineStr">
        <is>
          <t>SIMULATED_FEA_Commercial_Study</t>
        </is>
      </c>
      <c r="B1147" t="inlineStr">
        <is>
          <t>V22</t>
        </is>
      </c>
      <c r="C1147" t="inlineStr">
        <is>
          <t>Stimulus</t>
        </is>
      </c>
      <c r="D1147" t="inlineStr">
        <is>
          <t>Commercial</t>
        </is>
      </c>
      <c r="E1147" t="n">
        <v>60</v>
      </c>
      <c r="F1147" t="inlineStr">
        <is>
          <t>Engagement</t>
        </is>
      </c>
      <c r="G1147" t="inlineStr">
        <is>
          <t>NA</t>
        </is>
      </c>
      <c r="H1147" t="inlineStr">
        <is>
          <t>NA</t>
        </is>
      </c>
      <c r="I1147" t="inlineStr">
        <is>
          <t>NA</t>
        </is>
      </c>
      <c r="J1147" t="n">
        <v>17.84</v>
      </c>
      <c r="K1147" t="n">
        <v>93.3</v>
      </c>
      <c r="L1147">
        <f>IF(K1147&gt;=80,"Yes","No")</f>
        <v/>
      </c>
      <c r="M1147">
        <f>IF(ISNUMBER(H1147),IF(H1147&gt;0,1,0),"")</f>
        <v/>
      </c>
    </row>
    <row r="1148">
      <c r="A1148" t="inlineStr">
        <is>
          <t>SIMULATED_FEA_Commercial_Study</t>
        </is>
      </c>
      <c r="B1148" t="inlineStr">
        <is>
          <t>V22</t>
        </is>
      </c>
      <c r="C1148" t="inlineStr">
        <is>
          <t>Stimulus</t>
        </is>
      </c>
      <c r="D1148" t="inlineStr">
        <is>
          <t>Recovery</t>
        </is>
      </c>
      <c r="E1148" t="n">
        <v>15</v>
      </c>
      <c r="F1148" t="inlineStr">
        <is>
          <t>Joy</t>
        </is>
      </c>
      <c r="G1148" t="n">
        <v>50</v>
      </c>
      <c r="H1148" t="n">
        <v>0</v>
      </c>
      <c r="I1148" t="n">
        <v>0</v>
      </c>
      <c r="J1148" t="inlineStr">
        <is>
          <t>NA</t>
        </is>
      </c>
      <c r="K1148" t="n">
        <v>93.3</v>
      </c>
      <c r="L1148">
        <f>IF(K1148&gt;=80,"Yes","No")</f>
        <v/>
      </c>
      <c r="M1148">
        <f>IF(ISNUMBER(H1148),IF(H1148&gt;0,1,0),"")</f>
        <v/>
      </c>
    </row>
    <row r="1149">
      <c r="A1149" t="inlineStr">
        <is>
          <t>SIMULATED_FEA_Commercial_Study</t>
        </is>
      </c>
      <c r="B1149" t="inlineStr">
        <is>
          <t>V22</t>
        </is>
      </c>
      <c r="C1149" t="inlineStr">
        <is>
          <t>Stimulus</t>
        </is>
      </c>
      <c r="D1149" t="inlineStr">
        <is>
          <t>Recovery</t>
        </is>
      </c>
      <c r="E1149" t="n">
        <v>15</v>
      </c>
      <c r="F1149" t="inlineStr">
        <is>
          <t>Surprise</t>
        </is>
      </c>
      <c r="G1149" t="n">
        <v>50</v>
      </c>
      <c r="H1149" t="n">
        <v>0</v>
      </c>
      <c r="I1149" t="n">
        <v>0</v>
      </c>
      <c r="J1149" t="inlineStr">
        <is>
          <t>NA</t>
        </is>
      </c>
      <c r="K1149" t="n">
        <v>93.3</v>
      </c>
      <c r="L1149">
        <f>IF(K1149&gt;=80,"Yes","No")</f>
        <v/>
      </c>
      <c r="M1149">
        <f>IF(ISNUMBER(H1149),IF(H1149&gt;0,1,0),"")</f>
        <v/>
      </c>
    </row>
    <row r="1150">
      <c r="A1150" t="inlineStr">
        <is>
          <t>SIMULATED_FEA_Commercial_Study</t>
        </is>
      </c>
      <c r="B1150" t="inlineStr">
        <is>
          <t>V22</t>
        </is>
      </c>
      <c r="C1150" t="inlineStr">
        <is>
          <t>Stimulus</t>
        </is>
      </c>
      <c r="D1150" t="inlineStr">
        <is>
          <t>Recovery</t>
        </is>
      </c>
      <c r="E1150" t="n">
        <v>15</v>
      </c>
      <c r="F1150" t="inlineStr">
        <is>
          <t>Brow Furrow</t>
        </is>
      </c>
      <c r="G1150" t="n">
        <v>50</v>
      </c>
      <c r="H1150" t="n">
        <v>0</v>
      </c>
      <c r="I1150" t="n">
        <v>0</v>
      </c>
      <c r="J1150" t="inlineStr">
        <is>
          <t>NA</t>
        </is>
      </c>
      <c r="K1150" t="n">
        <v>93.3</v>
      </c>
      <c r="L1150">
        <f>IF(K1150&gt;=80,"Yes","No")</f>
        <v/>
      </c>
      <c r="M1150">
        <f>IF(ISNUMBER(H1150),IF(H1150&gt;0,1,0),"")</f>
        <v/>
      </c>
    </row>
    <row r="1151">
      <c r="A1151" t="inlineStr">
        <is>
          <t>SIMULATED_FEA_Commercial_Study</t>
        </is>
      </c>
      <c r="B1151" t="inlineStr">
        <is>
          <t>V22</t>
        </is>
      </c>
      <c r="C1151" t="inlineStr">
        <is>
          <t>Stimulus</t>
        </is>
      </c>
      <c r="D1151" t="inlineStr">
        <is>
          <t>Recovery</t>
        </is>
      </c>
      <c r="E1151" t="n">
        <v>15</v>
      </c>
      <c r="F1151" t="inlineStr">
        <is>
          <t>Positive Valence</t>
        </is>
      </c>
      <c r="G1151" t="n">
        <v>50</v>
      </c>
      <c r="H1151" t="n">
        <v>0</v>
      </c>
      <c r="I1151" t="n">
        <v>0</v>
      </c>
      <c r="J1151" t="inlineStr">
        <is>
          <t>NA</t>
        </is>
      </c>
      <c r="K1151" t="n">
        <v>93.3</v>
      </c>
      <c r="L1151">
        <f>IF(K1151&gt;=80,"Yes","No")</f>
        <v/>
      </c>
      <c r="M1151">
        <f>IF(ISNUMBER(H1151),IF(H1151&gt;0,1,0),"")</f>
        <v/>
      </c>
    </row>
    <row r="1152">
      <c r="A1152" t="inlineStr">
        <is>
          <t>SIMULATED_FEA_Commercial_Study</t>
        </is>
      </c>
      <c r="B1152" t="inlineStr">
        <is>
          <t>V22</t>
        </is>
      </c>
      <c r="C1152" t="inlineStr">
        <is>
          <t>Stimulus</t>
        </is>
      </c>
      <c r="D1152" t="inlineStr">
        <is>
          <t>Recovery</t>
        </is>
      </c>
      <c r="E1152" t="n">
        <v>15</v>
      </c>
      <c r="F1152" t="inlineStr">
        <is>
          <t>Negative Valence</t>
        </is>
      </c>
      <c r="G1152" t="n">
        <v>-50</v>
      </c>
      <c r="H1152" t="n">
        <v>0</v>
      </c>
      <c r="I1152" t="n">
        <v>0</v>
      </c>
      <c r="J1152" t="inlineStr">
        <is>
          <t>NA</t>
        </is>
      </c>
      <c r="K1152" t="n">
        <v>93.3</v>
      </c>
      <c r="L1152">
        <f>IF(K1152&gt;=80,"Yes","No")</f>
        <v/>
      </c>
      <c r="M1152">
        <f>IF(ISNUMBER(H1152),IF(H1152&gt;0,1,0),"")</f>
        <v/>
      </c>
    </row>
    <row r="1153">
      <c r="A1153" t="inlineStr">
        <is>
          <t>SIMULATED_FEA_Commercial_Study</t>
        </is>
      </c>
      <c r="B1153" t="inlineStr">
        <is>
          <t>V22</t>
        </is>
      </c>
      <c r="C1153" t="inlineStr">
        <is>
          <t>Stimulus</t>
        </is>
      </c>
      <c r="D1153" t="inlineStr">
        <is>
          <t>Recovery</t>
        </is>
      </c>
      <c r="E1153" t="n">
        <v>15</v>
      </c>
      <c r="F1153" t="inlineStr">
        <is>
          <t>Engagement</t>
        </is>
      </c>
      <c r="G1153" t="inlineStr">
        <is>
          <t>NA</t>
        </is>
      </c>
      <c r="H1153" t="inlineStr">
        <is>
          <t>NA</t>
        </is>
      </c>
      <c r="I1153" t="inlineStr">
        <is>
          <t>NA</t>
        </is>
      </c>
      <c r="J1153" t="n">
        <v>5.07</v>
      </c>
      <c r="K1153" t="n">
        <v>93.3</v>
      </c>
      <c r="L1153">
        <f>IF(K1153&gt;=80,"Yes","No")</f>
        <v/>
      </c>
      <c r="M1153">
        <f>IF(ISNUMBER(H1153),IF(H1153&gt;0,1,0),"")</f>
        <v/>
      </c>
    </row>
    <row r="1154">
      <c r="A1154" t="inlineStr">
        <is>
          <t>SIMULATED_FEA_Commercial_Study</t>
        </is>
      </c>
      <c r="B1154" t="inlineStr">
        <is>
          <t>V22</t>
        </is>
      </c>
      <c r="C1154" t="inlineStr">
        <is>
          <t>Annotation</t>
        </is>
      </c>
      <c r="D1154" t="inlineStr">
        <is>
          <t>Bin_01</t>
        </is>
      </c>
      <c r="E1154" t="n">
        <v>10</v>
      </c>
      <c r="F1154" t="inlineStr">
        <is>
          <t>Joy</t>
        </is>
      </c>
      <c r="G1154" t="n">
        <v>50</v>
      </c>
      <c r="H1154" t="n">
        <v>0</v>
      </c>
      <c r="I1154" t="n">
        <v>0</v>
      </c>
      <c r="J1154" t="inlineStr">
        <is>
          <t>NA</t>
        </is>
      </c>
      <c r="K1154" t="n">
        <v>93.3</v>
      </c>
      <c r="L1154">
        <f>IF(K1154&gt;=80,"Yes","No")</f>
        <v/>
      </c>
      <c r="M1154">
        <f>IF(ISNUMBER(H1154),IF(H1154&gt;0,1,0),"")</f>
        <v/>
      </c>
    </row>
    <row r="1155">
      <c r="A1155" t="inlineStr">
        <is>
          <t>SIMULATED_FEA_Commercial_Study</t>
        </is>
      </c>
      <c r="B1155" t="inlineStr">
        <is>
          <t>V22</t>
        </is>
      </c>
      <c r="C1155" t="inlineStr">
        <is>
          <t>Annotation</t>
        </is>
      </c>
      <c r="D1155" t="inlineStr">
        <is>
          <t>Bin_01</t>
        </is>
      </c>
      <c r="E1155" t="n">
        <v>10</v>
      </c>
      <c r="F1155" t="inlineStr">
        <is>
          <t>Surprise</t>
        </is>
      </c>
      <c r="G1155" t="n">
        <v>50</v>
      </c>
      <c r="H1155" t="n">
        <v>0</v>
      </c>
      <c r="I1155" t="n">
        <v>0</v>
      </c>
      <c r="J1155" t="inlineStr">
        <is>
          <t>NA</t>
        </is>
      </c>
      <c r="K1155" t="n">
        <v>93.3</v>
      </c>
      <c r="L1155">
        <f>IF(K1155&gt;=80,"Yes","No")</f>
        <v/>
      </c>
      <c r="M1155">
        <f>IF(ISNUMBER(H1155),IF(H1155&gt;0,1,0),"")</f>
        <v/>
      </c>
    </row>
    <row r="1156">
      <c r="A1156" t="inlineStr">
        <is>
          <t>SIMULATED_FEA_Commercial_Study</t>
        </is>
      </c>
      <c r="B1156" t="inlineStr">
        <is>
          <t>V22</t>
        </is>
      </c>
      <c r="C1156" t="inlineStr">
        <is>
          <t>Annotation</t>
        </is>
      </c>
      <c r="D1156" t="inlineStr">
        <is>
          <t>Bin_01</t>
        </is>
      </c>
      <c r="E1156" t="n">
        <v>10</v>
      </c>
      <c r="F1156" t="inlineStr">
        <is>
          <t>Brow Furrow</t>
        </is>
      </c>
      <c r="G1156" t="n">
        <v>50</v>
      </c>
      <c r="H1156" t="n">
        <v>0</v>
      </c>
      <c r="I1156" t="n">
        <v>0</v>
      </c>
      <c r="J1156" t="inlineStr">
        <is>
          <t>NA</t>
        </is>
      </c>
      <c r="K1156" t="n">
        <v>93.3</v>
      </c>
      <c r="L1156">
        <f>IF(K1156&gt;=80,"Yes","No")</f>
        <v/>
      </c>
      <c r="M1156">
        <f>IF(ISNUMBER(H1156),IF(H1156&gt;0,1,0),"")</f>
        <v/>
      </c>
    </row>
    <row r="1157">
      <c r="A1157" t="inlineStr">
        <is>
          <t>SIMULATED_FEA_Commercial_Study</t>
        </is>
      </c>
      <c r="B1157" t="inlineStr">
        <is>
          <t>V22</t>
        </is>
      </c>
      <c r="C1157" t="inlineStr">
        <is>
          <t>Annotation</t>
        </is>
      </c>
      <c r="D1157" t="inlineStr">
        <is>
          <t>Bin_01</t>
        </is>
      </c>
      <c r="E1157" t="n">
        <v>10</v>
      </c>
      <c r="F1157" t="inlineStr">
        <is>
          <t>Positive Valence</t>
        </is>
      </c>
      <c r="G1157" t="n">
        <v>50</v>
      </c>
      <c r="H1157" t="n">
        <v>0</v>
      </c>
      <c r="I1157" t="n">
        <v>0</v>
      </c>
      <c r="J1157" t="inlineStr">
        <is>
          <t>NA</t>
        </is>
      </c>
      <c r="K1157" t="n">
        <v>93.3</v>
      </c>
      <c r="L1157">
        <f>IF(K1157&gt;=80,"Yes","No")</f>
        <v/>
      </c>
      <c r="M1157">
        <f>IF(ISNUMBER(H1157),IF(H1157&gt;0,1,0),"")</f>
        <v/>
      </c>
    </row>
    <row r="1158">
      <c r="A1158" t="inlineStr">
        <is>
          <t>SIMULATED_FEA_Commercial_Study</t>
        </is>
      </c>
      <c r="B1158" t="inlineStr">
        <is>
          <t>V22</t>
        </is>
      </c>
      <c r="C1158" t="inlineStr">
        <is>
          <t>Annotation</t>
        </is>
      </c>
      <c r="D1158" t="inlineStr">
        <is>
          <t>Bin_01</t>
        </is>
      </c>
      <c r="E1158" t="n">
        <v>10</v>
      </c>
      <c r="F1158" t="inlineStr">
        <is>
          <t>Negative Valence</t>
        </is>
      </c>
      <c r="G1158" t="n">
        <v>-50</v>
      </c>
      <c r="H1158" t="n">
        <v>0</v>
      </c>
      <c r="I1158" t="n">
        <v>0</v>
      </c>
      <c r="J1158" t="inlineStr">
        <is>
          <t>NA</t>
        </is>
      </c>
      <c r="K1158" t="n">
        <v>93.3</v>
      </c>
      <c r="L1158">
        <f>IF(K1158&gt;=80,"Yes","No")</f>
        <v/>
      </c>
      <c r="M1158">
        <f>IF(ISNUMBER(H1158),IF(H1158&gt;0,1,0),"")</f>
        <v/>
      </c>
    </row>
    <row r="1159">
      <c r="A1159" t="inlineStr">
        <is>
          <t>SIMULATED_FEA_Commercial_Study</t>
        </is>
      </c>
      <c r="B1159" t="inlineStr">
        <is>
          <t>V22</t>
        </is>
      </c>
      <c r="C1159" t="inlineStr">
        <is>
          <t>Annotation</t>
        </is>
      </c>
      <c r="D1159" t="inlineStr">
        <is>
          <t>Bin_01</t>
        </is>
      </c>
      <c r="E1159" t="n">
        <v>10</v>
      </c>
      <c r="F1159" t="inlineStr">
        <is>
          <t>Engagement</t>
        </is>
      </c>
      <c r="G1159" t="inlineStr">
        <is>
          <t>NA</t>
        </is>
      </c>
      <c r="H1159" t="inlineStr">
        <is>
          <t>NA</t>
        </is>
      </c>
      <c r="I1159" t="inlineStr">
        <is>
          <t>NA</t>
        </is>
      </c>
      <c r="J1159" t="n">
        <v>12.67</v>
      </c>
      <c r="K1159" t="n">
        <v>93.3</v>
      </c>
      <c r="L1159">
        <f>IF(K1159&gt;=80,"Yes","No")</f>
        <v/>
      </c>
      <c r="M1159">
        <f>IF(ISNUMBER(H1159),IF(H1159&gt;0,1,0),"")</f>
        <v/>
      </c>
    </row>
    <row r="1160">
      <c r="A1160" t="inlineStr">
        <is>
          <t>SIMULATED_FEA_Commercial_Study</t>
        </is>
      </c>
      <c r="B1160" t="inlineStr">
        <is>
          <t>V22</t>
        </is>
      </c>
      <c r="C1160" t="inlineStr">
        <is>
          <t>Annotation</t>
        </is>
      </c>
      <c r="D1160" t="inlineStr">
        <is>
          <t>Bin_02</t>
        </is>
      </c>
      <c r="E1160" t="n">
        <v>10</v>
      </c>
      <c r="F1160" t="inlineStr">
        <is>
          <t>Joy</t>
        </is>
      </c>
      <c r="G1160" t="n">
        <v>50</v>
      </c>
      <c r="H1160" t="n">
        <v>27.33</v>
      </c>
      <c r="I1160" t="n">
        <v>1</v>
      </c>
      <c r="J1160" t="inlineStr">
        <is>
          <t>NA</t>
        </is>
      </c>
      <c r="K1160" t="n">
        <v>93.3</v>
      </c>
      <c r="L1160">
        <f>IF(K1160&gt;=80,"Yes","No")</f>
        <v/>
      </c>
      <c r="M1160">
        <f>IF(ISNUMBER(H1160),IF(H1160&gt;0,1,0),"")</f>
        <v/>
      </c>
    </row>
    <row r="1161">
      <c r="A1161" t="inlineStr">
        <is>
          <t>SIMULATED_FEA_Commercial_Study</t>
        </is>
      </c>
      <c r="B1161" t="inlineStr">
        <is>
          <t>V22</t>
        </is>
      </c>
      <c r="C1161" t="inlineStr">
        <is>
          <t>Annotation</t>
        </is>
      </c>
      <c r="D1161" t="inlineStr">
        <is>
          <t>Bin_02</t>
        </is>
      </c>
      <c r="E1161" t="n">
        <v>10</v>
      </c>
      <c r="F1161" t="inlineStr">
        <is>
          <t>Surprise</t>
        </is>
      </c>
      <c r="G1161" t="n">
        <v>50</v>
      </c>
      <c r="H1161" t="n">
        <v>0</v>
      </c>
      <c r="I1161" t="n">
        <v>0</v>
      </c>
      <c r="J1161" t="inlineStr">
        <is>
          <t>NA</t>
        </is>
      </c>
      <c r="K1161" t="n">
        <v>93.3</v>
      </c>
      <c r="L1161">
        <f>IF(K1161&gt;=80,"Yes","No")</f>
        <v/>
      </c>
      <c r="M1161">
        <f>IF(ISNUMBER(H1161),IF(H1161&gt;0,1,0),"")</f>
        <v/>
      </c>
    </row>
    <row r="1162">
      <c r="A1162" t="inlineStr">
        <is>
          <t>SIMULATED_FEA_Commercial_Study</t>
        </is>
      </c>
      <c r="B1162" t="inlineStr">
        <is>
          <t>V22</t>
        </is>
      </c>
      <c r="C1162" t="inlineStr">
        <is>
          <t>Annotation</t>
        </is>
      </c>
      <c r="D1162" t="inlineStr">
        <is>
          <t>Bin_02</t>
        </is>
      </c>
      <c r="E1162" t="n">
        <v>10</v>
      </c>
      <c r="F1162" t="inlineStr">
        <is>
          <t>Brow Furrow</t>
        </is>
      </c>
      <c r="G1162" t="n">
        <v>50</v>
      </c>
      <c r="H1162" t="n">
        <v>0</v>
      </c>
      <c r="I1162" t="n">
        <v>0</v>
      </c>
      <c r="J1162" t="inlineStr">
        <is>
          <t>NA</t>
        </is>
      </c>
      <c r="K1162" t="n">
        <v>93.3</v>
      </c>
      <c r="L1162">
        <f>IF(K1162&gt;=80,"Yes","No")</f>
        <v/>
      </c>
      <c r="M1162">
        <f>IF(ISNUMBER(H1162),IF(H1162&gt;0,1,0),"")</f>
        <v/>
      </c>
    </row>
    <row r="1163">
      <c r="A1163" t="inlineStr">
        <is>
          <t>SIMULATED_FEA_Commercial_Study</t>
        </is>
      </c>
      <c r="B1163" t="inlineStr">
        <is>
          <t>V22</t>
        </is>
      </c>
      <c r="C1163" t="inlineStr">
        <is>
          <t>Annotation</t>
        </is>
      </c>
      <c r="D1163" t="inlineStr">
        <is>
          <t>Bin_02</t>
        </is>
      </c>
      <c r="E1163" t="n">
        <v>10</v>
      </c>
      <c r="F1163" t="inlineStr">
        <is>
          <t>Positive Valence</t>
        </is>
      </c>
      <c r="G1163" t="n">
        <v>50</v>
      </c>
      <c r="H1163" t="n">
        <v>26</v>
      </c>
      <c r="I1163" t="n">
        <v>4</v>
      </c>
      <c r="J1163" t="inlineStr">
        <is>
          <t>NA</t>
        </is>
      </c>
      <c r="K1163" t="n">
        <v>93.3</v>
      </c>
      <c r="L1163">
        <f>IF(K1163&gt;=80,"Yes","No")</f>
        <v/>
      </c>
      <c r="M1163">
        <f>IF(ISNUMBER(H1163),IF(H1163&gt;0,1,0),"")</f>
        <v/>
      </c>
    </row>
    <row r="1164">
      <c r="A1164" t="inlineStr">
        <is>
          <t>SIMULATED_FEA_Commercial_Study</t>
        </is>
      </c>
      <c r="B1164" t="inlineStr">
        <is>
          <t>V22</t>
        </is>
      </c>
      <c r="C1164" t="inlineStr">
        <is>
          <t>Annotation</t>
        </is>
      </c>
      <c r="D1164" t="inlineStr">
        <is>
          <t>Bin_02</t>
        </is>
      </c>
      <c r="E1164" t="n">
        <v>10</v>
      </c>
      <c r="F1164" t="inlineStr">
        <is>
          <t>Negative Valence</t>
        </is>
      </c>
      <c r="G1164" t="n">
        <v>-50</v>
      </c>
      <c r="H1164" t="n">
        <v>0</v>
      </c>
      <c r="I1164" t="n">
        <v>0</v>
      </c>
      <c r="J1164" t="inlineStr">
        <is>
          <t>NA</t>
        </is>
      </c>
      <c r="K1164" t="n">
        <v>93.3</v>
      </c>
      <c r="L1164">
        <f>IF(K1164&gt;=80,"Yes","No")</f>
        <v/>
      </c>
      <c r="M1164">
        <f>IF(ISNUMBER(H1164),IF(H1164&gt;0,1,0),"")</f>
        <v/>
      </c>
    </row>
    <row r="1165">
      <c r="A1165" t="inlineStr">
        <is>
          <t>SIMULATED_FEA_Commercial_Study</t>
        </is>
      </c>
      <c r="B1165" t="inlineStr">
        <is>
          <t>V22</t>
        </is>
      </c>
      <c r="C1165" t="inlineStr">
        <is>
          <t>Annotation</t>
        </is>
      </c>
      <c r="D1165" t="inlineStr">
        <is>
          <t>Bin_02</t>
        </is>
      </c>
      <c r="E1165" t="n">
        <v>10</v>
      </c>
      <c r="F1165" t="inlineStr">
        <is>
          <t>Engagement</t>
        </is>
      </c>
      <c r="G1165" t="inlineStr">
        <is>
          <t>NA</t>
        </is>
      </c>
      <c r="H1165" t="inlineStr">
        <is>
          <t>NA</t>
        </is>
      </c>
      <c r="I1165" t="inlineStr">
        <is>
          <t>NA</t>
        </is>
      </c>
      <c r="J1165" t="n">
        <v>27.47</v>
      </c>
      <c r="K1165" t="n">
        <v>93.3</v>
      </c>
      <c r="L1165">
        <f>IF(K1165&gt;=80,"Yes","No")</f>
        <v/>
      </c>
      <c r="M1165">
        <f>IF(ISNUMBER(H1165),IF(H1165&gt;0,1,0),"")</f>
        <v/>
      </c>
    </row>
    <row r="1166">
      <c r="A1166" t="inlineStr">
        <is>
          <t>SIMULATED_FEA_Commercial_Study</t>
        </is>
      </c>
      <c r="B1166" t="inlineStr">
        <is>
          <t>V22</t>
        </is>
      </c>
      <c r="C1166" t="inlineStr">
        <is>
          <t>Annotation</t>
        </is>
      </c>
      <c r="D1166" t="inlineStr">
        <is>
          <t>Bin_03</t>
        </is>
      </c>
      <c r="E1166" t="n">
        <v>10</v>
      </c>
      <c r="F1166" t="inlineStr">
        <is>
          <t>Joy</t>
        </is>
      </c>
      <c r="G1166" t="n">
        <v>50</v>
      </c>
      <c r="H1166" t="n">
        <v>0</v>
      </c>
      <c r="I1166" t="n">
        <v>0</v>
      </c>
      <c r="J1166" t="inlineStr">
        <is>
          <t>NA</t>
        </is>
      </c>
      <c r="K1166" t="n">
        <v>93.3</v>
      </c>
      <c r="L1166">
        <f>IF(K1166&gt;=80,"Yes","No")</f>
        <v/>
      </c>
      <c r="M1166">
        <f>IF(ISNUMBER(H1166),IF(H1166&gt;0,1,0),"")</f>
        <v/>
      </c>
    </row>
    <row r="1167">
      <c r="A1167" t="inlineStr">
        <is>
          <t>SIMULATED_FEA_Commercial_Study</t>
        </is>
      </c>
      <c r="B1167" t="inlineStr">
        <is>
          <t>V22</t>
        </is>
      </c>
      <c r="C1167" t="inlineStr">
        <is>
          <t>Annotation</t>
        </is>
      </c>
      <c r="D1167" t="inlineStr">
        <is>
          <t>Bin_03</t>
        </is>
      </c>
      <c r="E1167" t="n">
        <v>10</v>
      </c>
      <c r="F1167" t="inlineStr">
        <is>
          <t>Surprise</t>
        </is>
      </c>
      <c r="G1167" t="n">
        <v>50</v>
      </c>
      <c r="H1167" t="n">
        <v>0</v>
      </c>
      <c r="I1167" t="n">
        <v>0</v>
      </c>
      <c r="J1167" t="inlineStr">
        <is>
          <t>NA</t>
        </is>
      </c>
      <c r="K1167" t="n">
        <v>93.3</v>
      </c>
      <c r="L1167">
        <f>IF(K1167&gt;=80,"Yes","No")</f>
        <v/>
      </c>
      <c r="M1167">
        <f>IF(ISNUMBER(H1167),IF(H1167&gt;0,1,0),"")</f>
        <v/>
      </c>
    </row>
    <row r="1168">
      <c r="A1168" t="inlineStr">
        <is>
          <t>SIMULATED_FEA_Commercial_Study</t>
        </is>
      </c>
      <c r="B1168" t="inlineStr">
        <is>
          <t>V22</t>
        </is>
      </c>
      <c r="C1168" t="inlineStr">
        <is>
          <t>Annotation</t>
        </is>
      </c>
      <c r="D1168" t="inlineStr">
        <is>
          <t>Bin_03</t>
        </is>
      </c>
      <c r="E1168" t="n">
        <v>10</v>
      </c>
      <c r="F1168" t="inlineStr">
        <is>
          <t>Brow Furrow</t>
        </is>
      </c>
      <c r="G1168" t="n">
        <v>50</v>
      </c>
      <c r="H1168" t="n">
        <v>0</v>
      </c>
      <c r="I1168" t="n">
        <v>0</v>
      </c>
      <c r="J1168" t="inlineStr">
        <is>
          <t>NA</t>
        </is>
      </c>
      <c r="K1168" t="n">
        <v>93.3</v>
      </c>
      <c r="L1168">
        <f>IF(K1168&gt;=80,"Yes","No")</f>
        <v/>
      </c>
      <c r="M1168">
        <f>IF(ISNUMBER(H1168),IF(H1168&gt;0,1,0),"")</f>
        <v/>
      </c>
    </row>
    <row r="1169">
      <c r="A1169" t="inlineStr">
        <is>
          <t>SIMULATED_FEA_Commercial_Study</t>
        </is>
      </c>
      <c r="B1169" t="inlineStr">
        <is>
          <t>V22</t>
        </is>
      </c>
      <c r="C1169" t="inlineStr">
        <is>
          <t>Annotation</t>
        </is>
      </c>
      <c r="D1169" t="inlineStr">
        <is>
          <t>Bin_03</t>
        </is>
      </c>
      <c r="E1169" t="n">
        <v>10</v>
      </c>
      <c r="F1169" t="inlineStr">
        <is>
          <t>Positive Valence</t>
        </is>
      </c>
      <c r="G1169" t="n">
        <v>50</v>
      </c>
      <c r="H1169" t="n">
        <v>0</v>
      </c>
      <c r="I1169" t="n">
        <v>0</v>
      </c>
      <c r="J1169" t="inlineStr">
        <is>
          <t>NA</t>
        </is>
      </c>
      <c r="K1169" t="n">
        <v>93.3</v>
      </c>
      <c r="L1169">
        <f>IF(K1169&gt;=80,"Yes","No")</f>
        <v/>
      </c>
      <c r="M1169">
        <f>IF(ISNUMBER(H1169),IF(H1169&gt;0,1,0),"")</f>
        <v/>
      </c>
    </row>
    <row r="1170">
      <c r="A1170" t="inlineStr">
        <is>
          <t>SIMULATED_FEA_Commercial_Study</t>
        </is>
      </c>
      <c r="B1170" t="inlineStr">
        <is>
          <t>V22</t>
        </is>
      </c>
      <c r="C1170" t="inlineStr">
        <is>
          <t>Annotation</t>
        </is>
      </c>
      <c r="D1170" t="inlineStr">
        <is>
          <t>Bin_03</t>
        </is>
      </c>
      <c r="E1170" t="n">
        <v>10</v>
      </c>
      <c r="F1170" t="inlineStr">
        <is>
          <t>Negative Valence</t>
        </is>
      </c>
      <c r="G1170" t="n">
        <v>-50</v>
      </c>
      <c r="H1170" t="n">
        <v>0</v>
      </c>
      <c r="I1170" t="n">
        <v>0</v>
      </c>
      <c r="J1170" t="inlineStr">
        <is>
          <t>NA</t>
        </is>
      </c>
      <c r="K1170" t="n">
        <v>93.3</v>
      </c>
      <c r="L1170">
        <f>IF(K1170&gt;=80,"Yes","No")</f>
        <v/>
      </c>
      <c r="M1170">
        <f>IF(ISNUMBER(H1170),IF(H1170&gt;0,1,0),"")</f>
        <v/>
      </c>
    </row>
    <row r="1171">
      <c r="A1171" t="inlineStr">
        <is>
          <t>SIMULATED_FEA_Commercial_Study</t>
        </is>
      </c>
      <c r="B1171" t="inlineStr">
        <is>
          <t>V22</t>
        </is>
      </c>
      <c r="C1171" t="inlineStr">
        <is>
          <t>Annotation</t>
        </is>
      </c>
      <c r="D1171" t="inlineStr">
        <is>
          <t>Bin_03</t>
        </is>
      </c>
      <c r="E1171" t="n">
        <v>10</v>
      </c>
      <c r="F1171" t="inlineStr">
        <is>
          <t>Engagement</t>
        </is>
      </c>
      <c r="G1171" t="inlineStr">
        <is>
          <t>NA</t>
        </is>
      </c>
      <c r="H1171" t="inlineStr">
        <is>
          <t>NA</t>
        </is>
      </c>
      <c r="I1171" t="inlineStr">
        <is>
          <t>NA</t>
        </is>
      </c>
      <c r="J1171" t="n">
        <v>4.19</v>
      </c>
      <c r="K1171" t="n">
        <v>93.3</v>
      </c>
      <c r="L1171">
        <f>IF(K1171&gt;=80,"Yes","No")</f>
        <v/>
      </c>
      <c r="M1171">
        <f>IF(ISNUMBER(H1171),IF(H1171&gt;0,1,0),"")</f>
        <v/>
      </c>
    </row>
    <row r="1172">
      <c r="A1172" t="inlineStr">
        <is>
          <t>SIMULATED_FEA_Commercial_Study</t>
        </is>
      </c>
      <c r="B1172" t="inlineStr">
        <is>
          <t>V22</t>
        </is>
      </c>
      <c r="C1172" t="inlineStr">
        <is>
          <t>Annotation</t>
        </is>
      </c>
      <c r="D1172" t="inlineStr">
        <is>
          <t>Bin_04</t>
        </is>
      </c>
      <c r="E1172" t="n">
        <v>10</v>
      </c>
      <c r="F1172" t="inlineStr">
        <is>
          <t>Joy</t>
        </is>
      </c>
      <c r="G1172" t="n">
        <v>50</v>
      </c>
      <c r="H1172" t="n">
        <v>12.33</v>
      </c>
      <c r="I1172" t="n">
        <v>1</v>
      </c>
      <c r="J1172" t="inlineStr">
        <is>
          <t>NA</t>
        </is>
      </c>
      <c r="K1172" t="n">
        <v>93.3</v>
      </c>
      <c r="L1172">
        <f>IF(K1172&gt;=80,"Yes","No")</f>
        <v/>
      </c>
      <c r="M1172">
        <f>IF(ISNUMBER(H1172),IF(H1172&gt;0,1,0),"")</f>
        <v/>
      </c>
    </row>
    <row r="1173">
      <c r="A1173" t="inlineStr">
        <is>
          <t>SIMULATED_FEA_Commercial_Study</t>
        </is>
      </c>
      <c r="B1173" t="inlineStr">
        <is>
          <t>V22</t>
        </is>
      </c>
      <c r="C1173" t="inlineStr">
        <is>
          <t>Annotation</t>
        </is>
      </c>
      <c r="D1173" t="inlineStr">
        <is>
          <t>Bin_04</t>
        </is>
      </c>
      <c r="E1173" t="n">
        <v>10</v>
      </c>
      <c r="F1173" t="inlineStr">
        <is>
          <t>Surprise</t>
        </is>
      </c>
      <c r="G1173" t="n">
        <v>50</v>
      </c>
      <c r="H1173" t="n">
        <v>0</v>
      </c>
      <c r="I1173" t="n">
        <v>0</v>
      </c>
      <c r="J1173" t="inlineStr">
        <is>
          <t>NA</t>
        </is>
      </c>
      <c r="K1173" t="n">
        <v>93.3</v>
      </c>
      <c r="L1173">
        <f>IF(K1173&gt;=80,"Yes","No")</f>
        <v/>
      </c>
      <c r="M1173">
        <f>IF(ISNUMBER(H1173),IF(H1173&gt;0,1,0),"")</f>
        <v/>
      </c>
    </row>
    <row r="1174">
      <c r="A1174" t="inlineStr">
        <is>
          <t>SIMULATED_FEA_Commercial_Study</t>
        </is>
      </c>
      <c r="B1174" t="inlineStr">
        <is>
          <t>V22</t>
        </is>
      </c>
      <c r="C1174" t="inlineStr">
        <is>
          <t>Annotation</t>
        </is>
      </c>
      <c r="D1174" t="inlineStr">
        <is>
          <t>Bin_04</t>
        </is>
      </c>
      <c r="E1174" t="n">
        <v>10</v>
      </c>
      <c r="F1174" t="inlineStr">
        <is>
          <t>Brow Furrow</t>
        </is>
      </c>
      <c r="G1174" t="n">
        <v>50</v>
      </c>
      <c r="H1174" t="n">
        <v>0</v>
      </c>
      <c r="I1174" t="n">
        <v>0</v>
      </c>
      <c r="J1174" t="inlineStr">
        <is>
          <t>NA</t>
        </is>
      </c>
      <c r="K1174" t="n">
        <v>93.3</v>
      </c>
      <c r="L1174">
        <f>IF(K1174&gt;=80,"Yes","No")</f>
        <v/>
      </c>
      <c r="M1174">
        <f>IF(ISNUMBER(H1174),IF(H1174&gt;0,1,0),"")</f>
        <v/>
      </c>
    </row>
    <row r="1175">
      <c r="A1175" t="inlineStr">
        <is>
          <t>SIMULATED_FEA_Commercial_Study</t>
        </is>
      </c>
      <c r="B1175" t="inlineStr">
        <is>
          <t>V22</t>
        </is>
      </c>
      <c r="C1175" t="inlineStr">
        <is>
          <t>Annotation</t>
        </is>
      </c>
      <c r="D1175" t="inlineStr">
        <is>
          <t>Bin_04</t>
        </is>
      </c>
      <c r="E1175" t="n">
        <v>10</v>
      </c>
      <c r="F1175" t="inlineStr">
        <is>
          <t>Positive Valence</t>
        </is>
      </c>
      <c r="G1175" t="n">
        <v>50</v>
      </c>
      <c r="H1175" t="n">
        <v>11.33</v>
      </c>
      <c r="I1175" t="n">
        <v>1</v>
      </c>
      <c r="J1175" t="inlineStr">
        <is>
          <t>NA</t>
        </is>
      </c>
      <c r="K1175" t="n">
        <v>93.3</v>
      </c>
      <c r="L1175">
        <f>IF(K1175&gt;=80,"Yes","No")</f>
        <v/>
      </c>
      <c r="M1175">
        <f>IF(ISNUMBER(H1175),IF(H1175&gt;0,1,0),"")</f>
        <v/>
      </c>
    </row>
    <row r="1176">
      <c r="A1176" t="inlineStr">
        <is>
          <t>SIMULATED_FEA_Commercial_Study</t>
        </is>
      </c>
      <c r="B1176" t="inlineStr">
        <is>
          <t>V22</t>
        </is>
      </c>
      <c r="C1176" t="inlineStr">
        <is>
          <t>Annotation</t>
        </is>
      </c>
      <c r="D1176" t="inlineStr">
        <is>
          <t>Bin_04</t>
        </is>
      </c>
      <c r="E1176" t="n">
        <v>10</v>
      </c>
      <c r="F1176" t="inlineStr">
        <is>
          <t>Negative Valence</t>
        </is>
      </c>
      <c r="G1176" t="n">
        <v>-50</v>
      </c>
      <c r="H1176" t="n">
        <v>0</v>
      </c>
      <c r="I1176" t="n">
        <v>0</v>
      </c>
      <c r="J1176" t="inlineStr">
        <is>
          <t>NA</t>
        </is>
      </c>
      <c r="K1176" t="n">
        <v>93.3</v>
      </c>
      <c r="L1176">
        <f>IF(K1176&gt;=80,"Yes","No")</f>
        <v/>
      </c>
      <c r="M1176">
        <f>IF(ISNUMBER(H1176),IF(H1176&gt;0,1,0),"")</f>
        <v/>
      </c>
    </row>
    <row r="1177">
      <c r="A1177" t="inlineStr">
        <is>
          <t>SIMULATED_FEA_Commercial_Study</t>
        </is>
      </c>
      <c r="B1177" t="inlineStr">
        <is>
          <t>V22</t>
        </is>
      </c>
      <c r="C1177" t="inlineStr">
        <is>
          <t>Annotation</t>
        </is>
      </c>
      <c r="D1177" t="inlineStr">
        <is>
          <t>Bin_04</t>
        </is>
      </c>
      <c r="E1177" t="n">
        <v>10</v>
      </c>
      <c r="F1177" t="inlineStr">
        <is>
          <t>Engagement</t>
        </is>
      </c>
      <c r="G1177" t="inlineStr">
        <is>
          <t>NA</t>
        </is>
      </c>
      <c r="H1177" t="inlineStr">
        <is>
          <t>NA</t>
        </is>
      </c>
      <c r="I1177" t="inlineStr">
        <is>
          <t>NA</t>
        </is>
      </c>
      <c r="J1177" t="n">
        <v>11.67</v>
      </c>
      <c r="K1177" t="n">
        <v>93.3</v>
      </c>
      <c r="L1177">
        <f>IF(K1177&gt;=80,"Yes","No")</f>
        <v/>
      </c>
      <c r="M1177">
        <f>IF(ISNUMBER(H1177),IF(H1177&gt;0,1,0),"")</f>
        <v/>
      </c>
    </row>
    <row r="1178">
      <c r="A1178" t="inlineStr">
        <is>
          <t>SIMULATED_FEA_Commercial_Study</t>
        </is>
      </c>
      <c r="B1178" t="inlineStr">
        <is>
          <t>V22</t>
        </is>
      </c>
      <c r="C1178" t="inlineStr">
        <is>
          <t>Annotation</t>
        </is>
      </c>
      <c r="D1178" t="inlineStr">
        <is>
          <t>Bin_05</t>
        </is>
      </c>
      <c r="E1178" t="n">
        <v>10</v>
      </c>
      <c r="F1178" t="inlineStr">
        <is>
          <t>Joy</t>
        </is>
      </c>
      <c r="G1178" t="n">
        <v>50</v>
      </c>
      <c r="H1178" t="n">
        <v>40</v>
      </c>
      <c r="I1178" t="n">
        <v>1</v>
      </c>
      <c r="J1178" t="inlineStr">
        <is>
          <t>NA</t>
        </is>
      </c>
      <c r="K1178" t="n">
        <v>93.3</v>
      </c>
      <c r="L1178">
        <f>IF(K1178&gt;=80,"Yes","No")</f>
        <v/>
      </c>
      <c r="M1178">
        <f>IF(ISNUMBER(H1178),IF(H1178&gt;0,1,0),"")</f>
        <v/>
      </c>
    </row>
    <row r="1179">
      <c r="A1179" t="inlineStr">
        <is>
          <t>SIMULATED_FEA_Commercial_Study</t>
        </is>
      </c>
      <c r="B1179" t="inlineStr">
        <is>
          <t>V22</t>
        </is>
      </c>
      <c r="C1179" t="inlineStr">
        <is>
          <t>Annotation</t>
        </is>
      </c>
      <c r="D1179" t="inlineStr">
        <is>
          <t>Bin_05</t>
        </is>
      </c>
      <c r="E1179" t="n">
        <v>10</v>
      </c>
      <c r="F1179" t="inlineStr">
        <is>
          <t>Surprise</t>
        </is>
      </c>
      <c r="G1179" t="n">
        <v>50</v>
      </c>
      <c r="H1179" t="n">
        <v>0</v>
      </c>
      <c r="I1179" t="n">
        <v>0</v>
      </c>
      <c r="J1179" t="inlineStr">
        <is>
          <t>NA</t>
        </is>
      </c>
      <c r="K1179" t="n">
        <v>93.3</v>
      </c>
      <c r="L1179">
        <f>IF(K1179&gt;=80,"Yes","No")</f>
        <v/>
      </c>
      <c r="M1179">
        <f>IF(ISNUMBER(H1179),IF(H1179&gt;0,1,0),"")</f>
        <v/>
      </c>
    </row>
    <row r="1180">
      <c r="A1180" t="inlineStr">
        <is>
          <t>SIMULATED_FEA_Commercial_Study</t>
        </is>
      </c>
      <c r="B1180" t="inlineStr">
        <is>
          <t>V22</t>
        </is>
      </c>
      <c r="C1180" t="inlineStr">
        <is>
          <t>Annotation</t>
        </is>
      </c>
      <c r="D1180" t="inlineStr">
        <is>
          <t>Bin_05</t>
        </is>
      </c>
      <c r="E1180" t="n">
        <v>10</v>
      </c>
      <c r="F1180" t="inlineStr">
        <is>
          <t>Brow Furrow</t>
        </is>
      </c>
      <c r="G1180" t="n">
        <v>50</v>
      </c>
      <c r="H1180" t="n">
        <v>0</v>
      </c>
      <c r="I1180" t="n">
        <v>0</v>
      </c>
      <c r="J1180" t="inlineStr">
        <is>
          <t>NA</t>
        </is>
      </c>
      <c r="K1180" t="n">
        <v>93.3</v>
      </c>
      <c r="L1180">
        <f>IF(K1180&gt;=80,"Yes","No")</f>
        <v/>
      </c>
      <c r="M1180">
        <f>IF(ISNUMBER(H1180),IF(H1180&gt;0,1,0),"")</f>
        <v/>
      </c>
    </row>
    <row r="1181">
      <c r="A1181" t="inlineStr">
        <is>
          <t>SIMULATED_FEA_Commercial_Study</t>
        </is>
      </c>
      <c r="B1181" t="inlineStr">
        <is>
          <t>V22</t>
        </is>
      </c>
      <c r="C1181" t="inlineStr">
        <is>
          <t>Annotation</t>
        </is>
      </c>
      <c r="D1181" t="inlineStr">
        <is>
          <t>Bin_05</t>
        </is>
      </c>
      <c r="E1181" t="n">
        <v>10</v>
      </c>
      <c r="F1181" t="inlineStr">
        <is>
          <t>Positive Valence</t>
        </is>
      </c>
      <c r="G1181" t="n">
        <v>50</v>
      </c>
      <c r="H1181" t="n">
        <v>21.67</v>
      </c>
      <c r="I1181" t="n">
        <v>1</v>
      </c>
      <c r="J1181" t="inlineStr">
        <is>
          <t>NA</t>
        </is>
      </c>
      <c r="K1181" t="n">
        <v>93.3</v>
      </c>
      <c r="L1181">
        <f>IF(K1181&gt;=80,"Yes","No")</f>
        <v/>
      </c>
      <c r="M1181">
        <f>IF(ISNUMBER(H1181),IF(H1181&gt;0,1,0),"")</f>
        <v/>
      </c>
    </row>
    <row r="1182">
      <c r="A1182" t="inlineStr">
        <is>
          <t>SIMULATED_FEA_Commercial_Study</t>
        </is>
      </c>
      <c r="B1182" t="inlineStr">
        <is>
          <t>V22</t>
        </is>
      </c>
      <c r="C1182" t="inlineStr">
        <is>
          <t>Annotation</t>
        </is>
      </c>
      <c r="D1182" t="inlineStr">
        <is>
          <t>Bin_05</t>
        </is>
      </c>
      <c r="E1182" t="n">
        <v>10</v>
      </c>
      <c r="F1182" t="inlineStr">
        <is>
          <t>Negative Valence</t>
        </is>
      </c>
      <c r="G1182" t="n">
        <v>-50</v>
      </c>
      <c r="H1182" t="n">
        <v>0</v>
      </c>
      <c r="I1182" t="n">
        <v>0</v>
      </c>
      <c r="J1182" t="inlineStr">
        <is>
          <t>NA</t>
        </is>
      </c>
      <c r="K1182" t="n">
        <v>93.3</v>
      </c>
      <c r="L1182">
        <f>IF(K1182&gt;=80,"Yes","No")</f>
        <v/>
      </c>
      <c r="M1182">
        <f>IF(ISNUMBER(H1182),IF(H1182&gt;0,1,0),"")</f>
        <v/>
      </c>
    </row>
    <row r="1183">
      <c r="A1183" t="inlineStr">
        <is>
          <t>SIMULATED_FEA_Commercial_Study</t>
        </is>
      </c>
      <c r="B1183" t="inlineStr">
        <is>
          <t>V22</t>
        </is>
      </c>
      <c r="C1183" t="inlineStr">
        <is>
          <t>Annotation</t>
        </is>
      </c>
      <c r="D1183" t="inlineStr">
        <is>
          <t>Bin_05</t>
        </is>
      </c>
      <c r="E1183" t="n">
        <v>10</v>
      </c>
      <c r="F1183" t="inlineStr">
        <is>
          <t>Engagement</t>
        </is>
      </c>
      <c r="G1183" t="inlineStr">
        <is>
          <t>NA</t>
        </is>
      </c>
      <c r="H1183" t="inlineStr">
        <is>
          <t>NA</t>
        </is>
      </c>
      <c r="I1183" t="inlineStr">
        <is>
          <t>NA</t>
        </is>
      </c>
      <c r="J1183" t="n">
        <v>36.18</v>
      </c>
      <c r="K1183" t="n">
        <v>93.3</v>
      </c>
      <c r="L1183">
        <f>IF(K1183&gt;=80,"Yes","No")</f>
        <v/>
      </c>
      <c r="M1183">
        <f>IF(ISNUMBER(H1183),IF(H1183&gt;0,1,0),"")</f>
        <v/>
      </c>
    </row>
    <row r="1184">
      <c r="A1184" t="inlineStr">
        <is>
          <t>SIMULATED_FEA_Commercial_Study</t>
        </is>
      </c>
      <c r="B1184" t="inlineStr">
        <is>
          <t>V22</t>
        </is>
      </c>
      <c r="C1184" t="inlineStr">
        <is>
          <t>Annotation</t>
        </is>
      </c>
      <c r="D1184" t="inlineStr">
        <is>
          <t>Bin_06</t>
        </is>
      </c>
      <c r="E1184" t="n">
        <v>10</v>
      </c>
      <c r="F1184" t="inlineStr">
        <is>
          <t>Joy</t>
        </is>
      </c>
      <c r="G1184" t="n">
        <v>50</v>
      </c>
      <c r="H1184" t="n">
        <v>8.33</v>
      </c>
      <c r="I1184" t="n">
        <v>1</v>
      </c>
      <c r="J1184" t="inlineStr">
        <is>
          <t>NA</t>
        </is>
      </c>
      <c r="K1184" t="n">
        <v>93.3</v>
      </c>
      <c r="L1184">
        <f>IF(K1184&gt;=80,"Yes","No")</f>
        <v/>
      </c>
      <c r="M1184">
        <f>IF(ISNUMBER(H1184),IF(H1184&gt;0,1,0),"")</f>
        <v/>
      </c>
    </row>
    <row r="1185">
      <c r="A1185" t="inlineStr">
        <is>
          <t>SIMULATED_FEA_Commercial_Study</t>
        </is>
      </c>
      <c r="B1185" t="inlineStr">
        <is>
          <t>V22</t>
        </is>
      </c>
      <c r="C1185" t="inlineStr">
        <is>
          <t>Annotation</t>
        </is>
      </c>
      <c r="D1185" t="inlineStr">
        <is>
          <t>Bin_06</t>
        </is>
      </c>
      <c r="E1185" t="n">
        <v>10</v>
      </c>
      <c r="F1185" t="inlineStr">
        <is>
          <t>Surprise</t>
        </is>
      </c>
      <c r="G1185" t="n">
        <v>50</v>
      </c>
      <c r="H1185" t="n">
        <v>0</v>
      </c>
      <c r="I1185" t="n">
        <v>0</v>
      </c>
      <c r="J1185" t="inlineStr">
        <is>
          <t>NA</t>
        </is>
      </c>
      <c r="K1185" t="n">
        <v>93.3</v>
      </c>
      <c r="L1185">
        <f>IF(K1185&gt;=80,"Yes","No")</f>
        <v/>
      </c>
      <c r="M1185">
        <f>IF(ISNUMBER(H1185),IF(H1185&gt;0,1,0),"")</f>
        <v/>
      </c>
    </row>
    <row r="1186">
      <c r="A1186" t="inlineStr">
        <is>
          <t>SIMULATED_FEA_Commercial_Study</t>
        </is>
      </c>
      <c r="B1186" t="inlineStr">
        <is>
          <t>V22</t>
        </is>
      </c>
      <c r="C1186" t="inlineStr">
        <is>
          <t>Annotation</t>
        </is>
      </c>
      <c r="D1186" t="inlineStr">
        <is>
          <t>Bin_06</t>
        </is>
      </c>
      <c r="E1186" t="n">
        <v>10</v>
      </c>
      <c r="F1186" t="inlineStr">
        <is>
          <t>Brow Furrow</t>
        </is>
      </c>
      <c r="G1186" t="n">
        <v>50</v>
      </c>
      <c r="H1186" t="n">
        <v>0</v>
      </c>
      <c r="I1186" t="n">
        <v>0</v>
      </c>
      <c r="J1186" t="inlineStr">
        <is>
          <t>NA</t>
        </is>
      </c>
      <c r="K1186" t="n">
        <v>93.3</v>
      </c>
      <c r="L1186">
        <f>IF(K1186&gt;=80,"Yes","No")</f>
        <v/>
      </c>
      <c r="M1186">
        <f>IF(ISNUMBER(H1186),IF(H1186&gt;0,1,0),"")</f>
        <v/>
      </c>
    </row>
    <row r="1187">
      <c r="A1187" t="inlineStr">
        <is>
          <t>SIMULATED_FEA_Commercial_Study</t>
        </is>
      </c>
      <c r="B1187" t="inlineStr">
        <is>
          <t>V22</t>
        </is>
      </c>
      <c r="C1187" t="inlineStr">
        <is>
          <t>Annotation</t>
        </is>
      </c>
      <c r="D1187" t="inlineStr">
        <is>
          <t>Bin_06</t>
        </is>
      </c>
      <c r="E1187" t="n">
        <v>10</v>
      </c>
      <c r="F1187" t="inlineStr">
        <is>
          <t>Positive Valence</t>
        </is>
      </c>
      <c r="G1187" t="n">
        <v>50</v>
      </c>
      <c r="H1187" t="n">
        <v>6.67</v>
      </c>
      <c r="I1187" t="n">
        <v>2</v>
      </c>
      <c r="J1187" t="inlineStr">
        <is>
          <t>NA</t>
        </is>
      </c>
      <c r="K1187" t="n">
        <v>93.3</v>
      </c>
      <c r="L1187">
        <f>IF(K1187&gt;=80,"Yes","No")</f>
        <v/>
      </c>
      <c r="M1187">
        <f>IF(ISNUMBER(H1187),IF(H1187&gt;0,1,0),"")</f>
        <v/>
      </c>
    </row>
    <row r="1188">
      <c r="A1188" t="inlineStr">
        <is>
          <t>SIMULATED_FEA_Commercial_Study</t>
        </is>
      </c>
      <c r="B1188" t="inlineStr">
        <is>
          <t>V22</t>
        </is>
      </c>
      <c r="C1188" t="inlineStr">
        <is>
          <t>Annotation</t>
        </is>
      </c>
      <c r="D1188" t="inlineStr">
        <is>
          <t>Bin_06</t>
        </is>
      </c>
      <c r="E1188" t="n">
        <v>10</v>
      </c>
      <c r="F1188" t="inlineStr">
        <is>
          <t>Negative Valence</t>
        </is>
      </c>
      <c r="G1188" t="n">
        <v>-50</v>
      </c>
      <c r="H1188" t="n">
        <v>0</v>
      </c>
      <c r="I1188" t="n">
        <v>0</v>
      </c>
      <c r="J1188" t="inlineStr">
        <is>
          <t>NA</t>
        </is>
      </c>
      <c r="K1188" t="n">
        <v>93.3</v>
      </c>
      <c r="L1188">
        <f>IF(K1188&gt;=80,"Yes","No")</f>
        <v/>
      </c>
      <c r="M1188">
        <f>IF(ISNUMBER(H1188),IF(H1188&gt;0,1,0),"")</f>
        <v/>
      </c>
    </row>
    <row r="1189">
      <c r="A1189" t="inlineStr">
        <is>
          <t>SIMULATED_FEA_Commercial_Study</t>
        </is>
      </c>
      <c r="B1189" t="inlineStr">
        <is>
          <t>V22</t>
        </is>
      </c>
      <c r="C1189" t="inlineStr">
        <is>
          <t>Annotation</t>
        </is>
      </c>
      <c r="D1189" t="inlineStr">
        <is>
          <t>Bin_06</t>
        </is>
      </c>
      <c r="E1189" t="n">
        <v>10</v>
      </c>
      <c r="F1189" t="inlineStr">
        <is>
          <t>Engagement</t>
        </is>
      </c>
      <c r="G1189" t="inlineStr">
        <is>
          <t>NA</t>
        </is>
      </c>
      <c r="H1189" t="inlineStr">
        <is>
          <t>NA</t>
        </is>
      </c>
      <c r="I1189" t="inlineStr">
        <is>
          <t>NA</t>
        </is>
      </c>
      <c r="J1189" t="n">
        <v>14.45</v>
      </c>
      <c r="K1189" t="n">
        <v>93.3</v>
      </c>
      <c r="L1189">
        <f>IF(K1189&gt;=80,"Yes","No")</f>
        <v/>
      </c>
      <c r="M1189">
        <f>IF(ISNUMBER(H1189),IF(H1189&gt;0,1,0),"")</f>
        <v/>
      </c>
    </row>
    <row r="1190">
      <c r="A1190" t="inlineStr">
        <is>
          <t>SIMULATED_FEA_Commercial_Study</t>
        </is>
      </c>
      <c r="B1190" t="inlineStr">
        <is>
          <t>V23</t>
        </is>
      </c>
      <c r="C1190" t="inlineStr">
        <is>
          <t>Stimulus</t>
        </is>
      </c>
      <c r="D1190" t="inlineStr">
        <is>
          <t>Baseline</t>
        </is>
      </c>
      <c r="E1190" t="n">
        <v>60</v>
      </c>
      <c r="F1190" t="inlineStr">
        <is>
          <t>Joy</t>
        </is>
      </c>
      <c r="G1190" t="n">
        <v>50</v>
      </c>
      <c r="H1190" t="n">
        <v>10.89</v>
      </c>
      <c r="I1190" t="n">
        <v>12</v>
      </c>
      <c r="J1190" t="inlineStr">
        <is>
          <t>NA</t>
        </is>
      </c>
      <c r="K1190" t="n">
        <v>95.2</v>
      </c>
      <c r="L1190">
        <f>IF(K1190&gt;=80,"Yes","No")</f>
        <v/>
      </c>
      <c r="M1190">
        <f>IF(ISNUMBER(H1190),IF(H1190&gt;0,1,0),"")</f>
        <v/>
      </c>
    </row>
    <row r="1191">
      <c r="A1191" t="inlineStr">
        <is>
          <t>SIMULATED_FEA_Commercial_Study</t>
        </is>
      </c>
      <c r="B1191" t="inlineStr">
        <is>
          <t>V23</t>
        </is>
      </c>
      <c r="C1191" t="inlineStr">
        <is>
          <t>Stimulus</t>
        </is>
      </c>
      <c r="D1191" t="inlineStr">
        <is>
          <t>Baseline</t>
        </is>
      </c>
      <c r="E1191" t="n">
        <v>60</v>
      </c>
      <c r="F1191" t="inlineStr">
        <is>
          <t>Surprise</t>
        </is>
      </c>
      <c r="G1191" t="n">
        <v>50</v>
      </c>
      <c r="H1191" t="n">
        <v>0</v>
      </c>
      <c r="I1191" t="n">
        <v>0</v>
      </c>
      <c r="J1191" t="inlineStr">
        <is>
          <t>NA</t>
        </is>
      </c>
      <c r="K1191" t="n">
        <v>95.2</v>
      </c>
      <c r="L1191">
        <f>IF(K1191&gt;=80,"Yes","No")</f>
        <v/>
      </c>
      <c r="M1191">
        <f>IF(ISNUMBER(H1191),IF(H1191&gt;0,1,0),"")</f>
        <v/>
      </c>
    </row>
    <row r="1192">
      <c r="A1192" t="inlineStr">
        <is>
          <t>SIMULATED_FEA_Commercial_Study</t>
        </is>
      </c>
      <c r="B1192" t="inlineStr">
        <is>
          <t>V23</t>
        </is>
      </c>
      <c r="C1192" t="inlineStr">
        <is>
          <t>Stimulus</t>
        </is>
      </c>
      <c r="D1192" t="inlineStr">
        <is>
          <t>Baseline</t>
        </is>
      </c>
      <c r="E1192" t="n">
        <v>60</v>
      </c>
      <c r="F1192" t="inlineStr">
        <is>
          <t>Brow Furrow</t>
        </is>
      </c>
      <c r="G1192" t="n">
        <v>50</v>
      </c>
      <c r="H1192" t="n">
        <v>1</v>
      </c>
      <c r="I1192" t="n">
        <v>1</v>
      </c>
      <c r="J1192" t="inlineStr">
        <is>
          <t>NA</t>
        </is>
      </c>
      <c r="K1192" t="n">
        <v>95.2</v>
      </c>
      <c r="L1192">
        <f>IF(K1192&gt;=80,"Yes","No")</f>
        <v/>
      </c>
      <c r="M1192">
        <f>IF(ISNUMBER(H1192),IF(H1192&gt;0,1,0),"")</f>
        <v/>
      </c>
    </row>
    <row r="1193">
      <c r="A1193" t="inlineStr">
        <is>
          <t>SIMULATED_FEA_Commercial_Study</t>
        </is>
      </c>
      <c r="B1193" t="inlineStr">
        <is>
          <t>V23</t>
        </is>
      </c>
      <c r="C1193" t="inlineStr">
        <is>
          <t>Stimulus</t>
        </is>
      </c>
      <c r="D1193" t="inlineStr">
        <is>
          <t>Baseline</t>
        </is>
      </c>
      <c r="E1193" t="n">
        <v>60</v>
      </c>
      <c r="F1193" t="inlineStr">
        <is>
          <t>Positive Valence</t>
        </is>
      </c>
      <c r="G1193" t="n">
        <v>50</v>
      </c>
      <c r="H1193" t="n">
        <v>18.28</v>
      </c>
      <c r="I1193" t="n">
        <v>8</v>
      </c>
      <c r="J1193" t="inlineStr">
        <is>
          <t>NA</t>
        </is>
      </c>
      <c r="K1193" t="n">
        <v>95.2</v>
      </c>
      <c r="L1193">
        <f>IF(K1193&gt;=80,"Yes","No")</f>
        <v/>
      </c>
      <c r="M1193">
        <f>IF(ISNUMBER(H1193),IF(H1193&gt;0,1,0),"")</f>
        <v/>
      </c>
    </row>
    <row r="1194">
      <c r="A1194" t="inlineStr">
        <is>
          <t>SIMULATED_FEA_Commercial_Study</t>
        </is>
      </c>
      <c r="B1194" t="inlineStr">
        <is>
          <t>V23</t>
        </is>
      </c>
      <c r="C1194" t="inlineStr">
        <is>
          <t>Stimulus</t>
        </is>
      </c>
      <c r="D1194" t="inlineStr">
        <is>
          <t>Baseline</t>
        </is>
      </c>
      <c r="E1194" t="n">
        <v>60</v>
      </c>
      <c r="F1194" t="inlineStr">
        <is>
          <t>Negative Valence</t>
        </is>
      </c>
      <c r="G1194" t="n">
        <v>-50</v>
      </c>
      <c r="H1194" t="n">
        <v>0</v>
      </c>
      <c r="I1194" t="n">
        <v>0</v>
      </c>
      <c r="J1194" t="inlineStr">
        <is>
          <t>NA</t>
        </is>
      </c>
      <c r="K1194" t="n">
        <v>95.2</v>
      </c>
      <c r="L1194">
        <f>IF(K1194&gt;=80,"Yes","No")</f>
        <v/>
      </c>
      <c r="M1194">
        <f>IF(ISNUMBER(H1194),IF(H1194&gt;0,1,0),"")</f>
        <v/>
      </c>
    </row>
    <row r="1195">
      <c r="A1195" t="inlineStr">
        <is>
          <t>SIMULATED_FEA_Commercial_Study</t>
        </is>
      </c>
      <c r="B1195" t="inlineStr">
        <is>
          <t>V23</t>
        </is>
      </c>
      <c r="C1195" t="inlineStr">
        <is>
          <t>Stimulus</t>
        </is>
      </c>
      <c r="D1195" t="inlineStr">
        <is>
          <t>Baseline</t>
        </is>
      </c>
      <c r="E1195" t="n">
        <v>60</v>
      </c>
      <c r="F1195" t="inlineStr">
        <is>
          <t>Engagement</t>
        </is>
      </c>
      <c r="G1195" t="inlineStr">
        <is>
          <t>NA</t>
        </is>
      </c>
      <c r="H1195" t="inlineStr">
        <is>
          <t>NA</t>
        </is>
      </c>
      <c r="I1195" t="inlineStr">
        <is>
          <t>NA</t>
        </is>
      </c>
      <c r="J1195" t="n">
        <v>13.48</v>
      </c>
      <c r="K1195" t="n">
        <v>95.2</v>
      </c>
      <c r="L1195">
        <f>IF(K1195&gt;=80,"Yes","No")</f>
        <v/>
      </c>
      <c r="M1195">
        <f>IF(ISNUMBER(H1195),IF(H1195&gt;0,1,0),"")</f>
        <v/>
      </c>
    </row>
    <row r="1196">
      <c r="A1196" t="inlineStr">
        <is>
          <t>SIMULATED_FEA_Commercial_Study</t>
        </is>
      </c>
      <c r="B1196" t="inlineStr">
        <is>
          <t>V23</t>
        </is>
      </c>
      <c r="C1196" t="inlineStr">
        <is>
          <t>Stimulus</t>
        </is>
      </c>
      <c r="D1196" t="inlineStr">
        <is>
          <t>Commercial</t>
        </is>
      </c>
      <c r="E1196" t="n">
        <v>60</v>
      </c>
      <c r="F1196" t="inlineStr">
        <is>
          <t>Joy</t>
        </is>
      </c>
      <c r="G1196" t="n">
        <v>50</v>
      </c>
      <c r="H1196" t="n">
        <v>58.67</v>
      </c>
      <c r="I1196" t="n">
        <v>20</v>
      </c>
      <c r="J1196" t="inlineStr">
        <is>
          <t>NA</t>
        </is>
      </c>
      <c r="K1196" t="n">
        <v>95.2</v>
      </c>
      <c r="L1196">
        <f>IF(K1196&gt;=80,"Yes","No")</f>
        <v/>
      </c>
      <c r="M1196">
        <f>IF(ISNUMBER(H1196),IF(H1196&gt;0,1,0),"")</f>
        <v/>
      </c>
    </row>
    <row r="1197">
      <c r="A1197" t="inlineStr">
        <is>
          <t>SIMULATED_FEA_Commercial_Study</t>
        </is>
      </c>
      <c r="B1197" t="inlineStr">
        <is>
          <t>V23</t>
        </is>
      </c>
      <c r="C1197" t="inlineStr">
        <is>
          <t>Stimulus</t>
        </is>
      </c>
      <c r="D1197" t="inlineStr">
        <is>
          <t>Commercial</t>
        </is>
      </c>
      <c r="E1197" t="n">
        <v>60</v>
      </c>
      <c r="F1197" t="inlineStr">
        <is>
          <t>Surprise</t>
        </is>
      </c>
      <c r="G1197" t="n">
        <v>50</v>
      </c>
      <c r="H1197" t="n">
        <v>0</v>
      </c>
      <c r="I1197" t="n">
        <v>0</v>
      </c>
      <c r="J1197" t="inlineStr">
        <is>
          <t>NA</t>
        </is>
      </c>
      <c r="K1197" t="n">
        <v>95.2</v>
      </c>
      <c r="L1197">
        <f>IF(K1197&gt;=80,"Yes","No")</f>
        <v/>
      </c>
      <c r="M1197">
        <f>IF(ISNUMBER(H1197),IF(H1197&gt;0,1,0),"")</f>
        <v/>
      </c>
    </row>
    <row r="1198">
      <c r="A1198" t="inlineStr">
        <is>
          <t>SIMULATED_FEA_Commercial_Study</t>
        </is>
      </c>
      <c r="B1198" t="inlineStr">
        <is>
          <t>V23</t>
        </is>
      </c>
      <c r="C1198" t="inlineStr">
        <is>
          <t>Stimulus</t>
        </is>
      </c>
      <c r="D1198" t="inlineStr">
        <is>
          <t>Commercial</t>
        </is>
      </c>
      <c r="E1198" t="n">
        <v>60</v>
      </c>
      <c r="F1198" t="inlineStr">
        <is>
          <t>Brow Furrow</t>
        </is>
      </c>
      <c r="G1198" t="n">
        <v>50</v>
      </c>
      <c r="H1198" t="n">
        <v>6.94</v>
      </c>
      <c r="I1198" t="n">
        <v>5</v>
      </c>
      <c r="J1198" t="inlineStr">
        <is>
          <t>NA</t>
        </is>
      </c>
      <c r="K1198" t="n">
        <v>95.2</v>
      </c>
      <c r="L1198">
        <f>IF(K1198&gt;=80,"Yes","No")</f>
        <v/>
      </c>
      <c r="M1198">
        <f>IF(ISNUMBER(H1198),IF(H1198&gt;0,1,0),"")</f>
        <v/>
      </c>
    </row>
    <row r="1199">
      <c r="A1199" t="inlineStr">
        <is>
          <t>SIMULATED_FEA_Commercial_Study</t>
        </is>
      </c>
      <c r="B1199" t="inlineStr">
        <is>
          <t>V23</t>
        </is>
      </c>
      <c r="C1199" t="inlineStr">
        <is>
          <t>Stimulus</t>
        </is>
      </c>
      <c r="D1199" t="inlineStr">
        <is>
          <t>Commercial</t>
        </is>
      </c>
      <c r="E1199" t="n">
        <v>60</v>
      </c>
      <c r="F1199" t="inlineStr">
        <is>
          <t>Positive Valence</t>
        </is>
      </c>
      <c r="G1199" t="n">
        <v>50</v>
      </c>
      <c r="H1199" t="n">
        <v>61.39</v>
      </c>
      <c r="I1199" t="n">
        <v>20</v>
      </c>
      <c r="J1199" t="inlineStr">
        <is>
          <t>NA</t>
        </is>
      </c>
      <c r="K1199" t="n">
        <v>95.2</v>
      </c>
      <c r="L1199">
        <f>IF(K1199&gt;=80,"Yes","No")</f>
        <v/>
      </c>
      <c r="M1199">
        <f>IF(ISNUMBER(H1199),IF(H1199&gt;0,1,0),"")</f>
        <v/>
      </c>
    </row>
    <row r="1200">
      <c r="A1200" t="inlineStr">
        <is>
          <t>SIMULATED_FEA_Commercial_Study</t>
        </is>
      </c>
      <c r="B1200" t="inlineStr">
        <is>
          <t>V23</t>
        </is>
      </c>
      <c r="C1200" t="inlineStr">
        <is>
          <t>Stimulus</t>
        </is>
      </c>
      <c r="D1200" t="inlineStr">
        <is>
          <t>Commercial</t>
        </is>
      </c>
      <c r="E1200" t="n">
        <v>60</v>
      </c>
      <c r="F1200" t="inlineStr">
        <is>
          <t>Negative Valence</t>
        </is>
      </c>
      <c r="G1200" t="n">
        <v>-50</v>
      </c>
      <c r="H1200" t="n">
        <v>0</v>
      </c>
      <c r="I1200" t="n">
        <v>0</v>
      </c>
      <c r="J1200" t="inlineStr">
        <is>
          <t>NA</t>
        </is>
      </c>
      <c r="K1200" t="n">
        <v>95.2</v>
      </c>
      <c r="L1200">
        <f>IF(K1200&gt;=80,"Yes","No")</f>
        <v/>
      </c>
      <c r="M1200">
        <f>IF(ISNUMBER(H1200),IF(H1200&gt;0,1,0),"")</f>
        <v/>
      </c>
    </row>
    <row r="1201">
      <c r="A1201" t="inlineStr">
        <is>
          <t>SIMULATED_FEA_Commercial_Study</t>
        </is>
      </c>
      <c r="B1201" t="inlineStr">
        <is>
          <t>V23</t>
        </is>
      </c>
      <c r="C1201" t="inlineStr">
        <is>
          <t>Stimulus</t>
        </is>
      </c>
      <c r="D1201" t="inlineStr">
        <is>
          <t>Commercial</t>
        </is>
      </c>
      <c r="E1201" t="n">
        <v>60</v>
      </c>
      <c r="F1201" t="inlineStr">
        <is>
          <t>Engagement</t>
        </is>
      </c>
      <c r="G1201" t="inlineStr">
        <is>
          <t>NA</t>
        </is>
      </c>
      <c r="H1201" t="inlineStr">
        <is>
          <t>NA</t>
        </is>
      </c>
      <c r="I1201" t="inlineStr">
        <is>
          <t>NA</t>
        </is>
      </c>
      <c r="J1201" t="n">
        <v>42.67</v>
      </c>
      <c r="K1201" t="n">
        <v>95.2</v>
      </c>
      <c r="L1201">
        <f>IF(K1201&gt;=80,"Yes","No")</f>
        <v/>
      </c>
      <c r="M1201">
        <f>IF(ISNUMBER(H1201),IF(H1201&gt;0,1,0),"")</f>
        <v/>
      </c>
    </row>
    <row r="1202">
      <c r="A1202" t="inlineStr">
        <is>
          <t>SIMULATED_FEA_Commercial_Study</t>
        </is>
      </c>
      <c r="B1202" t="inlineStr">
        <is>
          <t>V23</t>
        </is>
      </c>
      <c r="C1202" t="inlineStr">
        <is>
          <t>Stimulus</t>
        </is>
      </c>
      <c r="D1202" t="inlineStr">
        <is>
          <t>Recovery</t>
        </is>
      </c>
      <c r="E1202" t="n">
        <v>15</v>
      </c>
      <c r="F1202" t="inlineStr">
        <is>
          <t>Joy</t>
        </is>
      </c>
      <c r="G1202" t="n">
        <v>50</v>
      </c>
      <c r="H1202" t="n">
        <v>24.44</v>
      </c>
      <c r="I1202" t="n">
        <v>5</v>
      </c>
      <c r="J1202" t="inlineStr">
        <is>
          <t>NA</t>
        </is>
      </c>
      <c r="K1202" t="n">
        <v>95.2</v>
      </c>
      <c r="L1202">
        <f>IF(K1202&gt;=80,"Yes","No")</f>
        <v/>
      </c>
      <c r="M1202">
        <f>IF(ISNUMBER(H1202),IF(H1202&gt;0,1,0),"")</f>
        <v/>
      </c>
    </row>
    <row r="1203">
      <c r="A1203" t="inlineStr">
        <is>
          <t>SIMULATED_FEA_Commercial_Study</t>
        </is>
      </c>
      <c r="B1203" t="inlineStr">
        <is>
          <t>V23</t>
        </is>
      </c>
      <c r="C1203" t="inlineStr">
        <is>
          <t>Stimulus</t>
        </is>
      </c>
      <c r="D1203" t="inlineStr">
        <is>
          <t>Recovery</t>
        </is>
      </c>
      <c r="E1203" t="n">
        <v>15</v>
      </c>
      <c r="F1203" t="inlineStr">
        <is>
          <t>Surprise</t>
        </is>
      </c>
      <c r="G1203" t="n">
        <v>50</v>
      </c>
      <c r="H1203" t="n">
        <v>0</v>
      </c>
      <c r="I1203" t="n">
        <v>0</v>
      </c>
      <c r="J1203" t="inlineStr">
        <is>
          <t>NA</t>
        </is>
      </c>
      <c r="K1203" t="n">
        <v>95.2</v>
      </c>
      <c r="L1203">
        <f>IF(K1203&gt;=80,"Yes","No")</f>
        <v/>
      </c>
      <c r="M1203">
        <f>IF(ISNUMBER(H1203),IF(H1203&gt;0,1,0),"")</f>
        <v/>
      </c>
    </row>
    <row r="1204">
      <c r="A1204" t="inlineStr">
        <is>
          <t>SIMULATED_FEA_Commercial_Study</t>
        </is>
      </c>
      <c r="B1204" t="inlineStr">
        <is>
          <t>V23</t>
        </is>
      </c>
      <c r="C1204" t="inlineStr">
        <is>
          <t>Stimulus</t>
        </is>
      </c>
      <c r="D1204" t="inlineStr">
        <is>
          <t>Recovery</t>
        </is>
      </c>
      <c r="E1204" t="n">
        <v>15</v>
      </c>
      <c r="F1204" t="inlineStr">
        <is>
          <t>Brow Furrow</t>
        </is>
      </c>
      <c r="G1204" t="n">
        <v>50</v>
      </c>
      <c r="H1204" t="n">
        <v>10.67</v>
      </c>
      <c r="I1204" t="n">
        <v>1</v>
      </c>
      <c r="J1204" t="inlineStr">
        <is>
          <t>NA</t>
        </is>
      </c>
      <c r="K1204" t="n">
        <v>95.2</v>
      </c>
      <c r="L1204">
        <f>IF(K1204&gt;=80,"Yes","No")</f>
        <v/>
      </c>
      <c r="M1204">
        <f>IF(ISNUMBER(H1204),IF(H1204&gt;0,1,0),"")</f>
        <v/>
      </c>
    </row>
    <row r="1205">
      <c r="A1205" t="inlineStr">
        <is>
          <t>SIMULATED_FEA_Commercial_Study</t>
        </is>
      </c>
      <c r="B1205" t="inlineStr">
        <is>
          <t>V23</t>
        </is>
      </c>
      <c r="C1205" t="inlineStr">
        <is>
          <t>Stimulus</t>
        </is>
      </c>
      <c r="D1205" t="inlineStr">
        <is>
          <t>Recovery</t>
        </is>
      </c>
      <c r="E1205" t="n">
        <v>15</v>
      </c>
      <c r="F1205" t="inlineStr">
        <is>
          <t>Positive Valence</t>
        </is>
      </c>
      <c r="G1205" t="n">
        <v>50</v>
      </c>
      <c r="H1205" t="n">
        <v>26.22</v>
      </c>
      <c r="I1205" t="n">
        <v>3</v>
      </c>
      <c r="J1205" t="inlineStr">
        <is>
          <t>NA</t>
        </is>
      </c>
      <c r="K1205" t="n">
        <v>95.2</v>
      </c>
      <c r="L1205">
        <f>IF(K1205&gt;=80,"Yes","No")</f>
        <v/>
      </c>
      <c r="M1205">
        <f>IF(ISNUMBER(H1205),IF(H1205&gt;0,1,0),"")</f>
        <v/>
      </c>
    </row>
    <row r="1206">
      <c r="A1206" t="inlineStr">
        <is>
          <t>SIMULATED_FEA_Commercial_Study</t>
        </is>
      </c>
      <c r="B1206" t="inlineStr">
        <is>
          <t>V23</t>
        </is>
      </c>
      <c r="C1206" t="inlineStr">
        <is>
          <t>Stimulus</t>
        </is>
      </c>
      <c r="D1206" t="inlineStr">
        <is>
          <t>Recovery</t>
        </is>
      </c>
      <c r="E1206" t="n">
        <v>15</v>
      </c>
      <c r="F1206" t="inlineStr">
        <is>
          <t>Negative Valence</t>
        </is>
      </c>
      <c r="G1206" t="n">
        <v>-50</v>
      </c>
      <c r="H1206" t="n">
        <v>0</v>
      </c>
      <c r="I1206" t="n">
        <v>0</v>
      </c>
      <c r="J1206" t="inlineStr">
        <is>
          <t>NA</t>
        </is>
      </c>
      <c r="K1206" t="n">
        <v>95.2</v>
      </c>
      <c r="L1206">
        <f>IF(K1206&gt;=80,"Yes","No")</f>
        <v/>
      </c>
      <c r="M1206">
        <f>IF(ISNUMBER(H1206),IF(H1206&gt;0,1,0),"")</f>
        <v/>
      </c>
    </row>
    <row r="1207">
      <c r="A1207" t="inlineStr">
        <is>
          <t>SIMULATED_FEA_Commercial_Study</t>
        </is>
      </c>
      <c r="B1207" t="inlineStr">
        <is>
          <t>V23</t>
        </is>
      </c>
      <c r="C1207" t="inlineStr">
        <is>
          <t>Stimulus</t>
        </is>
      </c>
      <c r="D1207" t="inlineStr">
        <is>
          <t>Recovery</t>
        </is>
      </c>
      <c r="E1207" t="n">
        <v>15</v>
      </c>
      <c r="F1207" t="inlineStr">
        <is>
          <t>Engagement</t>
        </is>
      </c>
      <c r="G1207" t="inlineStr">
        <is>
          <t>NA</t>
        </is>
      </c>
      <c r="H1207" t="inlineStr">
        <is>
          <t>NA</t>
        </is>
      </c>
      <c r="I1207" t="inlineStr">
        <is>
          <t>NA</t>
        </is>
      </c>
      <c r="J1207" t="n">
        <v>23.92</v>
      </c>
      <c r="K1207" t="n">
        <v>95.2</v>
      </c>
      <c r="L1207">
        <f>IF(K1207&gt;=80,"Yes","No")</f>
        <v/>
      </c>
      <c r="M1207">
        <f>IF(ISNUMBER(H1207),IF(H1207&gt;0,1,0),"")</f>
        <v/>
      </c>
    </row>
    <row r="1208">
      <c r="A1208" t="inlineStr">
        <is>
          <t>SIMULATED_FEA_Commercial_Study</t>
        </is>
      </c>
      <c r="B1208" t="inlineStr">
        <is>
          <t>V23</t>
        </is>
      </c>
      <c r="C1208" t="inlineStr">
        <is>
          <t>Annotation</t>
        </is>
      </c>
      <c r="D1208" t="inlineStr">
        <is>
          <t>Bin_01</t>
        </is>
      </c>
      <c r="E1208" t="n">
        <v>10</v>
      </c>
      <c r="F1208" t="inlineStr">
        <is>
          <t>Joy</t>
        </is>
      </c>
      <c r="G1208" t="n">
        <v>50</v>
      </c>
      <c r="H1208" t="n">
        <v>45</v>
      </c>
      <c r="I1208" t="n">
        <v>3</v>
      </c>
      <c r="J1208" t="inlineStr">
        <is>
          <t>NA</t>
        </is>
      </c>
      <c r="K1208" t="n">
        <v>95.2</v>
      </c>
      <c r="L1208">
        <f>IF(K1208&gt;=80,"Yes","No")</f>
        <v/>
      </c>
      <c r="M1208">
        <f>IF(ISNUMBER(H1208),IF(H1208&gt;0,1,0),"")</f>
        <v/>
      </c>
    </row>
    <row r="1209">
      <c r="A1209" t="inlineStr">
        <is>
          <t>SIMULATED_FEA_Commercial_Study</t>
        </is>
      </c>
      <c r="B1209" t="inlineStr">
        <is>
          <t>V23</t>
        </is>
      </c>
      <c r="C1209" t="inlineStr">
        <is>
          <t>Annotation</t>
        </is>
      </c>
      <c r="D1209" t="inlineStr">
        <is>
          <t>Bin_01</t>
        </is>
      </c>
      <c r="E1209" t="n">
        <v>10</v>
      </c>
      <c r="F1209" t="inlineStr">
        <is>
          <t>Surprise</t>
        </is>
      </c>
      <c r="G1209" t="n">
        <v>50</v>
      </c>
      <c r="H1209" t="n">
        <v>0</v>
      </c>
      <c r="I1209" t="n">
        <v>0</v>
      </c>
      <c r="J1209" t="inlineStr">
        <is>
          <t>NA</t>
        </is>
      </c>
      <c r="K1209" t="n">
        <v>95.2</v>
      </c>
      <c r="L1209">
        <f>IF(K1209&gt;=80,"Yes","No")</f>
        <v/>
      </c>
      <c r="M1209">
        <f>IF(ISNUMBER(H1209),IF(H1209&gt;0,1,0),"")</f>
        <v/>
      </c>
    </row>
    <row r="1210">
      <c r="A1210" t="inlineStr">
        <is>
          <t>SIMULATED_FEA_Commercial_Study</t>
        </is>
      </c>
      <c r="B1210" t="inlineStr">
        <is>
          <t>V23</t>
        </is>
      </c>
      <c r="C1210" t="inlineStr">
        <is>
          <t>Annotation</t>
        </is>
      </c>
      <c r="D1210" t="inlineStr">
        <is>
          <t>Bin_01</t>
        </is>
      </c>
      <c r="E1210" t="n">
        <v>10</v>
      </c>
      <c r="F1210" t="inlineStr">
        <is>
          <t>Brow Furrow</t>
        </is>
      </c>
      <c r="G1210" t="n">
        <v>50</v>
      </c>
      <c r="H1210" t="n">
        <v>0</v>
      </c>
      <c r="I1210" t="n">
        <v>0</v>
      </c>
      <c r="J1210" t="inlineStr">
        <is>
          <t>NA</t>
        </is>
      </c>
      <c r="K1210" t="n">
        <v>95.2</v>
      </c>
      <c r="L1210">
        <f>IF(K1210&gt;=80,"Yes","No")</f>
        <v/>
      </c>
      <c r="M1210">
        <f>IF(ISNUMBER(H1210),IF(H1210&gt;0,1,0),"")</f>
        <v/>
      </c>
    </row>
    <row r="1211">
      <c r="A1211" t="inlineStr">
        <is>
          <t>SIMULATED_FEA_Commercial_Study</t>
        </is>
      </c>
      <c r="B1211" t="inlineStr">
        <is>
          <t>V23</t>
        </is>
      </c>
      <c r="C1211" t="inlineStr">
        <is>
          <t>Annotation</t>
        </is>
      </c>
      <c r="D1211" t="inlineStr">
        <is>
          <t>Bin_01</t>
        </is>
      </c>
      <c r="E1211" t="n">
        <v>10</v>
      </c>
      <c r="F1211" t="inlineStr">
        <is>
          <t>Positive Valence</t>
        </is>
      </c>
      <c r="G1211" t="n">
        <v>50</v>
      </c>
      <c r="H1211" t="n">
        <v>62.67</v>
      </c>
      <c r="I1211" t="n">
        <v>8</v>
      </c>
      <c r="J1211" t="inlineStr">
        <is>
          <t>NA</t>
        </is>
      </c>
      <c r="K1211" t="n">
        <v>95.2</v>
      </c>
      <c r="L1211">
        <f>IF(K1211&gt;=80,"Yes","No")</f>
        <v/>
      </c>
      <c r="M1211">
        <f>IF(ISNUMBER(H1211),IF(H1211&gt;0,1,0),"")</f>
        <v/>
      </c>
    </row>
    <row r="1212">
      <c r="A1212" t="inlineStr">
        <is>
          <t>SIMULATED_FEA_Commercial_Study</t>
        </is>
      </c>
      <c r="B1212" t="inlineStr">
        <is>
          <t>V23</t>
        </is>
      </c>
      <c r="C1212" t="inlineStr">
        <is>
          <t>Annotation</t>
        </is>
      </c>
      <c r="D1212" t="inlineStr">
        <is>
          <t>Bin_01</t>
        </is>
      </c>
      <c r="E1212" t="n">
        <v>10</v>
      </c>
      <c r="F1212" t="inlineStr">
        <is>
          <t>Negative Valence</t>
        </is>
      </c>
      <c r="G1212" t="n">
        <v>-50</v>
      </c>
      <c r="H1212" t="n">
        <v>0</v>
      </c>
      <c r="I1212" t="n">
        <v>0</v>
      </c>
      <c r="J1212" t="inlineStr">
        <is>
          <t>NA</t>
        </is>
      </c>
      <c r="K1212" t="n">
        <v>95.2</v>
      </c>
      <c r="L1212">
        <f>IF(K1212&gt;=80,"Yes","No")</f>
        <v/>
      </c>
      <c r="M1212">
        <f>IF(ISNUMBER(H1212),IF(H1212&gt;0,1,0),"")</f>
        <v/>
      </c>
    </row>
    <row r="1213">
      <c r="A1213" t="inlineStr">
        <is>
          <t>SIMULATED_FEA_Commercial_Study</t>
        </is>
      </c>
      <c r="B1213" t="inlineStr">
        <is>
          <t>V23</t>
        </is>
      </c>
      <c r="C1213" t="inlineStr">
        <is>
          <t>Annotation</t>
        </is>
      </c>
      <c r="D1213" t="inlineStr">
        <is>
          <t>Bin_01</t>
        </is>
      </c>
      <c r="E1213" t="n">
        <v>10</v>
      </c>
      <c r="F1213" t="inlineStr">
        <is>
          <t>Engagement</t>
        </is>
      </c>
      <c r="G1213" t="inlineStr">
        <is>
          <t>NA</t>
        </is>
      </c>
      <c r="H1213" t="inlineStr">
        <is>
          <t>NA</t>
        </is>
      </c>
      <c r="I1213" t="inlineStr">
        <is>
          <t>NA</t>
        </is>
      </c>
      <c r="J1213" t="n">
        <v>40.61</v>
      </c>
      <c r="K1213" t="n">
        <v>95.2</v>
      </c>
      <c r="L1213">
        <f>IF(K1213&gt;=80,"Yes","No")</f>
        <v/>
      </c>
      <c r="M1213">
        <f>IF(ISNUMBER(H1213),IF(H1213&gt;0,1,0),"")</f>
        <v/>
      </c>
    </row>
    <row r="1214">
      <c r="A1214" t="inlineStr">
        <is>
          <t>SIMULATED_FEA_Commercial_Study</t>
        </is>
      </c>
      <c r="B1214" t="inlineStr">
        <is>
          <t>V23</t>
        </is>
      </c>
      <c r="C1214" t="inlineStr">
        <is>
          <t>Annotation</t>
        </is>
      </c>
      <c r="D1214" t="inlineStr">
        <is>
          <t>Bin_02</t>
        </is>
      </c>
      <c r="E1214" t="n">
        <v>10</v>
      </c>
      <c r="F1214" t="inlineStr">
        <is>
          <t>Joy</t>
        </is>
      </c>
      <c r="G1214" t="n">
        <v>50</v>
      </c>
      <c r="H1214" t="n">
        <v>51</v>
      </c>
      <c r="I1214" t="n">
        <v>3</v>
      </c>
      <c r="J1214" t="inlineStr">
        <is>
          <t>NA</t>
        </is>
      </c>
      <c r="K1214" t="n">
        <v>95.2</v>
      </c>
      <c r="L1214">
        <f>IF(K1214&gt;=80,"Yes","No")</f>
        <v/>
      </c>
      <c r="M1214">
        <f>IF(ISNUMBER(H1214),IF(H1214&gt;0,1,0),"")</f>
        <v/>
      </c>
    </row>
    <row r="1215">
      <c r="A1215" t="inlineStr">
        <is>
          <t>SIMULATED_FEA_Commercial_Study</t>
        </is>
      </c>
      <c r="B1215" t="inlineStr">
        <is>
          <t>V23</t>
        </is>
      </c>
      <c r="C1215" t="inlineStr">
        <is>
          <t>Annotation</t>
        </is>
      </c>
      <c r="D1215" t="inlineStr">
        <is>
          <t>Bin_02</t>
        </is>
      </c>
      <c r="E1215" t="n">
        <v>10</v>
      </c>
      <c r="F1215" t="inlineStr">
        <is>
          <t>Surprise</t>
        </is>
      </c>
      <c r="G1215" t="n">
        <v>50</v>
      </c>
      <c r="H1215" t="n">
        <v>0</v>
      </c>
      <c r="I1215" t="n">
        <v>0</v>
      </c>
      <c r="J1215" t="inlineStr">
        <is>
          <t>NA</t>
        </is>
      </c>
      <c r="K1215" t="n">
        <v>95.2</v>
      </c>
      <c r="L1215">
        <f>IF(K1215&gt;=80,"Yes","No")</f>
        <v/>
      </c>
      <c r="M1215">
        <f>IF(ISNUMBER(H1215),IF(H1215&gt;0,1,0),"")</f>
        <v/>
      </c>
    </row>
    <row r="1216">
      <c r="A1216" t="inlineStr">
        <is>
          <t>SIMULATED_FEA_Commercial_Study</t>
        </is>
      </c>
      <c r="B1216" t="inlineStr">
        <is>
          <t>V23</t>
        </is>
      </c>
      <c r="C1216" t="inlineStr">
        <is>
          <t>Annotation</t>
        </is>
      </c>
      <c r="D1216" t="inlineStr">
        <is>
          <t>Bin_02</t>
        </is>
      </c>
      <c r="E1216" t="n">
        <v>10</v>
      </c>
      <c r="F1216" t="inlineStr">
        <is>
          <t>Brow Furrow</t>
        </is>
      </c>
      <c r="G1216" t="n">
        <v>50</v>
      </c>
      <c r="H1216" t="n">
        <v>19.33</v>
      </c>
      <c r="I1216" t="n">
        <v>5</v>
      </c>
      <c r="J1216" t="inlineStr">
        <is>
          <t>NA</t>
        </is>
      </c>
      <c r="K1216" t="n">
        <v>95.2</v>
      </c>
      <c r="L1216">
        <f>IF(K1216&gt;=80,"Yes","No")</f>
        <v/>
      </c>
      <c r="M1216">
        <f>IF(ISNUMBER(H1216),IF(H1216&gt;0,1,0),"")</f>
        <v/>
      </c>
    </row>
    <row r="1217">
      <c r="A1217" t="inlineStr">
        <is>
          <t>SIMULATED_FEA_Commercial_Study</t>
        </is>
      </c>
      <c r="B1217" t="inlineStr">
        <is>
          <t>V23</t>
        </is>
      </c>
      <c r="C1217" t="inlineStr">
        <is>
          <t>Annotation</t>
        </is>
      </c>
      <c r="D1217" t="inlineStr">
        <is>
          <t>Bin_02</t>
        </is>
      </c>
      <c r="E1217" t="n">
        <v>10</v>
      </c>
      <c r="F1217" t="inlineStr">
        <is>
          <t>Positive Valence</t>
        </is>
      </c>
      <c r="G1217" t="n">
        <v>50</v>
      </c>
      <c r="H1217" t="n">
        <v>42.33</v>
      </c>
      <c r="I1217" t="n">
        <v>3</v>
      </c>
      <c r="J1217" t="inlineStr">
        <is>
          <t>NA</t>
        </is>
      </c>
      <c r="K1217" t="n">
        <v>95.2</v>
      </c>
      <c r="L1217">
        <f>IF(K1217&gt;=80,"Yes","No")</f>
        <v/>
      </c>
      <c r="M1217">
        <f>IF(ISNUMBER(H1217),IF(H1217&gt;0,1,0),"")</f>
        <v/>
      </c>
    </row>
    <row r="1218">
      <c r="A1218" t="inlineStr">
        <is>
          <t>SIMULATED_FEA_Commercial_Study</t>
        </is>
      </c>
      <c r="B1218" t="inlineStr">
        <is>
          <t>V23</t>
        </is>
      </c>
      <c r="C1218" t="inlineStr">
        <is>
          <t>Annotation</t>
        </is>
      </c>
      <c r="D1218" t="inlineStr">
        <is>
          <t>Bin_02</t>
        </is>
      </c>
      <c r="E1218" t="n">
        <v>10</v>
      </c>
      <c r="F1218" t="inlineStr">
        <is>
          <t>Negative Valence</t>
        </is>
      </c>
      <c r="G1218" t="n">
        <v>-50</v>
      </c>
      <c r="H1218" t="n">
        <v>0</v>
      </c>
      <c r="I1218" t="n">
        <v>0</v>
      </c>
      <c r="J1218" t="inlineStr">
        <is>
          <t>NA</t>
        </is>
      </c>
      <c r="K1218" t="n">
        <v>95.2</v>
      </c>
      <c r="L1218">
        <f>IF(K1218&gt;=80,"Yes","No")</f>
        <v/>
      </c>
      <c r="M1218">
        <f>IF(ISNUMBER(H1218),IF(H1218&gt;0,1,0),"")</f>
        <v/>
      </c>
    </row>
    <row r="1219">
      <c r="A1219" t="inlineStr">
        <is>
          <t>SIMULATED_FEA_Commercial_Study</t>
        </is>
      </c>
      <c r="B1219" t="inlineStr">
        <is>
          <t>V23</t>
        </is>
      </c>
      <c r="C1219" t="inlineStr">
        <is>
          <t>Annotation</t>
        </is>
      </c>
      <c r="D1219" t="inlineStr">
        <is>
          <t>Bin_02</t>
        </is>
      </c>
      <c r="E1219" t="n">
        <v>10</v>
      </c>
      <c r="F1219" t="inlineStr">
        <is>
          <t>Engagement</t>
        </is>
      </c>
      <c r="G1219" t="inlineStr">
        <is>
          <t>NA</t>
        </is>
      </c>
      <c r="H1219" t="inlineStr">
        <is>
          <t>NA</t>
        </is>
      </c>
      <c r="I1219" t="inlineStr">
        <is>
          <t>NA</t>
        </is>
      </c>
      <c r="J1219" t="n">
        <v>34.06</v>
      </c>
      <c r="K1219" t="n">
        <v>95.2</v>
      </c>
      <c r="L1219">
        <f>IF(K1219&gt;=80,"Yes","No")</f>
        <v/>
      </c>
      <c r="M1219">
        <f>IF(ISNUMBER(H1219),IF(H1219&gt;0,1,0),"")</f>
        <v/>
      </c>
    </row>
    <row r="1220">
      <c r="A1220" t="inlineStr">
        <is>
          <t>SIMULATED_FEA_Commercial_Study</t>
        </is>
      </c>
      <c r="B1220" t="inlineStr">
        <is>
          <t>V23</t>
        </is>
      </c>
      <c r="C1220" t="inlineStr">
        <is>
          <t>Annotation</t>
        </is>
      </c>
      <c r="D1220" t="inlineStr">
        <is>
          <t>Bin_03</t>
        </is>
      </c>
      <c r="E1220" t="n">
        <v>10</v>
      </c>
      <c r="F1220" t="inlineStr">
        <is>
          <t>Joy</t>
        </is>
      </c>
      <c r="G1220" t="n">
        <v>50</v>
      </c>
      <c r="H1220" t="n">
        <v>81.33</v>
      </c>
      <c r="I1220" t="n">
        <v>5</v>
      </c>
      <c r="J1220" t="inlineStr">
        <is>
          <t>NA</t>
        </is>
      </c>
      <c r="K1220" t="n">
        <v>95.2</v>
      </c>
      <c r="L1220">
        <f>IF(K1220&gt;=80,"Yes","No")</f>
        <v/>
      </c>
      <c r="M1220">
        <f>IF(ISNUMBER(H1220),IF(H1220&gt;0,1,0),"")</f>
        <v/>
      </c>
    </row>
    <row r="1221">
      <c r="A1221" t="inlineStr">
        <is>
          <t>SIMULATED_FEA_Commercial_Study</t>
        </is>
      </c>
      <c r="B1221" t="inlineStr">
        <is>
          <t>V23</t>
        </is>
      </c>
      <c r="C1221" t="inlineStr">
        <is>
          <t>Annotation</t>
        </is>
      </c>
      <c r="D1221" t="inlineStr">
        <is>
          <t>Bin_03</t>
        </is>
      </c>
      <c r="E1221" t="n">
        <v>10</v>
      </c>
      <c r="F1221" t="inlineStr">
        <is>
          <t>Surprise</t>
        </is>
      </c>
      <c r="G1221" t="n">
        <v>50</v>
      </c>
      <c r="H1221" t="n">
        <v>0</v>
      </c>
      <c r="I1221" t="n">
        <v>0</v>
      </c>
      <c r="J1221" t="inlineStr">
        <is>
          <t>NA</t>
        </is>
      </c>
      <c r="K1221" t="n">
        <v>95.2</v>
      </c>
      <c r="L1221">
        <f>IF(K1221&gt;=80,"Yes","No")</f>
        <v/>
      </c>
      <c r="M1221">
        <f>IF(ISNUMBER(H1221),IF(H1221&gt;0,1,0),"")</f>
        <v/>
      </c>
    </row>
    <row r="1222">
      <c r="A1222" t="inlineStr">
        <is>
          <t>SIMULATED_FEA_Commercial_Study</t>
        </is>
      </c>
      <c r="B1222" t="inlineStr">
        <is>
          <t>V23</t>
        </is>
      </c>
      <c r="C1222" t="inlineStr">
        <is>
          <t>Annotation</t>
        </is>
      </c>
      <c r="D1222" t="inlineStr">
        <is>
          <t>Bin_03</t>
        </is>
      </c>
      <c r="E1222" t="n">
        <v>10</v>
      </c>
      <c r="F1222" t="inlineStr">
        <is>
          <t>Brow Furrow</t>
        </is>
      </c>
      <c r="G1222" t="n">
        <v>50</v>
      </c>
      <c r="H1222" t="n">
        <v>22.33</v>
      </c>
      <c r="I1222" t="n">
        <v>1</v>
      </c>
      <c r="J1222" t="inlineStr">
        <is>
          <t>NA</t>
        </is>
      </c>
      <c r="K1222" t="n">
        <v>95.2</v>
      </c>
      <c r="L1222">
        <f>IF(K1222&gt;=80,"Yes","No")</f>
        <v/>
      </c>
      <c r="M1222">
        <f>IF(ISNUMBER(H1222),IF(H1222&gt;0,1,0),"")</f>
        <v/>
      </c>
    </row>
    <row r="1223">
      <c r="A1223" t="inlineStr">
        <is>
          <t>SIMULATED_FEA_Commercial_Study</t>
        </is>
      </c>
      <c r="B1223" t="inlineStr">
        <is>
          <t>V23</t>
        </is>
      </c>
      <c r="C1223" t="inlineStr">
        <is>
          <t>Annotation</t>
        </is>
      </c>
      <c r="D1223" t="inlineStr">
        <is>
          <t>Bin_03</t>
        </is>
      </c>
      <c r="E1223" t="n">
        <v>10</v>
      </c>
      <c r="F1223" t="inlineStr">
        <is>
          <t>Positive Valence</t>
        </is>
      </c>
      <c r="G1223" t="n">
        <v>50</v>
      </c>
      <c r="H1223" t="n">
        <v>76</v>
      </c>
      <c r="I1223" t="n">
        <v>4</v>
      </c>
      <c r="J1223" t="inlineStr">
        <is>
          <t>NA</t>
        </is>
      </c>
      <c r="K1223" t="n">
        <v>95.2</v>
      </c>
      <c r="L1223">
        <f>IF(K1223&gt;=80,"Yes","No")</f>
        <v/>
      </c>
      <c r="M1223">
        <f>IF(ISNUMBER(H1223),IF(H1223&gt;0,1,0),"")</f>
        <v/>
      </c>
    </row>
    <row r="1224">
      <c r="A1224" t="inlineStr">
        <is>
          <t>SIMULATED_FEA_Commercial_Study</t>
        </is>
      </c>
      <c r="B1224" t="inlineStr">
        <is>
          <t>V23</t>
        </is>
      </c>
      <c r="C1224" t="inlineStr">
        <is>
          <t>Annotation</t>
        </is>
      </c>
      <c r="D1224" t="inlineStr">
        <is>
          <t>Bin_03</t>
        </is>
      </c>
      <c r="E1224" t="n">
        <v>10</v>
      </c>
      <c r="F1224" t="inlineStr">
        <is>
          <t>Negative Valence</t>
        </is>
      </c>
      <c r="G1224" t="n">
        <v>-50</v>
      </c>
      <c r="H1224" t="n">
        <v>0</v>
      </c>
      <c r="I1224" t="n">
        <v>0</v>
      </c>
      <c r="J1224" t="inlineStr">
        <is>
          <t>NA</t>
        </is>
      </c>
      <c r="K1224" t="n">
        <v>95.2</v>
      </c>
      <c r="L1224">
        <f>IF(K1224&gt;=80,"Yes","No")</f>
        <v/>
      </c>
      <c r="M1224">
        <f>IF(ISNUMBER(H1224),IF(H1224&gt;0,1,0),"")</f>
        <v/>
      </c>
    </row>
    <row r="1225">
      <c r="A1225" t="inlineStr">
        <is>
          <t>SIMULATED_FEA_Commercial_Study</t>
        </is>
      </c>
      <c r="B1225" t="inlineStr">
        <is>
          <t>V23</t>
        </is>
      </c>
      <c r="C1225" t="inlineStr">
        <is>
          <t>Annotation</t>
        </is>
      </c>
      <c r="D1225" t="inlineStr">
        <is>
          <t>Bin_03</t>
        </is>
      </c>
      <c r="E1225" t="n">
        <v>10</v>
      </c>
      <c r="F1225" t="inlineStr">
        <is>
          <t>Engagement</t>
        </is>
      </c>
      <c r="G1225" t="inlineStr">
        <is>
          <t>NA</t>
        </is>
      </c>
      <c r="H1225" t="inlineStr">
        <is>
          <t>NA</t>
        </is>
      </c>
      <c r="I1225" t="inlineStr">
        <is>
          <t>NA</t>
        </is>
      </c>
      <c r="J1225" t="n">
        <v>57.28</v>
      </c>
      <c r="K1225" t="n">
        <v>95.2</v>
      </c>
      <c r="L1225">
        <f>IF(K1225&gt;=80,"Yes","No")</f>
        <v/>
      </c>
      <c r="M1225">
        <f>IF(ISNUMBER(H1225),IF(H1225&gt;0,1,0),"")</f>
        <v/>
      </c>
    </row>
    <row r="1226">
      <c r="A1226" t="inlineStr">
        <is>
          <t>SIMULATED_FEA_Commercial_Study</t>
        </is>
      </c>
      <c r="B1226" t="inlineStr">
        <is>
          <t>V23</t>
        </is>
      </c>
      <c r="C1226" t="inlineStr">
        <is>
          <t>Annotation</t>
        </is>
      </c>
      <c r="D1226" t="inlineStr">
        <is>
          <t>Bin_04</t>
        </is>
      </c>
      <c r="E1226" t="n">
        <v>10</v>
      </c>
      <c r="F1226" t="inlineStr">
        <is>
          <t>Joy</t>
        </is>
      </c>
      <c r="G1226" t="n">
        <v>50</v>
      </c>
      <c r="H1226" t="n">
        <v>51.33</v>
      </c>
      <c r="I1226" t="n">
        <v>3</v>
      </c>
      <c r="J1226" t="inlineStr">
        <is>
          <t>NA</t>
        </is>
      </c>
      <c r="K1226" t="n">
        <v>95.2</v>
      </c>
      <c r="L1226">
        <f>IF(K1226&gt;=80,"Yes","No")</f>
        <v/>
      </c>
      <c r="M1226">
        <f>IF(ISNUMBER(H1226),IF(H1226&gt;0,1,0),"")</f>
        <v/>
      </c>
    </row>
    <row r="1227">
      <c r="A1227" t="inlineStr">
        <is>
          <t>SIMULATED_FEA_Commercial_Study</t>
        </is>
      </c>
      <c r="B1227" t="inlineStr">
        <is>
          <t>V23</t>
        </is>
      </c>
      <c r="C1227" t="inlineStr">
        <is>
          <t>Annotation</t>
        </is>
      </c>
      <c r="D1227" t="inlineStr">
        <is>
          <t>Bin_04</t>
        </is>
      </c>
      <c r="E1227" t="n">
        <v>10</v>
      </c>
      <c r="F1227" t="inlineStr">
        <is>
          <t>Surprise</t>
        </is>
      </c>
      <c r="G1227" t="n">
        <v>50</v>
      </c>
      <c r="H1227" t="n">
        <v>0</v>
      </c>
      <c r="I1227" t="n">
        <v>0</v>
      </c>
      <c r="J1227" t="inlineStr">
        <is>
          <t>NA</t>
        </is>
      </c>
      <c r="K1227" t="n">
        <v>95.2</v>
      </c>
      <c r="L1227">
        <f>IF(K1227&gt;=80,"Yes","No")</f>
        <v/>
      </c>
      <c r="M1227">
        <f>IF(ISNUMBER(H1227),IF(H1227&gt;0,1,0),"")</f>
        <v/>
      </c>
    </row>
    <row r="1228">
      <c r="A1228" t="inlineStr">
        <is>
          <t>SIMULATED_FEA_Commercial_Study</t>
        </is>
      </c>
      <c r="B1228" t="inlineStr">
        <is>
          <t>V23</t>
        </is>
      </c>
      <c r="C1228" t="inlineStr">
        <is>
          <t>Annotation</t>
        </is>
      </c>
      <c r="D1228" t="inlineStr">
        <is>
          <t>Bin_04</t>
        </is>
      </c>
      <c r="E1228" t="n">
        <v>10</v>
      </c>
      <c r="F1228" t="inlineStr">
        <is>
          <t>Brow Furrow</t>
        </is>
      </c>
      <c r="G1228" t="n">
        <v>50</v>
      </c>
      <c r="H1228" t="n">
        <v>0</v>
      </c>
      <c r="I1228" t="n">
        <v>0</v>
      </c>
      <c r="J1228" t="inlineStr">
        <is>
          <t>NA</t>
        </is>
      </c>
      <c r="K1228" t="n">
        <v>95.2</v>
      </c>
      <c r="L1228">
        <f>IF(K1228&gt;=80,"Yes","No")</f>
        <v/>
      </c>
      <c r="M1228">
        <f>IF(ISNUMBER(H1228),IF(H1228&gt;0,1,0),"")</f>
        <v/>
      </c>
    </row>
    <row r="1229">
      <c r="A1229" t="inlineStr">
        <is>
          <t>SIMULATED_FEA_Commercial_Study</t>
        </is>
      </c>
      <c r="B1229" t="inlineStr">
        <is>
          <t>V23</t>
        </is>
      </c>
      <c r="C1229" t="inlineStr">
        <is>
          <t>Annotation</t>
        </is>
      </c>
      <c r="D1229" t="inlineStr">
        <is>
          <t>Bin_04</t>
        </is>
      </c>
      <c r="E1229" t="n">
        <v>10</v>
      </c>
      <c r="F1229" t="inlineStr">
        <is>
          <t>Positive Valence</t>
        </is>
      </c>
      <c r="G1229" t="n">
        <v>50</v>
      </c>
      <c r="H1229" t="n">
        <v>71.33</v>
      </c>
      <c r="I1229" t="n">
        <v>3</v>
      </c>
      <c r="J1229" t="inlineStr">
        <is>
          <t>NA</t>
        </is>
      </c>
      <c r="K1229" t="n">
        <v>95.2</v>
      </c>
      <c r="L1229">
        <f>IF(K1229&gt;=80,"Yes","No")</f>
        <v/>
      </c>
      <c r="M1229">
        <f>IF(ISNUMBER(H1229),IF(H1229&gt;0,1,0),"")</f>
        <v/>
      </c>
    </row>
    <row r="1230">
      <c r="A1230" t="inlineStr">
        <is>
          <t>SIMULATED_FEA_Commercial_Study</t>
        </is>
      </c>
      <c r="B1230" t="inlineStr">
        <is>
          <t>V23</t>
        </is>
      </c>
      <c r="C1230" t="inlineStr">
        <is>
          <t>Annotation</t>
        </is>
      </c>
      <c r="D1230" t="inlineStr">
        <is>
          <t>Bin_04</t>
        </is>
      </c>
      <c r="E1230" t="n">
        <v>10</v>
      </c>
      <c r="F1230" t="inlineStr">
        <is>
          <t>Negative Valence</t>
        </is>
      </c>
      <c r="G1230" t="n">
        <v>-50</v>
      </c>
      <c r="H1230" t="n">
        <v>0</v>
      </c>
      <c r="I1230" t="n">
        <v>0</v>
      </c>
      <c r="J1230" t="inlineStr">
        <is>
          <t>NA</t>
        </is>
      </c>
      <c r="K1230" t="n">
        <v>95.2</v>
      </c>
      <c r="L1230">
        <f>IF(K1230&gt;=80,"Yes","No")</f>
        <v/>
      </c>
      <c r="M1230">
        <f>IF(ISNUMBER(H1230),IF(H1230&gt;0,1,0),"")</f>
        <v/>
      </c>
    </row>
    <row r="1231">
      <c r="A1231" t="inlineStr">
        <is>
          <t>SIMULATED_FEA_Commercial_Study</t>
        </is>
      </c>
      <c r="B1231" t="inlineStr">
        <is>
          <t>V23</t>
        </is>
      </c>
      <c r="C1231" t="inlineStr">
        <is>
          <t>Annotation</t>
        </is>
      </c>
      <c r="D1231" t="inlineStr">
        <is>
          <t>Bin_04</t>
        </is>
      </c>
      <c r="E1231" t="n">
        <v>10</v>
      </c>
      <c r="F1231" t="inlineStr">
        <is>
          <t>Engagement</t>
        </is>
      </c>
      <c r="G1231" t="inlineStr">
        <is>
          <t>NA</t>
        </is>
      </c>
      <c r="H1231" t="inlineStr">
        <is>
          <t>NA</t>
        </is>
      </c>
      <c r="I1231" t="inlineStr">
        <is>
          <t>NA</t>
        </is>
      </c>
      <c r="J1231" t="n">
        <v>42</v>
      </c>
      <c r="K1231" t="n">
        <v>95.2</v>
      </c>
      <c r="L1231">
        <f>IF(K1231&gt;=80,"Yes","No")</f>
        <v/>
      </c>
      <c r="M1231">
        <f>IF(ISNUMBER(H1231),IF(H1231&gt;0,1,0),"")</f>
        <v/>
      </c>
    </row>
    <row r="1232">
      <c r="A1232" t="inlineStr">
        <is>
          <t>SIMULATED_FEA_Commercial_Study</t>
        </is>
      </c>
      <c r="B1232" t="inlineStr">
        <is>
          <t>V23</t>
        </is>
      </c>
      <c r="C1232" t="inlineStr">
        <is>
          <t>Annotation</t>
        </is>
      </c>
      <c r="D1232" t="inlineStr">
        <is>
          <t>Bin_05</t>
        </is>
      </c>
      <c r="E1232" t="n">
        <v>10</v>
      </c>
      <c r="F1232" t="inlineStr">
        <is>
          <t>Joy</t>
        </is>
      </c>
      <c r="G1232" t="n">
        <v>50</v>
      </c>
      <c r="H1232" t="n">
        <v>83.67</v>
      </c>
      <c r="I1232" t="n">
        <v>5</v>
      </c>
      <c r="J1232" t="inlineStr">
        <is>
          <t>NA</t>
        </is>
      </c>
      <c r="K1232" t="n">
        <v>95.2</v>
      </c>
      <c r="L1232">
        <f>IF(K1232&gt;=80,"Yes","No")</f>
        <v/>
      </c>
      <c r="M1232">
        <f>IF(ISNUMBER(H1232),IF(H1232&gt;0,1,0),"")</f>
        <v/>
      </c>
    </row>
    <row r="1233">
      <c r="A1233" t="inlineStr">
        <is>
          <t>SIMULATED_FEA_Commercial_Study</t>
        </is>
      </c>
      <c r="B1233" t="inlineStr">
        <is>
          <t>V23</t>
        </is>
      </c>
      <c r="C1233" t="inlineStr">
        <is>
          <t>Annotation</t>
        </is>
      </c>
      <c r="D1233" t="inlineStr">
        <is>
          <t>Bin_05</t>
        </is>
      </c>
      <c r="E1233" t="n">
        <v>10</v>
      </c>
      <c r="F1233" t="inlineStr">
        <is>
          <t>Surprise</t>
        </is>
      </c>
      <c r="G1233" t="n">
        <v>50</v>
      </c>
      <c r="H1233" t="n">
        <v>0</v>
      </c>
      <c r="I1233" t="n">
        <v>0</v>
      </c>
      <c r="J1233" t="inlineStr">
        <is>
          <t>NA</t>
        </is>
      </c>
      <c r="K1233" t="n">
        <v>95.2</v>
      </c>
      <c r="L1233">
        <f>IF(K1233&gt;=80,"Yes","No")</f>
        <v/>
      </c>
      <c r="M1233">
        <f>IF(ISNUMBER(H1233),IF(H1233&gt;0,1,0),"")</f>
        <v/>
      </c>
    </row>
    <row r="1234">
      <c r="A1234" t="inlineStr">
        <is>
          <t>SIMULATED_FEA_Commercial_Study</t>
        </is>
      </c>
      <c r="B1234" t="inlineStr">
        <is>
          <t>V23</t>
        </is>
      </c>
      <c r="C1234" t="inlineStr">
        <is>
          <t>Annotation</t>
        </is>
      </c>
      <c r="D1234" t="inlineStr">
        <is>
          <t>Bin_05</t>
        </is>
      </c>
      <c r="E1234" t="n">
        <v>10</v>
      </c>
      <c r="F1234" t="inlineStr">
        <is>
          <t>Brow Furrow</t>
        </is>
      </c>
      <c r="G1234" t="n">
        <v>50</v>
      </c>
      <c r="H1234" t="n">
        <v>0</v>
      </c>
      <c r="I1234" t="n">
        <v>0</v>
      </c>
      <c r="J1234" t="inlineStr">
        <is>
          <t>NA</t>
        </is>
      </c>
      <c r="K1234" t="n">
        <v>95.2</v>
      </c>
      <c r="L1234">
        <f>IF(K1234&gt;=80,"Yes","No")</f>
        <v/>
      </c>
      <c r="M1234">
        <f>IF(ISNUMBER(H1234),IF(H1234&gt;0,1,0),"")</f>
        <v/>
      </c>
    </row>
    <row r="1235">
      <c r="A1235" t="inlineStr">
        <is>
          <t>SIMULATED_FEA_Commercial_Study</t>
        </is>
      </c>
      <c r="B1235" t="inlineStr">
        <is>
          <t>V23</t>
        </is>
      </c>
      <c r="C1235" t="inlineStr">
        <is>
          <t>Annotation</t>
        </is>
      </c>
      <c r="D1235" t="inlineStr">
        <is>
          <t>Bin_05</t>
        </is>
      </c>
      <c r="E1235" t="n">
        <v>10</v>
      </c>
      <c r="F1235" t="inlineStr">
        <is>
          <t>Positive Valence</t>
        </is>
      </c>
      <c r="G1235" t="n">
        <v>50</v>
      </c>
      <c r="H1235" t="n">
        <v>78.33</v>
      </c>
      <c r="I1235" t="n">
        <v>4</v>
      </c>
      <c r="J1235" t="inlineStr">
        <is>
          <t>NA</t>
        </is>
      </c>
      <c r="K1235" t="n">
        <v>95.2</v>
      </c>
      <c r="L1235">
        <f>IF(K1235&gt;=80,"Yes","No")</f>
        <v/>
      </c>
      <c r="M1235">
        <f>IF(ISNUMBER(H1235),IF(H1235&gt;0,1,0),"")</f>
        <v/>
      </c>
    </row>
    <row r="1236">
      <c r="A1236" t="inlineStr">
        <is>
          <t>SIMULATED_FEA_Commercial_Study</t>
        </is>
      </c>
      <c r="B1236" t="inlineStr">
        <is>
          <t>V23</t>
        </is>
      </c>
      <c r="C1236" t="inlineStr">
        <is>
          <t>Annotation</t>
        </is>
      </c>
      <c r="D1236" t="inlineStr">
        <is>
          <t>Bin_05</t>
        </is>
      </c>
      <c r="E1236" t="n">
        <v>10</v>
      </c>
      <c r="F1236" t="inlineStr">
        <is>
          <t>Negative Valence</t>
        </is>
      </c>
      <c r="G1236" t="n">
        <v>-50</v>
      </c>
      <c r="H1236" t="n">
        <v>0</v>
      </c>
      <c r="I1236" t="n">
        <v>0</v>
      </c>
      <c r="J1236" t="inlineStr">
        <is>
          <t>NA</t>
        </is>
      </c>
      <c r="K1236" t="n">
        <v>95.2</v>
      </c>
      <c r="L1236">
        <f>IF(K1236&gt;=80,"Yes","No")</f>
        <v/>
      </c>
      <c r="M1236">
        <f>IF(ISNUMBER(H1236),IF(H1236&gt;0,1,0),"")</f>
        <v/>
      </c>
    </row>
    <row r="1237">
      <c r="A1237" t="inlineStr">
        <is>
          <t>SIMULATED_FEA_Commercial_Study</t>
        </is>
      </c>
      <c r="B1237" t="inlineStr">
        <is>
          <t>V23</t>
        </is>
      </c>
      <c r="C1237" t="inlineStr">
        <is>
          <t>Annotation</t>
        </is>
      </c>
      <c r="D1237" t="inlineStr">
        <is>
          <t>Bin_05</t>
        </is>
      </c>
      <c r="E1237" t="n">
        <v>10</v>
      </c>
      <c r="F1237" t="inlineStr">
        <is>
          <t>Engagement</t>
        </is>
      </c>
      <c r="G1237" t="inlineStr">
        <is>
          <t>NA</t>
        </is>
      </c>
      <c r="H1237" t="inlineStr">
        <is>
          <t>NA</t>
        </is>
      </c>
      <c r="I1237" t="inlineStr">
        <is>
          <t>NA</t>
        </is>
      </c>
      <c r="J1237" t="n">
        <v>49.2</v>
      </c>
      <c r="K1237" t="n">
        <v>95.2</v>
      </c>
      <c r="L1237">
        <f>IF(K1237&gt;=80,"Yes","No")</f>
        <v/>
      </c>
      <c r="M1237">
        <f>IF(ISNUMBER(H1237),IF(H1237&gt;0,1,0),"")</f>
        <v/>
      </c>
    </row>
    <row r="1238">
      <c r="A1238" t="inlineStr">
        <is>
          <t>SIMULATED_FEA_Commercial_Study</t>
        </is>
      </c>
      <c r="B1238" t="inlineStr">
        <is>
          <t>V23</t>
        </is>
      </c>
      <c r="C1238" t="inlineStr">
        <is>
          <t>Annotation</t>
        </is>
      </c>
      <c r="D1238" t="inlineStr">
        <is>
          <t>Bin_06</t>
        </is>
      </c>
      <c r="E1238" t="n">
        <v>10</v>
      </c>
      <c r="F1238" t="inlineStr">
        <is>
          <t>Joy</t>
        </is>
      </c>
      <c r="G1238" t="n">
        <v>50</v>
      </c>
      <c r="H1238" t="n">
        <v>39.67</v>
      </c>
      <c r="I1238" t="n">
        <v>5</v>
      </c>
      <c r="J1238" t="inlineStr">
        <is>
          <t>NA</t>
        </is>
      </c>
      <c r="K1238" t="n">
        <v>95.2</v>
      </c>
      <c r="L1238">
        <f>IF(K1238&gt;=80,"Yes","No")</f>
        <v/>
      </c>
      <c r="M1238">
        <f>IF(ISNUMBER(H1238),IF(H1238&gt;0,1,0),"")</f>
        <v/>
      </c>
    </row>
    <row r="1239">
      <c r="A1239" t="inlineStr">
        <is>
          <t>SIMULATED_FEA_Commercial_Study</t>
        </is>
      </c>
      <c r="B1239" t="inlineStr">
        <is>
          <t>V23</t>
        </is>
      </c>
      <c r="C1239" t="inlineStr">
        <is>
          <t>Annotation</t>
        </is>
      </c>
      <c r="D1239" t="inlineStr">
        <is>
          <t>Bin_06</t>
        </is>
      </c>
      <c r="E1239" t="n">
        <v>10</v>
      </c>
      <c r="F1239" t="inlineStr">
        <is>
          <t>Surprise</t>
        </is>
      </c>
      <c r="G1239" t="n">
        <v>50</v>
      </c>
      <c r="H1239" t="n">
        <v>0</v>
      </c>
      <c r="I1239" t="n">
        <v>0</v>
      </c>
      <c r="J1239" t="inlineStr">
        <is>
          <t>NA</t>
        </is>
      </c>
      <c r="K1239" t="n">
        <v>95.2</v>
      </c>
      <c r="L1239">
        <f>IF(K1239&gt;=80,"Yes","No")</f>
        <v/>
      </c>
      <c r="M1239">
        <f>IF(ISNUMBER(H1239),IF(H1239&gt;0,1,0),"")</f>
        <v/>
      </c>
    </row>
    <row r="1240">
      <c r="A1240" t="inlineStr">
        <is>
          <t>SIMULATED_FEA_Commercial_Study</t>
        </is>
      </c>
      <c r="B1240" t="inlineStr">
        <is>
          <t>V23</t>
        </is>
      </c>
      <c r="C1240" t="inlineStr">
        <is>
          <t>Annotation</t>
        </is>
      </c>
      <c r="D1240" t="inlineStr">
        <is>
          <t>Bin_06</t>
        </is>
      </c>
      <c r="E1240" t="n">
        <v>10</v>
      </c>
      <c r="F1240" t="inlineStr">
        <is>
          <t>Brow Furrow</t>
        </is>
      </c>
      <c r="G1240" t="n">
        <v>50</v>
      </c>
      <c r="H1240" t="n">
        <v>0</v>
      </c>
      <c r="I1240" t="n">
        <v>0</v>
      </c>
      <c r="J1240" t="inlineStr">
        <is>
          <t>NA</t>
        </is>
      </c>
      <c r="K1240" t="n">
        <v>95.2</v>
      </c>
      <c r="L1240">
        <f>IF(K1240&gt;=80,"Yes","No")</f>
        <v/>
      </c>
      <c r="M1240">
        <f>IF(ISNUMBER(H1240),IF(H1240&gt;0,1,0),"")</f>
        <v/>
      </c>
    </row>
    <row r="1241">
      <c r="A1241" t="inlineStr">
        <is>
          <t>SIMULATED_FEA_Commercial_Study</t>
        </is>
      </c>
      <c r="B1241" t="inlineStr">
        <is>
          <t>V23</t>
        </is>
      </c>
      <c r="C1241" t="inlineStr">
        <is>
          <t>Annotation</t>
        </is>
      </c>
      <c r="D1241" t="inlineStr">
        <is>
          <t>Bin_06</t>
        </is>
      </c>
      <c r="E1241" t="n">
        <v>10</v>
      </c>
      <c r="F1241" t="inlineStr">
        <is>
          <t>Positive Valence</t>
        </is>
      </c>
      <c r="G1241" t="n">
        <v>50</v>
      </c>
      <c r="H1241" t="n">
        <v>37.67</v>
      </c>
      <c r="I1241" t="n">
        <v>2</v>
      </c>
      <c r="J1241" t="inlineStr">
        <is>
          <t>NA</t>
        </is>
      </c>
      <c r="K1241" t="n">
        <v>95.2</v>
      </c>
      <c r="L1241">
        <f>IF(K1241&gt;=80,"Yes","No")</f>
        <v/>
      </c>
      <c r="M1241">
        <f>IF(ISNUMBER(H1241),IF(H1241&gt;0,1,0),"")</f>
        <v/>
      </c>
    </row>
    <row r="1242">
      <c r="A1242" t="inlineStr">
        <is>
          <t>SIMULATED_FEA_Commercial_Study</t>
        </is>
      </c>
      <c r="B1242" t="inlineStr">
        <is>
          <t>V23</t>
        </is>
      </c>
      <c r="C1242" t="inlineStr">
        <is>
          <t>Annotation</t>
        </is>
      </c>
      <c r="D1242" t="inlineStr">
        <is>
          <t>Bin_06</t>
        </is>
      </c>
      <c r="E1242" t="n">
        <v>10</v>
      </c>
      <c r="F1242" t="inlineStr">
        <is>
          <t>Negative Valence</t>
        </is>
      </c>
      <c r="G1242" t="n">
        <v>-50</v>
      </c>
      <c r="H1242" t="n">
        <v>0</v>
      </c>
      <c r="I1242" t="n">
        <v>0</v>
      </c>
      <c r="J1242" t="inlineStr">
        <is>
          <t>NA</t>
        </is>
      </c>
      <c r="K1242" t="n">
        <v>95.2</v>
      </c>
      <c r="L1242">
        <f>IF(K1242&gt;=80,"Yes","No")</f>
        <v/>
      </c>
      <c r="M1242">
        <f>IF(ISNUMBER(H1242),IF(H1242&gt;0,1,0),"")</f>
        <v/>
      </c>
    </row>
    <row r="1243">
      <c r="A1243" t="inlineStr">
        <is>
          <t>SIMULATED_FEA_Commercial_Study</t>
        </is>
      </c>
      <c r="B1243" t="inlineStr">
        <is>
          <t>V23</t>
        </is>
      </c>
      <c r="C1243" t="inlineStr">
        <is>
          <t>Annotation</t>
        </is>
      </c>
      <c r="D1243" t="inlineStr">
        <is>
          <t>Bin_06</t>
        </is>
      </c>
      <c r="E1243" t="n">
        <v>10</v>
      </c>
      <c r="F1243" t="inlineStr">
        <is>
          <t>Engagement</t>
        </is>
      </c>
      <c r="G1243" t="inlineStr">
        <is>
          <t>NA</t>
        </is>
      </c>
      <c r="H1243" t="inlineStr">
        <is>
          <t>NA</t>
        </is>
      </c>
      <c r="I1243" t="inlineStr">
        <is>
          <t>NA</t>
        </is>
      </c>
      <c r="J1243" t="n">
        <v>32.84</v>
      </c>
      <c r="K1243" t="n">
        <v>95.2</v>
      </c>
      <c r="L1243">
        <f>IF(K1243&gt;=80,"Yes","No")</f>
        <v/>
      </c>
      <c r="M1243">
        <f>IF(ISNUMBER(H1243),IF(H1243&gt;0,1,0),"")</f>
        <v/>
      </c>
    </row>
    <row r="1244">
      <c r="A1244" t="inlineStr">
        <is>
          <t>SIMULATED_FEA_Commercial_Study</t>
        </is>
      </c>
      <c r="B1244" t="inlineStr">
        <is>
          <t>V24</t>
        </is>
      </c>
      <c r="C1244" t="inlineStr">
        <is>
          <t>Stimulus</t>
        </is>
      </c>
      <c r="D1244" t="inlineStr">
        <is>
          <t>Baseline</t>
        </is>
      </c>
      <c r="E1244" t="n">
        <v>60</v>
      </c>
      <c r="F1244" t="inlineStr">
        <is>
          <t>Joy</t>
        </is>
      </c>
      <c r="G1244" t="n">
        <v>50</v>
      </c>
      <c r="H1244" t="n">
        <v>0</v>
      </c>
      <c r="I1244" t="n">
        <v>0</v>
      </c>
      <c r="J1244" t="inlineStr">
        <is>
          <t>NA</t>
        </is>
      </c>
      <c r="K1244" t="n">
        <v>93</v>
      </c>
      <c r="L1244">
        <f>IF(K1244&gt;=80,"Yes","No")</f>
        <v/>
      </c>
      <c r="M1244">
        <f>IF(ISNUMBER(H1244),IF(H1244&gt;0,1,0),"")</f>
        <v/>
      </c>
    </row>
    <row r="1245">
      <c r="A1245" t="inlineStr">
        <is>
          <t>SIMULATED_FEA_Commercial_Study</t>
        </is>
      </c>
      <c r="B1245" t="inlineStr">
        <is>
          <t>V24</t>
        </is>
      </c>
      <c r="C1245" t="inlineStr">
        <is>
          <t>Stimulus</t>
        </is>
      </c>
      <c r="D1245" t="inlineStr">
        <is>
          <t>Baseline</t>
        </is>
      </c>
      <c r="E1245" t="n">
        <v>60</v>
      </c>
      <c r="F1245" t="inlineStr">
        <is>
          <t>Surprise</t>
        </is>
      </c>
      <c r="G1245" t="n">
        <v>50</v>
      </c>
      <c r="H1245" t="n">
        <v>0</v>
      </c>
      <c r="I1245" t="n">
        <v>0</v>
      </c>
      <c r="J1245" t="inlineStr">
        <is>
          <t>NA</t>
        </is>
      </c>
      <c r="K1245" t="n">
        <v>93</v>
      </c>
      <c r="L1245">
        <f>IF(K1245&gt;=80,"Yes","No")</f>
        <v/>
      </c>
      <c r="M1245">
        <f>IF(ISNUMBER(H1245),IF(H1245&gt;0,1,0),"")</f>
        <v/>
      </c>
    </row>
    <row r="1246">
      <c r="A1246" t="inlineStr">
        <is>
          <t>SIMULATED_FEA_Commercial_Study</t>
        </is>
      </c>
      <c r="B1246" t="inlineStr">
        <is>
          <t>V24</t>
        </is>
      </c>
      <c r="C1246" t="inlineStr">
        <is>
          <t>Stimulus</t>
        </is>
      </c>
      <c r="D1246" t="inlineStr">
        <is>
          <t>Baseline</t>
        </is>
      </c>
      <c r="E1246" t="n">
        <v>60</v>
      </c>
      <c r="F1246" t="inlineStr">
        <is>
          <t>Brow Furrow</t>
        </is>
      </c>
      <c r="G1246" t="n">
        <v>50</v>
      </c>
      <c r="H1246" t="n">
        <v>0</v>
      </c>
      <c r="I1246" t="n">
        <v>0</v>
      </c>
      <c r="J1246" t="inlineStr">
        <is>
          <t>NA</t>
        </is>
      </c>
      <c r="K1246" t="n">
        <v>93</v>
      </c>
      <c r="L1246">
        <f>IF(K1246&gt;=80,"Yes","No")</f>
        <v/>
      </c>
      <c r="M1246">
        <f>IF(ISNUMBER(H1246),IF(H1246&gt;0,1,0),"")</f>
        <v/>
      </c>
    </row>
    <row r="1247">
      <c r="A1247" t="inlineStr">
        <is>
          <t>SIMULATED_FEA_Commercial_Study</t>
        </is>
      </c>
      <c r="B1247" t="inlineStr">
        <is>
          <t>V24</t>
        </is>
      </c>
      <c r="C1247" t="inlineStr">
        <is>
          <t>Stimulus</t>
        </is>
      </c>
      <c r="D1247" t="inlineStr">
        <is>
          <t>Baseline</t>
        </is>
      </c>
      <c r="E1247" t="n">
        <v>60</v>
      </c>
      <c r="F1247" t="inlineStr">
        <is>
          <t>Positive Valence</t>
        </is>
      </c>
      <c r="G1247" t="n">
        <v>50</v>
      </c>
      <c r="H1247" t="n">
        <v>0</v>
      </c>
      <c r="I1247" t="n">
        <v>0</v>
      </c>
      <c r="J1247" t="inlineStr">
        <is>
          <t>NA</t>
        </is>
      </c>
      <c r="K1247" t="n">
        <v>93</v>
      </c>
      <c r="L1247">
        <f>IF(K1247&gt;=80,"Yes","No")</f>
        <v/>
      </c>
      <c r="M1247">
        <f>IF(ISNUMBER(H1247),IF(H1247&gt;0,1,0),"")</f>
        <v/>
      </c>
    </row>
    <row r="1248">
      <c r="A1248" t="inlineStr">
        <is>
          <t>SIMULATED_FEA_Commercial_Study</t>
        </is>
      </c>
      <c r="B1248" t="inlineStr">
        <is>
          <t>V24</t>
        </is>
      </c>
      <c r="C1248" t="inlineStr">
        <is>
          <t>Stimulus</t>
        </is>
      </c>
      <c r="D1248" t="inlineStr">
        <is>
          <t>Baseline</t>
        </is>
      </c>
      <c r="E1248" t="n">
        <v>60</v>
      </c>
      <c r="F1248" t="inlineStr">
        <is>
          <t>Negative Valence</t>
        </is>
      </c>
      <c r="G1248" t="n">
        <v>-50</v>
      </c>
      <c r="H1248" t="n">
        <v>0</v>
      </c>
      <c r="I1248" t="n">
        <v>0</v>
      </c>
      <c r="J1248" t="inlineStr">
        <is>
          <t>NA</t>
        </is>
      </c>
      <c r="K1248" t="n">
        <v>93</v>
      </c>
      <c r="L1248">
        <f>IF(K1248&gt;=80,"Yes","No")</f>
        <v/>
      </c>
      <c r="M1248">
        <f>IF(ISNUMBER(H1248),IF(H1248&gt;0,1,0),"")</f>
        <v/>
      </c>
    </row>
    <row r="1249">
      <c r="A1249" t="inlineStr">
        <is>
          <t>SIMULATED_FEA_Commercial_Study</t>
        </is>
      </c>
      <c r="B1249" t="inlineStr">
        <is>
          <t>V24</t>
        </is>
      </c>
      <c r="C1249" t="inlineStr">
        <is>
          <t>Stimulus</t>
        </is>
      </c>
      <c r="D1249" t="inlineStr">
        <is>
          <t>Baseline</t>
        </is>
      </c>
      <c r="E1249" t="n">
        <v>60</v>
      </c>
      <c r="F1249" t="inlineStr">
        <is>
          <t>Engagement</t>
        </is>
      </c>
      <c r="G1249" t="inlineStr">
        <is>
          <t>NA</t>
        </is>
      </c>
      <c r="H1249" t="inlineStr">
        <is>
          <t>NA</t>
        </is>
      </c>
      <c r="I1249" t="inlineStr">
        <is>
          <t>NA</t>
        </is>
      </c>
      <c r="J1249" t="n">
        <v>4.96</v>
      </c>
      <c r="K1249" t="n">
        <v>93</v>
      </c>
      <c r="L1249">
        <f>IF(K1249&gt;=80,"Yes","No")</f>
        <v/>
      </c>
      <c r="M1249">
        <f>IF(ISNUMBER(H1249),IF(H1249&gt;0,1,0),"")</f>
        <v/>
      </c>
    </row>
    <row r="1250">
      <c r="A1250" t="inlineStr">
        <is>
          <t>SIMULATED_FEA_Commercial_Study</t>
        </is>
      </c>
      <c r="B1250" t="inlineStr">
        <is>
          <t>V24</t>
        </is>
      </c>
      <c r="C1250" t="inlineStr">
        <is>
          <t>Stimulus</t>
        </is>
      </c>
      <c r="D1250" t="inlineStr">
        <is>
          <t>Commercial</t>
        </is>
      </c>
      <c r="E1250" t="n">
        <v>60</v>
      </c>
      <c r="F1250" t="inlineStr">
        <is>
          <t>Joy</t>
        </is>
      </c>
      <c r="G1250" t="n">
        <v>50</v>
      </c>
      <c r="H1250" t="n">
        <v>0</v>
      </c>
      <c r="I1250" t="n">
        <v>0</v>
      </c>
      <c r="J1250" t="inlineStr">
        <is>
          <t>NA</t>
        </is>
      </c>
      <c r="K1250" t="n">
        <v>93</v>
      </c>
      <c r="L1250">
        <f>IF(K1250&gt;=80,"Yes","No")</f>
        <v/>
      </c>
      <c r="M1250">
        <f>IF(ISNUMBER(H1250),IF(H1250&gt;0,1,0),"")</f>
        <v/>
      </c>
    </row>
    <row r="1251">
      <c r="A1251" t="inlineStr">
        <is>
          <t>SIMULATED_FEA_Commercial_Study</t>
        </is>
      </c>
      <c r="B1251" t="inlineStr">
        <is>
          <t>V24</t>
        </is>
      </c>
      <c r="C1251" t="inlineStr">
        <is>
          <t>Stimulus</t>
        </is>
      </c>
      <c r="D1251" t="inlineStr">
        <is>
          <t>Commercial</t>
        </is>
      </c>
      <c r="E1251" t="n">
        <v>60</v>
      </c>
      <c r="F1251" t="inlineStr">
        <is>
          <t>Surprise</t>
        </is>
      </c>
      <c r="G1251" t="n">
        <v>50</v>
      </c>
      <c r="H1251" t="n">
        <v>4.28</v>
      </c>
      <c r="I1251" t="n">
        <v>3</v>
      </c>
      <c r="J1251" t="inlineStr">
        <is>
          <t>NA</t>
        </is>
      </c>
      <c r="K1251" t="n">
        <v>93</v>
      </c>
      <c r="L1251">
        <f>IF(K1251&gt;=80,"Yes","No")</f>
        <v/>
      </c>
      <c r="M1251">
        <f>IF(ISNUMBER(H1251),IF(H1251&gt;0,1,0),"")</f>
        <v/>
      </c>
    </row>
    <row r="1252">
      <c r="A1252" t="inlineStr">
        <is>
          <t>SIMULATED_FEA_Commercial_Study</t>
        </is>
      </c>
      <c r="B1252" t="inlineStr">
        <is>
          <t>V24</t>
        </is>
      </c>
      <c r="C1252" t="inlineStr">
        <is>
          <t>Stimulus</t>
        </is>
      </c>
      <c r="D1252" t="inlineStr">
        <is>
          <t>Commercial</t>
        </is>
      </c>
      <c r="E1252" t="n">
        <v>60</v>
      </c>
      <c r="F1252" t="inlineStr">
        <is>
          <t>Brow Furrow</t>
        </is>
      </c>
      <c r="G1252" t="n">
        <v>50</v>
      </c>
      <c r="H1252" t="n">
        <v>0</v>
      </c>
      <c r="I1252" t="n">
        <v>0</v>
      </c>
      <c r="J1252" t="inlineStr">
        <is>
          <t>NA</t>
        </is>
      </c>
      <c r="K1252" t="n">
        <v>93</v>
      </c>
      <c r="L1252">
        <f>IF(K1252&gt;=80,"Yes","No")</f>
        <v/>
      </c>
      <c r="M1252">
        <f>IF(ISNUMBER(H1252),IF(H1252&gt;0,1,0),"")</f>
        <v/>
      </c>
    </row>
    <row r="1253">
      <c r="A1253" t="inlineStr">
        <is>
          <t>SIMULATED_FEA_Commercial_Study</t>
        </is>
      </c>
      <c r="B1253" t="inlineStr">
        <is>
          <t>V24</t>
        </is>
      </c>
      <c r="C1253" t="inlineStr">
        <is>
          <t>Stimulus</t>
        </is>
      </c>
      <c r="D1253" t="inlineStr">
        <is>
          <t>Commercial</t>
        </is>
      </c>
      <c r="E1253" t="n">
        <v>60</v>
      </c>
      <c r="F1253" t="inlineStr">
        <is>
          <t>Positive Valence</t>
        </is>
      </c>
      <c r="G1253" t="n">
        <v>50</v>
      </c>
      <c r="H1253" t="n">
        <v>3.67</v>
      </c>
      <c r="I1253" t="n">
        <v>2</v>
      </c>
      <c r="J1253" t="inlineStr">
        <is>
          <t>NA</t>
        </is>
      </c>
      <c r="K1253" t="n">
        <v>93</v>
      </c>
      <c r="L1253">
        <f>IF(K1253&gt;=80,"Yes","No")</f>
        <v/>
      </c>
      <c r="M1253">
        <f>IF(ISNUMBER(H1253),IF(H1253&gt;0,1,0),"")</f>
        <v/>
      </c>
    </row>
    <row r="1254">
      <c r="A1254" t="inlineStr">
        <is>
          <t>SIMULATED_FEA_Commercial_Study</t>
        </is>
      </c>
      <c r="B1254" t="inlineStr">
        <is>
          <t>V24</t>
        </is>
      </c>
      <c r="C1254" t="inlineStr">
        <is>
          <t>Stimulus</t>
        </is>
      </c>
      <c r="D1254" t="inlineStr">
        <is>
          <t>Commercial</t>
        </is>
      </c>
      <c r="E1254" t="n">
        <v>60</v>
      </c>
      <c r="F1254" t="inlineStr">
        <is>
          <t>Negative Valence</t>
        </is>
      </c>
      <c r="G1254" t="n">
        <v>-50</v>
      </c>
      <c r="H1254" t="n">
        <v>2.39</v>
      </c>
      <c r="I1254" t="n">
        <v>2</v>
      </c>
      <c r="J1254" t="inlineStr">
        <is>
          <t>NA</t>
        </is>
      </c>
      <c r="K1254" t="n">
        <v>93</v>
      </c>
      <c r="L1254">
        <f>IF(K1254&gt;=80,"Yes","No")</f>
        <v/>
      </c>
      <c r="M1254">
        <f>IF(ISNUMBER(H1254),IF(H1254&gt;0,1,0),"")</f>
        <v/>
      </c>
    </row>
    <row r="1255">
      <c r="A1255" t="inlineStr">
        <is>
          <t>SIMULATED_FEA_Commercial_Study</t>
        </is>
      </c>
      <c r="B1255" t="inlineStr">
        <is>
          <t>V24</t>
        </is>
      </c>
      <c r="C1255" t="inlineStr">
        <is>
          <t>Stimulus</t>
        </is>
      </c>
      <c r="D1255" t="inlineStr">
        <is>
          <t>Commercial</t>
        </is>
      </c>
      <c r="E1255" t="n">
        <v>60</v>
      </c>
      <c r="F1255" t="inlineStr">
        <is>
          <t>Engagement</t>
        </is>
      </c>
      <c r="G1255" t="inlineStr">
        <is>
          <t>NA</t>
        </is>
      </c>
      <c r="H1255" t="inlineStr">
        <is>
          <t>NA</t>
        </is>
      </c>
      <c r="I1255" t="inlineStr">
        <is>
          <t>NA</t>
        </is>
      </c>
      <c r="J1255" t="n">
        <v>10.79</v>
      </c>
      <c r="K1255" t="n">
        <v>93</v>
      </c>
      <c r="L1255">
        <f>IF(K1255&gt;=80,"Yes","No")</f>
        <v/>
      </c>
      <c r="M1255">
        <f>IF(ISNUMBER(H1255),IF(H1255&gt;0,1,0),"")</f>
        <v/>
      </c>
    </row>
    <row r="1256">
      <c r="A1256" t="inlineStr">
        <is>
          <t>SIMULATED_FEA_Commercial_Study</t>
        </is>
      </c>
      <c r="B1256" t="inlineStr">
        <is>
          <t>V24</t>
        </is>
      </c>
      <c r="C1256" t="inlineStr">
        <is>
          <t>Stimulus</t>
        </is>
      </c>
      <c r="D1256" t="inlineStr">
        <is>
          <t>Recovery</t>
        </is>
      </c>
      <c r="E1256" t="n">
        <v>15</v>
      </c>
      <c r="F1256" t="inlineStr">
        <is>
          <t>Joy</t>
        </is>
      </c>
      <c r="G1256" t="n">
        <v>50</v>
      </c>
      <c r="H1256" t="n">
        <v>0</v>
      </c>
      <c r="I1256" t="n">
        <v>0</v>
      </c>
      <c r="J1256" t="inlineStr">
        <is>
          <t>NA</t>
        </is>
      </c>
      <c r="K1256" t="n">
        <v>93</v>
      </c>
      <c r="L1256">
        <f>IF(K1256&gt;=80,"Yes","No")</f>
        <v/>
      </c>
      <c r="M1256">
        <f>IF(ISNUMBER(H1256),IF(H1256&gt;0,1,0),"")</f>
        <v/>
      </c>
    </row>
    <row r="1257">
      <c r="A1257" t="inlineStr">
        <is>
          <t>SIMULATED_FEA_Commercial_Study</t>
        </is>
      </c>
      <c r="B1257" t="inlineStr">
        <is>
          <t>V24</t>
        </is>
      </c>
      <c r="C1257" t="inlineStr">
        <is>
          <t>Stimulus</t>
        </is>
      </c>
      <c r="D1257" t="inlineStr">
        <is>
          <t>Recovery</t>
        </is>
      </c>
      <c r="E1257" t="n">
        <v>15</v>
      </c>
      <c r="F1257" t="inlineStr">
        <is>
          <t>Surprise</t>
        </is>
      </c>
      <c r="G1257" t="n">
        <v>50</v>
      </c>
      <c r="H1257" t="n">
        <v>0</v>
      </c>
      <c r="I1257" t="n">
        <v>0</v>
      </c>
      <c r="J1257" t="inlineStr">
        <is>
          <t>NA</t>
        </is>
      </c>
      <c r="K1257" t="n">
        <v>93</v>
      </c>
      <c r="L1257">
        <f>IF(K1257&gt;=80,"Yes","No")</f>
        <v/>
      </c>
      <c r="M1257">
        <f>IF(ISNUMBER(H1257),IF(H1257&gt;0,1,0),"")</f>
        <v/>
      </c>
    </row>
    <row r="1258">
      <c r="A1258" t="inlineStr">
        <is>
          <t>SIMULATED_FEA_Commercial_Study</t>
        </is>
      </c>
      <c r="B1258" t="inlineStr">
        <is>
          <t>V24</t>
        </is>
      </c>
      <c r="C1258" t="inlineStr">
        <is>
          <t>Stimulus</t>
        </is>
      </c>
      <c r="D1258" t="inlineStr">
        <is>
          <t>Recovery</t>
        </is>
      </c>
      <c r="E1258" t="n">
        <v>15</v>
      </c>
      <c r="F1258" t="inlineStr">
        <is>
          <t>Brow Furrow</t>
        </is>
      </c>
      <c r="G1258" t="n">
        <v>50</v>
      </c>
      <c r="H1258" t="n">
        <v>0</v>
      </c>
      <c r="I1258" t="n">
        <v>0</v>
      </c>
      <c r="J1258" t="inlineStr">
        <is>
          <t>NA</t>
        </is>
      </c>
      <c r="K1258" t="n">
        <v>93</v>
      </c>
      <c r="L1258">
        <f>IF(K1258&gt;=80,"Yes","No")</f>
        <v/>
      </c>
      <c r="M1258">
        <f>IF(ISNUMBER(H1258),IF(H1258&gt;0,1,0),"")</f>
        <v/>
      </c>
    </row>
    <row r="1259">
      <c r="A1259" t="inlineStr">
        <is>
          <t>SIMULATED_FEA_Commercial_Study</t>
        </is>
      </c>
      <c r="B1259" t="inlineStr">
        <is>
          <t>V24</t>
        </is>
      </c>
      <c r="C1259" t="inlineStr">
        <is>
          <t>Stimulus</t>
        </is>
      </c>
      <c r="D1259" t="inlineStr">
        <is>
          <t>Recovery</t>
        </is>
      </c>
      <c r="E1259" t="n">
        <v>15</v>
      </c>
      <c r="F1259" t="inlineStr">
        <is>
          <t>Positive Valence</t>
        </is>
      </c>
      <c r="G1259" t="n">
        <v>50</v>
      </c>
      <c r="H1259" t="n">
        <v>0</v>
      </c>
      <c r="I1259" t="n">
        <v>0</v>
      </c>
      <c r="J1259" t="inlineStr">
        <is>
          <t>NA</t>
        </is>
      </c>
      <c r="K1259" t="n">
        <v>93</v>
      </c>
      <c r="L1259">
        <f>IF(K1259&gt;=80,"Yes","No")</f>
        <v/>
      </c>
      <c r="M1259">
        <f>IF(ISNUMBER(H1259),IF(H1259&gt;0,1,0),"")</f>
        <v/>
      </c>
    </row>
    <row r="1260">
      <c r="A1260" t="inlineStr">
        <is>
          <t>SIMULATED_FEA_Commercial_Study</t>
        </is>
      </c>
      <c r="B1260" t="inlineStr">
        <is>
          <t>V24</t>
        </is>
      </c>
      <c r="C1260" t="inlineStr">
        <is>
          <t>Stimulus</t>
        </is>
      </c>
      <c r="D1260" t="inlineStr">
        <is>
          <t>Recovery</t>
        </is>
      </c>
      <c r="E1260" t="n">
        <v>15</v>
      </c>
      <c r="F1260" t="inlineStr">
        <is>
          <t>Negative Valence</t>
        </is>
      </c>
      <c r="G1260" t="n">
        <v>-50</v>
      </c>
      <c r="H1260" t="n">
        <v>0</v>
      </c>
      <c r="I1260" t="n">
        <v>0</v>
      </c>
      <c r="J1260" t="inlineStr">
        <is>
          <t>NA</t>
        </is>
      </c>
      <c r="K1260" t="n">
        <v>93</v>
      </c>
      <c r="L1260">
        <f>IF(K1260&gt;=80,"Yes","No")</f>
        <v/>
      </c>
      <c r="M1260">
        <f>IF(ISNUMBER(H1260),IF(H1260&gt;0,1,0),"")</f>
        <v/>
      </c>
    </row>
    <row r="1261">
      <c r="A1261" t="inlineStr">
        <is>
          <t>SIMULATED_FEA_Commercial_Study</t>
        </is>
      </c>
      <c r="B1261" t="inlineStr">
        <is>
          <t>V24</t>
        </is>
      </c>
      <c r="C1261" t="inlineStr">
        <is>
          <t>Stimulus</t>
        </is>
      </c>
      <c r="D1261" t="inlineStr">
        <is>
          <t>Recovery</t>
        </is>
      </c>
      <c r="E1261" t="n">
        <v>15</v>
      </c>
      <c r="F1261" t="inlineStr">
        <is>
          <t>Engagement</t>
        </is>
      </c>
      <c r="G1261" t="inlineStr">
        <is>
          <t>NA</t>
        </is>
      </c>
      <c r="H1261" t="inlineStr">
        <is>
          <t>NA</t>
        </is>
      </c>
      <c r="I1261" t="inlineStr">
        <is>
          <t>NA</t>
        </is>
      </c>
      <c r="J1261" t="n">
        <v>4.89</v>
      </c>
      <c r="K1261" t="n">
        <v>93</v>
      </c>
      <c r="L1261">
        <f>IF(K1261&gt;=80,"Yes","No")</f>
        <v/>
      </c>
      <c r="M1261">
        <f>IF(ISNUMBER(H1261),IF(H1261&gt;0,1,0),"")</f>
        <v/>
      </c>
    </row>
    <row r="1262">
      <c r="A1262" t="inlineStr">
        <is>
          <t>SIMULATED_FEA_Commercial_Study</t>
        </is>
      </c>
      <c r="B1262" t="inlineStr">
        <is>
          <t>V24</t>
        </is>
      </c>
      <c r="C1262" t="inlineStr">
        <is>
          <t>Annotation</t>
        </is>
      </c>
      <c r="D1262" t="inlineStr">
        <is>
          <t>Bin_01</t>
        </is>
      </c>
      <c r="E1262" t="n">
        <v>10</v>
      </c>
      <c r="F1262" t="inlineStr">
        <is>
          <t>Joy</t>
        </is>
      </c>
      <c r="G1262" t="n">
        <v>50</v>
      </c>
      <c r="H1262" t="n">
        <v>0</v>
      </c>
      <c r="I1262" t="n">
        <v>0</v>
      </c>
      <c r="J1262" t="inlineStr">
        <is>
          <t>NA</t>
        </is>
      </c>
      <c r="K1262" t="n">
        <v>93</v>
      </c>
      <c r="L1262">
        <f>IF(K1262&gt;=80,"Yes","No")</f>
        <v/>
      </c>
      <c r="M1262">
        <f>IF(ISNUMBER(H1262),IF(H1262&gt;0,1,0),"")</f>
        <v/>
      </c>
    </row>
    <row r="1263">
      <c r="A1263" t="inlineStr">
        <is>
          <t>SIMULATED_FEA_Commercial_Study</t>
        </is>
      </c>
      <c r="B1263" t="inlineStr">
        <is>
          <t>V24</t>
        </is>
      </c>
      <c r="C1263" t="inlineStr">
        <is>
          <t>Annotation</t>
        </is>
      </c>
      <c r="D1263" t="inlineStr">
        <is>
          <t>Bin_01</t>
        </is>
      </c>
      <c r="E1263" t="n">
        <v>10</v>
      </c>
      <c r="F1263" t="inlineStr">
        <is>
          <t>Surprise</t>
        </is>
      </c>
      <c r="G1263" t="n">
        <v>50</v>
      </c>
      <c r="H1263" t="n">
        <v>0</v>
      </c>
      <c r="I1263" t="n">
        <v>0</v>
      </c>
      <c r="J1263" t="inlineStr">
        <is>
          <t>NA</t>
        </is>
      </c>
      <c r="K1263" t="n">
        <v>93</v>
      </c>
      <c r="L1263">
        <f>IF(K1263&gt;=80,"Yes","No")</f>
        <v/>
      </c>
      <c r="M1263">
        <f>IF(ISNUMBER(H1263),IF(H1263&gt;0,1,0),"")</f>
        <v/>
      </c>
    </row>
    <row r="1264">
      <c r="A1264" t="inlineStr">
        <is>
          <t>SIMULATED_FEA_Commercial_Study</t>
        </is>
      </c>
      <c r="B1264" t="inlineStr">
        <is>
          <t>V24</t>
        </is>
      </c>
      <c r="C1264" t="inlineStr">
        <is>
          <t>Annotation</t>
        </is>
      </c>
      <c r="D1264" t="inlineStr">
        <is>
          <t>Bin_01</t>
        </is>
      </c>
      <c r="E1264" t="n">
        <v>10</v>
      </c>
      <c r="F1264" t="inlineStr">
        <is>
          <t>Brow Furrow</t>
        </is>
      </c>
      <c r="G1264" t="n">
        <v>50</v>
      </c>
      <c r="H1264" t="n">
        <v>0</v>
      </c>
      <c r="I1264" t="n">
        <v>0</v>
      </c>
      <c r="J1264" t="inlineStr">
        <is>
          <t>NA</t>
        </is>
      </c>
      <c r="K1264" t="n">
        <v>93</v>
      </c>
      <c r="L1264">
        <f>IF(K1264&gt;=80,"Yes","No")</f>
        <v/>
      </c>
      <c r="M1264">
        <f>IF(ISNUMBER(H1264),IF(H1264&gt;0,1,0),"")</f>
        <v/>
      </c>
    </row>
    <row r="1265">
      <c r="A1265" t="inlineStr">
        <is>
          <t>SIMULATED_FEA_Commercial_Study</t>
        </is>
      </c>
      <c r="B1265" t="inlineStr">
        <is>
          <t>V24</t>
        </is>
      </c>
      <c r="C1265" t="inlineStr">
        <is>
          <t>Annotation</t>
        </is>
      </c>
      <c r="D1265" t="inlineStr">
        <is>
          <t>Bin_01</t>
        </is>
      </c>
      <c r="E1265" t="n">
        <v>10</v>
      </c>
      <c r="F1265" t="inlineStr">
        <is>
          <t>Positive Valence</t>
        </is>
      </c>
      <c r="G1265" t="n">
        <v>50</v>
      </c>
      <c r="H1265" t="n">
        <v>0</v>
      </c>
      <c r="I1265" t="n">
        <v>0</v>
      </c>
      <c r="J1265" t="inlineStr">
        <is>
          <t>NA</t>
        </is>
      </c>
      <c r="K1265" t="n">
        <v>93</v>
      </c>
      <c r="L1265">
        <f>IF(K1265&gt;=80,"Yes","No")</f>
        <v/>
      </c>
      <c r="M1265">
        <f>IF(ISNUMBER(H1265),IF(H1265&gt;0,1,0),"")</f>
        <v/>
      </c>
    </row>
    <row r="1266">
      <c r="A1266" t="inlineStr">
        <is>
          <t>SIMULATED_FEA_Commercial_Study</t>
        </is>
      </c>
      <c r="B1266" t="inlineStr">
        <is>
          <t>V24</t>
        </is>
      </c>
      <c r="C1266" t="inlineStr">
        <is>
          <t>Annotation</t>
        </is>
      </c>
      <c r="D1266" t="inlineStr">
        <is>
          <t>Bin_01</t>
        </is>
      </c>
      <c r="E1266" t="n">
        <v>10</v>
      </c>
      <c r="F1266" t="inlineStr">
        <is>
          <t>Negative Valence</t>
        </is>
      </c>
      <c r="G1266" t="n">
        <v>-50</v>
      </c>
      <c r="H1266" t="n">
        <v>0</v>
      </c>
      <c r="I1266" t="n">
        <v>0</v>
      </c>
      <c r="J1266" t="inlineStr">
        <is>
          <t>NA</t>
        </is>
      </c>
      <c r="K1266" t="n">
        <v>93</v>
      </c>
      <c r="L1266">
        <f>IF(K1266&gt;=80,"Yes","No")</f>
        <v/>
      </c>
      <c r="M1266">
        <f>IF(ISNUMBER(H1266),IF(H1266&gt;0,1,0),"")</f>
        <v/>
      </c>
    </row>
    <row r="1267">
      <c r="A1267" t="inlineStr">
        <is>
          <t>SIMULATED_FEA_Commercial_Study</t>
        </is>
      </c>
      <c r="B1267" t="inlineStr">
        <is>
          <t>V24</t>
        </is>
      </c>
      <c r="C1267" t="inlineStr">
        <is>
          <t>Annotation</t>
        </is>
      </c>
      <c r="D1267" t="inlineStr">
        <is>
          <t>Bin_01</t>
        </is>
      </c>
      <c r="E1267" t="n">
        <v>10</v>
      </c>
      <c r="F1267" t="inlineStr">
        <is>
          <t>Engagement</t>
        </is>
      </c>
      <c r="G1267" t="inlineStr">
        <is>
          <t>NA</t>
        </is>
      </c>
      <c r="H1267" t="inlineStr">
        <is>
          <t>NA</t>
        </is>
      </c>
      <c r="I1267" t="inlineStr">
        <is>
          <t>NA</t>
        </is>
      </c>
      <c r="J1267" t="n">
        <v>4.64</v>
      </c>
      <c r="K1267" t="n">
        <v>93</v>
      </c>
      <c r="L1267">
        <f>IF(K1267&gt;=80,"Yes","No")</f>
        <v/>
      </c>
      <c r="M1267">
        <f>IF(ISNUMBER(H1267),IF(H1267&gt;0,1,0),"")</f>
        <v/>
      </c>
    </row>
    <row r="1268">
      <c r="A1268" t="inlineStr">
        <is>
          <t>SIMULATED_FEA_Commercial_Study</t>
        </is>
      </c>
      <c r="B1268" t="inlineStr">
        <is>
          <t>V24</t>
        </is>
      </c>
      <c r="C1268" t="inlineStr">
        <is>
          <t>Annotation</t>
        </is>
      </c>
      <c r="D1268" t="inlineStr">
        <is>
          <t>Bin_02</t>
        </is>
      </c>
      <c r="E1268" t="n">
        <v>10</v>
      </c>
      <c r="F1268" t="inlineStr">
        <is>
          <t>Joy</t>
        </is>
      </c>
      <c r="G1268" t="n">
        <v>50</v>
      </c>
      <c r="H1268" t="n">
        <v>0</v>
      </c>
      <c r="I1268" t="n">
        <v>0</v>
      </c>
      <c r="J1268" t="inlineStr">
        <is>
          <t>NA</t>
        </is>
      </c>
      <c r="K1268" t="n">
        <v>93</v>
      </c>
      <c r="L1268">
        <f>IF(K1268&gt;=80,"Yes","No")</f>
        <v/>
      </c>
      <c r="M1268">
        <f>IF(ISNUMBER(H1268),IF(H1268&gt;0,1,0),"")</f>
        <v/>
      </c>
    </row>
    <row r="1269">
      <c r="A1269" t="inlineStr">
        <is>
          <t>SIMULATED_FEA_Commercial_Study</t>
        </is>
      </c>
      <c r="B1269" t="inlineStr">
        <is>
          <t>V24</t>
        </is>
      </c>
      <c r="C1269" t="inlineStr">
        <is>
          <t>Annotation</t>
        </is>
      </c>
      <c r="D1269" t="inlineStr">
        <is>
          <t>Bin_02</t>
        </is>
      </c>
      <c r="E1269" t="n">
        <v>10</v>
      </c>
      <c r="F1269" t="inlineStr">
        <is>
          <t>Surprise</t>
        </is>
      </c>
      <c r="G1269" t="n">
        <v>50</v>
      </c>
      <c r="H1269" t="n">
        <v>0</v>
      </c>
      <c r="I1269" t="n">
        <v>0</v>
      </c>
      <c r="J1269" t="inlineStr">
        <is>
          <t>NA</t>
        </is>
      </c>
      <c r="K1269" t="n">
        <v>93</v>
      </c>
      <c r="L1269">
        <f>IF(K1269&gt;=80,"Yes","No")</f>
        <v/>
      </c>
      <c r="M1269">
        <f>IF(ISNUMBER(H1269),IF(H1269&gt;0,1,0),"")</f>
        <v/>
      </c>
    </row>
    <row r="1270">
      <c r="A1270" t="inlineStr">
        <is>
          <t>SIMULATED_FEA_Commercial_Study</t>
        </is>
      </c>
      <c r="B1270" t="inlineStr">
        <is>
          <t>V24</t>
        </is>
      </c>
      <c r="C1270" t="inlineStr">
        <is>
          <t>Annotation</t>
        </is>
      </c>
      <c r="D1270" t="inlineStr">
        <is>
          <t>Bin_02</t>
        </is>
      </c>
      <c r="E1270" t="n">
        <v>10</v>
      </c>
      <c r="F1270" t="inlineStr">
        <is>
          <t>Brow Furrow</t>
        </is>
      </c>
      <c r="G1270" t="n">
        <v>50</v>
      </c>
      <c r="H1270" t="n">
        <v>0</v>
      </c>
      <c r="I1270" t="n">
        <v>0</v>
      </c>
      <c r="J1270" t="inlineStr">
        <is>
          <t>NA</t>
        </is>
      </c>
      <c r="K1270" t="n">
        <v>93</v>
      </c>
      <c r="L1270">
        <f>IF(K1270&gt;=80,"Yes","No")</f>
        <v/>
      </c>
      <c r="M1270">
        <f>IF(ISNUMBER(H1270),IF(H1270&gt;0,1,0),"")</f>
        <v/>
      </c>
    </row>
    <row r="1271">
      <c r="A1271" t="inlineStr">
        <is>
          <t>SIMULATED_FEA_Commercial_Study</t>
        </is>
      </c>
      <c r="B1271" t="inlineStr">
        <is>
          <t>V24</t>
        </is>
      </c>
      <c r="C1271" t="inlineStr">
        <is>
          <t>Annotation</t>
        </is>
      </c>
      <c r="D1271" t="inlineStr">
        <is>
          <t>Bin_02</t>
        </is>
      </c>
      <c r="E1271" t="n">
        <v>10</v>
      </c>
      <c r="F1271" t="inlineStr">
        <is>
          <t>Positive Valence</t>
        </is>
      </c>
      <c r="G1271" t="n">
        <v>50</v>
      </c>
      <c r="H1271" t="n">
        <v>22</v>
      </c>
      <c r="I1271" t="n">
        <v>2</v>
      </c>
      <c r="J1271" t="inlineStr">
        <is>
          <t>NA</t>
        </is>
      </c>
      <c r="K1271" t="n">
        <v>93</v>
      </c>
      <c r="L1271">
        <f>IF(K1271&gt;=80,"Yes","No")</f>
        <v/>
      </c>
      <c r="M1271">
        <f>IF(ISNUMBER(H1271),IF(H1271&gt;0,1,0),"")</f>
        <v/>
      </c>
    </row>
    <row r="1272">
      <c r="A1272" t="inlineStr">
        <is>
          <t>SIMULATED_FEA_Commercial_Study</t>
        </is>
      </c>
      <c r="B1272" t="inlineStr">
        <is>
          <t>V24</t>
        </is>
      </c>
      <c r="C1272" t="inlineStr">
        <is>
          <t>Annotation</t>
        </is>
      </c>
      <c r="D1272" t="inlineStr">
        <is>
          <t>Bin_02</t>
        </is>
      </c>
      <c r="E1272" t="n">
        <v>10</v>
      </c>
      <c r="F1272" t="inlineStr">
        <is>
          <t>Negative Valence</t>
        </is>
      </c>
      <c r="G1272" t="n">
        <v>-50</v>
      </c>
      <c r="H1272" t="n">
        <v>0</v>
      </c>
      <c r="I1272" t="n">
        <v>0</v>
      </c>
      <c r="J1272" t="inlineStr">
        <is>
          <t>NA</t>
        </is>
      </c>
      <c r="K1272" t="n">
        <v>93</v>
      </c>
      <c r="L1272">
        <f>IF(K1272&gt;=80,"Yes","No")</f>
        <v/>
      </c>
      <c r="M1272">
        <f>IF(ISNUMBER(H1272),IF(H1272&gt;0,1,0),"")</f>
        <v/>
      </c>
    </row>
    <row r="1273">
      <c r="A1273" t="inlineStr">
        <is>
          <t>SIMULATED_FEA_Commercial_Study</t>
        </is>
      </c>
      <c r="B1273" t="inlineStr">
        <is>
          <t>V24</t>
        </is>
      </c>
      <c r="C1273" t="inlineStr">
        <is>
          <t>Annotation</t>
        </is>
      </c>
      <c r="D1273" t="inlineStr">
        <is>
          <t>Bin_02</t>
        </is>
      </c>
      <c r="E1273" t="n">
        <v>10</v>
      </c>
      <c r="F1273" t="inlineStr">
        <is>
          <t>Engagement</t>
        </is>
      </c>
      <c r="G1273" t="inlineStr">
        <is>
          <t>NA</t>
        </is>
      </c>
      <c r="H1273" t="inlineStr">
        <is>
          <t>NA</t>
        </is>
      </c>
      <c r="I1273" t="inlineStr">
        <is>
          <t>NA</t>
        </is>
      </c>
      <c r="J1273" t="n">
        <v>13.41</v>
      </c>
      <c r="K1273" t="n">
        <v>93</v>
      </c>
      <c r="L1273">
        <f>IF(K1273&gt;=80,"Yes","No")</f>
        <v/>
      </c>
      <c r="M1273">
        <f>IF(ISNUMBER(H1273),IF(H1273&gt;0,1,0),"")</f>
        <v/>
      </c>
    </row>
    <row r="1274">
      <c r="A1274" t="inlineStr">
        <is>
          <t>SIMULATED_FEA_Commercial_Study</t>
        </is>
      </c>
      <c r="B1274" t="inlineStr">
        <is>
          <t>V24</t>
        </is>
      </c>
      <c r="C1274" t="inlineStr">
        <is>
          <t>Annotation</t>
        </is>
      </c>
      <c r="D1274" t="inlineStr">
        <is>
          <t>Bin_03</t>
        </is>
      </c>
      <c r="E1274" t="n">
        <v>10</v>
      </c>
      <c r="F1274" t="inlineStr">
        <is>
          <t>Joy</t>
        </is>
      </c>
      <c r="G1274" t="n">
        <v>50</v>
      </c>
      <c r="H1274" t="n">
        <v>0</v>
      </c>
      <c r="I1274" t="n">
        <v>0</v>
      </c>
      <c r="J1274" t="inlineStr">
        <is>
          <t>NA</t>
        </is>
      </c>
      <c r="K1274" t="n">
        <v>93</v>
      </c>
      <c r="L1274">
        <f>IF(K1274&gt;=80,"Yes","No")</f>
        <v/>
      </c>
      <c r="M1274">
        <f>IF(ISNUMBER(H1274),IF(H1274&gt;0,1,0),"")</f>
        <v/>
      </c>
    </row>
    <row r="1275">
      <c r="A1275" t="inlineStr">
        <is>
          <t>SIMULATED_FEA_Commercial_Study</t>
        </is>
      </c>
      <c r="B1275" t="inlineStr">
        <is>
          <t>V24</t>
        </is>
      </c>
      <c r="C1275" t="inlineStr">
        <is>
          <t>Annotation</t>
        </is>
      </c>
      <c r="D1275" t="inlineStr">
        <is>
          <t>Bin_03</t>
        </is>
      </c>
      <c r="E1275" t="n">
        <v>10</v>
      </c>
      <c r="F1275" t="inlineStr">
        <is>
          <t>Surprise</t>
        </is>
      </c>
      <c r="G1275" t="n">
        <v>50</v>
      </c>
      <c r="H1275" t="n">
        <v>22.67</v>
      </c>
      <c r="I1275" t="n">
        <v>3</v>
      </c>
      <c r="J1275" t="inlineStr">
        <is>
          <t>NA</t>
        </is>
      </c>
      <c r="K1275" t="n">
        <v>93</v>
      </c>
      <c r="L1275">
        <f>IF(K1275&gt;=80,"Yes","No")</f>
        <v/>
      </c>
      <c r="M1275">
        <f>IF(ISNUMBER(H1275),IF(H1275&gt;0,1,0),"")</f>
        <v/>
      </c>
    </row>
    <row r="1276">
      <c r="A1276" t="inlineStr">
        <is>
          <t>SIMULATED_FEA_Commercial_Study</t>
        </is>
      </c>
      <c r="B1276" t="inlineStr">
        <is>
          <t>V24</t>
        </is>
      </c>
      <c r="C1276" t="inlineStr">
        <is>
          <t>Annotation</t>
        </is>
      </c>
      <c r="D1276" t="inlineStr">
        <is>
          <t>Bin_03</t>
        </is>
      </c>
      <c r="E1276" t="n">
        <v>10</v>
      </c>
      <c r="F1276" t="inlineStr">
        <is>
          <t>Brow Furrow</t>
        </is>
      </c>
      <c r="G1276" t="n">
        <v>50</v>
      </c>
      <c r="H1276" t="n">
        <v>0</v>
      </c>
      <c r="I1276" t="n">
        <v>0</v>
      </c>
      <c r="J1276" t="inlineStr">
        <is>
          <t>NA</t>
        </is>
      </c>
      <c r="K1276" t="n">
        <v>93</v>
      </c>
      <c r="L1276">
        <f>IF(K1276&gt;=80,"Yes","No")</f>
        <v/>
      </c>
      <c r="M1276">
        <f>IF(ISNUMBER(H1276),IF(H1276&gt;0,1,0),"")</f>
        <v/>
      </c>
    </row>
    <row r="1277">
      <c r="A1277" t="inlineStr">
        <is>
          <t>SIMULATED_FEA_Commercial_Study</t>
        </is>
      </c>
      <c r="B1277" t="inlineStr">
        <is>
          <t>V24</t>
        </is>
      </c>
      <c r="C1277" t="inlineStr">
        <is>
          <t>Annotation</t>
        </is>
      </c>
      <c r="D1277" t="inlineStr">
        <is>
          <t>Bin_03</t>
        </is>
      </c>
      <c r="E1277" t="n">
        <v>10</v>
      </c>
      <c r="F1277" t="inlineStr">
        <is>
          <t>Positive Valence</t>
        </is>
      </c>
      <c r="G1277" t="n">
        <v>50</v>
      </c>
      <c r="H1277" t="n">
        <v>0</v>
      </c>
      <c r="I1277" t="n">
        <v>0</v>
      </c>
      <c r="J1277" t="inlineStr">
        <is>
          <t>NA</t>
        </is>
      </c>
      <c r="K1277" t="n">
        <v>93</v>
      </c>
      <c r="L1277">
        <f>IF(K1277&gt;=80,"Yes","No")</f>
        <v/>
      </c>
      <c r="M1277">
        <f>IF(ISNUMBER(H1277),IF(H1277&gt;0,1,0),"")</f>
        <v/>
      </c>
    </row>
    <row r="1278">
      <c r="A1278" t="inlineStr">
        <is>
          <t>SIMULATED_FEA_Commercial_Study</t>
        </is>
      </c>
      <c r="B1278" t="inlineStr">
        <is>
          <t>V24</t>
        </is>
      </c>
      <c r="C1278" t="inlineStr">
        <is>
          <t>Annotation</t>
        </is>
      </c>
      <c r="D1278" t="inlineStr">
        <is>
          <t>Bin_03</t>
        </is>
      </c>
      <c r="E1278" t="n">
        <v>10</v>
      </c>
      <c r="F1278" t="inlineStr">
        <is>
          <t>Negative Valence</t>
        </is>
      </c>
      <c r="G1278" t="n">
        <v>-50</v>
      </c>
      <c r="H1278" t="n">
        <v>0</v>
      </c>
      <c r="I1278" t="n">
        <v>0</v>
      </c>
      <c r="J1278" t="inlineStr">
        <is>
          <t>NA</t>
        </is>
      </c>
      <c r="K1278" t="n">
        <v>93</v>
      </c>
      <c r="L1278">
        <f>IF(K1278&gt;=80,"Yes","No")</f>
        <v/>
      </c>
      <c r="M1278">
        <f>IF(ISNUMBER(H1278),IF(H1278&gt;0,1,0),"")</f>
        <v/>
      </c>
    </row>
    <row r="1279">
      <c r="A1279" t="inlineStr">
        <is>
          <t>SIMULATED_FEA_Commercial_Study</t>
        </is>
      </c>
      <c r="B1279" t="inlineStr">
        <is>
          <t>V24</t>
        </is>
      </c>
      <c r="C1279" t="inlineStr">
        <is>
          <t>Annotation</t>
        </is>
      </c>
      <c r="D1279" t="inlineStr">
        <is>
          <t>Bin_03</t>
        </is>
      </c>
      <c r="E1279" t="n">
        <v>10</v>
      </c>
      <c r="F1279" t="inlineStr">
        <is>
          <t>Engagement</t>
        </is>
      </c>
      <c r="G1279" t="inlineStr">
        <is>
          <t>NA</t>
        </is>
      </c>
      <c r="H1279" t="inlineStr">
        <is>
          <t>NA</t>
        </is>
      </c>
      <c r="I1279" t="inlineStr">
        <is>
          <t>NA</t>
        </is>
      </c>
      <c r="J1279" t="n">
        <v>23.65</v>
      </c>
      <c r="K1279" t="n">
        <v>93</v>
      </c>
      <c r="L1279">
        <f>IF(K1279&gt;=80,"Yes","No")</f>
        <v/>
      </c>
      <c r="M1279">
        <f>IF(ISNUMBER(H1279),IF(H1279&gt;0,1,0),"")</f>
        <v/>
      </c>
    </row>
    <row r="1280">
      <c r="A1280" t="inlineStr">
        <is>
          <t>SIMULATED_FEA_Commercial_Study</t>
        </is>
      </c>
      <c r="B1280" t="inlineStr">
        <is>
          <t>V24</t>
        </is>
      </c>
      <c r="C1280" t="inlineStr">
        <is>
          <t>Annotation</t>
        </is>
      </c>
      <c r="D1280" t="inlineStr">
        <is>
          <t>Bin_04</t>
        </is>
      </c>
      <c r="E1280" t="n">
        <v>10</v>
      </c>
      <c r="F1280" t="inlineStr">
        <is>
          <t>Joy</t>
        </is>
      </c>
      <c r="G1280" t="n">
        <v>50</v>
      </c>
      <c r="H1280" t="n">
        <v>0</v>
      </c>
      <c r="I1280" t="n">
        <v>0</v>
      </c>
      <c r="J1280" t="inlineStr">
        <is>
          <t>NA</t>
        </is>
      </c>
      <c r="K1280" t="n">
        <v>93</v>
      </c>
      <c r="L1280">
        <f>IF(K1280&gt;=80,"Yes","No")</f>
        <v/>
      </c>
      <c r="M1280">
        <f>IF(ISNUMBER(H1280),IF(H1280&gt;0,1,0),"")</f>
        <v/>
      </c>
    </row>
    <row r="1281">
      <c r="A1281" t="inlineStr">
        <is>
          <t>SIMULATED_FEA_Commercial_Study</t>
        </is>
      </c>
      <c r="B1281" t="inlineStr">
        <is>
          <t>V24</t>
        </is>
      </c>
      <c r="C1281" t="inlineStr">
        <is>
          <t>Annotation</t>
        </is>
      </c>
      <c r="D1281" t="inlineStr">
        <is>
          <t>Bin_04</t>
        </is>
      </c>
      <c r="E1281" t="n">
        <v>10</v>
      </c>
      <c r="F1281" t="inlineStr">
        <is>
          <t>Surprise</t>
        </is>
      </c>
      <c r="G1281" t="n">
        <v>50</v>
      </c>
      <c r="H1281" t="n">
        <v>3</v>
      </c>
      <c r="I1281" t="n">
        <v>1</v>
      </c>
      <c r="J1281" t="inlineStr">
        <is>
          <t>NA</t>
        </is>
      </c>
      <c r="K1281" t="n">
        <v>93</v>
      </c>
      <c r="L1281">
        <f>IF(K1281&gt;=80,"Yes","No")</f>
        <v/>
      </c>
      <c r="M1281">
        <f>IF(ISNUMBER(H1281),IF(H1281&gt;0,1,0),"")</f>
        <v/>
      </c>
    </row>
    <row r="1282">
      <c r="A1282" t="inlineStr">
        <is>
          <t>SIMULATED_FEA_Commercial_Study</t>
        </is>
      </c>
      <c r="B1282" t="inlineStr">
        <is>
          <t>V24</t>
        </is>
      </c>
      <c r="C1282" t="inlineStr">
        <is>
          <t>Annotation</t>
        </is>
      </c>
      <c r="D1282" t="inlineStr">
        <is>
          <t>Bin_04</t>
        </is>
      </c>
      <c r="E1282" t="n">
        <v>10</v>
      </c>
      <c r="F1282" t="inlineStr">
        <is>
          <t>Brow Furrow</t>
        </is>
      </c>
      <c r="G1282" t="n">
        <v>50</v>
      </c>
      <c r="H1282" t="n">
        <v>0</v>
      </c>
      <c r="I1282" t="n">
        <v>0</v>
      </c>
      <c r="J1282" t="inlineStr">
        <is>
          <t>NA</t>
        </is>
      </c>
      <c r="K1282" t="n">
        <v>93</v>
      </c>
      <c r="L1282">
        <f>IF(K1282&gt;=80,"Yes","No")</f>
        <v/>
      </c>
      <c r="M1282">
        <f>IF(ISNUMBER(H1282),IF(H1282&gt;0,1,0),"")</f>
        <v/>
      </c>
    </row>
    <row r="1283">
      <c r="A1283" t="inlineStr">
        <is>
          <t>SIMULATED_FEA_Commercial_Study</t>
        </is>
      </c>
      <c r="B1283" t="inlineStr">
        <is>
          <t>V24</t>
        </is>
      </c>
      <c r="C1283" t="inlineStr">
        <is>
          <t>Annotation</t>
        </is>
      </c>
      <c r="D1283" t="inlineStr">
        <is>
          <t>Bin_04</t>
        </is>
      </c>
      <c r="E1283" t="n">
        <v>10</v>
      </c>
      <c r="F1283" t="inlineStr">
        <is>
          <t>Positive Valence</t>
        </is>
      </c>
      <c r="G1283" t="n">
        <v>50</v>
      </c>
      <c r="H1283" t="n">
        <v>0</v>
      </c>
      <c r="I1283" t="n">
        <v>0</v>
      </c>
      <c r="J1283" t="inlineStr">
        <is>
          <t>NA</t>
        </is>
      </c>
      <c r="K1283" t="n">
        <v>93</v>
      </c>
      <c r="L1283">
        <f>IF(K1283&gt;=80,"Yes","No")</f>
        <v/>
      </c>
      <c r="M1283">
        <f>IF(ISNUMBER(H1283),IF(H1283&gt;0,1,0),"")</f>
        <v/>
      </c>
    </row>
    <row r="1284">
      <c r="A1284" t="inlineStr">
        <is>
          <t>SIMULATED_FEA_Commercial_Study</t>
        </is>
      </c>
      <c r="B1284" t="inlineStr">
        <is>
          <t>V24</t>
        </is>
      </c>
      <c r="C1284" t="inlineStr">
        <is>
          <t>Annotation</t>
        </is>
      </c>
      <c r="D1284" t="inlineStr">
        <is>
          <t>Bin_04</t>
        </is>
      </c>
      <c r="E1284" t="n">
        <v>10</v>
      </c>
      <c r="F1284" t="inlineStr">
        <is>
          <t>Negative Valence</t>
        </is>
      </c>
      <c r="G1284" t="n">
        <v>-50</v>
      </c>
      <c r="H1284" t="n">
        <v>7.33</v>
      </c>
      <c r="I1284" t="n">
        <v>1</v>
      </c>
      <c r="J1284" t="inlineStr">
        <is>
          <t>NA</t>
        </is>
      </c>
      <c r="K1284" t="n">
        <v>93</v>
      </c>
      <c r="L1284">
        <f>IF(K1284&gt;=80,"Yes","No")</f>
        <v/>
      </c>
      <c r="M1284">
        <f>IF(ISNUMBER(H1284),IF(H1284&gt;0,1,0),"")</f>
        <v/>
      </c>
    </row>
    <row r="1285">
      <c r="A1285" t="inlineStr">
        <is>
          <t>SIMULATED_FEA_Commercial_Study</t>
        </is>
      </c>
      <c r="B1285" t="inlineStr">
        <is>
          <t>V24</t>
        </is>
      </c>
      <c r="C1285" t="inlineStr">
        <is>
          <t>Annotation</t>
        </is>
      </c>
      <c r="D1285" t="inlineStr">
        <is>
          <t>Bin_04</t>
        </is>
      </c>
      <c r="E1285" t="n">
        <v>10</v>
      </c>
      <c r="F1285" t="inlineStr">
        <is>
          <t>Engagement</t>
        </is>
      </c>
      <c r="G1285" t="inlineStr">
        <is>
          <t>NA</t>
        </is>
      </c>
      <c r="H1285" t="inlineStr">
        <is>
          <t>NA</t>
        </is>
      </c>
      <c r="I1285" t="inlineStr">
        <is>
          <t>NA</t>
        </is>
      </c>
      <c r="J1285" t="n">
        <v>10.55</v>
      </c>
      <c r="K1285" t="n">
        <v>93</v>
      </c>
      <c r="L1285">
        <f>IF(K1285&gt;=80,"Yes","No")</f>
        <v/>
      </c>
      <c r="M1285">
        <f>IF(ISNUMBER(H1285),IF(H1285&gt;0,1,0),"")</f>
        <v/>
      </c>
    </row>
    <row r="1286">
      <c r="A1286" t="inlineStr">
        <is>
          <t>SIMULATED_FEA_Commercial_Study</t>
        </is>
      </c>
      <c r="B1286" t="inlineStr">
        <is>
          <t>V24</t>
        </is>
      </c>
      <c r="C1286" t="inlineStr">
        <is>
          <t>Annotation</t>
        </is>
      </c>
      <c r="D1286" t="inlineStr">
        <is>
          <t>Bin_05</t>
        </is>
      </c>
      <c r="E1286" t="n">
        <v>10</v>
      </c>
      <c r="F1286" t="inlineStr">
        <is>
          <t>Joy</t>
        </is>
      </c>
      <c r="G1286" t="n">
        <v>50</v>
      </c>
      <c r="H1286" t="n">
        <v>0</v>
      </c>
      <c r="I1286" t="n">
        <v>0</v>
      </c>
      <c r="J1286" t="inlineStr">
        <is>
          <t>NA</t>
        </is>
      </c>
      <c r="K1286" t="n">
        <v>93</v>
      </c>
      <c r="L1286">
        <f>IF(K1286&gt;=80,"Yes","No")</f>
        <v/>
      </c>
      <c r="M1286">
        <f>IF(ISNUMBER(H1286),IF(H1286&gt;0,1,0),"")</f>
        <v/>
      </c>
    </row>
    <row r="1287">
      <c r="A1287" t="inlineStr">
        <is>
          <t>SIMULATED_FEA_Commercial_Study</t>
        </is>
      </c>
      <c r="B1287" t="inlineStr">
        <is>
          <t>V24</t>
        </is>
      </c>
      <c r="C1287" t="inlineStr">
        <is>
          <t>Annotation</t>
        </is>
      </c>
      <c r="D1287" t="inlineStr">
        <is>
          <t>Bin_05</t>
        </is>
      </c>
      <c r="E1287" t="n">
        <v>10</v>
      </c>
      <c r="F1287" t="inlineStr">
        <is>
          <t>Surprise</t>
        </is>
      </c>
      <c r="G1287" t="n">
        <v>50</v>
      </c>
      <c r="H1287" t="n">
        <v>0</v>
      </c>
      <c r="I1287" t="n">
        <v>0</v>
      </c>
      <c r="J1287" t="inlineStr">
        <is>
          <t>NA</t>
        </is>
      </c>
      <c r="K1287" t="n">
        <v>93</v>
      </c>
      <c r="L1287">
        <f>IF(K1287&gt;=80,"Yes","No")</f>
        <v/>
      </c>
      <c r="M1287">
        <f>IF(ISNUMBER(H1287),IF(H1287&gt;0,1,0),"")</f>
        <v/>
      </c>
    </row>
    <row r="1288">
      <c r="A1288" t="inlineStr">
        <is>
          <t>SIMULATED_FEA_Commercial_Study</t>
        </is>
      </c>
      <c r="B1288" t="inlineStr">
        <is>
          <t>V24</t>
        </is>
      </c>
      <c r="C1288" t="inlineStr">
        <is>
          <t>Annotation</t>
        </is>
      </c>
      <c r="D1288" t="inlineStr">
        <is>
          <t>Bin_05</t>
        </is>
      </c>
      <c r="E1288" t="n">
        <v>10</v>
      </c>
      <c r="F1288" t="inlineStr">
        <is>
          <t>Brow Furrow</t>
        </is>
      </c>
      <c r="G1288" t="n">
        <v>50</v>
      </c>
      <c r="H1288" t="n">
        <v>0</v>
      </c>
      <c r="I1288" t="n">
        <v>0</v>
      </c>
      <c r="J1288" t="inlineStr">
        <is>
          <t>NA</t>
        </is>
      </c>
      <c r="K1288" t="n">
        <v>93</v>
      </c>
      <c r="L1288">
        <f>IF(K1288&gt;=80,"Yes","No")</f>
        <v/>
      </c>
      <c r="M1288">
        <f>IF(ISNUMBER(H1288),IF(H1288&gt;0,1,0),"")</f>
        <v/>
      </c>
    </row>
    <row r="1289">
      <c r="A1289" t="inlineStr">
        <is>
          <t>SIMULATED_FEA_Commercial_Study</t>
        </is>
      </c>
      <c r="B1289" t="inlineStr">
        <is>
          <t>V24</t>
        </is>
      </c>
      <c r="C1289" t="inlineStr">
        <is>
          <t>Annotation</t>
        </is>
      </c>
      <c r="D1289" t="inlineStr">
        <is>
          <t>Bin_05</t>
        </is>
      </c>
      <c r="E1289" t="n">
        <v>10</v>
      </c>
      <c r="F1289" t="inlineStr">
        <is>
          <t>Positive Valence</t>
        </is>
      </c>
      <c r="G1289" t="n">
        <v>50</v>
      </c>
      <c r="H1289" t="n">
        <v>0</v>
      </c>
      <c r="I1289" t="n">
        <v>0</v>
      </c>
      <c r="J1289" t="inlineStr">
        <is>
          <t>NA</t>
        </is>
      </c>
      <c r="K1289" t="n">
        <v>93</v>
      </c>
      <c r="L1289">
        <f>IF(K1289&gt;=80,"Yes","No")</f>
        <v/>
      </c>
      <c r="M1289">
        <f>IF(ISNUMBER(H1289),IF(H1289&gt;0,1,0),"")</f>
        <v/>
      </c>
    </row>
    <row r="1290">
      <c r="A1290" t="inlineStr">
        <is>
          <t>SIMULATED_FEA_Commercial_Study</t>
        </is>
      </c>
      <c r="B1290" t="inlineStr">
        <is>
          <t>V24</t>
        </is>
      </c>
      <c r="C1290" t="inlineStr">
        <is>
          <t>Annotation</t>
        </is>
      </c>
      <c r="D1290" t="inlineStr">
        <is>
          <t>Bin_05</t>
        </is>
      </c>
      <c r="E1290" t="n">
        <v>10</v>
      </c>
      <c r="F1290" t="inlineStr">
        <is>
          <t>Negative Valence</t>
        </is>
      </c>
      <c r="G1290" t="n">
        <v>-50</v>
      </c>
      <c r="H1290" t="n">
        <v>7</v>
      </c>
      <c r="I1290" t="n">
        <v>1</v>
      </c>
      <c r="J1290" t="inlineStr">
        <is>
          <t>NA</t>
        </is>
      </c>
      <c r="K1290" t="n">
        <v>93</v>
      </c>
      <c r="L1290">
        <f>IF(K1290&gt;=80,"Yes","No")</f>
        <v/>
      </c>
      <c r="M1290">
        <f>IF(ISNUMBER(H1290),IF(H1290&gt;0,1,0),"")</f>
        <v/>
      </c>
    </row>
    <row r="1291">
      <c r="A1291" t="inlineStr">
        <is>
          <t>SIMULATED_FEA_Commercial_Study</t>
        </is>
      </c>
      <c r="B1291" t="inlineStr">
        <is>
          <t>V24</t>
        </is>
      </c>
      <c r="C1291" t="inlineStr">
        <is>
          <t>Annotation</t>
        </is>
      </c>
      <c r="D1291" t="inlineStr">
        <is>
          <t>Bin_05</t>
        </is>
      </c>
      <c r="E1291" t="n">
        <v>10</v>
      </c>
      <c r="F1291" t="inlineStr">
        <is>
          <t>Engagement</t>
        </is>
      </c>
      <c r="G1291" t="inlineStr">
        <is>
          <t>NA</t>
        </is>
      </c>
      <c r="H1291" t="inlineStr">
        <is>
          <t>NA</t>
        </is>
      </c>
      <c r="I1291" t="inlineStr">
        <is>
          <t>NA</t>
        </is>
      </c>
      <c r="J1291" t="n">
        <v>4.59</v>
      </c>
      <c r="K1291" t="n">
        <v>93</v>
      </c>
      <c r="L1291">
        <f>IF(K1291&gt;=80,"Yes","No")</f>
        <v/>
      </c>
      <c r="M1291">
        <f>IF(ISNUMBER(H1291),IF(H1291&gt;0,1,0),"")</f>
        <v/>
      </c>
    </row>
    <row r="1292">
      <c r="A1292" t="inlineStr">
        <is>
          <t>SIMULATED_FEA_Commercial_Study</t>
        </is>
      </c>
      <c r="B1292" t="inlineStr">
        <is>
          <t>V24</t>
        </is>
      </c>
      <c r="C1292" t="inlineStr">
        <is>
          <t>Annotation</t>
        </is>
      </c>
      <c r="D1292" t="inlineStr">
        <is>
          <t>Bin_06</t>
        </is>
      </c>
      <c r="E1292" t="n">
        <v>10</v>
      </c>
      <c r="F1292" t="inlineStr">
        <is>
          <t>Joy</t>
        </is>
      </c>
      <c r="G1292" t="n">
        <v>50</v>
      </c>
      <c r="H1292" t="n">
        <v>0</v>
      </c>
      <c r="I1292" t="n">
        <v>0</v>
      </c>
      <c r="J1292" t="inlineStr">
        <is>
          <t>NA</t>
        </is>
      </c>
      <c r="K1292" t="n">
        <v>93</v>
      </c>
      <c r="L1292">
        <f>IF(K1292&gt;=80,"Yes","No")</f>
        <v/>
      </c>
      <c r="M1292">
        <f>IF(ISNUMBER(H1292),IF(H1292&gt;0,1,0),"")</f>
        <v/>
      </c>
    </row>
    <row r="1293">
      <c r="A1293" t="inlineStr">
        <is>
          <t>SIMULATED_FEA_Commercial_Study</t>
        </is>
      </c>
      <c r="B1293" t="inlineStr">
        <is>
          <t>V24</t>
        </is>
      </c>
      <c r="C1293" t="inlineStr">
        <is>
          <t>Annotation</t>
        </is>
      </c>
      <c r="D1293" t="inlineStr">
        <is>
          <t>Bin_06</t>
        </is>
      </c>
      <c r="E1293" t="n">
        <v>10</v>
      </c>
      <c r="F1293" t="inlineStr">
        <is>
          <t>Surprise</t>
        </is>
      </c>
      <c r="G1293" t="n">
        <v>50</v>
      </c>
      <c r="H1293" t="n">
        <v>0</v>
      </c>
      <c r="I1293" t="n">
        <v>0</v>
      </c>
      <c r="J1293" t="inlineStr">
        <is>
          <t>NA</t>
        </is>
      </c>
      <c r="K1293" t="n">
        <v>93</v>
      </c>
      <c r="L1293">
        <f>IF(K1293&gt;=80,"Yes","No")</f>
        <v/>
      </c>
      <c r="M1293">
        <f>IF(ISNUMBER(H1293),IF(H1293&gt;0,1,0),"")</f>
        <v/>
      </c>
    </row>
    <row r="1294">
      <c r="A1294" t="inlineStr">
        <is>
          <t>SIMULATED_FEA_Commercial_Study</t>
        </is>
      </c>
      <c r="B1294" t="inlineStr">
        <is>
          <t>V24</t>
        </is>
      </c>
      <c r="C1294" t="inlineStr">
        <is>
          <t>Annotation</t>
        </is>
      </c>
      <c r="D1294" t="inlineStr">
        <is>
          <t>Bin_06</t>
        </is>
      </c>
      <c r="E1294" t="n">
        <v>10</v>
      </c>
      <c r="F1294" t="inlineStr">
        <is>
          <t>Brow Furrow</t>
        </is>
      </c>
      <c r="G1294" t="n">
        <v>50</v>
      </c>
      <c r="H1294" t="n">
        <v>0</v>
      </c>
      <c r="I1294" t="n">
        <v>0</v>
      </c>
      <c r="J1294" t="inlineStr">
        <is>
          <t>NA</t>
        </is>
      </c>
      <c r="K1294" t="n">
        <v>93</v>
      </c>
      <c r="L1294">
        <f>IF(K1294&gt;=80,"Yes","No")</f>
        <v/>
      </c>
      <c r="M1294">
        <f>IF(ISNUMBER(H1294),IF(H1294&gt;0,1,0),"")</f>
        <v/>
      </c>
    </row>
    <row r="1295">
      <c r="A1295" t="inlineStr">
        <is>
          <t>SIMULATED_FEA_Commercial_Study</t>
        </is>
      </c>
      <c r="B1295" t="inlineStr">
        <is>
          <t>V24</t>
        </is>
      </c>
      <c r="C1295" t="inlineStr">
        <is>
          <t>Annotation</t>
        </is>
      </c>
      <c r="D1295" t="inlineStr">
        <is>
          <t>Bin_06</t>
        </is>
      </c>
      <c r="E1295" t="n">
        <v>10</v>
      </c>
      <c r="F1295" t="inlineStr">
        <is>
          <t>Positive Valence</t>
        </is>
      </c>
      <c r="G1295" t="n">
        <v>50</v>
      </c>
      <c r="H1295" t="n">
        <v>0</v>
      </c>
      <c r="I1295" t="n">
        <v>0</v>
      </c>
      <c r="J1295" t="inlineStr">
        <is>
          <t>NA</t>
        </is>
      </c>
      <c r="K1295" t="n">
        <v>93</v>
      </c>
      <c r="L1295">
        <f>IF(K1295&gt;=80,"Yes","No")</f>
        <v/>
      </c>
      <c r="M1295">
        <f>IF(ISNUMBER(H1295),IF(H1295&gt;0,1,0),"")</f>
        <v/>
      </c>
    </row>
    <row r="1296">
      <c r="A1296" t="inlineStr">
        <is>
          <t>SIMULATED_FEA_Commercial_Study</t>
        </is>
      </c>
      <c r="B1296" t="inlineStr">
        <is>
          <t>V24</t>
        </is>
      </c>
      <c r="C1296" t="inlineStr">
        <is>
          <t>Annotation</t>
        </is>
      </c>
      <c r="D1296" t="inlineStr">
        <is>
          <t>Bin_06</t>
        </is>
      </c>
      <c r="E1296" t="n">
        <v>10</v>
      </c>
      <c r="F1296" t="inlineStr">
        <is>
          <t>Negative Valence</t>
        </is>
      </c>
      <c r="G1296" t="n">
        <v>-50</v>
      </c>
      <c r="H1296" t="n">
        <v>0</v>
      </c>
      <c r="I1296" t="n">
        <v>0</v>
      </c>
      <c r="J1296" t="inlineStr">
        <is>
          <t>NA</t>
        </is>
      </c>
      <c r="K1296" t="n">
        <v>93</v>
      </c>
      <c r="L1296">
        <f>IF(K1296&gt;=80,"Yes","No")</f>
        <v/>
      </c>
      <c r="M1296">
        <f>IF(ISNUMBER(H1296),IF(H1296&gt;0,1,0),"")</f>
        <v/>
      </c>
    </row>
    <row r="1297">
      <c r="A1297" t="inlineStr">
        <is>
          <t>SIMULATED_FEA_Commercial_Study</t>
        </is>
      </c>
      <c r="B1297" t="inlineStr">
        <is>
          <t>V24</t>
        </is>
      </c>
      <c r="C1297" t="inlineStr">
        <is>
          <t>Annotation</t>
        </is>
      </c>
      <c r="D1297" t="inlineStr">
        <is>
          <t>Bin_06</t>
        </is>
      </c>
      <c r="E1297" t="n">
        <v>10</v>
      </c>
      <c r="F1297" t="inlineStr">
        <is>
          <t>Engagement</t>
        </is>
      </c>
      <c r="G1297" t="inlineStr">
        <is>
          <t>NA</t>
        </is>
      </c>
      <c r="H1297" t="inlineStr">
        <is>
          <t>NA</t>
        </is>
      </c>
      <c r="I1297" t="inlineStr">
        <is>
          <t>NA</t>
        </is>
      </c>
      <c r="J1297" t="n">
        <v>7.23</v>
      </c>
      <c r="K1297" t="n">
        <v>93</v>
      </c>
      <c r="L1297">
        <f>IF(K1297&gt;=80,"Yes","No")</f>
        <v/>
      </c>
      <c r="M1297">
        <f>IF(ISNUMBER(H1297),IF(H1297&gt;0,1,0),"")</f>
        <v/>
      </c>
    </row>
    <row r="1298">
      <c r="A1298" t="inlineStr">
        <is>
          <t>SIMULATED_FEA_Commercial_Study</t>
        </is>
      </c>
      <c r="B1298" t="inlineStr">
        <is>
          <t>V25</t>
        </is>
      </c>
      <c r="C1298" t="inlineStr">
        <is>
          <t>Stimulus</t>
        </is>
      </c>
      <c r="D1298" t="inlineStr">
        <is>
          <t>Baseline</t>
        </is>
      </c>
      <c r="E1298" t="n">
        <v>60</v>
      </c>
      <c r="F1298" t="inlineStr">
        <is>
          <t>Joy</t>
        </is>
      </c>
      <c r="G1298" t="n">
        <v>50</v>
      </c>
      <c r="H1298" t="n">
        <v>0</v>
      </c>
      <c r="I1298" t="n">
        <v>0</v>
      </c>
      <c r="J1298" t="inlineStr">
        <is>
          <t>NA</t>
        </is>
      </c>
      <c r="K1298" t="n">
        <v>95.59999999999999</v>
      </c>
      <c r="L1298">
        <f>IF(K1298&gt;=80,"Yes","No")</f>
        <v/>
      </c>
      <c r="M1298">
        <f>IF(ISNUMBER(H1298),IF(H1298&gt;0,1,0),"")</f>
        <v/>
      </c>
    </row>
    <row r="1299">
      <c r="A1299" t="inlineStr">
        <is>
          <t>SIMULATED_FEA_Commercial_Study</t>
        </is>
      </c>
      <c r="B1299" t="inlineStr">
        <is>
          <t>V25</t>
        </is>
      </c>
      <c r="C1299" t="inlineStr">
        <is>
          <t>Stimulus</t>
        </is>
      </c>
      <c r="D1299" t="inlineStr">
        <is>
          <t>Baseline</t>
        </is>
      </c>
      <c r="E1299" t="n">
        <v>60</v>
      </c>
      <c r="F1299" t="inlineStr">
        <is>
          <t>Surprise</t>
        </is>
      </c>
      <c r="G1299" t="n">
        <v>50</v>
      </c>
      <c r="H1299" t="n">
        <v>0</v>
      </c>
      <c r="I1299" t="n">
        <v>0</v>
      </c>
      <c r="J1299" t="inlineStr">
        <is>
          <t>NA</t>
        </is>
      </c>
      <c r="K1299" t="n">
        <v>95.59999999999999</v>
      </c>
      <c r="L1299">
        <f>IF(K1299&gt;=80,"Yes","No")</f>
        <v/>
      </c>
      <c r="M1299">
        <f>IF(ISNUMBER(H1299),IF(H1299&gt;0,1,0),"")</f>
        <v/>
      </c>
    </row>
    <row r="1300">
      <c r="A1300" t="inlineStr">
        <is>
          <t>SIMULATED_FEA_Commercial_Study</t>
        </is>
      </c>
      <c r="B1300" t="inlineStr">
        <is>
          <t>V25</t>
        </is>
      </c>
      <c r="C1300" t="inlineStr">
        <is>
          <t>Stimulus</t>
        </is>
      </c>
      <c r="D1300" t="inlineStr">
        <is>
          <t>Baseline</t>
        </is>
      </c>
      <c r="E1300" t="n">
        <v>60</v>
      </c>
      <c r="F1300" t="inlineStr">
        <is>
          <t>Brow Furrow</t>
        </is>
      </c>
      <c r="G1300" t="n">
        <v>50</v>
      </c>
      <c r="H1300" t="n">
        <v>0.39</v>
      </c>
      <c r="I1300" t="n">
        <v>4</v>
      </c>
      <c r="J1300" t="inlineStr">
        <is>
          <t>NA</t>
        </is>
      </c>
      <c r="K1300" t="n">
        <v>95.59999999999999</v>
      </c>
      <c r="L1300">
        <f>IF(K1300&gt;=80,"Yes","No")</f>
        <v/>
      </c>
      <c r="M1300">
        <f>IF(ISNUMBER(H1300),IF(H1300&gt;0,1,0),"")</f>
        <v/>
      </c>
    </row>
    <row r="1301">
      <c r="A1301" t="inlineStr">
        <is>
          <t>SIMULATED_FEA_Commercial_Study</t>
        </is>
      </c>
      <c r="B1301" t="inlineStr">
        <is>
          <t>V25</t>
        </is>
      </c>
      <c r="C1301" t="inlineStr">
        <is>
          <t>Stimulus</t>
        </is>
      </c>
      <c r="D1301" t="inlineStr">
        <is>
          <t>Baseline</t>
        </is>
      </c>
      <c r="E1301" t="n">
        <v>60</v>
      </c>
      <c r="F1301" t="inlineStr">
        <is>
          <t>Positive Valence</t>
        </is>
      </c>
      <c r="G1301" t="n">
        <v>50</v>
      </c>
      <c r="H1301" t="n">
        <v>0</v>
      </c>
      <c r="I1301" t="n">
        <v>0</v>
      </c>
      <c r="J1301" t="inlineStr">
        <is>
          <t>NA</t>
        </is>
      </c>
      <c r="K1301" t="n">
        <v>95.59999999999999</v>
      </c>
      <c r="L1301">
        <f>IF(K1301&gt;=80,"Yes","No")</f>
        <v/>
      </c>
      <c r="M1301">
        <f>IF(ISNUMBER(H1301),IF(H1301&gt;0,1,0),"")</f>
        <v/>
      </c>
    </row>
    <row r="1302">
      <c r="A1302" t="inlineStr">
        <is>
          <t>SIMULATED_FEA_Commercial_Study</t>
        </is>
      </c>
      <c r="B1302" t="inlineStr">
        <is>
          <t>V25</t>
        </is>
      </c>
      <c r="C1302" t="inlineStr">
        <is>
          <t>Stimulus</t>
        </is>
      </c>
      <c r="D1302" t="inlineStr">
        <is>
          <t>Baseline</t>
        </is>
      </c>
      <c r="E1302" t="n">
        <v>60</v>
      </c>
      <c r="F1302" t="inlineStr">
        <is>
          <t>Negative Valence</t>
        </is>
      </c>
      <c r="G1302" t="n">
        <v>-50</v>
      </c>
      <c r="H1302" t="n">
        <v>0</v>
      </c>
      <c r="I1302" t="n">
        <v>0</v>
      </c>
      <c r="J1302" t="inlineStr">
        <is>
          <t>NA</t>
        </is>
      </c>
      <c r="K1302" t="n">
        <v>95.59999999999999</v>
      </c>
      <c r="L1302">
        <f>IF(K1302&gt;=80,"Yes","No")</f>
        <v/>
      </c>
      <c r="M1302">
        <f>IF(ISNUMBER(H1302),IF(H1302&gt;0,1,0),"")</f>
        <v/>
      </c>
    </row>
    <row r="1303">
      <c r="A1303" t="inlineStr">
        <is>
          <t>SIMULATED_FEA_Commercial_Study</t>
        </is>
      </c>
      <c r="B1303" t="inlineStr">
        <is>
          <t>V25</t>
        </is>
      </c>
      <c r="C1303" t="inlineStr">
        <is>
          <t>Stimulus</t>
        </is>
      </c>
      <c r="D1303" t="inlineStr">
        <is>
          <t>Baseline</t>
        </is>
      </c>
      <c r="E1303" t="n">
        <v>60</v>
      </c>
      <c r="F1303" t="inlineStr">
        <is>
          <t>Engagement</t>
        </is>
      </c>
      <c r="G1303" t="inlineStr">
        <is>
          <t>NA</t>
        </is>
      </c>
      <c r="H1303" t="inlineStr">
        <is>
          <t>NA</t>
        </is>
      </c>
      <c r="I1303" t="inlineStr">
        <is>
          <t>NA</t>
        </is>
      </c>
      <c r="J1303" t="n">
        <v>10.14</v>
      </c>
      <c r="K1303" t="n">
        <v>95.59999999999999</v>
      </c>
      <c r="L1303">
        <f>IF(K1303&gt;=80,"Yes","No")</f>
        <v/>
      </c>
      <c r="M1303">
        <f>IF(ISNUMBER(H1303),IF(H1303&gt;0,1,0),"")</f>
        <v/>
      </c>
    </row>
    <row r="1304">
      <c r="A1304" t="inlineStr">
        <is>
          <t>SIMULATED_FEA_Commercial_Study</t>
        </is>
      </c>
      <c r="B1304" t="inlineStr">
        <is>
          <t>V25</t>
        </is>
      </c>
      <c r="C1304" t="inlineStr">
        <is>
          <t>Stimulus</t>
        </is>
      </c>
      <c r="D1304" t="inlineStr">
        <is>
          <t>Commercial</t>
        </is>
      </c>
      <c r="E1304" t="n">
        <v>60</v>
      </c>
      <c r="F1304" t="inlineStr">
        <is>
          <t>Joy</t>
        </is>
      </c>
      <c r="G1304" t="n">
        <v>50</v>
      </c>
      <c r="H1304" t="n">
        <v>1.17</v>
      </c>
      <c r="I1304" t="n">
        <v>1</v>
      </c>
      <c r="J1304" t="inlineStr">
        <is>
          <t>NA</t>
        </is>
      </c>
      <c r="K1304" t="n">
        <v>95.59999999999999</v>
      </c>
      <c r="L1304">
        <f>IF(K1304&gt;=80,"Yes","No")</f>
        <v/>
      </c>
      <c r="M1304">
        <f>IF(ISNUMBER(H1304),IF(H1304&gt;0,1,0),"")</f>
        <v/>
      </c>
    </row>
    <row r="1305">
      <c r="A1305" t="inlineStr">
        <is>
          <t>SIMULATED_FEA_Commercial_Study</t>
        </is>
      </c>
      <c r="B1305" t="inlineStr">
        <is>
          <t>V25</t>
        </is>
      </c>
      <c r="C1305" t="inlineStr">
        <is>
          <t>Stimulus</t>
        </is>
      </c>
      <c r="D1305" t="inlineStr">
        <is>
          <t>Commercial</t>
        </is>
      </c>
      <c r="E1305" t="n">
        <v>60</v>
      </c>
      <c r="F1305" t="inlineStr">
        <is>
          <t>Surprise</t>
        </is>
      </c>
      <c r="G1305" t="n">
        <v>50</v>
      </c>
      <c r="H1305" t="n">
        <v>4.56</v>
      </c>
      <c r="I1305" t="n">
        <v>3</v>
      </c>
      <c r="J1305" t="inlineStr">
        <is>
          <t>NA</t>
        </is>
      </c>
      <c r="K1305" t="n">
        <v>95.59999999999999</v>
      </c>
      <c r="L1305">
        <f>IF(K1305&gt;=80,"Yes","No")</f>
        <v/>
      </c>
      <c r="M1305">
        <f>IF(ISNUMBER(H1305),IF(H1305&gt;0,1,0),"")</f>
        <v/>
      </c>
    </row>
    <row r="1306">
      <c r="A1306" t="inlineStr">
        <is>
          <t>SIMULATED_FEA_Commercial_Study</t>
        </is>
      </c>
      <c r="B1306" t="inlineStr">
        <is>
          <t>V25</t>
        </is>
      </c>
      <c r="C1306" t="inlineStr">
        <is>
          <t>Stimulus</t>
        </is>
      </c>
      <c r="D1306" t="inlineStr">
        <is>
          <t>Commercial</t>
        </is>
      </c>
      <c r="E1306" t="n">
        <v>60</v>
      </c>
      <c r="F1306" t="inlineStr">
        <is>
          <t>Brow Furrow</t>
        </is>
      </c>
      <c r="G1306" t="n">
        <v>50</v>
      </c>
      <c r="H1306" t="n">
        <v>5.22</v>
      </c>
      <c r="I1306" t="n">
        <v>1</v>
      </c>
      <c r="J1306" t="inlineStr">
        <is>
          <t>NA</t>
        </is>
      </c>
      <c r="K1306" t="n">
        <v>95.59999999999999</v>
      </c>
      <c r="L1306">
        <f>IF(K1306&gt;=80,"Yes","No")</f>
        <v/>
      </c>
      <c r="M1306">
        <f>IF(ISNUMBER(H1306),IF(H1306&gt;0,1,0),"")</f>
        <v/>
      </c>
    </row>
    <row r="1307">
      <c r="A1307" t="inlineStr">
        <is>
          <t>SIMULATED_FEA_Commercial_Study</t>
        </is>
      </c>
      <c r="B1307" t="inlineStr">
        <is>
          <t>V25</t>
        </is>
      </c>
      <c r="C1307" t="inlineStr">
        <is>
          <t>Stimulus</t>
        </is>
      </c>
      <c r="D1307" t="inlineStr">
        <is>
          <t>Commercial</t>
        </is>
      </c>
      <c r="E1307" t="n">
        <v>60</v>
      </c>
      <c r="F1307" t="inlineStr">
        <is>
          <t>Positive Valence</t>
        </is>
      </c>
      <c r="G1307" t="n">
        <v>50</v>
      </c>
      <c r="H1307" t="n">
        <v>0.17</v>
      </c>
      <c r="I1307" t="n">
        <v>1</v>
      </c>
      <c r="J1307" t="inlineStr">
        <is>
          <t>NA</t>
        </is>
      </c>
      <c r="K1307" t="n">
        <v>95.59999999999999</v>
      </c>
      <c r="L1307">
        <f>IF(K1307&gt;=80,"Yes","No")</f>
        <v/>
      </c>
      <c r="M1307">
        <f>IF(ISNUMBER(H1307),IF(H1307&gt;0,1,0),"")</f>
        <v/>
      </c>
    </row>
    <row r="1308">
      <c r="A1308" t="inlineStr">
        <is>
          <t>SIMULATED_FEA_Commercial_Study</t>
        </is>
      </c>
      <c r="B1308" t="inlineStr">
        <is>
          <t>V25</t>
        </is>
      </c>
      <c r="C1308" t="inlineStr">
        <is>
          <t>Stimulus</t>
        </is>
      </c>
      <c r="D1308" t="inlineStr">
        <is>
          <t>Commercial</t>
        </is>
      </c>
      <c r="E1308" t="n">
        <v>60</v>
      </c>
      <c r="F1308" t="inlineStr">
        <is>
          <t>Negative Valence</t>
        </is>
      </c>
      <c r="G1308" t="n">
        <v>-50</v>
      </c>
      <c r="H1308" t="n">
        <v>0</v>
      </c>
      <c r="I1308" t="n">
        <v>0</v>
      </c>
      <c r="J1308" t="inlineStr">
        <is>
          <t>NA</t>
        </is>
      </c>
      <c r="K1308" t="n">
        <v>95.59999999999999</v>
      </c>
      <c r="L1308">
        <f>IF(K1308&gt;=80,"Yes","No")</f>
        <v/>
      </c>
      <c r="M1308">
        <f>IF(ISNUMBER(H1308),IF(H1308&gt;0,1,0),"")</f>
        <v/>
      </c>
    </row>
    <row r="1309">
      <c r="A1309" t="inlineStr">
        <is>
          <t>SIMULATED_FEA_Commercial_Study</t>
        </is>
      </c>
      <c r="B1309" t="inlineStr">
        <is>
          <t>V25</t>
        </is>
      </c>
      <c r="C1309" t="inlineStr">
        <is>
          <t>Stimulus</t>
        </is>
      </c>
      <c r="D1309" t="inlineStr">
        <is>
          <t>Commercial</t>
        </is>
      </c>
      <c r="E1309" t="n">
        <v>60</v>
      </c>
      <c r="F1309" t="inlineStr">
        <is>
          <t>Engagement</t>
        </is>
      </c>
      <c r="G1309" t="inlineStr">
        <is>
          <t>NA</t>
        </is>
      </c>
      <c r="H1309" t="inlineStr">
        <is>
          <t>NA</t>
        </is>
      </c>
      <c r="I1309" t="inlineStr">
        <is>
          <t>NA</t>
        </is>
      </c>
      <c r="J1309" t="n">
        <v>12.77</v>
      </c>
      <c r="K1309" t="n">
        <v>95.59999999999999</v>
      </c>
      <c r="L1309">
        <f>IF(K1309&gt;=80,"Yes","No")</f>
        <v/>
      </c>
      <c r="M1309">
        <f>IF(ISNUMBER(H1309),IF(H1309&gt;0,1,0),"")</f>
        <v/>
      </c>
    </row>
    <row r="1310">
      <c r="A1310" t="inlineStr">
        <is>
          <t>SIMULATED_FEA_Commercial_Study</t>
        </is>
      </c>
      <c r="B1310" t="inlineStr">
        <is>
          <t>V25</t>
        </is>
      </c>
      <c r="C1310" t="inlineStr">
        <is>
          <t>Stimulus</t>
        </is>
      </c>
      <c r="D1310" t="inlineStr">
        <is>
          <t>Recovery</t>
        </is>
      </c>
      <c r="E1310" t="n">
        <v>15</v>
      </c>
      <c r="F1310" t="inlineStr">
        <is>
          <t>Joy</t>
        </is>
      </c>
      <c r="G1310" t="n">
        <v>50</v>
      </c>
      <c r="H1310" t="n">
        <v>0</v>
      </c>
      <c r="I1310" t="n">
        <v>0</v>
      </c>
      <c r="J1310" t="inlineStr">
        <is>
          <t>NA</t>
        </is>
      </c>
      <c r="K1310" t="n">
        <v>95.59999999999999</v>
      </c>
      <c r="L1310">
        <f>IF(K1310&gt;=80,"Yes","No")</f>
        <v/>
      </c>
      <c r="M1310">
        <f>IF(ISNUMBER(H1310),IF(H1310&gt;0,1,0),"")</f>
        <v/>
      </c>
    </row>
    <row r="1311">
      <c r="A1311" t="inlineStr">
        <is>
          <t>SIMULATED_FEA_Commercial_Study</t>
        </is>
      </c>
      <c r="B1311" t="inlineStr">
        <is>
          <t>V25</t>
        </is>
      </c>
      <c r="C1311" t="inlineStr">
        <is>
          <t>Stimulus</t>
        </is>
      </c>
      <c r="D1311" t="inlineStr">
        <is>
          <t>Recovery</t>
        </is>
      </c>
      <c r="E1311" t="n">
        <v>15</v>
      </c>
      <c r="F1311" t="inlineStr">
        <is>
          <t>Surprise</t>
        </is>
      </c>
      <c r="G1311" t="n">
        <v>50</v>
      </c>
      <c r="H1311" t="n">
        <v>0</v>
      </c>
      <c r="I1311" t="n">
        <v>0</v>
      </c>
      <c r="J1311" t="inlineStr">
        <is>
          <t>NA</t>
        </is>
      </c>
      <c r="K1311" t="n">
        <v>95.59999999999999</v>
      </c>
      <c r="L1311">
        <f>IF(K1311&gt;=80,"Yes","No")</f>
        <v/>
      </c>
      <c r="M1311">
        <f>IF(ISNUMBER(H1311),IF(H1311&gt;0,1,0),"")</f>
        <v/>
      </c>
    </row>
    <row r="1312">
      <c r="A1312" t="inlineStr">
        <is>
          <t>SIMULATED_FEA_Commercial_Study</t>
        </is>
      </c>
      <c r="B1312" t="inlineStr">
        <is>
          <t>V25</t>
        </is>
      </c>
      <c r="C1312" t="inlineStr">
        <is>
          <t>Stimulus</t>
        </is>
      </c>
      <c r="D1312" t="inlineStr">
        <is>
          <t>Recovery</t>
        </is>
      </c>
      <c r="E1312" t="n">
        <v>15</v>
      </c>
      <c r="F1312" t="inlineStr">
        <is>
          <t>Brow Furrow</t>
        </is>
      </c>
      <c r="G1312" t="n">
        <v>50</v>
      </c>
      <c r="H1312" t="n">
        <v>0</v>
      </c>
      <c r="I1312" t="n">
        <v>0</v>
      </c>
      <c r="J1312" t="inlineStr">
        <is>
          <t>NA</t>
        </is>
      </c>
      <c r="K1312" t="n">
        <v>95.59999999999999</v>
      </c>
      <c r="L1312">
        <f>IF(K1312&gt;=80,"Yes","No")</f>
        <v/>
      </c>
      <c r="M1312">
        <f>IF(ISNUMBER(H1312),IF(H1312&gt;0,1,0),"")</f>
        <v/>
      </c>
    </row>
    <row r="1313">
      <c r="A1313" t="inlineStr">
        <is>
          <t>SIMULATED_FEA_Commercial_Study</t>
        </is>
      </c>
      <c r="B1313" t="inlineStr">
        <is>
          <t>V25</t>
        </is>
      </c>
      <c r="C1313" t="inlineStr">
        <is>
          <t>Stimulus</t>
        </is>
      </c>
      <c r="D1313" t="inlineStr">
        <is>
          <t>Recovery</t>
        </is>
      </c>
      <c r="E1313" t="n">
        <v>15</v>
      </c>
      <c r="F1313" t="inlineStr">
        <is>
          <t>Positive Valence</t>
        </is>
      </c>
      <c r="G1313" t="n">
        <v>50</v>
      </c>
      <c r="H1313" t="n">
        <v>0</v>
      </c>
      <c r="I1313" t="n">
        <v>0</v>
      </c>
      <c r="J1313" t="inlineStr">
        <is>
          <t>NA</t>
        </is>
      </c>
      <c r="K1313" t="n">
        <v>95.59999999999999</v>
      </c>
      <c r="L1313">
        <f>IF(K1313&gt;=80,"Yes","No")</f>
        <v/>
      </c>
      <c r="M1313">
        <f>IF(ISNUMBER(H1313),IF(H1313&gt;0,1,0),"")</f>
        <v/>
      </c>
    </row>
    <row r="1314">
      <c r="A1314" t="inlineStr">
        <is>
          <t>SIMULATED_FEA_Commercial_Study</t>
        </is>
      </c>
      <c r="B1314" t="inlineStr">
        <is>
          <t>V25</t>
        </is>
      </c>
      <c r="C1314" t="inlineStr">
        <is>
          <t>Stimulus</t>
        </is>
      </c>
      <c r="D1314" t="inlineStr">
        <is>
          <t>Recovery</t>
        </is>
      </c>
      <c r="E1314" t="n">
        <v>15</v>
      </c>
      <c r="F1314" t="inlineStr">
        <is>
          <t>Negative Valence</t>
        </is>
      </c>
      <c r="G1314" t="n">
        <v>-50</v>
      </c>
      <c r="H1314" t="n">
        <v>0</v>
      </c>
      <c r="I1314" t="n">
        <v>0</v>
      </c>
      <c r="J1314" t="inlineStr">
        <is>
          <t>NA</t>
        </is>
      </c>
      <c r="K1314" t="n">
        <v>95.59999999999999</v>
      </c>
      <c r="L1314">
        <f>IF(K1314&gt;=80,"Yes","No")</f>
        <v/>
      </c>
      <c r="M1314">
        <f>IF(ISNUMBER(H1314),IF(H1314&gt;0,1,0),"")</f>
        <v/>
      </c>
    </row>
    <row r="1315">
      <c r="A1315" t="inlineStr">
        <is>
          <t>SIMULATED_FEA_Commercial_Study</t>
        </is>
      </c>
      <c r="B1315" t="inlineStr">
        <is>
          <t>V25</t>
        </is>
      </c>
      <c r="C1315" t="inlineStr">
        <is>
          <t>Stimulus</t>
        </is>
      </c>
      <c r="D1315" t="inlineStr">
        <is>
          <t>Recovery</t>
        </is>
      </c>
      <c r="E1315" t="n">
        <v>15</v>
      </c>
      <c r="F1315" t="inlineStr">
        <is>
          <t>Engagement</t>
        </is>
      </c>
      <c r="G1315" t="inlineStr">
        <is>
          <t>NA</t>
        </is>
      </c>
      <c r="H1315" t="inlineStr">
        <is>
          <t>NA</t>
        </is>
      </c>
      <c r="I1315" t="inlineStr">
        <is>
          <t>NA</t>
        </is>
      </c>
      <c r="J1315" t="n">
        <v>6.72</v>
      </c>
      <c r="K1315" t="n">
        <v>95.59999999999999</v>
      </c>
      <c r="L1315">
        <f>IF(K1315&gt;=80,"Yes","No")</f>
        <v/>
      </c>
      <c r="M1315">
        <f>IF(ISNUMBER(H1315),IF(H1315&gt;0,1,0),"")</f>
        <v/>
      </c>
    </row>
    <row r="1316">
      <c r="A1316" t="inlineStr">
        <is>
          <t>SIMULATED_FEA_Commercial_Study</t>
        </is>
      </c>
      <c r="B1316" t="inlineStr">
        <is>
          <t>V25</t>
        </is>
      </c>
      <c r="C1316" t="inlineStr">
        <is>
          <t>Annotation</t>
        </is>
      </c>
      <c r="D1316" t="inlineStr">
        <is>
          <t>Bin_01</t>
        </is>
      </c>
      <c r="E1316" t="n">
        <v>10</v>
      </c>
      <c r="F1316" t="inlineStr">
        <is>
          <t>Joy</t>
        </is>
      </c>
      <c r="G1316" t="n">
        <v>50</v>
      </c>
      <c r="H1316" t="n">
        <v>7</v>
      </c>
      <c r="I1316" t="n">
        <v>1</v>
      </c>
      <c r="J1316" t="inlineStr">
        <is>
          <t>NA</t>
        </is>
      </c>
      <c r="K1316" t="n">
        <v>95.59999999999999</v>
      </c>
      <c r="L1316">
        <f>IF(K1316&gt;=80,"Yes","No")</f>
        <v/>
      </c>
      <c r="M1316">
        <f>IF(ISNUMBER(H1316),IF(H1316&gt;0,1,0),"")</f>
        <v/>
      </c>
    </row>
    <row r="1317">
      <c r="A1317" t="inlineStr">
        <is>
          <t>SIMULATED_FEA_Commercial_Study</t>
        </is>
      </c>
      <c r="B1317" t="inlineStr">
        <is>
          <t>V25</t>
        </is>
      </c>
      <c r="C1317" t="inlineStr">
        <is>
          <t>Annotation</t>
        </is>
      </c>
      <c r="D1317" t="inlineStr">
        <is>
          <t>Bin_01</t>
        </is>
      </c>
      <c r="E1317" t="n">
        <v>10</v>
      </c>
      <c r="F1317" t="inlineStr">
        <is>
          <t>Surprise</t>
        </is>
      </c>
      <c r="G1317" t="n">
        <v>50</v>
      </c>
      <c r="H1317" t="n">
        <v>0</v>
      </c>
      <c r="I1317" t="n">
        <v>0</v>
      </c>
      <c r="J1317" t="inlineStr">
        <is>
          <t>NA</t>
        </is>
      </c>
      <c r="K1317" t="n">
        <v>95.59999999999999</v>
      </c>
      <c r="L1317">
        <f>IF(K1317&gt;=80,"Yes","No")</f>
        <v/>
      </c>
      <c r="M1317">
        <f>IF(ISNUMBER(H1317),IF(H1317&gt;0,1,0),"")</f>
        <v/>
      </c>
    </row>
    <row r="1318">
      <c r="A1318" t="inlineStr">
        <is>
          <t>SIMULATED_FEA_Commercial_Study</t>
        </is>
      </c>
      <c r="B1318" t="inlineStr">
        <is>
          <t>V25</t>
        </is>
      </c>
      <c r="C1318" t="inlineStr">
        <is>
          <t>Annotation</t>
        </is>
      </c>
      <c r="D1318" t="inlineStr">
        <is>
          <t>Bin_01</t>
        </is>
      </c>
      <c r="E1318" t="n">
        <v>10</v>
      </c>
      <c r="F1318" t="inlineStr">
        <is>
          <t>Brow Furrow</t>
        </is>
      </c>
      <c r="G1318" t="n">
        <v>50</v>
      </c>
      <c r="H1318" t="n">
        <v>0</v>
      </c>
      <c r="I1318" t="n">
        <v>0</v>
      </c>
      <c r="J1318" t="inlineStr">
        <is>
          <t>NA</t>
        </is>
      </c>
      <c r="K1318" t="n">
        <v>95.59999999999999</v>
      </c>
      <c r="L1318">
        <f>IF(K1318&gt;=80,"Yes","No")</f>
        <v/>
      </c>
      <c r="M1318">
        <f>IF(ISNUMBER(H1318),IF(H1318&gt;0,1,0),"")</f>
        <v/>
      </c>
    </row>
    <row r="1319">
      <c r="A1319" t="inlineStr">
        <is>
          <t>SIMULATED_FEA_Commercial_Study</t>
        </is>
      </c>
      <c r="B1319" t="inlineStr">
        <is>
          <t>V25</t>
        </is>
      </c>
      <c r="C1319" t="inlineStr">
        <is>
          <t>Annotation</t>
        </is>
      </c>
      <c r="D1319" t="inlineStr">
        <is>
          <t>Bin_01</t>
        </is>
      </c>
      <c r="E1319" t="n">
        <v>10</v>
      </c>
      <c r="F1319" t="inlineStr">
        <is>
          <t>Positive Valence</t>
        </is>
      </c>
      <c r="G1319" t="n">
        <v>50</v>
      </c>
      <c r="H1319" t="n">
        <v>1</v>
      </c>
      <c r="I1319" t="n">
        <v>1</v>
      </c>
      <c r="J1319" t="inlineStr">
        <is>
          <t>NA</t>
        </is>
      </c>
      <c r="K1319" t="n">
        <v>95.59999999999999</v>
      </c>
      <c r="L1319">
        <f>IF(K1319&gt;=80,"Yes","No")</f>
        <v/>
      </c>
      <c r="M1319">
        <f>IF(ISNUMBER(H1319),IF(H1319&gt;0,1,0),"")</f>
        <v/>
      </c>
    </row>
    <row r="1320">
      <c r="A1320" t="inlineStr">
        <is>
          <t>SIMULATED_FEA_Commercial_Study</t>
        </is>
      </c>
      <c r="B1320" t="inlineStr">
        <is>
          <t>V25</t>
        </is>
      </c>
      <c r="C1320" t="inlineStr">
        <is>
          <t>Annotation</t>
        </is>
      </c>
      <c r="D1320" t="inlineStr">
        <is>
          <t>Bin_01</t>
        </is>
      </c>
      <c r="E1320" t="n">
        <v>10</v>
      </c>
      <c r="F1320" t="inlineStr">
        <is>
          <t>Negative Valence</t>
        </is>
      </c>
      <c r="G1320" t="n">
        <v>-50</v>
      </c>
      <c r="H1320" t="n">
        <v>0</v>
      </c>
      <c r="I1320" t="n">
        <v>0</v>
      </c>
      <c r="J1320" t="inlineStr">
        <is>
          <t>NA</t>
        </is>
      </c>
      <c r="K1320" t="n">
        <v>95.59999999999999</v>
      </c>
      <c r="L1320">
        <f>IF(K1320&gt;=80,"Yes","No")</f>
        <v/>
      </c>
      <c r="M1320">
        <f>IF(ISNUMBER(H1320),IF(H1320&gt;0,1,0),"")</f>
        <v/>
      </c>
    </row>
    <row r="1321">
      <c r="A1321" t="inlineStr">
        <is>
          <t>SIMULATED_FEA_Commercial_Study</t>
        </is>
      </c>
      <c r="B1321" t="inlineStr">
        <is>
          <t>V25</t>
        </is>
      </c>
      <c r="C1321" t="inlineStr">
        <is>
          <t>Annotation</t>
        </is>
      </c>
      <c r="D1321" t="inlineStr">
        <is>
          <t>Bin_01</t>
        </is>
      </c>
      <c r="E1321" t="n">
        <v>10</v>
      </c>
      <c r="F1321" t="inlineStr">
        <is>
          <t>Engagement</t>
        </is>
      </c>
      <c r="G1321" t="inlineStr">
        <is>
          <t>NA</t>
        </is>
      </c>
      <c r="H1321" t="inlineStr">
        <is>
          <t>NA</t>
        </is>
      </c>
      <c r="I1321" t="inlineStr">
        <is>
          <t>NA</t>
        </is>
      </c>
      <c r="J1321" t="n">
        <v>9.779999999999999</v>
      </c>
      <c r="K1321" t="n">
        <v>95.59999999999999</v>
      </c>
      <c r="L1321">
        <f>IF(K1321&gt;=80,"Yes","No")</f>
        <v/>
      </c>
      <c r="M1321">
        <f>IF(ISNUMBER(H1321),IF(H1321&gt;0,1,0),"")</f>
        <v/>
      </c>
    </row>
    <row r="1322">
      <c r="A1322" t="inlineStr">
        <is>
          <t>SIMULATED_FEA_Commercial_Study</t>
        </is>
      </c>
      <c r="B1322" t="inlineStr">
        <is>
          <t>V25</t>
        </is>
      </c>
      <c r="C1322" t="inlineStr">
        <is>
          <t>Annotation</t>
        </is>
      </c>
      <c r="D1322" t="inlineStr">
        <is>
          <t>Bin_02</t>
        </is>
      </c>
      <c r="E1322" t="n">
        <v>10</v>
      </c>
      <c r="F1322" t="inlineStr">
        <is>
          <t>Joy</t>
        </is>
      </c>
      <c r="G1322" t="n">
        <v>50</v>
      </c>
      <c r="H1322" t="n">
        <v>0</v>
      </c>
      <c r="I1322" t="n">
        <v>0</v>
      </c>
      <c r="J1322" t="inlineStr">
        <is>
          <t>NA</t>
        </is>
      </c>
      <c r="K1322" t="n">
        <v>95.59999999999999</v>
      </c>
      <c r="L1322">
        <f>IF(K1322&gt;=80,"Yes","No")</f>
        <v/>
      </c>
      <c r="M1322">
        <f>IF(ISNUMBER(H1322),IF(H1322&gt;0,1,0),"")</f>
        <v/>
      </c>
    </row>
    <row r="1323">
      <c r="A1323" t="inlineStr">
        <is>
          <t>SIMULATED_FEA_Commercial_Study</t>
        </is>
      </c>
      <c r="B1323" t="inlineStr">
        <is>
          <t>V25</t>
        </is>
      </c>
      <c r="C1323" t="inlineStr">
        <is>
          <t>Annotation</t>
        </is>
      </c>
      <c r="D1323" t="inlineStr">
        <is>
          <t>Bin_02</t>
        </is>
      </c>
      <c r="E1323" t="n">
        <v>10</v>
      </c>
      <c r="F1323" t="inlineStr">
        <is>
          <t>Surprise</t>
        </is>
      </c>
      <c r="G1323" t="n">
        <v>50</v>
      </c>
      <c r="H1323" t="n">
        <v>0</v>
      </c>
      <c r="I1323" t="n">
        <v>0</v>
      </c>
      <c r="J1323" t="inlineStr">
        <is>
          <t>NA</t>
        </is>
      </c>
      <c r="K1323" t="n">
        <v>95.59999999999999</v>
      </c>
      <c r="L1323">
        <f>IF(K1323&gt;=80,"Yes","No")</f>
        <v/>
      </c>
      <c r="M1323">
        <f>IF(ISNUMBER(H1323),IF(H1323&gt;0,1,0),"")</f>
        <v/>
      </c>
    </row>
    <row r="1324">
      <c r="A1324" t="inlineStr">
        <is>
          <t>SIMULATED_FEA_Commercial_Study</t>
        </is>
      </c>
      <c r="B1324" t="inlineStr">
        <is>
          <t>V25</t>
        </is>
      </c>
      <c r="C1324" t="inlineStr">
        <is>
          <t>Annotation</t>
        </is>
      </c>
      <c r="D1324" t="inlineStr">
        <is>
          <t>Bin_02</t>
        </is>
      </c>
      <c r="E1324" t="n">
        <v>10</v>
      </c>
      <c r="F1324" t="inlineStr">
        <is>
          <t>Brow Furrow</t>
        </is>
      </c>
      <c r="G1324" t="n">
        <v>50</v>
      </c>
      <c r="H1324" t="n">
        <v>0</v>
      </c>
      <c r="I1324" t="n">
        <v>0</v>
      </c>
      <c r="J1324" t="inlineStr">
        <is>
          <t>NA</t>
        </is>
      </c>
      <c r="K1324" t="n">
        <v>95.59999999999999</v>
      </c>
      <c r="L1324">
        <f>IF(K1324&gt;=80,"Yes","No")</f>
        <v/>
      </c>
      <c r="M1324">
        <f>IF(ISNUMBER(H1324),IF(H1324&gt;0,1,0),"")</f>
        <v/>
      </c>
    </row>
    <row r="1325">
      <c r="A1325" t="inlineStr">
        <is>
          <t>SIMULATED_FEA_Commercial_Study</t>
        </is>
      </c>
      <c r="B1325" t="inlineStr">
        <is>
          <t>V25</t>
        </is>
      </c>
      <c r="C1325" t="inlineStr">
        <is>
          <t>Annotation</t>
        </is>
      </c>
      <c r="D1325" t="inlineStr">
        <is>
          <t>Bin_02</t>
        </is>
      </c>
      <c r="E1325" t="n">
        <v>10</v>
      </c>
      <c r="F1325" t="inlineStr">
        <is>
          <t>Positive Valence</t>
        </is>
      </c>
      <c r="G1325" t="n">
        <v>50</v>
      </c>
      <c r="H1325" t="n">
        <v>0</v>
      </c>
      <c r="I1325" t="n">
        <v>0</v>
      </c>
      <c r="J1325" t="inlineStr">
        <is>
          <t>NA</t>
        </is>
      </c>
      <c r="K1325" t="n">
        <v>95.59999999999999</v>
      </c>
      <c r="L1325">
        <f>IF(K1325&gt;=80,"Yes","No")</f>
        <v/>
      </c>
      <c r="M1325">
        <f>IF(ISNUMBER(H1325),IF(H1325&gt;0,1,0),"")</f>
        <v/>
      </c>
    </row>
    <row r="1326">
      <c r="A1326" t="inlineStr">
        <is>
          <t>SIMULATED_FEA_Commercial_Study</t>
        </is>
      </c>
      <c r="B1326" t="inlineStr">
        <is>
          <t>V25</t>
        </is>
      </c>
      <c r="C1326" t="inlineStr">
        <is>
          <t>Annotation</t>
        </is>
      </c>
      <c r="D1326" t="inlineStr">
        <is>
          <t>Bin_02</t>
        </is>
      </c>
      <c r="E1326" t="n">
        <v>10</v>
      </c>
      <c r="F1326" t="inlineStr">
        <is>
          <t>Negative Valence</t>
        </is>
      </c>
      <c r="G1326" t="n">
        <v>-50</v>
      </c>
      <c r="H1326" t="n">
        <v>0</v>
      </c>
      <c r="I1326" t="n">
        <v>0</v>
      </c>
      <c r="J1326" t="inlineStr">
        <is>
          <t>NA</t>
        </is>
      </c>
      <c r="K1326" t="n">
        <v>95.59999999999999</v>
      </c>
      <c r="L1326">
        <f>IF(K1326&gt;=80,"Yes","No")</f>
        <v/>
      </c>
      <c r="M1326">
        <f>IF(ISNUMBER(H1326),IF(H1326&gt;0,1,0),"")</f>
        <v/>
      </c>
    </row>
    <row r="1327">
      <c r="A1327" t="inlineStr">
        <is>
          <t>SIMULATED_FEA_Commercial_Study</t>
        </is>
      </c>
      <c r="B1327" t="inlineStr">
        <is>
          <t>V25</t>
        </is>
      </c>
      <c r="C1327" t="inlineStr">
        <is>
          <t>Annotation</t>
        </is>
      </c>
      <c r="D1327" t="inlineStr">
        <is>
          <t>Bin_02</t>
        </is>
      </c>
      <c r="E1327" t="n">
        <v>10</v>
      </c>
      <c r="F1327" t="inlineStr">
        <is>
          <t>Engagement</t>
        </is>
      </c>
      <c r="G1327" t="inlineStr">
        <is>
          <t>NA</t>
        </is>
      </c>
      <c r="H1327" t="inlineStr">
        <is>
          <t>NA</t>
        </is>
      </c>
      <c r="I1327" t="inlineStr">
        <is>
          <t>NA</t>
        </is>
      </c>
      <c r="J1327" t="n">
        <v>4.86</v>
      </c>
      <c r="K1327" t="n">
        <v>95.59999999999999</v>
      </c>
      <c r="L1327">
        <f>IF(K1327&gt;=80,"Yes","No")</f>
        <v/>
      </c>
      <c r="M1327">
        <f>IF(ISNUMBER(H1327),IF(H1327&gt;0,1,0),"")</f>
        <v/>
      </c>
    </row>
    <row r="1328">
      <c r="A1328" t="inlineStr">
        <is>
          <t>SIMULATED_FEA_Commercial_Study</t>
        </is>
      </c>
      <c r="B1328" t="inlineStr">
        <is>
          <t>V25</t>
        </is>
      </c>
      <c r="C1328" t="inlineStr">
        <is>
          <t>Annotation</t>
        </is>
      </c>
      <c r="D1328" t="inlineStr">
        <is>
          <t>Bin_03</t>
        </is>
      </c>
      <c r="E1328" t="n">
        <v>10</v>
      </c>
      <c r="F1328" t="inlineStr">
        <is>
          <t>Joy</t>
        </is>
      </c>
      <c r="G1328" t="n">
        <v>50</v>
      </c>
      <c r="H1328" t="n">
        <v>0</v>
      </c>
      <c r="I1328" t="n">
        <v>0</v>
      </c>
      <c r="J1328" t="inlineStr">
        <is>
          <t>NA</t>
        </is>
      </c>
      <c r="K1328" t="n">
        <v>95.59999999999999</v>
      </c>
      <c r="L1328">
        <f>IF(K1328&gt;=80,"Yes","No")</f>
        <v/>
      </c>
      <c r="M1328">
        <f>IF(ISNUMBER(H1328),IF(H1328&gt;0,1,0),"")</f>
        <v/>
      </c>
    </row>
    <row r="1329">
      <c r="A1329" t="inlineStr">
        <is>
          <t>SIMULATED_FEA_Commercial_Study</t>
        </is>
      </c>
      <c r="B1329" t="inlineStr">
        <is>
          <t>V25</t>
        </is>
      </c>
      <c r="C1329" t="inlineStr">
        <is>
          <t>Annotation</t>
        </is>
      </c>
      <c r="D1329" t="inlineStr">
        <is>
          <t>Bin_03</t>
        </is>
      </c>
      <c r="E1329" t="n">
        <v>10</v>
      </c>
      <c r="F1329" t="inlineStr">
        <is>
          <t>Surprise</t>
        </is>
      </c>
      <c r="G1329" t="n">
        <v>50</v>
      </c>
      <c r="H1329" t="n">
        <v>9</v>
      </c>
      <c r="I1329" t="n">
        <v>1</v>
      </c>
      <c r="J1329" t="inlineStr">
        <is>
          <t>NA</t>
        </is>
      </c>
      <c r="K1329" t="n">
        <v>95.59999999999999</v>
      </c>
      <c r="L1329">
        <f>IF(K1329&gt;=80,"Yes","No")</f>
        <v/>
      </c>
      <c r="M1329">
        <f>IF(ISNUMBER(H1329),IF(H1329&gt;0,1,0),"")</f>
        <v/>
      </c>
    </row>
    <row r="1330">
      <c r="A1330" t="inlineStr">
        <is>
          <t>SIMULATED_FEA_Commercial_Study</t>
        </is>
      </c>
      <c r="B1330" t="inlineStr">
        <is>
          <t>V25</t>
        </is>
      </c>
      <c r="C1330" t="inlineStr">
        <is>
          <t>Annotation</t>
        </is>
      </c>
      <c r="D1330" t="inlineStr">
        <is>
          <t>Bin_03</t>
        </is>
      </c>
      <c r="E1330" t="n">
        <v>10</v>
      </c>
      <c r="F1330" t="inlineStr">
        <is>
          <t>Brow Furrow</t>
        </is>
      </c>
      <c r="G1330" t="n">
        <v>50</v>
      </c>
      <c r="H1330" t="n">
        <v>0</v>
      </c>
      <c r="I1330" t="n">
        <v>0</v>
      </c>
      <c r="J1330" t="inlineStr">
        <is>
          <t>NA</t>
        </is>
      </c>
      <c r="K1330" t="n">
        <v>95.59999999999999</v>
      </c>
      <c r="L1330">
        <f>IF(K1330&gt;=80,"Yes","No")</f>
        <v/>
      </c>
      <c r="M1330">
        <f>IF(ISNUMBER(H1330),IF(H1330&gt;0,1,0),"")</f>
        <v/>
      </c>
    </row>
    <row r="1331">
      <c r="A1331" t="inlineStr">
        <is>
          <t>SIMULATED_FEA_Commercial_Study</t>
        </is>
      </c>
      <c r="B1331" t="inlineStr">
        <is>
          <t>V25</t>
        </is>
      </c>
      <c r="C1331" t="inlineStr">
        <is>
          <t>Annotation</t>
        </is>
      </c>
      <c r="D1331" t="inlineStr">
        <is>
          <t>Bin_03</t>
        </is>
      </c>
      <c r="E1331" t="n">
        <v>10</v>
      </c>
      <c r="F1331" t="inlineStr">
        <is>
          <t>Positive Valence</t>
        </is>
      </c>
      <c r="G1331" t="n">
        <v>50</v>
      </c>
      <c r="H1331" t="n">
        <v>0</v>
      </c>
      <c r="I1331" t="n">
        <v>0</v>
      </c>
      <c r="J1331" t="inlineStr">
        <is>
          <t>NA</t>
        </is>
      </c>
      <c r="K1331" t="n">
        <v>95.59999999999999</v>
      </c>
      <c r="L1331">
        <f>IF(K1331&gt;=80,"Yes","No")</f>
        <v/>
      </c>
      <c r="M1331">
        <f>IF(ISNUMBER(H1331),IF(H1331&gt;0,1,0),"")</f>
        <v/>
      </c>
    </row>
    <row r="1332">
      <c r="A1332" t="inlineStr">
        <is>
          <t>SIMULATED_FEA_Commercial_Study</t>
        </is>
      </c>
      <c r="B1332" t="inlineStr">
        <is>
          <t>V25</t>
        </is>
      </c>
      <c r="C1332" t="inlineStr">
        <is>
          <t>Annotation</t>
        </is>
      </c>
      <c r="D1332" t="inlineStr">
        <is>
          <t>Bin_03</t>
        </is>
      </c>
      <c r="E1332" t="n">
        <v>10</v>
      </c>
      <c r="F1332" t="inlineStr">
        <is>
          <t>Negative Valence</t>
        </is>
      </c>
      <c r="G1332" t="n">
        <v>-50</v>
      </c>
      <c r="H1332" t="n">
        <v>0</v>
      </c>
      <c r="I1332" t="n">
        <v>0</v>
      </c>
      <c r="J1332" t="inlineStr">
        <is>
          <t>NA</t>
        </is>
      </c>
      <c r="K1332" t="n">
        <v>95.59999999999999</v>
      </c>
      <c r="L1332">
        <f>IF(K1332&gt;=80,"Yes","No")</f>
        <v/>
      </c>
      <c r="M1332">
        <f>IF(ISNUMBER(H1332),IF(H1332&gt;0,1,0),"")</f>
        <v/>
      </c>
    </row>
    <row r="1333">
      <c r="A1333" t="inlineStr">
        <is>
          <t>SIMULATED_FEA_Commercial_Study</t>
        </is>
      </c>
      <c r="B1333" t="inlineStr">
        <is>
          <t>V25</t>
        </is>
      </c>
      <c r="C1333" t="inlineStr">
        <is>
          <t>Annotation</t>
        </is>
      </c>
      <c r="D1333" t="inlineStr">
        <is>
          <t>Bin_03</t>
        </is>
      </c>
      <c r="E1333" t="n">
        <v>10</v>
      </c>
      <c r="F1333" t="inlineStr">
        <is>
          <t>Engagement</t>
        </is>
      </c>
      <c r="G1333" t="inlineStr">
        <is>
          <t>NA</t>
        </is>
      </c>
      <c r="H1333" t="inlineStr">
        <is>
          <t>NA</t>
        </is>
      </c>
      <c r="I1333" t="inlineStr">
        <is>
          <t>NA</t>
        </is>
      </c>
      <c r="J1333" t="n">
        <v>17.55</v>
      </c>
      <c r="K1333" t="n">
        <v>95.59999999999999</v>
      </c>
      <c r="L1333">
        <f>IF(K1333&gt;=80,"Yes","No")</f>
        <v/>
      </c>
      <c r="M1333">
        <f>IF(ISNUMBER(H1333),IF(H1333&gt;0,1,0),"")</f>
        <v/>
      </c>
    </row>
    <row r="1334">
      <c r="A1334" t="inlineStr">
        <is>
          <t>SIMULATED_FEA_Commercial_Study</t>
        </is>
      </c>
      <c r="B1334" t="inlineStr">
        <is>
          <t>V25</t>
        </is>
      </c>
      <c r="C1334" t="inlineStr">
        <is>
          <t>Annotation</t>
        </is>
      </c>
      <c r="D1334" t="inlineStr">
        <is>
          <t>Bin_04</t>
        </is>
      </c>
      <c r="E1334" t="n">
        <v>10</v>
      </c>
      <c r="F1334" t="inlineStr">
        <is>
          <t>Joy</t>
        </is>
      </c>
      <c r="G1334" t="n">
        <v>50</v>
      </c>
      <c r="H1334" t="n">
        <v>0</v>
      </c>
      <c r="I1334" t="n">
        <v>0</v>
      </c>
      <c r="J1334" t="inlineStr">
        <is>
          <t>NA</t>
        </is>
      </c>
      <c r="K1334" t="n">
        <v>95.59999999999999</v>
      </c>
      <c r="L1334">
        <f>IF(K1334&gt;=80,"Yes","No")</f>
        <v/>
      </c>
      <c r="M1334">
        <f>IF(ISNUMBER(H1334),IF(H1334&gt;0,1,0),"")</f>
        <v/>
      </c>
    </row>
    <row r="1335">
      <c r="A1335" t="inlineStr">
        <is>
          <t>SIMULATED_FEA_Commercial_Study</t>
        </is>
      </c>
      <c r="B1335" t="inlineStr">
        <is>
          <t>V25</t>
        </is>
      </c>
      <c r="C1335" t="inlineStr">
        <is>
          <t>Annotation</t>
        </is>
      </c>
      <c r="D1335" t="inlineStr">
        <is>
          <t>Bin_04</t>
        </is>
      </c>
      <c r="E1335" t="n">
        <v>10</v>
      </c>
      <c r="F1335" t="inlineStr">
        <is>
          <t>Surprise</t>
        </is>
      </c>
      <c r="G1335" t="n">
        <v>50</v>
      </c>
      <c r="H1335" t="n">
        <v>0</v>
      </c>
      <c r="I1335" t="n">
        <v>0</v>
      </c>
      <c r="J1335" t="inlineStr">
        <is>
          <t>NA</t>
        </is>
      </c>
      <c r="K1335" t="n">
        <v>95.59999999999999</v>
      </c>
      <c r="L1335">
        <f>IF(K1335&gt;=80,"Yes","No")</f>
        <v/>
      </c>
      <c r="M1335">
        <f>IF(ISNUMBER(H1335),IF(H1335&gt;0,1,0),"")</f>
        <v/>
      </c>
    </row>
    <row r="1336">
      <c r="A1336" t="inlineStr">
        <is>
          <t>SIMULATED_FEA_Commercial_Study</t>
        </is>
      </c>
      <c r="B1336" t="inlineStr">
        <is>
          <t>V25</t>
        </is>
      </c>
      <c r="C1336" t="inlineStr">
        <is>
          <t>Annotation</t>
        </is>
      </c>
      <c r="D1336" t="inlineStr">
        <is>
          <t>Bin_04</t>
        </is>
      </c>
      <c r="E1336" t="n">
        <v>10</v>
      </c>
      <c r="F1336" t="inlineStr">
        <is>
          <t>Brow Furrow</t>
        </is>
      </c>
      <c r="G1336" t="n">
        <v>50</v>
      </c>
      <c r="H1336" t="n">
        <v>24.33</v>
      </c>
      <c r="I1336" t="n">
        <v>1</v>
      </c>
      <c r="J1336" t="inlineStr">
        <is>
          <t>NA</t>
        </is>
      </c>
      <c r="K1336" t="n">
        <v>95.59999999999999</v>
      </c>
      <c r="L1336">
        <f>IF(K1336&gt;=80,"Yes","No")</f>
        <v/>
      </c>
      <c r="M1336">
        <f>IF(ISNUMBER(H1336),IF(H1336&gt;0,1,0),"")</f>
        <v/>
      </c>
    </row>
    <row r="1337">
      <c r="A1337" t="inlineStr">
        <is>
          <t>SIMULATED_FEA_Commercial_Study</t>
        </is>
      </c>
      <c r="B1337" t="inlineStr">
        <is>
          <t>V25</t>
        </is>
      </c>
      <c r="C1337" t="inlineStr">
        <is>
          <t>Annotation</t>
        </is>
      </c>
      <c r="D1337" t="inlineStr">
        <is>
          <t>Bin_04</t>
        </is>
      </c>
      <c r="E1337" t="n">
        <v>10</v>
      </c>
      <c r="F1337" t="inlineStr">
        <is>
          <t>Positive Valence</t>
        </is>
      </c>
      <c r="G1337" t="n">
        <v>50</v>
      </c>
      <c r="H1337" t="n">
        <v>0</v>
      </c>
      <c r="I1337" t="n">
        <v>0</v>
      </c>
      <c r="J1337" t="inlineStr">
        <is>
          <t>NA</t>
        </is>
      </c>
      <c r="K1337" t="n">
        <v>95.59999999999999</v>
      </c>
      <c r="L1337">
        <f>IF(K1337&gt;=80,"Yes","No")</f>
        <v/>
      </c>
      <c r="M1337">
        <f>IF(ISNUMBER(H1337),IF(H1337&gt;0,1,0),"")</f>
        <v/>
      </c>
    </row>
    <row r="1338">
      <c r="A1338" t="inlineStr">
        <is>
          <t>SIMULATED_FEA_Commercial_Study</t>
        </is>
      </c>
      <c r="B1338" t="inlineStr">
        <is>
          <t>V25</t>
        </is>
      </c>
      <c r="C1338" t="inlineStr">
        <is>
          <t>Annotation</t>
        </is>
      </c>
      <c r="D1338" t="inlineStr">
        <is>
          <t>Bin_04</t>
        </is>
      </c>
      <c r="E1338" t="n">
        <v>10</v>
      </c>
      <c r="F1338" t="inlineStr">
        <is>
          <t>Negative Valence</t>
        </is>
      </c>
      <c r="G1338" t="n">
        <v>-50</v>
      </c>
      <c r="H1338" t="n">
        <v>0</v>
      </c>
      <c r="I1338" t="n">
        <v>0</v>
      </c>
      <c r="J1338" t="inlineStr">
        <is>
          <t>NA</t>
        </is>
      </c>
      <c r="K1338" t="n">
        <v>95.59999999999999</v>
      </c>
      <c r="L1338">
        <f>IF(K1338&gt;=80,"Yes","No")</f>
        <v/>
      </c>
      <c r="M1338">
        <f>IF(ISNUMBER(H1338),IF(H1338&gt;0,1,0),"")</f>
        <v/>
      </c>
    </row>
    <row r="1339">
      <c r="A1339" t="inlineStr">
        <is>
          <t>SIMULATED_FEA_Commercial_Study</t>
        </is>
      </c>
      <c r="B1339" t="inlineStr">
        <is>
          <t>V25</t>
        </is>
      </c>
      <c r="C1339" t="inlineStr">
        <is>
          <t>Annotation</t>
        </is>
      </c>
      <c r="D1339" t="inlineStr">
        <is>
          <t>Bin_04</t>
        </is>
      </c>
      <c r="E1339" t="n">
        <v>10</v>
      </c>
      <c r="F1339" t="inlineStr">
        <is>
          <t>Engagement</t>
        </is>
      </c>
      <c r="G1339" t="inlineStr">
        <is>
          <t>NA</t>
        </is>
      </c>
      <c r="H1339" t="inlineStr">
        <is>
          <t>NA</t>
        </is>
      </c>
      <c r="I1339" t="inlineStr">
        <is>
          <t>NA</t>
        </is>
      </c>
      <c r="J1339" t="n">
        <v>17.45</v>
      </c>
      <c r="K1339" t="n">
        <v>95.59999999999999</v>
      </c>
      <c r="L1339">
        <f>IF(K1339&gt;=80,"Yes","No")</f>
        <v/>
      </c>
      <c r="M1339">
        <f>IF(ISNUMBER(H1339),IF(H1339&gt;0,1,0),"")</f>
        <v/>
      </c>
    </row>
    <row r="1340">
      <c r="A1340" t="inlineStr">
        <is>
          <t>SIMULATED_FEA_Commercial_Study</t>
        </is>
      </c>
      <c r="B1340" t="inlineStr">
        <is>
          <t>V25</t>
        </is>
      </c>
      <c r="C1340" t="inlineStr">
        <is>
          <t>Annotation</t>
        </is>
      </c>
      <c r="D1340" t="inlineStr">
        <is>
          <t>Bin_05</t>
        </is>
      </c>
      <c r="E1340" t="n">
        <v>10</v>
      </c>
      <c r="F1340" t="inlineStr">
        <is>
          <t>Joy</t>
        </is>
      </c>
      <c r="G1340" t="n">
        <v>50</v>
      </c>
      <c r="H1340" t="n">
        <v>0</v>
      </c>
      <c r="I1340" t="n">
        <v>0</v>
      </c>
      <c r="J1340" t="inlineStr">
        <is>
          <t>NA</t>
        </is>
      </c>
      <c r="K1340" t="n">
        <v>95.59999999999999</v>
      </c>
      <c r="L1340">
        <f>IF(K1340&gt;=80,"Yes","No")</f>
        <v/>
      </c>
      <c r="M1340">
        <f>IF(ISNUMBER(H1340),IF(H1340&gt;0,1,0),"")</f>
        <v/>
      </c>
    </row>
    <row r="1341">
      <c r="A1341" t="inlineStr">
        <is>
          <t>SIMULATED_FEA_Commercial_Study</t>
        </is>
      </c>
      <c r="B1341" t="inlineStr">
        <is>
          <t>V25</t>
        </is>
      </c>
      <c r="C1341" t="inlineStr">
        <is>
          <t>Annotation</t>
        </is>
      </c>
      <c r="D1341" t="inlineStr">
        <is>
          <t>Bin_05</t>
        </is>
      </c>
      <c r="E1341" t="n">
        <v>10</v>
      </c>
      <c r="F1341" t="inlineStr">
        <is>
          <t>Surprise</t>
        </is>
      </c>
      <c r="G1341" t="n">
        <v>50</v>
      </c>
      <c r="H1341" t="n">
        <v>0</v>
      </c>
      <c r="I1341" t="n">
        <v>0</v>
      </c>
      <c r="J1341" t="inlineStr">
        <is>
          <t>NA</t>
        </is>
      </c>
      <c r="K1341" t="n">
        <v>95.59999999999999</v>
      </c>
      <c r="L1341">
        <f>IF(K1341&gt;=80,"Yes","No")</f>
        <v/>
      </c>
      <c r="M1341">
        <f>IF(ISNUMBER(H1341),IF(H1341&gt;0,1,0),"")</f>
        <v/>
      </c>
    </row>
    <row r="1342">
      <c r="A1342" t="inlineStr">
        <is>
          <t>SIMULATED_FEA_Commercial_Study</t>
        </is>
      </c>
      <c r="B1342" t="inlineStr">
        <is>
          <t>V25</t>
        </is>
      </c>
      <c r="C1342" t="inlineStr">
        <is>
          <t>Annotation</t>
        </is>
      </c>
      <c r="D1342" t="inlineStr">
        <is>
          <t>Bin_05</t>
        </is>
      </c>
      <c r="E1342" t="n">
        <v>10</v>
      </c>
      <c r="F1342" t="inlineStr">
        <is>
          <t>Brow Furrow</t>
        </is>
      </c>
      <c r="G1342" t="n">
        <v>50</v>
      </c>
      <c r="H1342" t="n">
        <v>7</v>
      </c>
      <c r="I1342" t="n">
        <v>1</v>
      </c>
      <c r="J1342" t="inlineStr">
        <is>
          <t>NA</t>
        </is>
      </c>
      <c r="K1342" t="n">
        <v>95.59999999999999</v>
      </c>
      <c r="L1342">
        <f>IF(K1342&gt;=80,"Yes","No")</f>
        <v/>
      </c>
      <c r="M1342">
        <f>IF(ISNUMBER(H1342),IF(H1342&gt;0,1,0),"")</f>
        <v/>
      </c>
    </row>
    <row r="1343">
      <c r="A1343" t="inlineStr">
        <is>
          <t>SIMULATED_FEA_Commercial_Study</t>
        </is>
      </c>
      <c r="B1343" t="inlineStr">
        <is>
          <t>V25</t>
        </is>
      </c>
      <c r="C1343" t="inlineStr">
        <is>
          <t>Annotation</t>
        </is>
      </c>
      <c r="D1343" t="inlineStr">
        <is>
          <t>Bin_05</t>
        </is>
      </c>
      <c r="E1343" t="n">
        <v>10</v>
      </c>
      <c r="F1343" t="inlineStr">
        <is>
          <t>Positive Valence</t>
        </is>
      </c>
      <c r="G1343" t="n">
        <v>50</v>
      </c>
      <c r="H1343" t="n">
        <v>0</v>
      </c>
      <c r="I1343" t="n">
        <v>0</v>
      </c>
      <c r="J1343" t="inlineStr">
        <is>
          <t>NA</t>
        </is>
      </c>
      <c r="K1343" t="n">
        <v>95.59999999999999</v>
      </c>
      <c r="L1343">
        <f>IF(K1343&gt;=80,"Yes","No")</f>
        <v/>
      </c>
      <c r="M1343">
        <f>IF(ISNUMBER(H1343),IF(H1343&gt;0,1,0),"")</f>
        <v/>
      </c>
    </row>
    <row r="1344">
      <c r="A1344" t="inlineStr">
        <is>
          <t>SIMULATED_FEA_Commercial_Study</t>
        </is>
      </c>
      <c r="B1344" t="inlineStr">
        <is>
          <t>V25</t>
        </is>
      </c>
      <c r="C1344" t="inlineStr">
        <is>
          <t>Annotation</t>
        </is>
      </c>
      <c r="D1344" t="inlineStr">
        <is>
          <t>Bin_05</t>
        </is>
      </c>
      <c r="E1344" t="n">
        <v>10</v>
      </c>
      <c r="F1344" t="inlineStr">
        <is>
          <t>Negative Valence</t>
        </is>
      </c>
      <c r="G1344" t="n">
        <v>-50</v>
      </c>
      <c r="H1344" t="n">
        <v>0</v>
      </c>
      <c r="I1344" t="n">
        <v>0</v>
      </c>
      <c r="J1344" t="inlineStr">
        <is>
          <t>NA</t>
        </is>
      </c>
      <c r="K1344" t="n">
        <v>95.59999999999999</v>
      </c>
      <c r="L1344">
        <f>IF(K1344&gt;=80,"Yes","No")</f>
        <v/>
      </c>
      <c r="M1344">
        <f>IF(ISNUMBER(H1344),IF(H1344&gt;0,1,0),"")</f>
        <v/>
      </c>
    </row>
    <row r="1345">
      <c r="A1345" t="inlineStr">
        <is>
          <t>SIMULATED_FEA_Commercial_Study</t>
        </is>
      </c>
      <c r="B1345" t="inlineStr">
        <is>
          <t>V25</t>
        </is>
      </c>
      <c r="C1345" t="inlineStr">
        <is>
          <t>Annotation</t>
        </is>
      </c>
      <c r="D1345" t="inlineStr">
        <is>
          <t>Bin_05</t>
        </is>
      </c>
      <c r="E1345" t="n">
        <v>10</v>
      </c>
      <c r="F1345" t="inlineStr">
        <is>
          <t>Engagement</t>
        </is>
      </c>
      <c r="G1345" t="inlineStr">
        <is>
          <t>NA</t>
        </is>
      </c>
      <c r="H1345" t="inlineStr">
        <is>
          <t>NA</t>
        </is>
      </c>
      <c r="I1345" t="inlineStr">
        <is>
          <t>NA</t>
        </is>
      </c>
      <c r="J1345" t="n">
        <v>8.470000000000001</v>
      </c>
      <c r="K1345" t="n">
        <v>95.59999999999999</v>
      </c>
      <c r="L1345">
        <f>IF(K1345&gt;=80,"Yes","No")</f>
        <v/>
      </c>
      <c r="M1345">
        <f>IF(ISNUMBER(H1345),IF(H1345&gt;0,1,0),"")</f>
        <v/>
      </c>
    </row>
    <row r="1346">
      <c r="A1346" t="inlineStr">
        <is>
          <t>SIMULATED_FEA_Commercial_Study</t>
        </is>
      </c>
      <c r="B1346" t="inlineStr">
        <is>
          <t>V25</t>
        </is>
      </c>
      <c r="C1346" t="inlineStr">
        <is>
          <t>Annotation</t>
        </is>
      </c>
      <c r="D1346" t="inlineStr">
        <is>
          <t>Bin_06</t>
        </is>
      </c>
      <c r="E1346" t="n">
        <v>10</v>
      </c>
      <c r="F1346" t="inlineStr">
        <is>
          <t>Joy</t>
        </is>
      </c>
      <c r="G1346" t="n">
        <v>50</v>
      </c>
      <c r="H1346" t="n">
        <v>0</v>
      </c>
      <c r="I1346" t="n">
        <v>0</v>
      </c>
      <c r="J1346" t="inlineStr">
        <is>
          <t>NA</t>
        </is>
      </c>
      <c r="K1346" t="n">
        <v>95.59999999999999</v>
      </c>
      <c r="L1346">
        <f>IF(K1346&gt;=80,"Yes","No")</f>
        <v/>
      </c>
      <c r="M1346">
        <f>IF(ISNUMBER(H1346),IF(H1346&gt;0,1,0),"")</f>
        <v/>
      </c>
    </row>
    <row r="1347">
      <c r="A1347" t="inlineStr">
        <is>
          <t>SIMULATED_FEA_Commercial_Study</t>
        </is>
      </c>
      <c r="B1347" t="inlineStr">
        <is>
          <t>V25</t>
        </is>
      </c>
      <c r="C1347" t="inlineStr">
        <is>
          <t>Annotation</t>
        </is>
      </c>
      <c r="D1347" t="inlineStr">
        <is>
          <t>Bin_06</t>
        </is>
      </c>
      <c r="E1347" t="n">
        <v>10</v>
      </c>
      <c r="F1347" t="inlineStr">
        <is>
          <t>Surprise</t>
        </is>
      </c>
      <c r="G1347" t="n">
        <v>50</v>
      </c>
      <c r="H1347" t="n">
        <v>18.33</v>
      </c>
      <c r="I1347" t="n">
        <v>2</v>
      </c>
      <c r="J1347" t="inlineStr">
        <is>
          <t>NA</t>
        </is>
      </c>
      <c r="K1347" t="n">
        <v>95.59999999999999</v>
      </c>
      <c r="L1347">
        <f>IF(K1347&gt;=80,"Yes","No")</f>
        <v/>
      </c>
      <c r="M1347">
        <f>IF(ISNUMBER(H1347),IF(H1347&gt;0,1,0),"")</f>
        <v/>
      </c>
    </row>
    <row r="1348">
      <c r="A1348" t="inlineStr">
        <is>
          <t>SIMULATED_FEA_Commercial_Study</t>
        </is>
      </c>
      <c r="B1348" t="inlineStr">
        <is>
          <t>V25</t>
        </is>
      </c>
      <c r="C1348" t="inlineStr">
        <is>
          <t>Annotation</t>
        </is>
      </c>
      <c r="D1348" t="inlineStr">
        <is>
          <t>Bin_06</t>
        </is>
      </c>
      <c r="E1348" t="n">
        <v>10</v>
      </c>
      <c r="F1348" t="inlineStr">
        <is>
          <t>Brow Furrow</t>
        </is>
      </c>
      <c r="G1348" t="n">
        <v>50</v>
      </c>
      <c r="H1348" t="n">
        <v>0</v>
      </c>
      <c r="I1348" t="n">
        <v>0</v>
      </c>
      <c r="J1348" t="inlineStr">
        <is>
          <t>NA</t>
        </is>
      </c>
      <c r="K1348" t="n">
        <v>95.59999999999999</v>
      </c>
      <c r="L1348">
        <f>IF(K1348&gt;=80,"Yes","No")</f>
        <v/>
      </c>
      <c r="M1348">
        <f>IF(ISNUMBER(H1348),IF(H1348&gt;0,1,0),"")</f>
        <v/>
      </c>
    </row>
    <row r="1349">
      <c r="A1349" t="inlineStr">
        <is>
          <t>SIMULATED_FEA_Commercial_Study</t>
        </is>
      </c>
      <c r="B1349" t="inlineStr">
        <is>
          <t>V25</t>
        </is>
      </c>
      <c r="C1349" t="inlineStr">
        <is>
          <t>Annotation</t>
        </is>
      </c>
      <c r="D1349" t="inlineStr">
        <is>
          <t>Bin_06</t>
        </is>
      </c>
      <c r="E1349" t="n">
        <v>10</v>
      </c>
      <c r="F1349" t="inlineStr">
        <is>
          <t>Positive Valence</t>
        </is>
      </c>
      <c r="G1349" t="n">
        <v>50</v>
      </c>
      <c r="H1349" t="n">
        <v>0</v>
      </c>
      <c r="I1349" t="n">
        <v>0</v>
      </c>
      <c r="J1349" t="inlineStr">
        <is>
          <t>NA</t>
        </is>
      </c>
      <c r="K1349" t="n">
        <v>95.59999999999999</v>
      </c>
      <c r="L1349">
        <f>IF(K1349&gt;=80,"Yes","No")</f>
        <v/>
      </c>
      <c r="M1349">
        <f>IF(ISNUMBER(H1349),IF(H1349&gt;0,1,0),"")</f>
        <v/>
      </c>
    </row>
    <row r="1350">
      <c r="A1350" t="inlineStr">
        <is>
          <t>SIMULATED_FEA_Commercial_Study</t>
        </is>
      </c>
      <c r="B1350" t="inlineStr">
        <is>
          <t>V25</t>
        </is>
      </c>
      <c r="C1350" t="inlineStr">
        <is>
          <t>Annotation</t>
        </is>
      </c>
      <c r="D1350" t="inlineStr">
        <is>
          <t>Bin_06</t>
        </is>
      </c>
      <c r="E1350" t="n">
        <v>10</v>
      </c>
      <c r="F1350" t="inlineStr">
        <is>
          <t>Negative Valence</t>
        </is>
      </c>
      <c r="G1350" t="n">
        <v>-50</v>
      </c>
      <c r="H1350" t="n">
        <v>0</v>
      </c>
      <c r="I1350" t="n">
        <v>0</v>
      </c>
      <c r="J1350" t="inlineStr">
        <is>
          <t>NA</t>
        </is>
      </c>
      <c r="K1350" t="n">
        <v>95.59999999999999</v>
      </c>
      <c r="L1350">
        <f>IF(K1350&gt;=80,"Yes","No")</f>
        <v/>
      </c>
      <c r="M1350">
        <f>IF(ISNUMBER(H1350),IF(H1350&gt;0,1,0),"")</f>
        <v/>
      </c>
    </row>
    <row r="1351">
      <c r="A1351" t="inlineStr">
        <is>
          <t>SIMULATED_FEA_Commercial_Study</t>
        </is>
      </c>
      <c r="B1351" t="inlineStr">
        <is>
          <t>V25</t>
        </is>
      </c>
      <c r="C1351" t="inlineStr">
        <is>
          <t>Annotation</t>
        </is>
      </c>
      <c r="D1351" t="inlineStr">
        <is>
          <t>Bin_06</t>
        </is>
      </c>
      <c r="E1351" t="n">
        <v>10</v>
      </c>
      <c r="F1351" t="inlineStr">
        <is>
          <t>Engagement</t>
        </is>
      </c>
      <c r="G1351" t="inlineStr">
        <is>
          <t>NA</t>
        </is>
      </c>
      <c r="H1351" t="inlineStr">
        <is>
          <t>NA</t>
        </is>
      </c>
      <c r="I1351" t="inlineStr">
        <is>
          <t>NA</t>
        </is>
      </c>
      <c r="J1351" t="n">
        <v>18.98</v>
      </c>
      <c r="K1351" t="n">
        <v>95.59999999999999</v>
      </c>
      <c r="L1351">
        <f>IF(K1351&gt;=80,"Yes","No")</f>
        <v/>
      </c>
      <c r="M1351">
        <f>IF(ISNUMBER(H1351),IF(H1351&gt;0,1,0),"")</f>
        <v/>
      </c>
    </row>
    <row r="1352">
      <c r="A1352" t="inlineStr">
        <is>
          <t>SIMULATED_FEA_Commercial_Study</t>
        </is>
      </c>
      <c r="B1352" t="inlineStr">
        <is>
          <t>V26</t>
        </is>
      </c>
      <c r="C1352" t="inlineStr">
        <is>
          <t>Stimulus</t>
        </is>
      </c>
      <c r="D1352" t="inlineStr">
        <is>
          <t>Baseline</t>
        </is>
      </c>
      <c r="E1352" t="n">
        <v>60</v>
      </c>
      <c r="F1352" t="inlineStr">
        <is>
          <t>Joy</t>
        </is>
      </c>
      <c r="G1352" t="n">
        <v>50</v>
      </c>
      <c r="H1352" t="n">
        <v>0</v>
      </c>
      <c r="I1352" t="n">
        <v>0</v>
      </c>
      <c r="J1352" t="inlineStr">
        <is>
          <t>NA</t>
        </is>
      </c>
      <c r="K1352" t="n">
        <v>93.5</v>
      </c>
      <c r="L1352">
        <f>IF(K1352&gt;=80,"Yes","No")</f>
        <v/>
      </c>
      <c r="M1352">
        <f>IF(ISNUMBER(H1352),IF(H1352&gt;0,1,0),"")</f>
        <v/>
      </c>
    </row>
    <row r="1353">
      <c r="A1353" t="inlineStr">
        <is>
          <t>SIMULATED_FEA_Commercial_Study</t>
        </is>
      </c>
      <c r="B1353" t="inlineStr">
        <is>
          <t>V26</t>
        </is>
      </c>
      <c r="C1353" t="inlineStr">
        <is>
          <t>Stimulus</t>
        </is>
      </c>
      <c r="D1353" t="inlineStr">
        <is>
          <t>Baseline</t>
        </is>
      </c>
      <c r="E1353" t="n">
        <v>60</v>
      </c>
      <c r="F1353" t="inlineStr">
        <is>
          <t>Surprise</t>
        </is>
      </c>
      <c r="G1353" t="n">
        <v>50</v>
      </c>
      <c r="H1353" t="n">
        <v>0.61</v>
      </c>
      <c r="I1353" t="n">
        <v>1</v>
      </c>
      <c r="J1353" t="inlineStr">
        <is>
          <t>NA</t>
        </is>
      </c>
      <c r="K1353" t="n">
        <v>93.5</v>
      </c>
      <c r="L1353">
        <f>IF(K1353&gt;=80,"Yes","No")</f>
        <v/>
      </c>
      <c r="M1353">
        <f>IF(ISNUMBER(H1353),IF(H1353&gt;0,1,0),"")</f>
        <v/>
      </c>
    </row>
    <row r="1354">
      <c r="A1354" t="inlineStr">
        <is>
          <t>SIMULATED_FEA_Commercial_Study</t>
        </is>
      </c>
      <c r="B1354" t="inlineStr">
        <is>
          <t>V26</t>
        </is>
      </c>
      <c r="C1354" t="inlineStr">
        <is>
          <t>Stimulus</t>
        </is>
      </c>
      <c r="D1354" t="inlineStr">
        <is>
          <t>Baseline</t>
        </is>
      </c>
      <c r="E1354" t="n">
        <v>60</v>
      </c>
      <c r="F1354" t="inlineStr">
        <is>
          <t>Brow Furrow</t>
        </is>
      </c>
      <c r="G1354" t="n">
        <v>50</v>
      </c>
      <c r="H1354" t="n">
        <v>1.89</v>
      </c>
      <c r="I1354" t="n">
        <v>2</v>
      </c>
      <c r="J1354" t="inlineStr">
        <is>
          <t>NA</t>
        </is>
      </c>
      <c r="K1354" t="n">
        <v>93.5</v>
      </c>
      <c r="L1354">
        <f>IF(K1354&gt;=80,"Yes","No")</f>
        <v/>
      </c>
      <c r="M1354">
        <f>IF(ISNUMBER(H1354),IF(H1354&gt;0,1,0),"")</f>
        <v/>
      </c>
    </row>
    <row r="1355">
      <c r="A1355" t="inlineStr">
        <is>
          <t>SIMULATED_FEA_Commercial_Study</t>
        </is>
      </c>
      <c r="B1355" t="inlineStr">
        <is>
          <t>V26</t>
        </is>
      </c>
      <c r="C1355" t="inlineStr">
        <is>
          <t>Stimulus</t>
        </is>
      </c>
      <c r="D1355" t="inlineStr">
        <is>
          <t>Baseline</t>
        </is>
      </c>
      <c r="E1355" t="n">
        <v>60</v>
      </c>
      <c r="F1355" t="inlineStr">
        <is>
          <t>Positive Valence</t>
        </is>
      </c>
      <c r="G1355" t="n">
        <v>50</v>
      </c>
      <c r="H1355" t="n">
        <v>0</v>
      </c>
      <c r="I1355" t="n">
        <v>0</v>
      </c>
      <c r="J1355" t="inlineStr">
        <is>
          <t>NA</t>
        </is>
      </c>
      <c r="K1355" t="n">
        <v>93.5</v>
      </c>
      <c r="L1355">
        <f>IF(K1355&gt;=80,"Yes","No")</f>
        <v/>
      </c>
      <c r="M1355">
        <f>IF(ISNUMBER(H1355),IF(H1355&gt;0,1,0),"")</f>
        <v/>
      </c>
    </row>
    <row r="1356">
      <c r="A1356" t="inlineStr">
        <is>
          <t>SIMULATED_FEA_Commercial_Study</t>
        </is>
      </c>
      <c r="B1356" t="inlineStr">
        <is>
          <t>V26</t>
        </is>
      </c>
      <c r="C1356" t="inlineStr">
        <is>
          <t>Stimulus</t>
        </is>
      </c>
      <c r="D1356" t="inlineStr">
        <is>
          <t>Baseline</t>
        </is>
      </c>
      <c r="E1356" t="n">
        <v>60</v>
      </c>
      <c r="F1356" t="inlineStr">
        <is>
          <t>Negative Valence</t>
        </is>
      </c>
      <c r="G1356" t="n">
        <v>-50</v>
      </c>
      <c r="H1356" t="n">
        <v>0</v>
      </c>
      <c r="I1356" t="n">
        <v>0</v>
      </c>
      <c r="J1356" t="inlineStr">
        <is>
          <t>NA</t>
        </is>
      </c>
      <c r="K1356" t="n">
        <v>93.5</v>
      </c>
      <c r="L1356">
        <f>IF(K1356&gt;=80,"Yes","No")</f>
        <v/>
      </c>
      <c r="M1356">
        <f>IF(ISNUMBER(H1356),IF(H1356&gt;0,1,0),"")</f>
        <v/>
      </c>
    </row>
    <row r="1357">
      <c r="A1357" t="inlineStr">
        <is>
          <t>SIMULATED_FEA_Commercial_Study</t>
        </is>
      </c>
      <c r="B1357" t="inlineStr">
        <is>
          <t>V26</t>
        </is>
      </c>
      <c r="C1357" t="inlineStr">
        <is>
          <t>Stimulus</t>
        </is>
      </c>
      <c r="D1357" t="inlineStr">
        <is>
          <t>Baseline</t>
        </is>
      </c>
      <c r="E1357" t="n">
        <v>60</v>
      </c>
      <c r="F1357" t="inlineStr">
        <is>
          <t>Engagement</t>
        </is>
      </c>
      <c r="G1357" t="inlineStr">
        <is>
          <t>NA</t>
        </is>
      </c>
      <c r="H1357" t="inlineStr">
        <is>
          <t>NA</t>
        </is>
      </c>
      <c r="I1357" t="inlineStr">
        <is>
          <t>NA</t>
        </is>
      </c>
      <c r="J1357" t="n">
        <v>4.85</v>
      </c>
      <c r="K1357" t="n">
        <v>93.5</v>
      </c>
      <c r="L1357">
        <f>IF(K1357&gt;=80,"Yes","No")</f>
        <v/>
      </c>
      <c r="M1357">
        <f>IF(ISNUMBER(H1357),IF(H1357&gt;0,1,0),"")</f>
        <v/>
      </c>
    </row>
    <row r="1358">
      <c r="A1358" t="inlineStr">
        <is>
          <t>SIMULATED_FEA_Commercial_Study</t>
        </is>
      </c>
      <c r="B1358" t="inlineStr">
        <is>
          <t>V26</t>
        </is>
      </c>
      <c r="C1358" t="inlineStr">
        <is>
          <t>Stimulus</t>
        </is>
      </c>
      <c r="D1358" t="inlineStr">
        <is>
          <t>Commercial</t>
        </is>
      </c>
      <c r="E1358" t="n">
        <v>60</v>
      </c>
      <c r="F1358" t="inlineStr">
        <is>
          <t>Joy</t>
        </is>
      </c>
      <c r="G1358" t="n">
        <v>50</v>
      </c>
      <c r="H1358" t="n">
        <v>3.78</v>
      </c>
      <c r="I1358" t="n">
        <v>1</v>
      </c>
      <c r="J1358" t="inlineStr">
        <is>
          <t>NA</t>
        </is>
      </c>
      <c r="K1358" t="n">
        <v>93.5</v>
      </c>
      <c r="L1358">
        <f>IF(K1358&gt;=80,"Yes","No")</f>
        <v/>
      </c>
      <c r="M1358">
        <f>IF(ISNUMBER(H1358),IF(H1358&gt;0,1,0),"")</f>
        <v/>
      </c>
    </row>
    <row r="1359">
      <c r="A1359" t="inlineStr">
        <is>
          <t>SIMULATED_FEA_Commercial_Study</t>
        </is>
      </c>
      <c r="B1359" t="inlineStr">
        <is>
          <t>V26</t>
        </is>
      </c>
      <c r="C1359" t="inlineStr">
        <is>
          <t>Stimulus</t>
        </is>
      </c>
      <c r="D1359" t="inlineStr">
        <is>
          <t>Commercial</t>
        </is>
      </c>
      <c r="E1359" t="n">
        <v>60</v>
      </c>
      <c r="F1359" t="inlineStr">
        <is>
          <t>Surprise</t>
        </is>
      </c>
      <c r="G1359" t="n">
        <v>50</v>
      </c>
      <c r="H1359" t="n">
        <v>0.9399999999999999</v>
      </c>
      <c r="I1359" t="n">
        <v>1</v>
      </c>
      <c r="J1359" t="inlineStr">
        <is>
          <t>NA</t>
        </is>
      </c>
      <c r="K1359" t="n">
        <v>93.5</v>
      </c>
      <c r="L1359">
        <f>IF(K1359&gt;=80,"Yes","No")</f>
        <v/>
      </c>
      <c r="M1359">
        <f>IF(ISNUMBER(H1359),IF(H1359&gt;0,1,0),"")</f>
        <v/>
      </c>
    </row>
    <row r="1360">
      <c r="A1360" t="inlineStr">
        <is>
          <t>SIMULATED_FEA_Commercial_Study</t>
        </is>
      </c>
      <c r="B1360" t="inlineStr">
        <is>
          <t>V26</t>
        </is>
      </c>
      <c r="C1360" t="inlineStr">
        <is>
          <t>Stimulus</t>
        </is>
      </c>
      <c r="D1360" t="inlineStr">
        <is>
          <t>Commercial</t>
        </is>
      </c>
      <c r="E1360" t="n">
        <v>60</v>
      </c>
      <c r="F1360" t="inlineStr">
        <is>
          <t>Brow Furrow</t>
        </is>
      </c>
      <c r="G1360" t="n">
        <v>50</v>
      </c>
      <c r="H1360" t="n">
        <v>2.39</v>
      </c>
      <c r="I1360" t="n">
        <v>6</v>
      </c>
      <c r="J1360" t="inlineStr">
        <is>
          <t>NA</t>
        </is>
      </c>
      <c r="K1360" t="n">
        <v>93.5</v>
      </c>
      <c r="L1360">
        <f>IF(K1360&gt;=80,"Yes","No")</f>
        <v/>
      </c>
      <c r="M1360">
        <f>IF(ISNUMBER(H1360),IF(H1360&gt;0,1,0),"")</f>
        <v/>
      </c>
    </row>
    <row r="1361">
      <c r="A1361" t="inlineStr">
        <is>
          <t>SIMULATED_FEA_Commercial_Study</t>
        </is>
      </c>
      <c r="B1361" t="inlineStr">
        <is>
          <t>V26</t>
        </is>
      </c>
      <c r="C1361" t="inlineStr">
        <is>
          <t>Stimulus</t>
        </is>
      </c>
      <c r="D1361" t="inlineStr">
        <is>
          <t>Commercial</t>
        </is>
      </c>
      <c r="E1361" t="n">
        <v>60</v>
      </c>
      <c r="F1361" t="inlineStr">
        <is>
          <t>Positive Valence</t>
        </is>
      </c>
      <c r="G1361" t="n">
        <v>50</v>
      </c>
      <c r="H1361" t="n">
        <v>7.39</v>
      </c>
      <c r="I1361" t="n">
        <v>3</v>
      </c>
      <c r="J1361" t="inlineStr">
        <is>
          <t>NA</t>
        </is>
      </c>
      <c r="K1361" t="n">
        <v>93.5</v>
      </c>
      <c r="L1361">
        <f>IF(K1361&gt;=80,"Yes","No")</f>
        <v/>
      </c>
      <c r="M1361">
        <f>IF(ISNUMBER(H1361),IF(H1361&gt;0,1,0),"")</f>
        <v/>
      </c>
    </row>
    <row r="1362">
      <c r="A1362" t="inlineStr">
        <is>
          <t>SIMULATED_FEA_Commercial_Study</t>
        </is>
      </c>
      <c r="B1362" t="inlineStr">
        <is>
          <t>V26</t>
        </is>
      </c>
      <c r="C1362" t="inlineStr">
        <is>
          <t>Stimulus</t>
        </is>
      </c>
      <c r="D1362" t="inlineStr">
        <is>
          <t>Commercial</t>
        </is>
      </c>
      <c r="E1362" t="n">
        <v>60</v>
      </c>
      <c r="F1362" t="inlineStr">
        <is>
          <t>Negative Valence</t>
        </is>
      </c>
      <c r="G1362" t="n">
        <v>-50</v>
      </c>
      <c r="H1362" t="n">
        <v>2.56</v>
      </c>
      <c r="I1362" t="n">
        <v>1</v>
      </c>
      <c r="J1362" t="inlineStr">
        <is>
          <t>NA</t>
        </is>
      </c>
      <c r="K1362" t="n">
        <v>93.5</v>
      </c>
      <c r="L1362">
        <f>IF(K1362&gt;=80,"Yes","No")</f>
        <v/>
      </c>
      <c r="M1362">
        <f>IF(ISNUMBER(H1362),IF(H1362&gt;0,1,0),"")</f>
        <v/>
      </c>
    </row>
    <row r="1363">
      <c r="A1363" t="inlineStr">
        <is>
          <t>SIMULATED_FEA_Commercial_Study</t>
        </is>
      </c>
      <c r="B1363" t="inlineStr">
        <is>
          <t>V26</t>
        </is>
      </c>
      <c r="C1363" t="inlineStr">
        <is>
          <t>Stimulus</t>
        </is>
      </c>
      <c r="D1363" t="inlineStr">
        <is>
          <t>Commercial</t>
        </is>
      </c>
      <c r="E1363" t="n">
        <v>60</v>
      </c>
      <c r="F1363" t="inlineStr">
        <is>
          <t>Engagement</t>
        </is>
      </c>
      <c r="G1363" t="inlineStr">
        <is>
          <t>NA</t>
        </is>
      </c>
      <c r="H1363" t="inlineStr">
        <is>
          <t>NA</t>
        </is>
      </c>
      <c r="I1363" t="inlineStr">
        <is>
          <t>NA</t>
        </is>
      </c>
      <c r="J1363" t="n">
        <v>9.18</v>
      </c>
      <c r="K1363" t="n">
        <v>93.5</v>
      </c>
      <c r="L1363">
        <f>IF(K1363&gt;=80,"Yes","No")</f>
        <v/>
      </c>
      <c r="M1363">
        <f>IF(ISNUMBER(H1363),IF(H1363&gt;0,1,0),"")</f>
        <v/>
      </c>
    </row>
    <row r="1364">
      <c r="A1364" t="inlineStr">
        <is>
          <t>SIMULATED_FEA_Commercial_Study</t>
        </is>
      </c>
      <c r="B1364" t="inlineStr">
        <is>
          <t>V26</t>
        </is>
      </c>
      <c r="C1364" t="inlineStr">
        <is>
          <t>Stimulus</t>
        </is>
      </c>
      <c r="D1364" t="inlineStr">
        <is>
          <t>Recovery</t>
        </is>
      </c>
      <c r="E1364" t="n">
        <v>15</v>
      </c>
      <c r="F1364" t="inlineStr">
        <is>
          <t>Joy</t>
        </is>
      </c>
      <c r="G1364" t="n">
        <v>50</v>
      </c>
      <c r="H1364" t="n">
        <v>0</v>
      </c>
      <c r="I1364" t="n">
        <v>0</v>
      </c>
      <c r="J1364" t="inlineStr">
        <is>
          <t>NA</t>
        </is>
      </c>
      <c r="K1364" t="n">
        <v>93.5</v>
      </c>
      <c r="L1364">
        <f>IF(K1364&gt;=80,"Yes","No")</f>
        <v/>
      </c>
      <c r="M1364">
        <f>IF(ISNUMBER(H1364),IF(H1364&gt;0,1,0),"")</f>
        <v/>
      </c>
    </row>
    <row r="1365">
      <c r="A1365" t="inlineStr">
        <is>
          <t>SIMULATED_FEA_Commercial_Study</t>
        </is>
      </c>
      <c r="B1365" t="inlineStr">
        <is>
          <t>V26</t>
        </is>
      </c>
      <c r="C1365" t="inlineStr">
        <is>
          <t>Stimulus</t>
        </is>
      </c>
      <c r="D1365" t="inlineStr">
        <is>
          <t>Recovery</t>
        </is>
      </c>
      <c r="E1365" t="n">
        <v>15</v>
      </c>
      <c r="F1365" t="inlineStr">
        <is>
          <t>Surprise</t>
        </is>
      </c>
      <c r="G1365" t="n">
        <v>50</v>
      </c>
      <c r="H1365" t="n">
        <v>3.33</v>
      </c>
      <c r="I1365" t="n">
        <v>1</v>
      </c>
      <c r="J1365" t="inlineStr">
        <is>
          <t>NA</t>
        </is>
      </c>
      <c r="K1365" t="n">
        <v>93.5</v>
      </c>
      <c r="L1365">
        <f>IF(K1365&gt;=80,"Yes","No")</f>
        <v/>
      </c>
      <c r="M1365">
        <f>IF(ISNUMBER(H1365),IF(H1365&gt;0,1,0),"")</f>
        <v/>
      </c>
    </row>
    <row r="1366">
      <c r="A1366" t="inlineStr">
        <is>
          <t>SIMULATED_FEA_Commercial_Study</t>
        </is>
      </c>
      <c r="B1366" t="inlineStr">
        <is>
          <t>V26</t>
        </is>
      </c>
      <c r="C1366" t="inlineStr">
        <is>
          <t>Stimulus</t>
        </is>
      </c>
      <c r="D1366" t="inlineStr">
        <is>
          <t>Recovery</t>
        </is>
      </c>
      <c r="E1366" t="n">
        <v>15</v>
      </c>
      <c r="F1366" t="inlineStr">
        <is>
          <t>Brow Furrow</t>
        </is>
      </c>
      <c r="G1366" t="n">
        <v>50</v>
      </c>
      <c r="H1366" t="n">
        <v>0</v>
      </c>
      <c r="I1366" t="n">
        <v>0</v>
      </c>
      <c r="J1366" t="inlineStr">
        <is>
          <t>NA</t>
        </is>
      </c>
      <c r="K1366" t="n">
        <v>93.5</v>
      </c>
      <c r="L1366">
        <f>IF(K1366&gt;=80,"Yes","No")</f>
        <v/>
      </c>
      <c r="M1366">
        <f>IF(ISNUMBER(H1366),IF(H1366&gt;0,1,0),"")</f>
        <v/>
      </c>
    </row>
    <row r="1367">
      <c r="A1367" t="inlineStr">
        <is>
          <t>SIMULATED_FEA_Commercial_Study</t>
        </is>
      </c>
      <c r="B1367" t="inlineStr">
        <is>
          <t>V26</t>
        </is>
      </c>
      <c r="C1367" t="inlineStr">
        <is>
          <t>Stimulus</t>
        </is>
      </c>
      <c r="D1367" t="inlineStr">
        <is>
          <t>Recovery</t>
        </is>
      </c>
      <c r="E1367" t="n">
        <v>15</v>
      </c>
      <c r="F1367" t="inlineStr">
        <is>
          <t>Positive Valence</t>
        </is>
      </c>
      <c r="G1367" t="n">
        <v>50</v>
      </c>
      <c r="H1367" t="n">
        <v>0</v>
      </c>
      <c r="I1367" t="n">
        <v>0</v>
      </c>
      <c r="J1367" t="inlineStr">
        <is>
          <t>NA</t>
        </is>
      </c>
      <c r="K1367" t="n">
        <v>93.5</v>
      </c>
      <c r="L1367">
        <f>IF(K1367&gt;=80,"Yes","No")</f>
        <v/>
      </c>
      <c r="M1367">
        <f>IF(ISNUMBER(H1367),IF(H1367&gt;0,1,0),"")</f>
        <v/>
      </c>
    </row>
    <row r="1368">
      <c r="A1368" t="inlineStr">
        <is>
          <t>SIMULATED_FEA_Commercial_Study</t>
        </is>
      </c>
      <c r="B1368" t="inlineStr">
        <is>
          <t>V26</t>
        </is>
      </c>
      <c r="C1368" t="inlineStr">
        <is>
          <t>Stimulus</t>
        </is>
      </c>
      <c r="D1368" t="inlineStr">
        <is>
          <t>Recovery</t>
        </is>
      </c>
      <c r="E1368" t="n">
        <v>15</v>
      </c>
      <c r="F1368" t="inlineStr">
        <is>
          <t>Negative Valence</t>
        </is>
      </c>
      <c r="G1368" t="n">
        <v>-50</v>
      </c>
      <c r="H1368" t="n">
        <v>0</v>
      </c>
      <c r="I1368" t="n">
        <v>0</v>
      </c>
      <c r="J1368" t="inlineStr">
        <is>
          <t>NA</t>
        </is>
      </c>
      <c r="K1368" t="n">
        <v>93.5</v>
      </c>
      <c r="L1368">
        <f>IF(K1368&gt;=80,"Yes","No")</f>
        <v/>
      </c>
      <c r="M1368">
        <f>IF(ISNUMBER(H1368),IF(H1368&gt;0,1,0),"")</f>
        <v/>
      </c>
    </row>
    <row r="1369">
      <c r="A1369" t="inlineStr">
        <is>
          <t>SIMULATED_FEA_Commercial_Study</t>
        </is>
      </c>
      <c r="B1369" t="inlineStr">
        <is>
          <t>V26</t>
        </is>
      </c>
      <c r="C1369" t="inlineStr">
        <is>
          <t>Stimulus</t>
        </is>
      </c>
      <c r="D1369" t="inlineStr">
        <is>
          <t>Recovery</t>
        </is>
      </c>
      <c r="E1369" t="n">
        <v>15</v>
      </c>
      <c r="F1369" t="inlineStr">
        <is>
          <t>Engagement</t>
        </is>
      </c>
      <c r="G1369" t="inlineStr">
        <is>
          <t>NA</t>
        </is>
      </c>
      <c r="H1369" t="inlineStr">
        <is>
          <t>NA</t>
        </is>
      </c>
      <c r="I1369" t="inlineStr">
        <is>
          <t>NA</t>
        </is>
      </c>
      <c r="J1369" t="n">
        <v>6.56</v>
      </c>
      <c r="K1369" t="n">
        <v>93.5</v>
      </c>
      <c r="L1369">
        <f>IF(K1369&gt;=80,"Yes","No")</f>
        <v/>
      </c>
      <c r="M1369">
        <f>IF(ISNUMBER(H1369),IF(H1369&gt;0,1,0),"")</f>
        <v/>
      </c>
    </row>
    <row r="1370">
      <c r="A1370" t="inlineStr">
        <is>
          <t>SIMULATED_FEA_Commercial_Study</t>
        </is>
      </c>
      <c r="B1370" t="inlineStr">
        <is>
          <t>V26</t>
        </is>
      </c>
      <c r="C1370" t="inlineStr">
        <is>
          <t>Annotation</t>
        </is>
      </c>
      <c r="D1370" t="inlineStr">
        <is>
          <t>Bin_01</t>
        </is>
      </c>
      <c r="E1370" t="n">
        <v>10</v>
      </c>
      <c r="F1370" t="inlineStr">
        <is>
          <t>Joy</t>
        </is>
      </c>
      <c r="G1370" t="n">
        <v>50</v>
      </c>
      <c r="H1370" t="n">
        <v>22.67</v>
      </c>
      <c r="I1370" t="n">
        <v>1</v>
      </c>
      <c r="J1370" t="inlineStr">
        <is>
          <t>NA</t>
        </is>
      </c>
      <c r="K1370" t="n">
        <v>93.5</v>
      </c>
      <c r="L1370">
        <f>IF(K1370&gt;=80,"Yes","No")</f>
        <v/>
      </c>
      <c r="M1370">
        <f>IF(ISNUMBER(H1370),IF(H1370&gt;0,1,0),"")</f>
        <v/>
      </c>
    </row>
    <row r="1371">
      <c r="A1371" t="inlineStr">
        <is>
          <t>SIMULATED_FEA_Commercial_Study</t>
        </is>
      </c>
      <c r="B1371" t="inlineStr">
        <is>
          <t>V26</t>
        </is>
      </c>
      <c r="C1371" t="inlineStr">
        <is>
          <t>Annotation</t>
        </is>
      </c>
      <c r="D1371" t="inlineStr">
        <is>
          <t>Bin_01</t>
        </is>
      </c>
      <c r="E1371" t="n">
        <v>10</v>
      </c>
      <c r="F1371" t="inlineStr">
        <is>
          <t>Surprise</t>
        </is>
      </c>
      <c r="G1371" t="n">
        <v>50</v>
      </c>
      <c r="H1371" t="n">
        <v>0</v>
      </c>
      <c r="I1371" t="n">
        <v>0</v>
      </c>
      <c r="J1371" t="inlineStr">
        <is>
          <t>NA</t>
        </is>
      </c>
      <c r="K1371" t="n">
        <v>93.5</v>
      </c>
      <c r="L1371">
        <f>IF(K1371&gt;=80,"Yes","No")</f>
        <v/>
      </c>
      <c r="M1371">
        <f>IF(ISNUMBER(H1371),IF(H1371&gt;0,1,0),"")</f>
        <v/>
      </c>
    </row>
    <row r="1372">
      <c r="A1372" t="inlineStr">
        <is>
          <t>SIMULATED_FEA_Commercial_Study</t>
        </is>
      </c>
      <c r="B1372" t="inlineStr">
        <is>
          <t>V26</t>
        </is>
      </c>
      <c r="C1372" t="inlineStr">
        <is>
          <t>Annotation</t>
        </is>
      </c>
      <c r="D1372" t="inlineStr">
        <is>
          <t>Bin_01</t>
        </is>
      </c>
      <c r="E1372" t="n">
        <v>10</v>
      </c>
      <c r="F1372" t="inlineStr">
        <is>
          <t>Brow Furrow</t>
        </is>
      </c>
      <c r="G1372" t="n">
        <v>50</v>
      </c>
      <c r="H1372" t="n">
        <v>0</v>
      </c>
      <c r="I1372" t="n">
        <v>0</v>
      </c>
      <c r="J1372" t="inlineStr">
        <is>
          <t>NA</t>
        </is>
      </c>
      <c r="K1372" t="n">
        <v>93.5</v>
      </c>
      <c r="L1372">
        <f>IF(K1372&gt;=80,"Yes","No")</f>
        <v/>
      </c>
      <c r="M1372">
        <f>IF(ISNUMBER(H1372),IF(H1372&gt;0,1,0),"")</f>
        <v/>
      </c>
    </row>
    <row r="1373">
      <c r="A1373" t="inlineStr">
        <is>
          <t>SIMULATED_FEA_Commercial_Study</t>
        </is>
      </c>
      <c r="B1373" t="inlineStr">
        <is>
          <t>V26</t>
        </is>
      </c>
      <c r="C1373" t="inlineStr">
        <is>
          <t>Annotation</t>
        </is>
      </c>
      <c r="D1373" t="inlineStr">
        <is>
          <t>Bin_01</t>
        </is>
      </c>
      <c r="E1373" t="n">
        <v>10</v>
      </c>
      <c r="F1373" t="inlineStr">
        <is>
          <t>Positive Valence</t>
        </is>
      </c>
      <c r="G1373" t="n">
        <v>50</v>
      </c>
      <c r="H1373" t="n">
        <v>20.33</v>
      </c>
      <c r="I1373" t="n">
        <v>1</v>
      </c>
      <c r="J1373" t="inlineStr">
        <is>
          <t>NA</t>
        </is>
      </c>
      <c r="K1373" t="n">
        <v>93.5</v>
      </c>
      <c r="L1373">
        <f>IF(K1373&gt;=80,"Yes","No")</f>
        <v/>
      </c>
      <c r="M1373">
        <f>IF(ISNUMBER(H1373),IF(H1373&gt;0,1,0),"")</f>
        <v/>
      </c>
    </row>
    <row r="1374">
      <c r="A1374" t="inlineStr">
        <is>
          <t>SIMULATED_FEA_Commercial_Study</t>
        </is>
      </c>
      <c r="B1374" t="inlineStr">
        <is>
          <t>V26</t>
        </is>
      </c>
      <c r="C1374" t="inlineStr">
        <is>
          <t>Annotation</t>
        </is>
      </c>
      <c r="D1374" t="inlineStr">
        <is>
          <t>Bin_01</t>
        </is>
      </c>
      <c r="E1374" t="n">
        <v>10</v>
      </c>
      <c r="F1374" t="inlineStr">
        <is>
          <t>Negative Valence</t>
        </is>
      </c>
      <c r="G1374" t="n">
        <v>-50</v>
      </c>
      <c r="H1374" t="n">
        <v>0</v>
      </c>
      <c r="I1374" t="n">
        <v>0</v>
      </c>
      <c r="J1374" t="inlineStr">
        <is>
          <t>NA</t>
        </is>
      </c>
      <c r="K1374" t="n">
        <v>93.5</v>
      </c>
      <c r="L1374">
        <f>IF(K1374&gt;=80,"Yes","No")</f>
        <v/>
      </c>
      <c r="M1374">
        <f>IF(ISNUMBER(H1374),IF(H1374&gt;0,1,0),"")</f>
        <v/>
      </c>
    </row>
    <row r="1375">
      <c r="A1375" t="inlineStr">
        <is>
          <t>SIMULATED_FEA_Commercial_Study</t>
        </is>
      </c>
      <c r="B1375" t="inlineStr">
        <is>
          <t>V26</t>
        </is>
      </c>
      <c r="C1375" t="inlineStr">
        <is>
          <t>Annotation</t>
        </is>
      </c>
      <c r="D1375" t="inlineStr">
        <is>
          <t>Bin_01</t>
        </is>
      </c>
      <c r="E1375" t="n">
        <v>10</v>
      </c>
      <c r="F1375" t="inlineStr">
        <is>
          <t>Engagement</t>
        </is>
      </c>
      <c r="G1375" t="inlineStr">
        <is>
          <t>NA</t>
        </is>
      </c>
      <c r="H1375" t="inlineStr">
        <is>
          <t>NA</t>
        </is>
      </c>
      <c r="I1375" t="inlineStr">
        <is>
          <t>NA</t>
        </is>
      </c>
      <c r="J1375" t="n">
        <v>14.75</v>
      </c>
      <c r="K1375" t="n">
        <v>93.5</v>
      </c>
      <c r="L1375">
        <f>IF(K1375&gt;=80,"Yes","No")</f>
        <v/>
      </c>
      <c r="M1375">
        <f>IF(ISNUMBER(H1375),IF(H1375&gt;0,1,0),"")</f>
        <v/>
      </c>
    </row>
    <row r="1376">
      <c r="A1376" t="inlineStr">
        <is>
          <t>SIMULATED_FEA_Commercial_Study</t>
        </is>
      </c>
      <c r="B1376" t="inlineStr">
        <is>
          <t>V26</t>
        </is>
      </c>
      <c r="C1376" t="inlineStr">
        <is>
          <t>Annotation</t>
        </is>
      </c>
      <c r="D1376" t="inlineStr">
        <is>
          <t>Bin_02</t>
        </is>
      </c>
      <c r="E1376" t="n">
        <v>10</v>
      </c>
      <c r="F1376" t="inlineStr">
        <is>
          <t>Joy</t>
        </is>
      </c>
      <c r="G1376" t="n">
        <v>50</v>
      </c>
      <c r="H1376" t="n">
        <v>0</v>
      </c>
      <c r="I1376" t="n">
        <v>0</v>
      </c>
      <c r="J1376" t="inlineStr">
        <is>
          <t>NA</t>
        </is>
      </c>
      <c r="K1376" t="n">
        <v>93.5</v>
      </c>
      <c r="L1376">
        <f>IF(K1376&gt;=80,"Yes","No")</f>
        <v/>
      </c>
      <c r="M1376">
        <f>IF(ISNUMBER(H1376),IF(H1376&gt;0,1,0),"")</f>
        <v/>
      </c>
    </row>
    <row r="1377">
      <c r="A1377" t="inlineStr">
        <is>
          <t>SIMULATED_FEA_Commercial_Study</t>
        </is>
      </c>
      <c r="B1377" t="inlineStr">
        <is>
          <t>V26</t>
        </is>
      </c>
      <c r="C1377" t="inlineStr">
        <is>
          <t>Annotation</t>
        </is>
      </c>
      <c r="D1377" t="inlineStr">
        <is>
          <t>Bin_02</t>
        </is>
      </c>
      <c r="E1377" t="n">
        <v>10</v>
      </c>
      <c r="F1377" t="inlineStr">
        <is>
          <t>Surprise</t>
        </is>
      </c>
      <c r="G1377" t="n">
        <v>50</v>
      </c>
      <c r="H1377" t="n">
        <v>5.67</v>
      </c>
      <c r="I1377" t="n">
        <v>1</v>
      </c>
      <c r="J1377" t="inlineStr">
        <is>
          <t>NA</t>
        </is>
      </c>
      <c r="K1377" t="n">
        <v>93.5</v>
      </c>
      <c r="L1377">
        <f>IF(K1377&gt;=80,"Yes","No")</f>
        <v/>
      </c>
      <c r="M1377">
        <f>IF(ISNUMBER(H1377),IF(H1377&gt;0,1,0),"")</f>
        <v/>
      </c>
    </row>
    <row r="1378">
      <c r="A1378" t="inlineStr">
        <is>
          <t>SIMULATED_FEA_Commercial_Study</t>
        </is>
      </c>
      <c r="B1378" t="inlineStr">
        <is>
          <t>V26</t>
        </is>
      </c>
      <c r="C1378" t="inlineStr">
        <is>
          <t>Annotation</t>
        </is>
      </c>
      <c r="D1378" t="inlineStr">
        <is>
          <t>Bin_02</t>
        </is>
      </c>
      <c r="E1378" t="n">
        <v>10</v>
      </c>
      <c r="F1378" t="inlineStr">
        <is>
          <t>Brow Furrow</t>
        </is>
      </c>
      <c r="G1378" t="n">
        <v>50</v>
      </c>
      <c r="H1378" t="n">
        <v>0</v>
      </c>
      <c r="I1378" t="n">
        <v>0</v>
      </c>
      <c r="J1378" t="inlineStr">
        <is>
          <t>NA</t>
        </is>
      </c>
      <c r="K1378" t="n">
        <v>93.5</v>
      </c>
      <c r="L1378">
        <f>IF(K1378&gt;=80,"Yes","No")</f>
        <v/>
      </c>
      <c r="M1378">
        <f>IF(ISNUMBER(H1378),IF(H1378&gt;0,1,0),"")</f>
        <v/>
      </c>
    </row>
    <row r="1379">
      <c r="A1379" t="inlineStr">
        <is>
          <t>SIMULATED_FEA_Commercial_Study</t>
        </is>
      </c>
      <c r="B1379" t="inlineStr">
        <is>
          <t>V26</t>
        </is>
      </c>
      <c r="C1379" t="inlineStr">
        <is>
          <t>Annotation</t>
        </is>
      </c>
      <c r="D1379" t="inlineStr">
        <is>
          <t>Bin_02</t>
        </is>
      </c>
      <c r="E1379" t="n">
        <v>10</v>
      </c>
      <c r="F1379" t="inlineStr">
        <is>
          <t>Positive Valence</t>
        </is>
      </c>
      <c r="G1379" t="n">
        <v>50</v>
      </c>
      <c r="H1379" t="n">
        <v>0</v>
      </c>
      <c r="I1379" t="n">
        <v>0</v>
      </c>
      <c r="J1379" t="inlineStr">
        <is>
          <t>NA</t>
        </is>
      </c>
      <c r="K1379" t="n">
        <v>93.5</v>
      </c>
      <c r="L1379">
        <f>IF(K1379&gt;=80,"Yes","No")</f>
        <v/>
      </c>
      <c r="M1379">
        <f>IF(ISNUMBER(H1379),IF(H1379&gt;0,1,0),"")</f>
        <v/>
      </c>
    </row>
    <row r="1380">
      <c r="A1380" t="inlineStr">
        <is>
          <t>SIMULATED_FEA_Commercial_Study</t>
        </is>
      </c>
      <c r="B1380" t="inlineStr">
        <is>
          <t>V26</t>
        </is>
      </c>
      <c r="C1380" t="inlineStr">
        <is>
          <t>Annotation</t>
        </is>
      </c>
      <c r="D1380" t="inlineStr">
        <is>
          <t>Bin_02</t>
        </is>
      </c>
      <c r="E1380" t="n">
        <v>10</v>
      </c>
      <c r="F1380" t="inlineStr">
        <is>
          <t>Negative Valence</t>
        </is>
      </c>
      <c r="G1380" t="n">
        <v>-50</v>
      </c>
      <c r="H1380" t="n">
        <v>0</v>
      </c>
      <c r="I1380" t="n">
        <v>0</v>
      </c>
      <c r="J1380" t="inlineStr">
        <is>
          <t>NA</t>
        </is>
      </c>
      <c r="K1380" t="n">
        <v>93.5</v>
      </c>
      <c r="L1380">
        <f>IF(K1380&gt;=80,"Yes","No")</f>
        <v/>
      </c>
      <c r="M1380">
        <f>IF(ISNUMBER(H1380),IF(H1380&gt;0,1,0),"")</f>
        <v/>
      </c>
    </row>
    <row r="1381">
      <c r="A1381" t="inlineStr">
        <is>
          <t>SIMULATED_FEA_Commercial_Study</t>
        </is>
      </c>
      <c r="B1381" t="inlineStr">
        <is>
          <t>V26</t>
        </is>
      </c>
      <c r="C1381" t="inlineStr">
        <is>
          <t>Annotation</t>
        </is>
      </c>
      <c r="D1381" t="inlineStr">
        <is>
          <t>Bin_02</t>
        </is>
      </c>
      <c r="E1381" t="n">
        <v>10</v>
      </c>
      <c r="F1381" t="inlineStr">
        <is>
          <t>Engagement</t>
        </is>
      </c>
      <c r="G1381" t="inlineStr">
        <is>
          <t>NA</t>
        </is>
      </c>
      <c r="H1381" t="inlineStr">
        <is>
          <t>NA</t>
        </is>
      </c>
      <c r="I1381" t="inlineStr">
        <is>
          <t>NA</t>
        </is>
      </c>
      <c r="J1381" t="n">
        <v>7.39</v>
      </c>
      <c r="K1381" t="n">
        <v>93.5</v>
      </c>
      <c r="L1381">
        <f>IF(K1381&gt;=80,"Yes","No")</f>
        <v/>
      </c>
      <c r="M1381">
        <f>IF(ISNUMBER(H1381),IF(H1381&gt;0,1,0),"")</f>
        <v/>
      </c>
    </row>
    <row r="1382">
      <c r="A1382" t="inlineStr">
        <is>
          <t>SIMULATED_FEA_Commercial_Study</t>
        </is>
      </c>
      <c r="B1382" t="inlineStr">
        <is>
          <t>V26</t>
        </is>
      </c>
      <c r="C1382" t="inlineStr">
        <is>
          <t>Annotation</t>
        </is>
      </c>
      <c r="D1382" t="inlineStr">
        <is>
          <t>Bin_03</t>
        </is>
      </c>
      <c r="E1382" t="n">
        <v>10</v>
      </c>
      <c r="F1382" t="inlineStr">
        <is>
          <t>Joy</t>
        </is>
      </c>
      <c r="G1382" t="n">
        <v>50</v>
      </c>
      <c r="H1382" t="n">
        <v>0</v>
      </c>
      <c r="I1382" t="n">
        <v>0</v>
      </c>
      <c r="J1382" t="inlineStr">
        <is>
          <t>NA</t>
        </is>
      </c>
      <c r="K1382" t="n">
        <v>93.5</v>
      </c>
      <c r="L1382">
        <f>IF(K1382&gt;=80,"Yes","No")</f>
        <v/>
      </c>
      <c r="M1382">
        <f>IF(ISNUMBER(H1382),IF(H1382&gt;0,1,0),"")</f>
        <v/>
      </c>
    </row>
    <row r="1383">
      <c r="A1383" t="inlineStr">
        <is>
          <t>SIMULATED_FEA_Commercial_Study</t>
        </is>
      </c>
      <c r="B1383" t="inlineStr">
        <is>
          <t>V26</t>
        </is>
      </c>
      <c r="C1383" t="inlineStr">
        <is>
          <t>Annotation</t>
        </is>
      </c>
      <c r="D1383" t="inlineStr">
        <is>
          <t>Bin_03</t>
        </is>
      </c>
      <c r="E1383" t="n">
        <v>10</v>
      </c>
      <c r="F1383" t="inlineStr">
        <is>
          <t>Surprise</t>
        </is>
      </c>
      <c r="G1383" t="n">
        <v>50</v>
      </c>
      <c r="H1383" t="n">
        <v>0</v>
      </c>
      <c r="I1383" t="n">
        <v>0</v>
      </c>
      <c r="J1383" t="inlineStr">
        <is>
          <t>NA</t>
        </is>
      </c>
      <c r="K1383" t="n">
        <v>93.5</v>
      </c>
      <c r="L1383">
        <f>IF(K1383&gt;=80,"Yes","No")</f>
        <v/>
      </c>
      <c r="M1383">
        <f>IF(ISNUMBER(H1383),IF(H1383&gt;0,1,0),"")</f>
        <v/>
      </c>
    </row>
    <row r="1384">
      <c r="A1384" t="inlineStr">
        <is>
          <t>SIMULATED_FEA_Commercial_Study</t>
        </is>
      </c>
      <c r="B1384" t="inlineStr">
        <is>
          <t>V26</t>
        </is>
      </c>
      <c r="C1384" t="inlineStr">
        <is>
          <t>Annotation</t>
        </is>
      </c>
      <c r="D1384" t="inlineStr">
        <is>
          <t>Bin_03</t>
        </is>
      </c>
      <c r="E1384" t="n">
        <v>10</v>
      </c>
      <c r="F1384" t="inlineStr">
        <is>
          <t>Brow Furrow</t>
        </is>
      </c>
      <c r="G1384" t="n">
        <v>50</v>
      </c>
      <c r="H1384" t="n">
        <v>0</v>
      </c>
      <c r="I1384" t="n">
        <v>0</v>
      </c>
      <c r="J1384" t="inlineStr">
        <is>
          <t>NA</t>
        </is>
      </c>
      <c r="K1384" t="n">
        <v>93.5</v>
      </c>
      <c r="L1384">
        <f>IF(K1384&gt;=80,"Yes","No")</f>
        <v/>
      </c>
      <c r="M1384">
        <f>IF(ISNUMBER(H1384),IF(H1384&gt;0,1,0),"")</f>
        <v/>
      </c>
    </row>
    <row r="1385">
      <c r="A1385" t="inlineStr">
        <is>
          <t>SIMULATED_FEA_Commercial_Study</t>
        </is>
      </c>
      <c r="B1385" t="inlineStr">
        <is>
          <t>V26</t>
        </is>
      </c>
      <c r="C1385" t="inlineStr">
        <is>
          <t>Annotation</t>
        </is>
      </c>
      <c r="D1385" t="inlineStr">
        <is>
          <t>Bin_03</t>
        </is>
      </c>
      <c r="E1385" t="n">
        <v>10</v>
      </c>
      <c r="F1385" t="inlineStr">
        <is>
          <t>Positive Valence</t>
        </is>
      </c>
      <c r="G1385" t="n">
        <v>50</v>
      </c>
      <c r="H1385" t="n">
        <v>0</v>
      </c>
      <c r="I1385" t="n">
        <v>0</v>
      </c>
      <c r="J1385" t="inlineStr">
        <is>
          <t>NA</t>
        </is>
      </c>
      <c r="K1385" t="n">
        <v>93.5</v>
      </c>
      <c r="L1385">
        <f>IF(K1385&gt;=80,"Yes","No")</f>
        <v/>
      </c>
      <c r="M1385">
        <f>IF(ISNUMBER(H1385),IF(H1385&gt;0,1,0),"")</f>
        <v/>
      </c>
    </row>
    <row r="1386">
      <c r="A1386" t="inlineStr">
        <is>
          <t>SIMULATED_FEA_Commercial_Study</t>
        </is>
      </c>
      <c r="B1386" t="inlineStr">
        <is>
          <t>V26</t>
        </is>
      </c>
      <c r="C1386" t="inlineStr">
        <is>
          <t>Annotation</t>
        </is>
      </c>
      <c r="D1386" t="inlineStr">
        <is>
          <t>Bin_03</t>
        </is>
      </c>
      <c r="E1386" t="n">
        <v>10</v>
      </c>
      <c r="F1386" t="inlineStr">
        <is>
          <t>Negative Valence</t>
        </is>
      </c>
      <c r="G1386" t="n">
        <v>-50</v>
      </c>
      <c r="H1386" t="n">
        <v>0</v>
      </c>
      <c r="I1386" t="n">
        <v>0</v>
      </c>
      <c r="J1386" t="inlineStr">
        <is>
          <t>NA</t>
        </is>
      </c>
      <c r="K1386" t="n">
        <v>93.5</v>
      </c>
      <c r="L1386">
        <f>IF(K1386&gt;=80,"Yes","No")</f>
        <v/>
      </c>
      <c r="M1386">
        <f>IF(ISNUMBER(H1386),IF(H1386&gt;0,1,0),"")</f>
        <v/>
      </c>
    </row>
    <row r="1387">
      <c r="A1387" t="inlineStr">
        <is>
          <t>SIMULATED_FEA_Commercial_Study</t>
        </is>
      </c>
      <c r="B1387" t="inlineStr">
        <is>
          <t>V26</t>
        </is>
      </c>
      <c r="C1387" t="inlineStr">
        <is>
          <t>Annotation</t>
        </is>
      </c>
      <c r="D1387" t="inlineStr">
        <is>
          <t>Bin_03</t>
        </is>
      </c>
      <c r="E1387" t="n">
        <v>10</v>
      </c>
      <c r="F1387" t="inlineStr">
        <is>
          <t>Engagement</t>
        </is>
      </c>
      <c r="G1387" t="inlineStr">
        <is>
          <t>NA</t>
        </is>
      </c>
      <c r="H1387" t="inlineStr">
        <is>
          <t>NA</t>
        </is>
      </c>
      <c r="I1387" t="inlineStr">
        <is>
          <t>NA</t>
        </is>
      </c>
      <c r="J1387" t="n">
        <v>6.53</v>
      </c>
      <c r="K1387" t="n">
        <v>93.5</v>
      </c>
      <c r="L1387">
        <f>IF(K1387&gt;=80,"Yes","No")</f>
        <v/>
      </c>
      <c r="M1387">
        <f>IF(ISNUMBER(H1387),IF(H1387&gt;0,1,0),"")</f>
        <v/>
      </c>
    </row>
    <row r="1388">
      <c r="A1388" t="inlineStr">
        <is>
          <t>SIMULATED_FEA_Commercial_Study</t>
        </is>
      </c>
      <c r="B1388" t="inlineStr">
        <is>
          <t>V26</t>
        </is>
      </c>
      <c r="C1388" t="inlineStr">
        <is>
          <t>Annotation</t>
        </is>
      </c>
      <c r="D1388" t="inlineStr">
        <is>
          <t>Bin_04</t>
        </is>
      </c>
      <c r="E1388" t="n">
        <v>10</v>
      </c>
      <c r="F1388" t="inlineStr">
        <is>
          <t>Joy</t>
        </is>
      </c>
      <c r="G1388" t="n">
        <v>50</v>
      </c>
      <c r="H1388" t="n">
        <v>0</v>
      </c>
      <c r="I1388" t="n">
        <v>0</v>
      </c>
      <c r="J1388" t="inlineStr">
        <is>
          <t>NA</t>
        </is>
      </c>
      <c r="K1388" t="n">
        <v>93.5</v>
      </c>
      <c r="L1388">
        <f>IF(K1388&gt;=80,"Yes","No")</f>
        <v/>
      </c>
      <c r="M1388">
        <f>IF(ISNUMBER(H1388),IF(H1388&gt;0,1,0),"")</f>
        <v/>
      </c>
    </row>
    <row r="1389">
      <c r="A1389" t="inlineStr">
        <is>
          <t>SIMULATED_FEA_Commercial_Study</t>
        </is>
      </c>
      <c r="B1389" t="inlineStr">
        <is>
          <t>V26</t>
        </is>
      </c>
      <c r="C1389" t="inlineStr">
        <is>
          <t>Annotation</t>
        </is>
      </c>
      <c r="D1389" t="inlineStr">
        <is>
          <t>Bin_04</t>
        </is>
      </c>
      <c r="E1389" t="n">
        <v>10</v>
      </c>
      <c r="F1389" t="inlineStr">
        <is>
          <t>Surprise</t>
        </is>
      </c>
      <c r="G1389" t="n">
        <v>50</v>
      </c>
      <c r="H1389" t="n">
        <v>0</v>
      </c>
      <c r="I1389" t="n">
        <v>0</v>
      </c>
      <c r="J1389" t="inlineStr">
        <is>
          <t>NA</t>
        </is>
      </c>
      <c r="K1389" t="n">
        <v>93.5</v>
      </c>
      <c r="L1389">
        <f>IF(K1389&gt;=80,"Yes","No")</f>
        <v/>
      </c>
      <c r="M1389">
        <f>IF(ISNUMBER(H1389),IF(H1389&gt;0,1,0),"")</f>
        <v/>
      </c>
    </row>
    <row r="1390">
      <c r="A1390" t="inlineStr">
        <is>
          <t>SIMULATED_FEA_Commercial_Study</t>
        </is>
      </c>
      <c r="B1390" t="inlineStr">
        <is>
          <t>V26</t>
        </is>
      </c>
      <c r="C1390" t="inlineStr">
        <is>
          <t>Annotation</t>
        </is>
      </c>
      <c r="D1390" t="inlineStr">
        <is>
          <t>Bin_04</t>
        </is>
      </c>
      <c r="E1390" t="n">
        <v>10</v>
      </c>
      <c r="F1390" t="inlineStr">
        <is>
          <t>Brow Furrow</t>
        </is>
      </c>
      <c r="G1390" t="n">
        <v>50</v>
      </c>
      <c r="H1390" t="n">
        <v>1.33</v>
      </c>
      <c r="I1390" t="n">
        <v>2</v>
      </c>
      <c r="J1390" t="inlineStr">
        <is>
          <t>NA</t>
        </is>
      </c>
      <c r="K1390" t="n">
        <v>93.5</v>
      </c>
      <c r="L1390">
        <f>IF(K1390&gt;=80,"Yes","No")</f>
        <v/>
      </c>
      <c r="M1390">
        <f>IF(ISNUMBER(H1390),IF(H1390&gt;0,1,0),"")</f>
        <v/>
      </c>
    </row>
    <row r="1391">
      <c r="A1391" t="inlineStr">
        <is>
          <t>SIMULATED_FEA_Commercial_Study</t>
        </is>
      </c>
      <c r="B1391" t="inlineStr">
        <is>
          <t>V26</t>
        </is>
      </c>
      <c r="C1391" t="inlineStr">
        <is>
          <t>Annotation</t>
        </is>
      </c>
      <c r="D1391" t="inlineStr">
        <is>
          <t>Bin_04</t>
        </is>
      </c>
      <c r="E1391" t="n">
        <v>10</v>
      </c>
      <c r="F1391" t="inlineStr">
        <is>
          <t>Positive Valence</t>
        </is>
      </c>
      <c r="G1391" t="n">
        <v>50</v>
      </c>
      <c r="H1391" t="n">
        <v>0</v>
      </c>
      <c r="I1391" t="n">
        <v>0</v>
      </c>
      <c r="J1391" t="inlineStr">
        <is>
          <t>NA</t>
        </is>
      </c>
      <c r="K1391" t="n">
        <v>93.5</v>
      </c>
      <c r="L1391">
        <f>IF(K1391&gt;=80,"Yes","No")</f>
        <v/>
      </c>
      <c r="M1391">
        <f>IF(ISNUMBER(H1391),IF(H1391&gt;0,1,0),"")</f>
        <v/>
      </c>
    </row>
    <row r="1392">
      <c r="A1392" t="inlineStr">
        <is>
          <t>SIMULATED_FEA_Commercial_Study</t>
        </is>
      </c>
      <c r="B1392" t="inlineStr">
        <is>
          <t>V26</t>
        </is>
      </c>
      <c r="C1392" t="inlineStr">
        <is>
          <t>Annotation</t>
        </is>
      </c>
      <c r="D1392" t="inlineStr">
        <is>
          <t>Bin_04</t>
        </is>
      </c>
      <c r="E1392" t="n">
        <v>10</v>
      </c>
      <c r="F1392" t="inlineStr">
        <is>
          <t>Negative Valence</t>
        </is>
      </c>
      <c r="G1392" t="n">
        <v>-50</v>
      </c>
      <c r="H1392" t="n">
        <v>15.33</v>
      </c>
      <c r="I1392" t="n">
        <v>1</v>
      </c>
      <c r="J1392" t="inlineStr">
        <is>
          <t>NA</t>
        </is>
      </c>
      <c r="K1392" t="n">
        <v>93.5</v>
      </c>
      <c r="L1392">
        <f>IF(K1392&gt;=80,"Yes","No")</f>
        <v/>
      </c>
      <c r="M1392">
        <f>IF(ISNUMBER(H1392),IF(H1392&gt;0,1,0),"")</f>
        <v/>
      </c>
    </row>
    <row r="1393">
      <c r="A1393" t="inlineStr">
        <is>
          <t>SIMULATED_FEA_Commercial_Study</t>
        </is>
      </c>
      <c r="B1393" t="inlineStr">
        <is>
          <t>V26</t>
        </is>
      </c>
      <c r="C1393" t="inlineStr">
        <is>
          <t>Annotation</t>
        </is>
      </c>
      <c r="D1393" t="inlineStr">
        <is>
          <t>Bin_04</t>
        </is>
      </c>
      <c r="E1393" t="n">
        <v>10</v>
      </c>
      <c r="F1393" t="inlineStr">
        <is>
          <t>Engagement</t>
        </is>
      </c>
      <c r="G1393" t="inlineStr">
        <is>
          <t>NA</t>
        </is>
      </c>
      <c r="H1393" t="inlineStr">
        <is>
          <t>NA</t>
        </is>
      </c>
      <c r="I1393" t="inlineStr">
        <is>
          <t>NA</t>
        </is>
      </c>
      <c r="J1393" t="n">
        <v>6.48</v>
      </c>
      <c r="K1393" t="n">
        <v>93.5</v>
      </c>
      <c r="L1393">
        <f>IF(K1393&gt;=80,"Yes","No")</f>
        <v/>
      </c>
      <c r="M1393">
        <f>IF(ISNUMBER(H1393),IF(H1393&gt;0,1,0),"")</f>
        <v/>
      </c>
    </row>
    <row r="1394">
      <c r="A1394" t="inlineStr">
        <is>
          <t>SIMULATED_FEA_Commercial_Study</t>
        </is>
      </c>
      <c r="B1394" t="inlineStr">
        <is>
          <t>V26</t>
        </is>
      </c>
      <c r="C1394" t="inlineStr">
        <is>
          <t>Annotation</t>
        </is>
      </c>
      <c r="D1394" t="inlineStr">
        <is>
          <t>Bin_05</t>
        </is>
      </c>
      <c r="E1394" t="n">
        <v>10</v>
      </c>
      <c r="F1394" t="inlineStr">
        <is>
          <t>Joy</t>
        </is>
      </c>
      <c r="G1394" t="n">
        <v>50</v>
      </c>
      <c r="H1394" t="n">
        <v>0</v>
      </c>
      <c r="I1394" t="n">
        <v>0</v>
      </c>
      <c r="J1394" t="inlineStr">
        <is>
          <t>NA</t>
        </is>
      </c>
      <c r="K1394" t="n">
        <v>93.5</v>
      </c>
      <c r="L1394">
        <f>IF(K1394&gt;=80,"Yes","No")</f>
        <v/>
      </c>
      <c r="M1394">
        <f>IF(ISNUMBER(H1394),IF(H1394&gt;0,1,0),"")</f>
        <v/>
      </c>
    </row>
    <row r="1395">
      <c r="A1395" t="inlineStr">
        <is>
          <t>SIMULATED_FEA_Commercial_Study</t>
        </is>
      </c>
      <c r="B1395" t="inlineStr">
        <is>
          <t>V26</t>
        </is>
      </c>
      <c r="C1395" t="inlineStr">
        <is>
          <t>Annotation</t>
        </is>
      </c>
      <c r="D1395" t="inlineStr">
        <is>
          <t>Bin_05</t>
        </is>
      </c>
      <c r="E1395" t="n">
        <v>10</v>
      </c>
      <c r="F1395" t="inlineStr">
        <is>
          <t>Surprise</t>
        </is>
      </c>
      <c r="G1395" t="n">
        <v>50</v>
      </c>
      <c r="H1395" t="n">
        <v>0</v>
      </c>
      <c r="I1395" t="n">
        <v>0</v>
      </c>
      <c r="J1395" t="inlineStr">
        <is>
          <t>NA</t>
        </is>
      </c>
      <c r="K1395" t="n">
        <v>93.5</v>
      </c>
      <c r="L1395">
        <f>IF(K1395&gt;=80,"Yes","No")</f>
        <v/>
      </c>
      <c r="M1395">
        <f>IF(ISNUMBER(H1395),IF(H1395&gt;0,1,0),"")</f>
        <v/>
      </c>
    </row>
    <row r="1396">
      <c r="A1396" t="inlineStr">
        <is>
          <t>SIMULATED_FEA_Commercial_Study</t>
        </is>
      </c>
      <c r="B1396" t="inlineStr">
        <is>
          <t>V26</t>
        </is>
      </c>
      <c r="C1396" t="inlineStr">
        <is>
          <t>Annotation</t>
        </is>
      </c>
      <c r="D1396" t="inlineStr">
        <is>
          <t>Bin_05</t>
        </is>
      </c>
      <c r="E1396" t="n">
        <v>10</v>
      </c>
      <c r="F1396" t="inlineStr">
        <is>
          <t>Brow Furrow</t>
        </is>
      </c>
      <c r="G1396" t="n">
        <v>50</v>
      </c>
      <c r="H1396" t="n">
        <v>13</v>
      </c>
      <c r="I1396" t="n">
        <v>4</v>
      </c>
      <c r="J1396" t="inlineStr">
        <is>
          <t>NA</t>
        </is>
      </c>
      <c r="K1396" t="n">
        <v>93.5</v>
      </c>
      <c r="L1396">
        <f>IF(K1396&gt;=80,"Yes","No")</f>
        <v/>
      </c>
      <c r="M1396">
        <f>IF(ISNUMBER(H1396),IF(H1396&gt;0,1,0),"")</f>
        <v/>
      </c>
    </row>
    <row r="1397">
      <c r="A1397" t="inlineStr">
        <is>
          <t>SIMULATED_FEA_Commercial_Study</t>
        </is>
      </c>
      <c r="B1397" t="inlineStr">
        <is>
          <t>V26</t>
        </is>
      </c>
      <c r="C1397" t="inlineStr">
        <is>
          <t>Annotation</t>
        </is>
      </c>
      <c r="D1397" t="inlineStr">
        <is>
          <t>Bin_05</t>
        </is>
      </c>
      <c r="E1397" t="n">
        <v>10</v>
      </c>
      <c r="F1397" t="inlineStr">
        <is>
          <t>Positive Valence</t>
        </is>
      </c>
      <c r="G1397" t="n">
        <v>50</v>
      </c>
      <c r="H1397" t="n">
        <v>0</v>
      </c>
      <c r="I1397" t="n">
        <v>0</v>
      </c>
      <c r="J1397" t="inlineStr">
        <is>
          <t>NA</t>
        </is>
      </c>
      <c r="K1397" t="n">
        <v>93.5</v>
      </c>
      <c r="L1397">
        <f>IF(K1397&gt;=80,"Yes","No")</f>
        <v/>
      </c>
      <c r="M1397">
        <f>IF(ISNUMBER(H1397),IF(H1397&gt;0,1,0),"")</f>
        <v/>
      </c>
    </row>
    <row r="1398">
      <c r="A1398" t="inlineStr">
        <is>
          <t>SIMULATED_FEA_Commercial_Study</t>
        </is>
      </c>
      <c r="B1398" t="inlineStr">
        <is>
          <t>V26</t>
        </is>
      </c>
      <c r="C1398" t="inlineStr">
        <is>
          <t>Annotation</t>
        </is>
      </c>
      <c r="D1398" t="inlineStr">
        <is>
          <t>Bin_05</t>
        </is>
      </c>
      <c r="E1398" t="n">
        <v>10</v>
      </c>
      <c r="F1398" t="inlineStr">
        <is>
          <t>Negative Valence</t>
        </is>
      </c>
      <c r="G1398" t="n">
        <v>-50</v>
      </c>
      <c r="H1398" t="n">
        <v>0</v>
      </c>
      <c r="I1398" t="n">
        <v>0</v>
      </c>
      <c r="J1398" t="inlineStr">
        <is>
          <t>NA</t>
        </is>
      </c>
      <c r="K1398" t="n">
        <v>93.5</v>
      </c>
      <c r="L1398">
        <f>IF(K1398&gt;=80,"Yes","No")</f>
        <v/>
      </c>
      <c r="M1398">
        <f>IF(ISNUMBER(H1398),IF(H1398&gt;0,1,0),"")</f>
        <v/>
      </c>
    </row>
    <row r="1399">
      <c r="A1399" t="inlineStr">
        <is>
          <t>SIMULATED_FEA_Commercial_Study</t>
        </is>
      </c>
      <c r="B1399" t="inlineStr">
        <is>
          <t>V26</t>
        </is>
      </c>
      <c r="C1399" t="inlineStr">
        <is>
          <t>Annotation</t>
        </is>
      </c>
      <c r="D1399" t="inlineStr">
        <is>
          <t>Bin_05</t>
        </is>
      </c>
      <c r="E1399" t="n">
        <v>10</v>
      </c>
      <c r="F1399" t="inlineStr">
        <is>
          <t>Engagement</t>
        </is>
      </c>
      <c r="G1399" t="inlineStr">
        <is>
          <t>NA</t>
        </is>
      </c>
      <c r="H1399" t="inlineStr">
        <is>
          <t>NA</t>
        </is>
      </c>
      <c r="I1399" t="inlineStr">
        <is>
          <t>NA</t>
        </is>
      </c>
      <c r="J1399" t="n">
        <v>8.720000000000001</v>
      </c>
      <c r="K1399" t="n">
        <v>93.5</v>
      </c>
      <c r="L1399">
        <f>IF(K1399&gt;=80,"Yes","No")</f>
        <v/>
      </c>
      <c r="M1399">
        <f>IF(ISNUMBER(H1399),IF(H1399&gt;0,1,0),"")</f>
        <v/>
      </c>
    </row>
    <row r="1400">
      <c r="A1400" t="inlineStr">
        <is>
          <t>SIMULATED_FEA_Commercial_Study</t>
        </is>
      </c>
      <c r="B1400" t="inlineStr">
        <is>
          <t>V26</t>
        </is>
      </c>
      <c r="C1400" t="inlineStr">
        <is>
          <t>Annotation</t>
        </is>
      </c>
      <c r="D1400" t="inlineStr">
        <is>
          <t>Bin_06</t>
        </is>
      </c>
      <c r="E1400" t="n">
        <v>10</v>
      </c>
      <c r="F1400" t="inlineStr">
        <is>
          <t>Joy</t>
        </is>
      </c>
      <c r="G1400" t="n">
        <v>50</v>
      </c>
      <c r="H1400" t="n">
        <v>0</v>
      </c>
      <c r="I1400" t="n">
        <v>0</v>
      </c>
      <c r="J1400" t="inlineStr">
        <is>
          <t>NA</t>
        </is>
      </c>
      <c r="K1400" t="n">
        <v>93.5</v>
      </c>
      <c r="L1400">
        <f>IF(K1400&gt;=80,"Yes","No")</f>
        <v/>
      </c>
      <c r="M1400">
        <f>IF(ISNUMBER(H1400),IF(H1400&gt;0,1,0),"")</f>
        <v/>
      </c>
    </row>
    <row r="1401">
      <c r="A1401" t="inlineStr">
        <is>
          <t>SIMULATED_FEA_Commercial_Study</t>
        </is>
      </c>
      <c r="B1401" t="inlineStr">
        <is>
          <t>V26</t>
        </is>
      </c>
      <c r="C1401" t="inlineStr">
        <is>
          <t>Annotation</t>
        </is>
      </c>
      <c r="D1401" t="inlineStr">
        <is>
          <t>Bin_06</t>
        </is>
      </c>
      <c r="E1401" t="n">
        <v>10</v>
      </c>
      <c r="F1401" t="inlineStr">
        <is>
          <t>Surprise</t>
        </is>
      </c>
      <c r="G1401" t="n">
        <v>50</v>
      </c>
      <c r="H1401" t="n">
        <v>0</v>
      </c>
      <c r="I1401" t="n">
        <v>0</v>
      </c>
      <c r="J1401" t="inlineStr">
        <is>
          <t>NA</t>
        </is>
      </c>
      <c r="K1401" t="n">
        <v>93.5</v>
      </c>
      <c r="L1401">
        <f>IF(K1401&gt;=80,"Yes","No")</f>
        <v/>
      </c>
      <c r="M1401">
        <f>IF(ISNUMBER(H1401),IF(H1401&gt;0,1,0),"")</f>
        <v/>
      </c>
    </row>
    <row r="1402">
      <c r="A1402" t="inlineStr">
        <is>
          <t>SIMULATED_FEA_Commercial_Study</t>
        </is>
      </c>
      <c r="B1402" t="inlineStr">
        <is>
          <t>V26</t>
        </is>
      </c>
      <c r="C1402" t="inlineStr">
        <is>
          <t>Annotation</t>
        </is>
      </c>
      <c r="D1402" t="inlineStr">
        <is>
          <t>Bin_06</t>
        </is>
      </c>
      <c r="E1402" t="n">
        <v>10</v>
      </c>
      <c r="F1402" t="inlineStr">
        <is>
          <t>Brow Furrow</t>
        </is>
      </c>
      <c r="G1402" t="n">
        <v>50</v>
      </c>
      <c r="H1402" t="n">
        <v>0</v>
      </c>
      <c r="I1402" t="n">
        <v>0</v>
      </c>
      <c r="J1402" t="inlineStr">
        <is>
          <t>NA</t>
        </is>
      </c>
      <c r="K1402" t="n">
        <v>93.5</v>
      </c>
      <c r="L1402">
        <f>IF(K1402&gt;=80,"Yes","No")</f>
        <v/>
      </c>
      <c r="M1402">
        <f>IF(ISNUMBER(H1402),IF(H1402&gt;0,1,0),"")</f>
        <v/>
      </c>
    </row>
    <row r="1403">
      <c r="A1403" t="inlineStr">
        <is>
          <t>SIMULATED_FEA_Commercial_Study</t>
        </is>
      </c>
      <c r="B1403" t="inlineStr">
        <is>
          <t>V26</t>
        </is>
      </c>
      <c r="C1403" t="inlineStr">
        <is>
          <t>Annotation</t>
        </is>
      </c>
      <c r="D1403" t="inlineStr">
        <is>
          <t>Bin_06</t>
        </is>
      </c>
      <c r="E1403" t="n">
        <v>10</v>
      </c>
      <c r="F1403" t="inlineStr">
        <is>
          <t>Positive Valence</t>
        </is>
      </c>
      <c r="G1403" t="n">
        <v>50</v>
      </c>
      <c r="H1403" t="n">
        <v>24</v>
      </c>
      <c r="I1403" t="n">
        <v>2</v>
      </c>
      <c r="J1403" t="inlineStr">
        <is>
          <t>NA</t>
        </is>
      </c>
      <c r="K1403" t="n">
        <v>93.5</v>
      </c>
      <c r="L1403">
        <f>IF(K1403&gt;=80,"Yes","No")</f>
        <v/>
      </c>
      <c r="M1403">
        <f>IF(ISNUMBER(H1403),IF(H1403&gt;0,1,0),"")</f>
        <v/>
      </c>
    </row>
    <row r="1404">
      <c r="A1404" t="inlineStr">
        <is>
          <t>SIMULATED_FEA_Commercial_Study</t>
        </is>
      </c>
      <c r="B1404" t="inlineStr">
        <is>
          <t>V26</t>
        </is>
      </c>
      <c r="C1404" t="inlineStr">
        <is>
          <t>Annotation</t>
        </is>
      </c>
      <c r="D1404" t="inlineStr">
        <is>
          <t>Bin_06</t>
        </is>
      </c>
      <c r="E1404" t="n">
        <v>10</v>
      </c>
      <c r="F1404" t="inlineStr">
        <is>
          <t>Negative Valence</t>
        </is>
      </c>
      <c r="G1404" t="n">
        <v>-50</v>
      </c>
      <c r="H1404" t="n">
        <v>0</v>
      </c>
      <c r="I1404" t="n">
        <v>0</v>
      </c>
      <c r="J1404" t="inlineStr">
        <is>
          <t>NA</t>
        </is>
      </c>
      <c r="K1404" t="n">
        <v>93.5</v>
      </c>
      <c r="L1404">
        <f>IF(K1404&gt;=80,"Yes","No")</f>
        <v/>
      </c>
      <c r="M1404">
        <f>IF(ISNUMBER(H1404),IF(H1404&gt;0,1,0),"")</f>
        <v/>
      </c>
    </row>
    <row r="1405">
      <c r="A1405" t="inlineStr">
        <is>
          <t>SIMULATED_FEA_Commercial_Study</t>
        </is>
      </c>
      <c r="B1405" t="inlineStr">
        <is>
          <t>V26</t>
        </is>
      </c>
      <c r="C1405" t="inlineStr">
        <is>
          <t>Annotation</t>
        </is>
      </c>
      <c r="D1405" t="inlineStr">
        <is>
          <t>Bin_06</t>
        </is>
      </c>
      <c r="E1405" t="n">
        <v>10</v>
      </c>
      <c r="F1405" t="inlineStr">
        <is>
          <t>Engagement</t>
        </is>
      </c>
      <c r="G1405" t="inlineStr">
        <is>
          <t>NA</t>
        </is>
      </c>
      <c r="H1405" t="inlineStr">
        <is>
          <t>NA</t>
        </is>
      </c>
      <c r="I1405" t="inlineStr">
        <is>
          <t>NA</t>
        </is>
      </c>
      <c r="J1405" t="n">
        <v>10.58</v>
      </c>
      <c r="K1405" t="n">
        <v>93.5</v>
      </c>
      <c r="L1405">
        <f>IF(K1405&gt;=80,"Yes","No")</f>
        <v/>
      </c>
      <c r="M1405">
        <f>IF(ISNUMBER(H1405),IF(H1405&gt;0,1,0),"")</f>
        <v/>
      </c>
    </row>
    <row r="1406">
      <c r="A1406" t="inlineStr">
        <is>
          <t>SIMULATED_FEA_Commercial_Study</t>
        </is>
      </c>
      <c r="B1406" t="inlineStr">
        <is>
          <t>V27</t>
        </is>
      </c>
      <c r="C1406" t="inlineStr">
        <is>
          <t>Stimulus</t>
        </is>
      </c>
      <c r="D1406" t="inlineStr">
        <is>
          <t>Baseline</t>
        </is>
      </c>
      <c r="E1406" t="n">
        <v>60</v>
      </c>
      <c r="F1406" t="inlineStr">
        <is>
          <t>Joy</t>
        </is>
      </c>
      <c r="G1406" t="n">
        <v>50</v>
      </c>
      <c r="H1406" t="n">
        <v>0</v>
      </c>
      <c r="I1406" t="n">
        <v>0</v>
      </c>
      <c r="J1406" t="inlineStr">
        <is>
          <t>NA</t>
        </is>
      </c>
      <c r="K1406" t="n">
        <v>95.59999999999999</v>
      </c>
      <c r="L1406">
        <f>IF(K1406&gt;=80,"Yes","No")</f>
        <v/>
      </c>
      <c r="M1406">
        <f>IF(ISNUMBER(H1406),IF(H1406&gt;0,1,0),"")</f>
        <v/>
      </c>
    </row>
    <row r="1407">
      <c r="A1407" t="inlineStr">
        <is>
          <t>SIMULATED_FEA_Commercial_Study</t>
        </is>
      </c>
      <c r="B1407" t="inlineStr">
        <is>
          <t>V27</t>
        </is>
      </c>
      <c r="C1407" t="inlineStr">
        <is>
          <t>Stimulus</t>
        </is>
      </c>
      <c r="D1407" t="inlineStr">
        <is>
          <t>Baseline</t>
        </is>
      </c>
      <c r="E1407" t="n">
        <v>60</v>
      </c>
      <c r="F1407" t="inlineStr">
        <is>
          <t>Surprise</t>
        </is>
      </c>
      <c r="G1407" t="n">
        <v>50</v>
      </c>
      <c r="H1407" t="n">
        <v>0</v>
      </c>
      <c r="I1407" t="n">
        <v>0</v>
      </c>
      <c r="J1407" t="inlineStr">
        <is>
          <t>NA</t>
        </is>
      </c>
      <c r="K1407" t="n">
        <v>95.59999999999999</v>
      </c>
      <c r="L1407">
        <f>IF(K1407&gt;=80,"Yes","No")</f>
        <v/>
      </c>
      <c r="M1407">
        <f>IF(ISNUMBER(H1407),IF(H1407&gt;0,1,0),"")</f>
        <v/>
      </c>
    </row>
    <row r="1408">
      <c r="A1408" t="inlineStr">
        <is>
          <t>SIMULATED_FEA_Commercial_Study</t>
        </is>
      </c>
      <c r="B1408" t="inlineStr">
        <is>
          <t>V27</t>
        </is>
      </c>
      <c r="C1408" t="inlineStr">
        <is>
          <t>Stimulus</t>
        </is>
      </c>
      <c r="D1408" t="inlineStr">
        <is>
          <t>Baseline</t>
        </is>
      </c>
      <c r="E1408" t="n">
        <v>60</v>
      </c>
      <c r="F1408" t="inlineStr">
        <is>
          <t>Brow Furrow</t>
        </is>
      </c>
      <c r="G1408" t="n">
        <v>50</v>
      </c>
      <c r="H1408" t="n">
        <v>2.83</v>
      </c>
      <c r="I1408" t="n">
        <v>1</v>
      </c>
      <c r="J1408" t="inlineStr">
        <is>
          <t>NA</t>
        </is>
      </c>
      <c r="K1408" t="n">
        <v>95.59999999999999</v>
      </c>
      <c r="L1408">
        <f>IF(K1408&gt;=80,"Yes","No")</f>
        <v/>
      </c>
      <c r="M1408">
        <f>IF(ISNUMBER(H1408),IF(H1408&gt;0,1,0),"")</f>
        <v/>
      </c>
    </row>
    <row r="1409">
      <c r="A1409" t="inlineStr">
        <is>
          <t>SIMULATED_FEA_Commercial_Study</t>
        </is>
      </c>
      <c r="B1409" t="inlineStr">
        <is>
          <t>V27</t>
        </is>
      </c>
      <c r="C1409" t="inlineStr">
        <is>
          <t>Stimulus</t>
        </is>
      </c>
      <c r="D1409" t="inlineStr">
        <is>
          <t>Baseline</t>
        </is>
      </c>
      <c r="E1409" t="n">
        <v>60</v>
      </c>
      <c r="F1409" t="inlineStr">
        <is>
          <t>Positive Valence</t>
        </is>
      </c>
      <c r="G1409" t="n">
        <v>50</v>
      </c>
      <c r="H1409" t="n">
        <v>0</v>
      </c>
      <c r="I1409" t="n">
        <v>0</v>
      </c>
      <c r="J1409" t="inlineStr">
        <is>
          <t>NA</t>
        </is>
      </c>
      <c r="K1409" t="n">
        <v>95.59999999999999</v>
      </c>
      <c r="L1409">
        <f>IF(K1409&gt;=80,"Yes","No")</f>
        <v/>
      </c>
      <c r="M1409">
        <f>IF(ISNUMBER(H1409),IF(H1409&gt;0,1,0),"")</f>
        <v/>
      </c>
    </row>
    <row r="1410">
      <c r="A1410" t="inlineStr">
        <is>
          <t>SIMULATED_FEA_Commercial_Study</t>
        </is>
      </c>
      <c r="B1410" t="inlineStr">
        <is>
          <t>V27</t>
        </is>
      </c>
      <c r="C1410" t="inlineStr">
        <is>
          <t>Stimulus</t>
        </is>
      </c>
      <c r="D1410" t="inlineStr">
        <is>
          <t>Baseline</t>
        </is>
      </c>
      <c r="E1410" t="n">
        <v>60</v>
      </c>
      <c r="F1410" t="inlineStr">
        <is>
          <t>Negative Valence</t>
        </is>
      </c>
      <c r="G1410" t="n">
        <v>-50</v>
      </c>
      <c r="H1410" t="n">
        <v>0</v>
      </c>
      <c r="I1410" t="n">
        <v>0</v>
      </c>
      <c r="J1410" t="inlineStr">
        <is>
          <t>NA</t>
        </is>
      </c>
      <c r="K1410" t="n">
        <v>95.59999999999999</v>
      </c>
      <c r="L1410">
        <f>IF(K1410&gt;=80,"Yes","No")</f>
        <v/>
      </c>
      <c r="M1410">
        <f>IF(ISNUMBER(H1410),IF(H1410&gt;0,1,0),"")</f>
        <v/>
      </c>
    </row>
    <row r="1411">
      <c r="A1411" t="inlineStr">
        <is>
          <t>SIMULATED_FEA_Commercial_Study</t>
        </is>
      </c>
      <c r="B1411" t="inlineStr">
        <is>
          <t>V27</t>
        </is>
      </c>
      <c r="C1411" t="inlineStr">
        <is>
          <t>Stimulus</t>
        </is>
      </c>
      <c r="D1411" t="inlineStr">
        <is>
          <t>Baseline</t>
        </is>
      </c>
      <c r="E1411" t="n">
        <v>60</v>
      </c>
      <c r="F1411" t="inlineStr">
        <is>
          <t>Engagement</t>
        </is>
      </c>
      <c r="G1411" t="inlineStr">
        <is>
          <t>NA</t>
        </is>
      </c>
      <c r="H1411" t="inlineStr">
        <is>
          <t>NA</t>
        </is>
      </c>
      <c r="I1411" t="inlineStr">
        <is>
          <t>NA</t>
        </is>
      </c>
      <c r="J1411" t="n">
        <v>3.64</v>
      </c>
      <c r="K1411" t="n">
        <v>95.59999999999999</v>
      </c>
      <c r="L1411">
        <f>IF(K1411&gt;=80,"Yes","No")</f>
        <v/>
      </c>
      <c r="M1411">
        <f>IF(ISNUMBER(H1411),IF(H1411&gt;0,1,0),"")</f>
        <v/>
      </c>
    </row>
    <row r="1412">
      <c r="A1412" t="inlineStr">
        <is>
          <t>SIMULATED_FEA_Commercial_Study</t>
        </is>
      </c>
      <c r="B1412" t="inlineStr">
        <is>
          <t>V27</t>
        </is>
      </c>
      <c r="C1412" t="inlineStr">
        <is>
          <t>Stimulus</t>
        </is>
      </c>
      <c r="D1412" t="inlineStr">
        <is>
          <t>Commercial</t>
        </is>
      </c>
      <c r="E1412" t="n">
        <v>60</v>
      </c>
      <c r="F1412" t="inlineStr">
        <is>
          <t>Joy</t>
        </is>
      </c>
      <c r="G1412" t="n">
        <v>50</v>
      </c>
      <c r="H1412" t="n">
        <v>8.17</v>
      </c>
      <c r="I1412" t="n">
        <v>5</v>
      </c>
      <c r="J1412" t="inlineStr">
        <is>
          <t>NA</t>
        </is>
      </c>
      <c r="K1412" t="n">
        <v>95.59999999999999</v>
      </c>
      <c r="L1412">
        <f>IF(K1412&gt;=80,"Yes","No")</f>
        <v/>
      </c>
      <c r="M1412">
        <f>IF(ISNUMBER(H1412),IF(H1412&gt;0,1,0),"")</f>
        <v/>
      </c>
    </row>
    <row r="1413">
      <c r="A1413" t="inlineStr">
        <is>
          <t>SIMULATED_FEA_Commercial_Study</t>
        </is>
      </c>
      <c r="B1413" t="inlineStr">
        <is>
          <t>V27</t>
        </is>
      </c>
      <c r="C1413" t="inlineStr">
        <is>
          <t>Stimulus</t>
        </is>
      </c>
      <c r="D1413" t="inlineStr">
        <is>
          <t>Commercial</t>
        </is>
      </c>
      <c r="E1413" t="n">
        <v>60</v>
      </c>
      <c r="F1413" t="inlineStr">
        <is>
          <t>Surprise</t>
        </is>
      </c>
      <c r="G1413" t="n">
        <v>50</v>
      </c>
      <c r="H1413" t="n">
        <v>3.83</v>
      </c>
      <c r="I1413" t="n">
        <v>3</v>
      </c>
      <c r="J1413" t="inlineStr">
        <is>
          <t>NA</t>
        </is>
      </c>
      <c r="K1413" t="n">
        <v>95.59999999999999</v>
      </c>
      <c r="L1413">
        <f>IF(K1413&gt;=80,"Yes","No")</f>
        <v/>
      </c>
      <c r="M1413">
        <f>IF(ISNUMBER(H1413),IF(H1413&gt;0,1,0),"")</f>
        <v/>
      </c>
    </row>
    <row r="1414">
      <c r="A1414" t="inlineStr">
        <is>
          <t>SIMULATED_FEA_Commercial_Study</t>
        </is>
      </c>
      <c r="B1414" t="inlineStr">
        <is>
          <t>V27</t>
        </is>
      </c>
      <c r="C1414" t="inlineStr">
        <is>
          <t>Stimulus</t>
        </is>
      </c>
      <c r="D1414" t="inlineStr">
        <is>
          <t>Commercial</t>
        </is>
      </c>
      <c r="E1414" t="n">
        <v>60</v>
      </c>
      <c r="F1414" t="inlineStr">
        <is>
          <t>Brow Furrow</t>
        </is>
      </c>
      <c r="G1414" t="n">
        <v>50</v>
      </c>
      <c r="H1414" t="n">
        <v>4.56</v>
      </c>
      <c r="I1414" t="n">
        <v>2</v>
      </c>
      <c r="J1414" t="inlineStr">
        <is>
          <t>NA</t>
        </is>
      </c>
      <c r="K1414" t="n">
        <v>95.59999999999999</v>
      </c>
      <c r="L1414">
        <f>IF(K1414&gt;=80,"Yes","No")</f>
        <v/>
      </c>
      <c r="M1414">
        <f>IF(ISNUMBER(H1414),IF(H1414&gt;0,1,0),"")</f>
        <v/>
      </c>
    </row>
    <row r="1415">
      <c r="A1415" t="inlineStr">
        <is>
          <t>SIMULATED_FEA_Commercial_Study</t>
        </is>
      </c>
      <c r="B1415" t="inlineStr">
        <is>
          <t>V27</t>
        </is>
      </c>
      <c r="C1415" t="inlineStr">
        <is>
          <t>Stimulus</t>
        </is>
      </c>
      <c r="D1415" t="inlineStr">
        <is>
          <t>Commercial</t>
        </is>
      </c>
      <c r="E1415" t="n">
        <v>60</v>
      </c>
      <c r="F1415" t="inlineStr">
        <is>
          <t>Positive Valence</t>
        </is>
      </c>
      <c r="G1415" t="n">
        <v>50</v>
      </c>
      <c r="H1415" t="n">
        <v>6.17</v>
      </c>
      <c r="I1415" t="n">
        <v>6</v>
      </c>
      <c r="J1415" t="inlineStr">
        <is>
          <t>NA</t>
        </is>
      </c>
      <c r="K1415" t="n">
        <v>95.59999999999999</v>
      </c>
      <c r="L1415">
        <f>IF(K1415&gt;=80,"Yes","No")</f>
        <v/>
      </c>
      <c r="M1415">
        <f>IF(ISNUMBER(H1415),IF(H1415&gt;0,1,0),"")</f>
        <v/>
      </c>
    </row>
    <row r="1416">
      <c r="A1416" t="inlineStr">
        <is>
          <t>SIMULATED_FEA_Commercial_Study</t>
        </is>
      </c>
      <c r="B1416" t="inlineStr">
        <is>
          <t>V27</t>
        </is>
      </c>
      <c r="C1416" t="inlineStr">
        <is>
          <t>Stimulus</t>
        </is>
      </c>
      <c r="D1416" t="inlineStr">
        <is>
          <t>Commercial</t>
        </is>
      </c>
      <c r="E1416" t="n">
        <v>60</v>
      </c>
      <c r="F1416" t="inlineStr">
        <is>
          <t>Negative Valence</t>
        </is>
      </c>
      <c r="G1416" t="n">
        <v>-50</v>
      </c>
      <c r="H1416" t="n">
        <v>0</v>
      </c>
      <c r="I1416" t="n">
        <v>0</v>
      </c>
      <c r="J1416" t="inlineStr">
        <is>
          <t>NA</t>
        </is>
      </c>
      <c r="K1416" t="n">
        <v>95.59999999999999</v>
      </c>
      <c r="L1416">
        <f>IF(K1416&gt;=80,"Yes","No")</f>
        <v/>
      </c>
      <c r="M1416">
        <f>IF(ISNUMBER(H1416),IF(H1416&gt;0,1,0),"")</f>
        <v/>
      </c>
    </row>
    <row r="1417">
      <c r="A1417" t="inlineStr">
        <is>
          <t>SIMULATED_FEA_Commercial_Study</t>
        </is>
      </c>
      <c r="B1417" t="inlineStr">
        <is>
          <t>V27</t>
        </is>
      </c>
      <c r="C1417" t="inlineStr">
        <is>
          <t>Stimulus</t>
        </is>
      </c>
      <c r="D1417" t="inlineStr">
        <is>
          <t>Commercial</t>
        </is>
      </c>
      <c r="E1417" t="n">
        <v>60</v>
      </c>
      <c r="F1417" t="inlineStr">
        <is>
          <t>Engagement</t>
        </is>
      </c>
      <c r="G1417" t="inlineStr">
        <is>
          <t>NA</t>
        </is>
      </c>
      <c r="H1417" t="inlineStr">
        <is>
          <t>NA</t>
        </is>
      </c>
      <c r="I1417" t="inlineStr">
        <is>
          <t>NA</t>
        </is>
      </c>
      <c r="J1417" t="n">
        <v>10.87</v>
      </c>
      <c r="K1417" t="n">
        <v>95.59999999999999</v>
      </c>
      <c r="L1417">
        <f>IF(K1417&gt;=80,"Yes","No")</f>
        <v/>
      </c>
      <c r="M1417">
        <f>IF(ISNUMBER(H1417),IF(H1417&gt;0,1,0),"")</f>
        <v/>
      </c>
    </row>
    <row r="1418">
      <c r="A1418" t="inlineStr">
        <is>
          <t>SIMULATED_FEA_Commercial_Study</t>
        </is>
      </c>
      <c r="B1418" t="inlineStr">
        <is>
          <t>V27</t>
        </is>
      </c>
      <c r="C1418" t="inlineStr">
        <is>
          <t>Stimulus</t>
        </is>
      </c>
      <c r="D1418" t="inlineStr">
        <is>
          <t>Recovery</t>
        </is>
      </c>
      <c r="E1418" t="n">
        <v>15</v>
      </c>
      <c r="F1418" t="inlineStr">
        <is>
          <t>Joy</t>
        </is>
      </c>
      <c r="G1418" t="n">
        <v>50</v>
      </c>
      <c r="H1418" t="n">
        <v>0</v>
      </c>
      <c r="I1418" t="n">
        <v>0</v>
      </c>
      <c r="J1418" t="inlineStr">
        <is>
          <t>NA</t>
        </is>
      </c>
      <c r="K1418" t="n">
        <v>95.59999999999999</v>
      </c>
      <c r="L1418">
        <f>IF(K1418&gt;=80,"Yes","No")</f>
        <v/>
      </c>
      <c r="M1418">
        <f>IF(ISNUMBER(H1418),IF(H1418&gt;0,1,0),"")</f>
        <v/>
      </c>
    </row>
    <row r="1419">
      <c r="A1419" t="inlineStr">
        <is>
          <t>SIMULATED_FEA_Commercial_Study</t>
        </is>
      </c>
      <c r="B1419" t="inlineStr">
        <is>
          <t>V27</t>
        </is>
      </c>
      <c r="C1419" t="inlineStr">
        <is>
          <t>Stimulus</t>
        </is>
      </c>
      <c r="D1419" t="inlineStr">
        <is>
          <t>Recovery</t>
        </is>
      </c>
      <c r="E1419" t="n">
        <v>15</v>
      </c>
      <c r="F1419" t="inlineStr">
        <is>
          <t>Surprise</t>
        </is>
      </c>
      <c r="G1419" t="n">
        <v>50</v>
      </c>
      <c r="H1419" t="n">
        <v>0</v>
      </c>
      <c r="I1419" t="n">
        <v>0</v>
      </c>
      <c r="J1419" t="inlineStr">
        <is>
          <t>NA</t>
        </is>
      </c>
      <c r="K1419" t="n">
        <v>95.59999999999999</v>
      </c>
      <c r="L1419">
        <f>IF(K1419&gt;=80,"Yes","No")</f>
        <v/>
      </c>
      <c r="M1419">
        <f>IF(ISNUMBER(H1419),IF(H1419&gt;0,1,0),"")</f>
        <v/>
      </c>
    </row>
    <row r="1420">
      <c r="A1420" t="inlineStr">
        <is>
          <t>SIMULATED_FEA_Commercial_Study</t>
        </is>
      </c>
      <c r="B1420" t="inlineStr">
        <is>
          <t>V27</t>
        </is>
      </c>
      <c r="C1420" t="inlineStr">
        <is>
          <t>Stimulus</t>
        </is>
      </c>
      <c r="D1420" t="inlineStr">
        <is>
          <t>Recovery</t>
        </is>
      </c>
      <c r="E1420" t="n">
        <v>15</v>
      </c>
      <c r="F1420" t="inlineStr">
        <is>
          <t>Brow Furrow</t>
        </is>
      </c>
      <c r="G1420" t="n">
        <v>50</v>
      </c>
      <c r="H1420" t="n">
        <v>0</v>
      </c>
      <c r="I1420" t="n">
        <v>0</v>
      </c>
      <c r="J1420" t="inlineStr">
        <is>
          <t>NA</t>
        </is>
      </c>
      <c r="K1420" t="n">
        <v>95.59999999999999</v>
      </c>
      <c r="L1420">
        <f>IF(K1420&gt;=80,"Yes","No")</f>
        <v/>
      </c>
      <c r="M1420">
        <f>IF(ISNUMBER(H1420),IF(H1420&gt;0,1,0),"")</f>
        <v/>
      </c>
    </row>
    <row r="1421">
      <c r="A1421" t="inlineStr">
        <is>
          <t>SIMULATED_FEA_Commercial_Study</t>
        </is>
      </c>
      <c r="B1421" t="inlineStr">
        <is>
          <t>V27</t>
        </is>
      </c>
      <c r="C1421" t="inlineStr">
        <is>
          <t>Stimulus</t>
        </is>
      </c>
      <c r="D1421" t="inlineStr">
        <is>
          <t>Recovery</t>
        </is>
      </c>
      <c r="E1421" t="n">
        <v>15</v>
      </c>
      <c r="F1421" t="inlineStr">
        <is>
          <t>Positive Valence</t>
        </is>
      </c>
      <c r="G1421" t="n">
        <v>50</v>
      </c>
      <c r="H1421" t="n">
        <v>0</v>
      </c>
      <c r="I1421" t="n">
        <v>0</v>
      </c>
      <c r="J1421" t="inlineStr">
        <is>
          <t>NA</t>
        </is>
      </c>
      <c r="K1421" t="n">
        <v>95.59999999999999</v>
      </c>
      <c r="L1421">
        <f>IF(K1421&gt;=80,"Yes","No")</f>
        <v/>
      </c>
      <c r="M1421">
        <f>IF(ISNUMBER(H1421),IF(H1421&gt;0,1,0),"")</f>
        <v/>
      </c>
    </row>
    <row r="1422">
      <c r="A1422" t="inlineStr">
        <is>
          <t>SIMULATED_FEA_Commercial_Study</t>
        </is>
      </c>
      <c r="B1422" t="inlineStr">
        <is>
          <t>V27</t>
        </is>
      </c>
      <c r="C1422" t="inlineStr">
        <is>
          <t>Stimulus</t>
        </is>
      </c>
      <c r="D1422" t="inlineStr">
        <is>
          <t>Recovery</t>
        </is>
      </c>
      <c r="E1422" t="n">
        <v>15</v>
      </c>
      <c r="F1422" t="inlineStr">
        <is>
          <t>Negative Valence</t>
        </is>
      </c>
      <c r="G1422" t="n">
        <v>-50</v>
      </c>
      <c r="H1422" t="n">
        <v>0</v>
      </c>
      <c r="I1422" t="n">
        <v>0</v>
      </c>
      <c r="J1422" t="inlineStr">
        <is>
          <t>NA</t>
        </is>
      </c>
      <c r="K1422" t="n">
        <v>95.59999999999999</v>
      </c>
      <c r="L1422">
        <f>IF(K1422&gt;=80,"Yes","No")</f>
        <v/>
      </c>
      <c r="M1422">
        <f>IF(ISNUMBER(H1422),IF(H1422&gt;0,1,0),"")</f>
        <v/>
      </c>
    </row>
    <row r="1423">
      <c r="A1423" t="inlineStr">
        <is>
          <t>SIMULATED_FEA_Commercial_Study</t>
        </is>
      </c>
      <c r="B1423" t="inlineStr">
        <is>
          <t>V27</t>
        </is>
      </c>
      <c r="C1423" t="inlineStr">
        <is>
          <t>Stimulus</t>
        </is>
      </c>
      <c r="D1423" t="inlineStr">
        <is>
          <t>Recovery</t>
        </is>
      </c>
      <c r="E1423" t="n">
        <v>15</v>
      </c>
      <c r="F1423" t="inlineStr">
        <is>
          <t>Engagement</t>
        </is>
      </c>
      <c r="G1423" t="inlineStr">
        <is>
          <t>NA</t>
        </is>
      </c>
      <c r="H1423" t="inlineStr">
        <is>
          <t>NA</t>
        </is>
      </c>
      <c r="I1423" t="inlineStr">
        <is>
          <t>NA</t>
        </is>
      </c>
      <c r="J1423" t="n">
        <v>1.43</v>
      </c>
      <c r="K1423" t="n">
        <v>95.59999999999999</v>
      </c>
      <c r="L1423">
        <f>IF(K1423&gt;=80,"Yes","No")</f>
        <v/>
      </c>
      <c r="M1423">
        <f>IF(ISNUMBER(H1423),IF(H1423&gt;0,1,0),"")</f>
        <v/>
      </c>
    </row>
    <row r="1424">
      <c r="A1424" t="inlineStr">
        <is>
          <t>SIMULATED_FEA_Commercial_Study</t>
        </is>
      </c>
      <c r="B1424" t="inlineStr">
        <is>
          <t>V27</t>
        </is>
      </c>
      <c r="C1424" t="inlineStr">
        <is>
          <t>Annotation</t>
        </is>
      </c>
      <c r="D1424" t="inlineStr">
        <is>
          <t>Bin_01</t>
        </is>
      </c>
      <c r="E1424" t="n">
        <v>10</v>
      </c>
      <c r="F1424" t="inlineStr">
        <is>
          <t>Joy</t>
        </is>
      </c>
      <c r="G1424" t="n">
        <v>50</v>
      </c>
      <c r="H1424" t="n">
        <v>0</v>
      </c>
      <c r="I1424" t="n">
        <v>0</v>
      </c>
      <c r="J1424" t="inlineStr">
        <is>
          <t>NA</t>
        </is>
      </c>
      <c r="K1424" t="n">
        <v>95.59999999999999</v>
      </c>
      <c r="L1424">
        <f>IF(K1424&gt;=80,"Yes","No")</f>
        <v/>
      </c>
      <c r="M1424">
        <f>IF(ISNUMBER(H1424),IF(H1424&gt;0,1,0),"")</f>
        <v/>
      </c>
    </row>
    <row r="1425">
      <c r="A1425" t="inlineStr">
        <is>
          <t>SIMULATED_FEA_Commercial_Study</t>
        </is>
      </c>
      <c r="B1425" t="inlineStr">
        <is>
          <t>V27</t>
        </is>
      </c>
      <c r="C1425" t="inlineStr">
        <is>
          <t>Annotation</t>
        </is>
      </c>
      <c r="D1425" t="inlineStr">
        <is>
          <t>Bin_01</t>
        </is>
      </c>
      <c r="E1425" t="n">
        <v>10</v>
      </c>
      <c r="F1425" t="inlineStr">
        <is>
          <t>Surprise</t>
        </is>
      </c>
      <c r="G1425" t="n">
        <v>50</v>
      </c>
      <c r="H1425" t="n">
        <v>0</v>
      </c>
      <c r="I1425" t="n">
        <v>0</v>
      </c>
      <c r="J1425" t="inlineStr">
        <is>
          <t>NA</t>
        </is>
      </c>
      <c r="K1425" t="n">
        <v>95.59999999999999</v>
      </c>
      <c r="L1425">
        <f>IF(K1425&gt;=80,"Yes","No")</f>
        <v/>
      </c>
      <c r="M1425">
        <f>IF(ISNUMBER(H1425),IF(H1425&gt;0,1,0),"")</f>
        <v/>
      </c>
    </row>
    <row r="1426">
      <c r="A1426" t="inlineStr">
        <is>
          <t>SIMULATED_FEA_Commercial_Study</t>
        </is>
      </c>
      <c r="B1426" t="inlineStr">
        <is>
          <t>V27</t>
        </is>
      </c>
      <c r="C1426" t="inlineStr">
        <is>
          <t>Annotation</t>
        </is>
      </c>
      <c r="D1426" t="inlineStr">
        <is>
          <t>Bin_01</t>
        </is>
      </c>
      <c r="E1426" t="n">
        <v>10</v>
      </c>
      <c r="F1426" t="inlineStr">
        <is>
          <t>Brow Furrow</t>
        </is>
      </c>
      <c r="G1426" t="n">
        <v>50</v>
      </c>
      <c r="H1426" t="n">
        <v>0</v>
      </c>
      <c r="I1426" t="n">
        <v>0</v>
      </c>
      <c r="J1426" t="inlineStr">
        <is>
          <t>NA</t>
        </is>
      </c>
      <c r="K1426" t="n">
        <v>95.59999999999999</v>
      </c>
      <c r="L1426">
        <f>IF(K1426&gt;=80,"Yes","No")</f>
        <v/>
      </c>
      <c r="M1426">
        <f>IF(ISNUMBER(H1426),IF(H1426&gt;0,1,0),"")</f>
        <v/>
      </c>
    </row>
    <row r="1427">
      <c r="A1427" t="inlineStr">
        <is>
          <t>SIMULATED_FEA_Commercial_Study</t>
        </is>
      </c>
      <c r="B1427" t="inlineStr">
        <is>
          <t>V27</t>
        </is>
      </c>
      <c r="C1427" t="inlineStr">
        <is>
          <t>Annotation</t>
        </is>
      </c>
      <c r="D1427" t="inlineStr">
        <is>
          <t>Bin_01</t>
        </is>
      </c>
      <c r="E1427" t="n">
        <v>10</v>
      </c>
      <c r="F1427" t="inlineStr">
        <is>
          <t>Positive Valence</t>
        </is>
      </c>
      <c r="G1427" t="n">
        <v>50</v>
      </c>
      <c r="H1427" t="n">
        <v>0</v>
      </c>
      <c r="I1427" t="n">
        <v>0</v>
      </c>
      <c r="J1427" t="inlineStr">
        <is>
          <t>NA</t>
        </is>
      </c>
      <c r="K1427" t="n">
        <v>95.59999999999999</v>
      </c>
      <c r="L1427">
        <f>IF(K1427&gt;=80,"Yes","No")</f>
        <v/>
      </c>
      <c r="M1427">
        <f>IF(ISNUMBER(H1427),IF(H1427&gt;0,1,0),"")</f>
        <v/>
      </c>
    </row>
    <row r="1428">
      <c r="A1428" t="inlineStr">
        <is>
          <t>SIMULATED_FEA_Commercial_Study</t>
        </is>
      </c>
      <c r="B1428" t="inlineStr">
        <is>
          <t>V27</t>
        </is>
      </c>
      <c r="C1428" t="inlineStr">
        <is>
          <t>Annotation</t>
        </is>
      </c>
      <c r="D1428" t="inlineStr">
        <is>
          <t>Bin_01</t>
        </is>
      </c>
      <c r="E1428" t="n">
        <v>10</v>
      </c>
      <c r="F1428" t="inlineStr">
        <is>
          <t>Negative Valence</t>
        </is>
      </c>
      <c r="G1428" t="n">
        <v>-50</v>
      </c>
      <c r="H1428" t="n">
        <v>0</v>
      </c>
      <c r="I1428" t="n">
        <v>0</v>
      </c>
      <c r="J1428" t="inlineStr">
        <is>
          <t>NA</t>
        </is>
      </c>
      <c r="K1428" t="n">
        <v>95.59999999999999</v>
      </c>
      <c r="L1428">
        <f>IF(K1428&gt;=80,"Yes","No")</f>
        <v/>
      </c>
      <c r="M1428">
        <f>IF(ISNUMBER(H1428),IF(H1428&gt;0,1,0),"")</f>
        <v/>
      </c>
    </row>
    <row r="1429">
      <c r="A1429" t="inlineStr">
        <is>
          <t>SIMULATED_FEA_Commercial_Study</t>
        </is>
      </c>
      <c r="B1429" t="inlineStr">
        <is>
          <t>V27</t>
        </is>
      </c>
      <c r="C1429" t="inlineStr">
        <is>
          <t>Annotation</t>
        </is>
      </c>
      <c r="D1429" t="inlineStr">
        <is>
          <t>Bin_01</t>
        </is>
      </c>
      <c r="E1429" t="n">
        <v>10</v>
      </c>
      <c r="F1429" t="inlineStr">
        <is>
          <t>Engagement</t>
        </is>
      </c>
      <c r="G1429" t="inlineStr">
        <is>
          <t>NA</t>
        </is>
      </c>
      <c r="H1429" t="inlineStr">
        <is>
          <t>NA</t>
        </is>
      </c>
      <c r="I1429" t="inlineStr">
        <is>
          <t>NA</t>
        </is>
      </c>
      <c r="J1429" t="n">
        <v>0.87</v>
      </c>
      <c r="K1429" t="n">
        <v>95.59999999999999</v>
      </c>
      <c r="L1429">
        <f>IF(K1429&gt;=80,"Yes","No")</f>
        <v/>
      </c>
      <c r="M1429">
        <f>IF(ISNUMBER(H1429),IF(H1429&gt;0,1,0),"")</f>
        <v/>
      </c>
    </row>
    <row r="1430">
      <c r="A1430" t="inlineStr">
        <is>
          <t>SIMULATED_FEA_Commercial_Study</t>
        </is>
      </c>
      <c r="B1430" t="inlineStr">
        <is>
          <t>V27</t>
        </is>
      </c>
      <c r="C1430" t="inlineStr">
        <is>
          <t>Annotation</t>
        </is>
      </c>
      <c r="D1430" t="inlineStr">
        <is>
          <t>Bin_02</t>
        </is>
      </c>
      <c r="E1430" t="n">
        <v>10</v>
      </c>
      <c r="F1430" t="inlineStr">
        <is>
          <t>Joy</t>
        </is>
      </c>
      <c r="G1430" t="n">
        <v>50</v>
      </c>
      <c r="H1430" t="n">
        <v>0</v>
      </c>
      <c r="I1430" t="n">
        <v>0</v>
      </c>
      <c r="J1430" t="inlineStr">
        <is>
          <t>NA</t>
        </is>
      </c>
      <c r="K1430" t="n">
        <v>95.59999999999999</v>
      </c>
      <c r="L1430">
        <f>IF(K1430&gt;=80,"Yes","No")</f>
        <v/>
      </c>
      <c r="M1430">
        <f>IF(ISNUMBER(H1430),IF(H1430&gt;0,1,0),"")</f>
        <v/>
      </c>
    </row>
    <row r="1431">
      <c r="A1431" t="inlineStr">
        <is>
          <t>SIMULATED_FEA_Commercial_Study</t>
        </is>
      </c>
      <c r="B1431" t="inlineStr">
        <is>
          <t>V27</t>
        </is>
      </c>
      <c r="C1431" t="inlineStr">
        <is>
          <t>Annotation</t>
        </is>
      </c>
      <c r="D1431" t="inlineStr">
        <is>
          <t>Bin_02</t>
        </is>
      </c>
      <c r="E1431" t="n">
        <v>10</v>
      </c>
      <c r="F1431" t="inlineStr">
        <is>
          <t>Surprise</t>
        </is>
      </c>
      <c r="G1431" t="n">
        <v>50</v>
      </c>
      <c r="H1431" t="n">
        <v>0</v>
      </c>
      <c r="I1431" t="n">
        <v>0</v>
      </c>
      <c r="J1431" t="inlineStr">
        <is>
          <t>NA</t>
        </is>
      </c>
      <c r="K1431" t="n">
        <v>95.59999999999999</v>
      </c>
      <c r="L1431">
        <f>IF(K1431&gt;=80,"Yes","No")</f>
        <v/>
      </c>
      <c r="M1431">
        <f>IF(ISNUMBER(H1431),IF(H1431&gt;0,1,0),"")</f>
        <v/>
      </c>
    </row>
    <row r="1432">
      <c r="A1432" t="inlineStr">
        <is>
          <t>SIMULATED_FEA_Commercial_Study</t>
        </is>
      </c>
      <c r="B1432" t="inlineStr">
        <is>
          <t>V27</t>
        </is>
      </c>
      <c r="C1432" t="inlineStr">
        <is>
          <t>Annotation</t>
        </is>
      </c>
      <c r="D1432" t="inlineStr">
        <is>
          <t>Bin_02</t>
        </is>
      </c>
      <c r="E1432" t="n">
        <v>10</v>
      </c>
      <c r="F1432" t="inlineStr">
        <is>
          <t>Brow Furrow</t>
        </is>
      </c>
      <c r="G1432" t="n">
        <v>50</v>
      </c>
      <c r="H1432" t="n">
        <v>21</v>
      </c>
      <c r="I1432" t="n">
        <v>2</v>
      </c>
      <c r="J1432" t="inlineStr">
        <is>
          <t>NA</t>
        </is>
      </c>
      <c r="K1432" t="n">
        <v>95.59999999999999</v>
      </c>
      <c r="L1432">
        <f>IF(K1432&gt;=80,"Yes","No")</f>
        <v/>
      </c>
      <c r="M1432">
        <f>IF(ISNUMBER(H1432),IF(H1432&gt;0,1,0),"")</f>
        <v/>
      </c>
    </row>
    <row r="1433">
      <c r="A1433" t="inlineStr">
        <is>
          <t>SIMULATED_FEA_Commercial_Study</t>
        </is>
      </c>
      <c r="B1433" t="inlineStr">
        <is>
          <t>V27</t>
        </is>
      </c>
      <c r="C1433" t="inlineStr">
        <is>
          <t>Annotation</t>
        </is>
      </c>
      <c r="D1433" t="inlineStr">
        <is>
          <t>Bin_02</t>
        </is>
      </c>
      <c r="E1433" t="n">
        <v>10</v>
      </c>
      <c r="F1433" t="inlineStr">
        <is>
          <t>Positive Valence</t>
        </is>
      </c>
      <c r="G1433" t="n">
        <v>50</v>
      </c>
      <c r="H1433" t="n">
        <v>0</v>
      </c>
      <c r="I1433" t="n">
        <v>0</v>
      </c>
      <c r="J1433" t="inlineStr">
        <is>
          <t>NA</t>
        </is>
      </c>
      <c r="K1433" t="n">
        <v>95.59999999999999</v>
      </c>
      <c r="L1433">
        <f>IF(K1433&gt;=80,"Yes","No")</f>
        <v/>
      </c>
      <c r="M1433">
        <f>IF(ISNUMBER(H1433),IF(H1433&gt;0,1,0),"")</f>
        <v/>
      </c>
    </row>
    <row r="1434">
      <c r="A1434" t="inlineStr">
        <is>
          <t>SIMULATED_FEA_Commercial_Study</t>
        </is>
      </c>
      <c r="B1434" t="inlineStr">
        <is>
          <t>V27</t>
        </is>
      </c>
      <c r="C1434" t="inlineStr">
        <is>
          <t>Annotation</t>
        </is>
      </c>
      <c r="D1434" t="inlineStr">
        <is>
          <t>Bin_02</t>
        </is>
      </c>
      <c r="E1434" t="n">
        <v>10</v>
      </c>
      <c r="F1434" t="inlineStr">
        <is>
          <t>Negative Valence</t>
        </is>
      </c>
      <c r="G1434" t="n">
        <v>-50</v>
      </c>
      <c r="H1434" t="n">
        <v>0</v>
      </c>
      <c r="I1434" t="n">
        <v>0</v>
      </c>
      <c r="J1434" t="inlineStr">
        <is>
          <t>NA</t>
        </is>
      </c>
      <c r="K1434" t="n">
        <v>95.59999999999999</v>
      </c>
      <c r="L1434">
        <f>IF(K1434&gt;=80,"Yes","No")</f>
        <v/>
      </c>
      <c r="M1434">
        <f>IF(ISNUMBER(H1434),IF(H1434&gt;0,1,0),"")</f>
        <v/>
      </c>
    </row>
    <row r="1435">
      <c r="A1435" t="inlineStr">
        <is>
          <t>SIMULATED_FEA_Commercial_Study</t>
        </is>
      </c>
      <c r="B1435" t="inlineStr">
        <is>
          <t>V27</t>
        </is>
      </c>
      <c r="C1435" t="inlineStr">
        <is>
          <t>Annotation</t>
        </is>
      </c>
      <c r="D1435" t="inlineStr">
        <is>
          <t>Bin_02</t>
        </is>
      </c>
      <c r="E1435" t="n">
        <v>10</v>
      </c>
      <c r="F1435" t="inlineStr">
        <is>
          <t>Engagement</t>
        </is>
      </c>
      <c r="G1435" t="inlineStr">
        <is>
          <t>NA</t>
        </is>
      </c>
      <c r="H1435" t="inlineStr">
        <is>
          <t>NA</t>
        </is>
      </c>
      <c r="I1435" t="inlineStr">
        <is>
          <t>NA</t>
        </is>
      </c>
      <c r="J1435" t="n">
        <v>8.460000000000001</v>
      </c>
      <c r="K1435" t="n">
        <v>95.59999999999999</v>
      </c>
      <c r="L1435">
        <f>IF(K1435&gt;=80,"Yes","No")</f>
        <v/>
      </c>
      <c r="M1435">
        <f>IF(ISNUMBER(H1435),IF(H1435&gt;0,1,0),"")</f>
        <v/>
      </c>
    </row>
    <row r="1436">
      <c r="A1436" t="inlineStr">
        <is>
          <t>SIMULATED_FEA_Commercial_Study</t>
        </is>
      </c>
      <c r="B1436" t="inlineStr">
        <is>
          <t>V27</t>
        </is>
      </c>
      <c r="C1436" t="inlineStr">
        <is>
          <t>Annotation</t>
        </is>
      </c>
      <c r="D1436" t="inlineStr">
        <is>
          <t>Bin_03</t>
        </is>
      </c>
      <c r="E1436" t="n">
        <v>10</v>
      </c>
      <c r="F1436" t="inlineStr">
        <is>
          <t>Joy</t>
        </is>
      </c>
      <c r="G1436" t="n">
        <v>50</v>
      </c>
      <c r="H1436" t="n">
        <v>0</v>
      </c>
      <c r="I1436" t="n">
        <v>0</v>
      </c>
      <c r="J1436" t="inlineStr">
        <is>
          <t>NA</t>
        </is>
      </c>
      <c r="K1436" t="n">
        <v>95.59999999999999</v>
      </c>
      <c r="L1436">
        <f>IF(K1436&gt;=80,"Yes","No")</f>
        <v/>
      </c>
      <c r="M1436">
        <f>IF(ISNUMBER(H1436),IF(H1436&gt;0,1,0),"")</f>
        <v/>
      </c>
    </row>
    <row r="1437">
      <c r="A1437" t="inlineStr">
        <is>
          <t>SIMULATED_FEA_Commercial_Study</t>
        </is>
      </c>
      <c r="B1437" t="inlineStr">
        <is>
          <t>V27</t>
        </is>
      </c>
      <c r="C1437" t="inlineStr">
        <is>
          <t>Annotation</t>
        </is>
      </c>
      <c r="D1437" t="inlineStr">
        <is>
          <t>Bin_03</t>
        </is>
      </c>
      <c r="E1437" t="n">
        <v>10</v>
      </c>
      <c r="F1437" t="inlineStr">
        <is>
          <t>Surprise</t>
        </is>
      </c>
      <c r="G1437" t="n">
        <v>50</v>
      </c>
      <c r="H1437" t="n">
        <v>5.67</v>
      </c>
      <c r="I1437" t="n">
        <v>1</v>
      </c>
      <c r="J1437" t="inlineStr">
        <is>
          <t>NA</t>
        </is>
      </c>
      <c r="K1437" t="n">
        <v>95.59999999999999</v>
      </c>
      <c r="L1437">
        <f>IF(K1437&gt;=80,"Yes","No")</f>
        <v/>
      </c>
      <c r="M1437">
        <f>IF(ISNUMBER(H1437),IF(H1437&gt;0,1,0),"")</f>
        <v/>
      </c>
    </row>
    <row r="1438">
      <c r="A1438" t="inlineStr">
        <is>
          <t>SIMULATED_FEA_Commercial_Study</t>
        </is>
      </c>
      <c r="B1438" t="inlineStr">
        <is>
          <t>V27</t>
        </is>
      </c>
      <c r="C1438" t="inlineStr">
        <is>
          <t>Annotation</t>
        </is>
      </c>
      <c r="D1438" t="inlineStr">
        <is>
          <t>Bin_03</t>
        </is>
      </c>
      <c r="E1438" t="n">
        <v>10</v>
      </c>
      <c r="F1438" t="inlineStr">
        <is>
          <t>Brow Furrow</t>
        </is>
      </c>
      <c r="G1438" t="n">
        <v>50</v>
      </c>
      <c r="H1438" t="n">
        <v>6.33</v>
      </c>
      <c r="I1438" t="n">
        <v>1</v>
      </c>
      <c r="J1438" t="inlineStr">
        <is>
          <t>NA</t>
        </is>
      </c>
      <c r="K1438" t="n">
        <v>95.59999999999999</v>
      </c>
      <c r="L1438">
        <f>IF(K1438&gt;=80,"Yes","No")</f>
        <v/>
      </c>
      <c r="M1438">
        <f>IF(ISNUMBER(H1438),IF(H1438&gt;0,1,0),"")</f>
        <v/>
      </c>
    </row>
    <row r="1439">
      <c r="A1439" t="inlineStr">
        <is>
          <t>SIMULATED_FEA_Commercial_Study</t>
        </is>
      </c>
      <c r="B1439" t="inlineStr">
        <is>
          <t>V27</t>
        </is>
      </c>
      <c r="C1439" t="inlineStr">
        <is>
          <t>Annotation</t>
        </is>
      </c>
      <c r="D1439" t="inlineStr">
        <is>
          <t>Bin_03</t>
        </is>
      </c>
      <c r="E1439" t="n">
        <v>10</v>
      </c>
      <c r="F1439" t="inlineStr">
        <is>
          <t>Positive Valence</t>
        </is>
      </c>
      <c r="G1439" t="n">
        <v>50</v>
      </c>
      <c r="H1439" t="n">
        <v>0</v>
      </c>
      <c r="I1439" t="n">
        <v>0</v>
      </c>
      <c r="J1439" t="inlineStr">
        <is>
          <t>NA</t>
        </is>
      </c>
      <c r="K1439" t="n">
        <v>95.59999999999999</v>
      </c>
      <c r="L1439">
        <f>IF(K1439&gt;=80,"Yes","No")</f>
        <v/>
      </c>
      <c r="M1439">
        <f>IF(ISNUMBER(H1439),IF(H1439&gt;0,1,0),"")</f>
        <v/>
      </c>
    </row>
    <row r="1440">
      <c r="A1440" t="inlineStr">
        <is>
          <t>SIMULATED_FEA_Commercial_Study</t>
        </is>
      </c>
      <c r="B1440" t="inlineStr">
        <is>
          <t>V27</t>
        </is>
      </c>
      <c r="C1440" t="inlineStr">
        <is>
          <t>Annotation</t>
        </is>
      </c>
      <c r="D1440" t="inlineStr">
        <is>
          <t>Bin_03</t>
        </is>
      </c>
      <c r="E1440" t="n">
        <v>10</v>
      </c>
      <c r="F1440" t="inlineStr">
        <is>
          <t>Negative Valence</t>
        </is>
      </c>
      <c r="G1440" t="n">
        <v>-50</v>
      </c>
      <c r="H1440" t="n">
        <v>0</v>
      </c>
      <c r="I1440" t="n">
        <v>0</v>
      </c>
      <c r="J1440" t="inlineStr">
        <is>
          <t>NA</t>
        </is>
      </c>
      <c r="K1440" t="n">
        <v>95.59999999999999</v>
      </c>
      <c r="L1440">
        <f>IF(K1440&gt;=80,"Yes","No")</f>
        <v/>
      </c>
      <c r="M1440">
        <f>IF(ISNUMBER(H1440),IF(H1440&gt;0,1,0),"")</f>
        <v/>
      </c>
    </row>
    <row r="1441">
      <c r="A1441" t="inlineStr">
        <is>
          <t>SIMULATED_FEA_Commercial_Study</t>
        </is>
      </c>
      <c r="B1441" t="inlineStr">
        <is>
          <t>V27</t>
        </is>
      </c>
      <c r="C1441" t="inlineStr">
        <is>
          <t>Annotation</t>
        </is>
      </c>
      <c r="D1441" t="inlineStr">
        <is>
          <t>Bin_03</t>
        </is>
      </c>
      <c r="E1441" t="n">
        <v>10</v>
      </c>
      <c r="F1441" t="inlineStr">
        <is>
          <t>Engagement</t>
        </is>
      </c>
      <c r="G1441" t="inlineStr">
        <is>
          <t>NA</t>
        </is>
      </c>
      <c r="H1441" t="inlineStr">
        <is>
          <t>NA</t>
        </is>
      </c>
      <c r="I1441" t="inlineStr">
        <is>
          <t>NA</t>
        </is>
      </c>
      <c r="J1441" t="n">
        <v>9.359999999999999</v>
      </c>
      <c r="K1441" t="n">
        <v>95.59999999999999</v>
      </c>
      <c r="L1441">
        <f>IF(K1441&gt;=80,"Yes","No")</f>
        <v/>
      </c>
      <c r="M1441">
        <f>IF(ISNUMBER(H1441),IF(H1441&gt;0,1,0),"")</f>
        <v/>
      </c>
    </row>
    <row r="1442">
      <c r="A1442" t="inlineStr">
        <is>
          <t>SIMULATED_FEA_Commercial_Study</t>
        </is>
      </c>
      <c r="B1442" t="inlineStr">
        <is>
          <t>V27</t>
        </is>
      </c>
      <c r="C1442" t="inlineStr">
        <is>
          <t>Annotation</t>
        </is>
      </c>
      <c r="D1442" t="inlineStr">
        <is>
          <t>Bin_04</t>
        </is>
      </c>
      <c r="E1442" t="n">
        <v>10</v>
      </c>
      <c r="F1442" t="inlineStr">
        <is>
          <t>Joy</t>
        </is>
      </c>
      <c r="G1442" t="n">
        <v>50</v>
      </c>
      <c r="H1442" t="n">
        <v>25.67</v>
      </c>
      <c r="I1442" t="n">
        <v>1</v>
      </c>
      <c r="J1442" t="inlineStr">
        <is>
          <t>NA</t>
        </is>
      </c>
      <c r="K1442" t="n">
        <v>95.59999999999999</v>
      </c>
      <c r="L1442">
        <f>IF(K1442&gt;=80,"Yes","No")</f>
        <v/>
      </c>
      <c r="M1442">
        <f>IF(ISNUMBER(H1442),IF(H1442&gt;0,1,0),"")</f>
        <v/>
      </c>
    </row>
    <row r="1443">
      <c r="A1443" t="inlineStr">
        <is>
          <t>SIMULATED_FEA_Commercial_Study</t>
        </is>
      </c>
      <c r="B1443" t="inlineStr">
        <is>
          <t>V27</t>
        </is>
      </c>
      <c r="C1443" t="inlineStr">
        <is>
          <t>Annotation</t>
        </is>
      </c>
      <c r="D1443" t="inlineStr">
        <is>
          <t>Bin_04</t>
        </is>
      </c>
      <c r="E1443" t="n">
        <v>10</v>
      </c>
      <c r="F1443" t="inlineStr">
        <is>
          <t>Surprise</t>
        </is>
      </c>
      <c r="G1443" t="n">
        <v>50</v>
      </c>
      <c r="H1443" t="n">
        <v>10.67</v>
      </c>
      <c r="I1443" t="n">
        <v>1</v>
      </c>
      <c r="J1443" t="inlineStr">
        <is>
          <t>NA</t>
        </is>
      </c>
      <c r="K1443" t="n">
        <v>95.59999999999999</v>
      </c>
      <c r="L1443">
        <f>IF(K1443&gt;=80,"Yes","No")</f>
        <v/>
      </c>
      <c r="M1443">
        <f>IF(ISNUMBER(H1443),IF(H1443&gt;0,1,0),"")</f>
        <v/>
      </c>
    </row>
    <row r="1444">
      <c r="A1444" t="inlineStr">
        <is>
          <t>SIMULATED_FEA_Commercial_Study</t>
        </is>
      </c>
      <c r="B1444" t="inlineStr">
        <is>
          <t>V27</t>
        </is>
      </c>
      <c r="C1444" t="inlineStr">
        <is>
          <t>Annotation</t>
        </is>
      </c>
      <c r="D1444" t="inlineStr">
        <is>
          <t>Bin_04</t>
        </is>
      </c>
      <c r="E1444" t="n">
        <v>10</v>
      </c>
      <c r="F1444" t="inlineStr">
        <is>
          <t>Brow Furrow</t>
        </is>
      </c>
      <c r="G1444" t="n">
        <v>50</v>
      </c>
      <c r="H1444" t="n">
        <v>0</v>
      </c>
      <c r="I1444" t="n">
        <v>0</v>
      </c>
      <c r="J1444" t="inlineStr">
        <is>
          <t>NA</t>
        </is>
      </c>
      <c r="K1444" t="n">
        <v>95.59999999999999</v>
      </c>
      <c r="L1444">
        <f>IF(K1444&gt;=80,"Yes","No")</f>
        <v/>
      </c>
      <c r="M1444">
        <f>IF(ISNUMBER(H1444),IF(H1444&gt;0,1,0),"")</f>
        <v/>
      </c>
    </row>
    <row r="1445">
      <c r="A1445" t="inlineStr">
        <is>
          <t>SIMULATED_FEA_Commercial_Study</t>
        </is>
      </c>
      <c r="B1445" t="inlineStr">
        <is>
          <t>V27</t>
        </is>
      </c>
      <c r="C1445" t="inlineStr">
        <is>
          <t>Annotation</t>
        </is>
      </c>
      <c r="D1445" t="inlineStr">
        <is>
          <t>Bin_04</t>
        </is>
      </c>
      <c r="E1445" t="n">
        <v>10</v>
      </c>
      <c r="F1445" t="inlineStr">
        <is>
          <t>Positive Valence</t>
        </is>
      </c>
      <c r="G1445" t="n">
        <v>50</v>
      </c>
      <c r="H1445" t="n">
        <v>23.33</v>
      </c>
      <c r="I1445" t="n">
        <v>3</v>
      </c>
      <c r="J1445" t="inlineStr">
        <is>
          <t>NA</t>
        </is>
      </c>
      <c r="K1445" t="n">
        <v>95.59999999999999</v>
      </c>
      <c r="L1445">
        <f>IF(K1445&gt;=80,"Yes","No")</f>
        <v/>
      </c>
      <c r="M1445">
        <f>IF(ISNUMBER(H1445),IF(H1445&gt;0,1,0),"")</f>
        <v/>
      </c>
    </row>
    <row r="1446">
      <c r="A1446" t="inlineStr">
        <is>
          <t>SIMULATED_FEA_Commercial_Study</t>
        </is>
      </c>
      <c r="B1446" t="inlineStr">
        <is>
          <t>V27</t>
        </is>
      </c>
      <c r="C1446" t="inlineStr">
        <is>
          <t>Annotation</t>
        </is>
      </c>
      <c r="D1446" t="inlineStr">
        <is>
          <t>Bin_04</t>
        </is>
      </c>
      <c r="E1446" t="n">
        <v>10</v>
      </c>
      <c r="F1446" t="inlineStr">
        <is>
          <t>Negative Valence</t>
        </is>
      </c>
      <c r="G1446" t="n">
        <v>-50</v>
      </c>
      <c r="H1446" t="n">
        <v>0</v>
      </c>
      <c r="I1446" t="n">
        <v>0</v>
      </c>
      <c r="J1446" t="inlineStr">
        <is>
          <t>NA</t>
        </is>
      </c>
      <c r="K1446" t="n">
        <v>95.59999999999999</v>
      </c>
      <c r="L1446">
        <f>IF(K1446&gt;=80,"Yes","No")</f>
        <v/>
      </c>
      <c r="M1446">
        <f>IF(ISNUMBER(H1446),IF(H1446&gt;0,1,0),"")</f>
        <v/>
      </c>
    </row>
    <row r="1447">
      <c r="A1447" t="inlineStr">
        <is>
          <t>SIMULATED_FEA_Commercial_Study</t>
        </is>
      </c>
      <c r="B1447" t="inlineStr">
        <is>
          <t>V27</t>
        </is>
      </c>
      <c r="C1447" t="inlineStr">
        <is>
          <t>Annotation</t>
        </is>
      </c>
      <c r="D1447" t="inlineStr">
        <is>
          <t>Bin_04</t>
        </is>
      </c>
      <c r="E1447" t="n">
        <v>10</v>
      </c>
      <c r="F1447" t="inlineStr">
        <is>
          <t>Engagement</t>
        </is>
      </c>
      <c r="G1447" t="inlineStr">
        <is>
          <t>NA</t>
        </is>
      </c>
      <c r="H1447" t="inlineStr">
        <is>
          <t>NA</t>
        </is>
      </c>
      <c r="I1447" t="inlineStr">
        <is>
          <t>NA</t>
        </is>
      </c>
      <c r="J1447" t="n">
        <v>22.77</v>
      </c>
      <c r="K1447" t="n">
        <v>95.59999999999999</v>
      </c>
      <c r="L1447">
        <f>IF(K1447&gt;=80,"Yes","No")</f>
        <v/>
      </c>
      <c r="M1447">
        <f>IF(ISNUMBER(H1447),IF(H1447&gt;0,1,0),"")</f>
        <v/>
      </c>
    </row>
    <row r="1448">
      <c r="A1448" t="inlineStr">
        <is>
          <t>SIMULATED_FEA_Commercial_Study</t>
        </is>
      </c>
      <c r="B1448" t="inlineStr">
        <is>
          <t>V27</t>
        </is>
      </c>
      <c r="C1448" t="inlineStr">
        <is>
          <t>Annotation</t>
        </is>
      </c>
      <c r="D1448" t="inlineStr">
        <is>
          <t>Bin_05</t>
        </is>
      </c>
      <c r="E1448" t="n">
        <v>10</v>
      </c>
      <c r="F1448" t="inlineStr">
        <is>
          <t>Joy</t>
        </is>
      </c>
      <c r="G1448" t="n">
        <v>50</v>
      </c>
      <c r="H1448" t="n">
        <v>18</v>
      </c>
      <c r="I1448" t="n">
        <v>3</v>
      </c>
      <c r="J1448" t="inlineStr">
        <is>
          <t>NA</t>
        </is>
      </c>
      <c r="K1448" t="n">
        <v>95.59999999999999</v>
      </c>
      <c r="L1448">
        <f>IF(K1448&gt;=80,"Yes","No")</f>
        <v/>
      </c>
      <c r="M1448">
        <f>IF(ISNUMBER(H1448),IF(H1448&gt;0,1,0),"")</f>
        <v/>
      </c>
    </row>
    <row r="1449">
      <c r="A1449" t="inlineStr">
        <is>
          <t>SIMULATED_FEA_Commercial_Study</t>
        </is>
      </c>
      <c r="B1449" t="inlineStr">
        <is>
          <t>V27</t>
        </is>
      </c>
      <c r="C1449" t="inlineStr">
        <is>
          <t>Annotation</t>
        </is>
      </c>
      <c r="D1449" t="inlineStr">
        <is>
          <t>Bin_05</t>
        </is>
      </c>
      <c r="E1449" t="n">
        <v>10</v>
      </c>
      <c r="F1449" t="inlineStr">
        <is>
          <t>Surprise</t>
        </is>
      </c>
      <c r="G1449" t="n">
        <v>50</v>
      </c>
      <c r="H1449" t="n">
        <v>6.67</v>
      </c>
      <c r="I1449" t="n">
        <v>1</v>
      </c>
      <c r="J1449" t="inlineStr">
        <is>
          <t>NA</t>
        </is>
      </c>
      <c r="K1449" t="n">
        <v>95.59999999999999</v>
      </c>
      <c r="L1449">
        <f>IF(K1449&gt;=80,"Yes","No")</f>
        <v/>
      </c>
      <c r="M1449">
        <f>IF(ISNUMBER(H1449),IF(H1449&gt;0,1,0),"")</f>
        <v/>
      </c>
    </row>
    <row r="1450">
      <c r="A1450" t="inlineStr">
        <is>
          <t>SIMULATED_FEA_Commercial_Study</t>
        </is>
      </c>
      <c r="B1450" t="inlineStr">
        <is>
          <t>V27</t>
        </is>
      </c>
      <c r="C1450" t="inlineStr">
        <is>
          <t>Annotation</t>
        </is>
      </c>
      <c r="D1450" t="inlineStr">
        <is>
          <t>Bin_05</t>
        </is>
      </c>
      <c r="E1450" t="n">
        <v>10</v>
      </c>
      <c r="F1450" t="inlineStr">
        <is>
          <t>Brow Furrow</t>
        </is>
      </c>
      <c r="G1450" t="n">
        <v>50</v>
      </c>
      <c r="H1450" t="n">
        <v>0</v>
      </c>
      <c r="I1450" t="n">
        <v>0</v>
      </c>
      <c r="J1450" t="inlineStr">
        <is>
          <t>NA</t>
        </is>
      </c>
      <c r="K1450" t="n">
        <v>95.59999999999999</v>
      </c>
      <c r="L1450">
        <f>IF(K1450&gt;=80,"Yes","No")</f>
        <v/>
      </c>
      <c r="M1450">
        <f>IF(ISNUMBER(H1450),IF(H1450&gt;0,1,0),"")</f>
        <v/>
      </c>
    </row>
    <row r="1451">
      <c r="A1451" t="inlineStr">
        <is>
          <t>SIMULATED_FEA_Commercial_Study</t>
        </is>
      </c>
      <c r="B1451" t="inlineStr">
        <is>
          <t>V27</t>
        </is>
      </c>
      <c r="C1451" t="inlineStr">
        <is>
          <t>Annotation</t>
        </is>
      </c>
      <c r="D1451" t="inlineStr">
        <is>
          <t>Bin_05</t>
        </is>
      </c>
      <c r="E1451" t="n">
        <v>10</v>
      </c>
      <c r="F1451" t="inlineStr">
        <is>
          <t>Positive Valence</t>
        </is>
      </c>
      <c r="G1451" t="n">
        <v>50</v>
      </c>
      <c r="H1451" t="n">
        <v>13.67</v>
      </c>
      <c r="I1451" t="n">
        <v>3</v>
      </c>
      <c r="J1451" t="inlineStr">
        <is>
          <t>NA</t>
        </is>
      </c>
      <c r="K1451" t="n">
        <v>95.59999999999999</v>
      </c>
      <c r="L1451">
        <f>IF(K1451&gt;=80,"Yes","No")</f>
        <v/>
      </c>
      <c r="M1451">
        <f>IF(ISNUMBER(H1451),IF(H1451&gt;0,1,0),"")</f>
        <v/>
      </c>
    </row>
    <row r="1452">
      <c r="A1452" t="inlineStr">
        <is>
          <t>SIMULATED_FEA_Commercial_Study</t>
        </is>
      </c>
      <c r="B1452" t="inlineStr">
        <is>
          <t>V27</t>
        </is>
      </c>
      <c r="C1452" t="inlineStr">
        <is>
          <t>Annotation</t>
        </is>
      </c>
      <c r="D1452" t="inlineStr">
        <is>
          <t>Bin_05</t>
        </is>
      </c>
      <c r="E1452" t="n">
        <v>10</v>
      </c>
      <c r="F1452" t="inlineStr">
        <is>
          <t>Negative Valence</t>
        </is>
      </c>
      <c r="G1452" t="n">
        <v>-50</v>
      </c>
      <c r="H1452" t="n">
        <v>0</v>
      </c>
      <c r="I1452" t="n">
        <v>0</v>
      </c>
      <c r="J1452" t="inlineStr">
        <is>
          <t>NA</t>
        </is>
      </c>
      <c r="K1452" t="n">
        <v>95.59999999999999</v>
      </c>
      <c r="L1452">
        <f>IF(K1452&gt;=80,"Yes","No")</f>
        <v/>
      </c>
      <c r="M1452">
        <f>IF(ISNUMBER(H1452),IF(H1452&gt;0,1,0),"")</f>
        <v/>
      </c>
    </row>
    <row r="1453">
      <c r="A1453" t="inlineStr">
        <is>
          <t>SIMULATED_FEA_Commercial_Study</t>
        </is>
      </c>
      <c r="B1453" t="inlineStr">
        <is>
          <t>V27</t>
        </is>
      </c>
      <c r="C1453" t="inlineStr">
        <is>
          <t>Annotation</t>
        </is>
      </c>
      <c r="D1453" t="inlineStr">
        <is>
          <t>Bin_05</t>
        </is>
      </c>
      <c r="E1453" t="n">
        <v>10</v>
      </c>
      <c r="F1453" t="inlineStr">
        <is>
          <t>Engagement</t>
        </is>
      </c>
      <c r="G1453" t="inlineStr">
        <is>
          <t>NA</t>
        </is>
      </c>
      <c r="H1453" t="inlineStr">
        <is>
          <t>NA</t>
        </is>
      </c>
      <c r="I1453" t="inlineStr">
        <is>
          <t>NA</t>
        </is>
      </c>
      <c r="J1453" t="n">
        <v>16.78</v>
      </c>
      <c r="K1453" t="n">
        <v>95.59999999999999</v>
      </c>
      <c r="L1453">
        <f>IF(K1453&gt;=80,"Yes","No")</f>
        <v/>
      </c>
      <c r="M1453">
        <f>IF(ISNUMBER(H1453),IF(H1453&gt;0,1,0),"")</f>
        <v/>
      </c>
    </row>
    <row r="1454">
      <c r="A1454" t="inlineStr">
        <is>
          <t>SIMULATED_FEA_Commercial_Study</t>
        </is>
      </c>
      <c r="B1454" t="inlineStr">
        <is>
          <t>V27</t>
        </is>
      </c>
      <c r="C1454" t="inlineStr">
        <is>
          <t>Annotation</t>
        </is>
      </c>
      <c r="D1454" t="inlineStr">
        <is>
          <t>Bin_06</t>
        </is>
      </c>
      <c r="E1454" t="n">
        <v>10</v>
      </c>
      <c r="F1454" t="inlineStr">
        <is>
          <t>Joy</t>
        </is>
      </c>
      <c r="G1454" t="n">
        <v>50</v>
      </c>
      <c r="H1454" t="n">
        <v>5.33</v>
      </c>
      <c r="I1454" t="n">
        <v>1</v>
      </c>
      <c r="J1454" t="inlineStr">
        <is>
          <t>NA</t>
        </is>
      </c>
      <c r="K1454" t="n">
        <v>95.59999999999999</v>
      </c>
      <c r="L1454">
        <f>IF(K1454&gt;=80,"Yes","No")</f>
        <v/>
      </c>
      <c r="M1454">
        <f>IF(ISNUMBER(H1454),IF(H1454&gt;0,1,0),"")</f>
        <v/>
      </c>
    </row>
    <row r="1455">
      <c r="A1455" t="inlineStr">
        <is>
          <t>SIMULATED_FEA_Commercial_Study</t>
        </is>
      </c>
      <c r="B1455" t="inlineStr">
        <is>
          <t>V27</t>
        </is>
      </c>
      <c r="C1455" t="inlineStr">
        <is>
          <t>Annotation</t>
        </is>
      </c>
      <c r="D1455" t="inlineStr">
        <is>
          <t>Bin_06</t>
        </is>
      </c>
      <c r="E1455" t="n">
        <v>10</v>
      </c>
      <c r="F1455" t="inlineStr">
        <is>
          <t>Surprise</t>
        </is>
      </c>
      <c r="G1455" t="n">
        <v>50</v>
      </c>
      <c r="H1455" t="n">
        <v>0</v>
      </c>
      <c r="I1455" t="n">
        <v>0</v>
      </c>
      <c r="J1455" t="inlineStr">
        <is>
          <t>NA</t>
        </is>
      </c>
      <c r="K1455" t="n">
        <v>95.59999999999999</v>
      </c>
      <c r="L1455">
        <f>IF(K1455&gt;=80,"Yes","No")</f>
        <v/>
      </c>
      <c r="M1455">
        <f>IF(ISNUMBER(H1455),IF(H1455&gt;0,1,0),"")</f>
        <v/>
      </c>
    </row>
    <row r="1456">
      <c r="A1456" t="inlineStr">
        <is>
          <t>SIMULATED_FEA_Commercial_Study</t>
        </is>
      </c>
      <c r="B1456" t="inlineStr">
        <is>
          <t>V27</t>
        </is>
      </c>
      <c r="C1456" t="inlineStr">
        <is>
          <t>Annotation</t>
        </is>
      </c>
      <c r="D1456" t="inlineStr">
        <is>
          <t>Bin_06</t>
        </is>
      </c>
      <c r="E1456" t="n">
        <v>10</v>
      </c>
      <c r="F1456" t="inlineStr">
        <is>
          <t>Brow Furrow</t>
        </is>
      </c>
      <c r="G1456" t="n">
        <v>50</v>
      </c>
      <c r="H1456" t="n">
        <v>0</v>
      </c>
      <c r="I1456" t="n">
        <v>0</v>
      </c>
      <c r="J1456" t="inlineStr">
        <is>
          <t>NA</t>
        </is>
      </c>
      <c r="K1456" t="n">
        <v>95.59999999999999</v>
      </c>
      <c r="L1456">
        <f>IF(K1456&gt;=80,"Yes","No")</f>
        <v/>
      </c>
      <c r="M1456">
        <f>IF(ISNUMBER(H1456),IF(H1456&gt;0,1,0),"")</f>
        <v/>
      </c>
    </row>
    <row r="1457">
      <c r="A1457" t="inlineStr">
        <is>
          <t>SIMULATED_FEA_Commercial_Study</t>
        </is>
      </c>
      <c r="B1457" t="inlineStr">
        <is>
          <t>V27</t>
        </is>
      </c>
      <c r="C1457" t="inlineStr">
        <is>
          <t>Annotation</t>
        </is>
      </c>
      <c r="D1457" t="inlineStr">
        <is>
          <t>Bin_06</t>
        </is>
      </c>
      <c r="E1457" t="n">
        <v>10</v>
      </c>
      <c r="F1457" t="inlineStr">
        <is>
          <t>Positive Valence</t>
        </is>
      </c>
      <c r="G1457" t="n">
        <v>50</v>
      </c>
      <c r="H1457" t="n">
        <v>0</v>
      </c>
      <c r="I1457" t="n">
        <v>0</v>
      </c>
      <c r="J1457" t="inlineStr">
        <is>
          <t>NA</t>
        </is>
      </c>
      <c r="K1457" t="n">
        <v>95.59999999999999</v>
      </c>
      <c r="L1457">
        <f>IF(K1457&gt;=80,"Yes","No")</f>
        <v/>
      </c>
      <c r="M1457">
        <f>IF(ISNUMBER(H1457),IF(H1457&gt;0,1,0),"")</f>
        <v/>
      </c>
    </row>
    <row r="1458">
      <c r="A1458" t="inlineStr">
        <is>
          <t>SIMULATED_FEA_Commercial_Study</t>
        </is>
      </c>
      <c r="B1458" t="inlineStr">
        <is>
          <t>V27</t>
        </is>
      </c>
      <c r="C1458" t="inlineStr">
        <is>
          <t>Annotation</t>
        </is>
      </c>
      <c r="D1458" t="inlineStr">
        <is>
          <t>Bin_06</t>
        </is>
      </c>
      <c r="E1458" t="n">
        <v>10</v>
      </c>
      <c r="F1458" t="inlineStr">
        <is>
          <t>Negative Valence</t>
        </is>
      </c>
      <c r="G1458" t="n">
        <v>-50</v>
      </c>
      <c r="H1458" t="n">
        <v>0</v>
      </c>
      <c r="I1458" t="n">
        <v>0</v>
      </c>
      <c r="J1458" t="inlineStr">
        <is>
          <t>NA</t>
        </is>
      </c>
      <c r="K1458" t="n">
        <v>95.59999999999999</v>
      </c>
      <c r="L1458">
        <f>IF(K1458&gt;=80,"Yes","No")</f>
        <v/>
      </c>
      <c r="M1458">
        <f>IF(ISNUMBER(H1458),IF(H1458&gt;0,1,0),"")</f>
        <v/>
      </c>
    </row>
    <row r="1459">
      <c r="A1459" t="inlineStr">
        <is>
          <t>SIMULATED_FEA_Commercial_Study</t>
        </is>
      </c>
      <c r="B1459" t="inlineStr">
        <is>
          <t>V27</t>
        </is>
      </c>
      <c r="C1459" t="inlineStr">
        <is>
          <t>Annotation</t>
        </is>
      </c>
      <c r="D1459" t="inlineStr">
        <is>
          <t>Bin_06</t>
        </is>
      </c>
      <c r="E1459" t="n">
        <v>10</v>
      </c>
      <c r="F1459" t="inlineStr">
        <is>
          <t>Engagement</t>
        </is>
      </c>
      <c r="G1459" t="inlineStr">
        <is>
          <t>NA</t>
        </is>
      </c>
      <c r="H1459" t="inlineStr">
        <is>
          <t>NA</t>
        </is>
      </c>
      <c r="I1459" t="inlineStr">
        <is>
          <t>NA</t>
        </is>
      </c>
      <c r="J1459" t="n">
        <v>8.890000000000001</v>
      </c>
      <c r="K1459" t="n">
        <v>95.59999999999999</v>
      </c>
      <c r="L1459">
        <f>IF(K1459&gt;=80,"Yes","No")</f>
        <v/>
      </c>
      <c r="M1459">
        <f>IF(ISNUMBER(H1459),IF(H1459&gt;0,1,0),"")</f>
        <v/>
      </c>
    </row>
    <row r="1460">
      <c r="A1460" t="inlineStr">
        <is>
          <t>SIMULATED_FEA_Commercial_Study</t>
        </is>
      </c>
      <c r="B1460" t="inlineStr">
        <is>
          <t>V28</t>
        </is>
      </c>
      <c r="C1460" t="inlineStr">
        <is>
          <t>Stimulus</t>
        </is>
      </c>
      <c r="D1460" t="inlineStr">
        <is>
          <t>Baseline</t>
        </is>
      </c>
      <c r="E1460" t="n">
        <v>60</v>
      </c>
      <c r="F1460" t="inlineStr">
        <is>
          <t>Joy</t>
        </is>
      </c>
      <c r="G1460" t="n">
        <v>50</v>
      </c>
      <c r="H1460" t="n">
        <v>0</v>
      </c>
      <c r="I1460" t="n">
        <v>0</v>
      </c>
      <c r="J1460" t="inlineStr">
        <is>
          <t>NA</t>
        </is>
      </c>
      <c r="K1460" t="n">
        <v>98.8</v>
      </c>
      <c r="L1460">
        <f>IF(K1460&gt;=80,"Yes","No")</f>
        <v/>
      </c>
      <c r="M1460">
        <f>IF(ISNUMBER(H1460),IF(H1460&gt;0,1,0),"")</f>
        <v/>
      </c>
    </row>
    <row r="1461">
      <c r="A1461" t="inlineStr">
        <is>
          <t>SIMULATED_FEA_Commercial_Study</t>
        </is>
      </c>
      <c r="B1461" t="inlineStr">
        <is>
          <t>V28</t>
        </is>
      </c>
      <c r="C1461" t="inlineStr">
        <is>
          <t>Stimulus</t>
        </is>
      </c>
      <c r="D1461" t="inlineStr">
        <is>
          <t>Baseline</t>
        </is>
      </c>
      <c r="E1461" t="n">
        <v>60</v>
      </c>
      <c r="F1461" t="inlineStr">
        <is>
          <t>Surprise</t>
        </is>
      </c>
      <c r="G1461" t="n">
        <v>50</v>
      </c>
      <c r="H1461" t="n">
        <v>0</v>
      </c>
      <c r="I1461" t="n">
        <v>0</v>
      </c>
      <c r="J1461" t="inlineStr">
        <is>
          <t>NA</t>
        </is>
      </c>
      <c r="K1461" t="n">
        <v>98.8</v>
      </c>
      <c r="L1461">
        <f>IF(K1461&gt;=80,"Yes","No")</f>
        <v/>
      </c>
      <c r="M1461">
        <f>IF(ISNUMBER(H1461),IF(H1461&gt;0,1,0),"")</f>
        <v/>
      </c>
    </row>
    <row r="1462">
      <c r="A1462" t="inlineStr">
        <is>
          <t>SIMULATED_FEA_Commercial_Study</t>
        </is>
      </c>
      <c r="B1462" t="inlineStr">
        <is>
          <t>V28</t>
        </is>
      </c>
      <c r="C1462" t="inlineStr">
        <is>
          <t>Stimulus</t>
        </is>
      </c>
      <c r="D1462" t="inlineStr">
        <is>
          <t>Baseline</t>
        </is>
      </c>
      <c r="E1462" t="n">
        <v>60</v>
      </c>
      <c r="F1462" t="inlineStr">
        <is>
          <t>Brow Furrow</t>
        </is>
      </c>
      <c r="G1462" t="n">
        <v>50</v>
      </c>
      <c r="H1462" t="n">
        <v>0</v>
      </c>
      <c r="I1462" t="n">
        <v>0</v>
      </c>
      <c r="J1462" t="inlineStr">
        <is>
          <t>NA</t>
        </is>
      </c>
      <c r="K1462" t="n">
        <v>98.8</v>
      </c>
      <c r="L1462">
        <f>IF(K1462&gt;=80,"Yes","No")</f>
        <v/>
      </c>
      <c r="M1462">
        <f>IF(ISNUMBER(H1462),IF(H1462&gt;0,1,0),"")</f>
        <v/>
      </c>
    </row>
    <row r="1463">
      <c r="A1463" t="inlineStr">
        <is>
          <t>SIMULATED_FEA_Commercial_Study</t>
        </is>
      </c>
      <c r="B1463" t="inlineStr">
        <is>
          <t>V28</t>
        </is>
      </c>
      <c r="C1463" t="inlineStr">
        <is>
          <t>Stimulus</t>
        </is>
      </c>
      <c r="D1463" t="inlineStr">
        <is>
          <t>Baseline</t>
        </is>
      </c>
      <c r="E1463" t="n">
        <v>60</v>
      </c>
      <c r="F1463" t="inlineStr">
        <is>
          <t>Positive Valence</t>
        </is>
      </c>
      <c r="G1463" t="n">
        <v>50</v>
      </c>
      <c r="H1463" t="n">
        <v>0</v>
      </c>
      <c r="I1463" t="n">
        <v>0</v>
      </c>
      <c r="J1463" t="inlineStr">
        <is>
          <t>NA</t>
        </is>
      </c>
      <c r="K1463" t="n">
        <v>98.8</v>
      </c>
      <c r="L1463">
        <f>IF(K1463&gt;=80,"Yes","No")</f>
        <v/>
      </c>
      <c r="M1463">
        <f>IF(ISNUMBER(H1463),IF(H1463&gt;0,1,0),"")</f>
        <v/>
      </c>
    </row>
    <row r="1464">
      <c r="A1464" t="inlineStr">
        <is>
          <t>SIMULATED_FEA_Commercial_Study</t>
        </is>
      </c>
      <c r="B1464" t="inlineStr">
        <is>
          <t>V28</t>
        </is>
      </c>
      <c r="C1464" t="inlineStr">
        <is>
          <t>Stimulus</t>
        </is>
      </c>
      <c r="D1464" t="inlineStr">
        <is>
          <t>Baseline</t>
        </is>
      </c>
      <c r="E1464" t="n">
        <v>60</v>
      </c>
      <c r="F1464" t="inlineStr">
        <is>
          <t>Negative Valence</t>
        </is>
      </c>
      <c r="G1464" t="n">
        <v>-50</v>
      </c>
      <c r="H1464" t="n">
        <v>0</v>
      </c>
      <c r="I1464" t="n">
        <v>0</v>
      </c>
      <c r="J1464" t="inlineStr">
        <is>
          <t>NA</t>
        </is>
      </c>
      <c r="K1464" t="n">
        <v>98.8</v>
      </c>
      <c r="L1464">
        <f>IF(K1464&gt;=80,"Yes","No")</f>
        <v/>
      </c>
      <c r="M1464">
        <f>IF(ISNUMBER(H1464),IF(H1464&gt;0,1,0),"")</f>
        <v/>
      </c>
    </row>
    <row r="1465">
      <c r="A1465" t="inlineStr">
        <is>
          <t>SIMULATED_FEA_Commercial_Study</t>
        </is>
      </c>
      <c r="B1465" t="inlineStr">
        <is>
          <t>V28</t>
        </is>
      </c>
      <c r="C1465" t="inlineStr">
        <is>
          <t>Stimulus</t>
        </is>
      </c>
      <c r="D1465" t="inlineStr">
        <is>
          <t>Baseline</t>
        </is>
      </c>
      <c r="E1465" t="n">
        <v>60</v>
      </c>
      <c r="F1465" t="inlineStr">
        <is>
          <t>Engagement</t>
        </is>
      </c>
      <c r="G1465" t="inlineStr">
        <is>
          <t>NA</t>
        </is>
      </c>
      <c r="H1465" t="inlineStr">
        <is>
          <t>NA</t>
        </is>
      </c>
      <c r="I1465" t="inlineStr">
        <is>
          <t>NA</t>
        </is>
      </c>
      <c r="J1465" t="n">
        <v>6.24</v>
      </c>
      <c r="K1465" t="n">
        <v>98.8</v>
      </c>
      <c r="L1465">
        <f>IF(K1465&gt;=80,"Yes","No")</f>
        <v/>
      </c>
      <c r="M1465">
        <f>IF(ISNUMBER(H1465),IF(H1465&gt;0,1,0),"")</f>
        <v/>
      </c>
    </row>
    <row r="1466">
      <c r="A1466" t="inlineStr">
        <is>
          <t>SIMULATED_FEA_Commercial_Study</t>
        </is>
      </c>
      <c r="B1466" t="inlineStr">
        <is>
          <t>V28</t>
        </is>
      </c>
      <c r="C1466" t="inlineStr">
        <is>
          <t>Stimulus</t>
        </is>
      </c>
      <c r="D1466" t="inlineStr">
        <is>
          <t>Commercial</t>
        </is>
      </c>
      <c r="E1466" t="n">
        <v>60</v>
      </c>
      <c r="F1466" t="inlineStr">
        <is>
          <t>Joy</t>
        </is>
      </c>
      <c r="G1466" t="n">
        <v>50</v>
      </c>
      <c r="H1466" t="n">
        <v>1.39</v>
      </c>
      <c r="I1466" t="n">
        <v>1</v>
      </c>
      <c r="J1466" t="inlineStr">
        <is>
          <t>NA</t>
        </is>
      </c>
      <c r="K1466" t="n">
        <v>98.8</v>
      </c>
      <c r="L1466">
        <f>IF(K1466&gt;=80,"Yes","No")</f>
        <v/>
      </c>
      <c r="M1466">
        <f>IF(ISNUMBER(H1466),IF(H1466&gt;0,1,0),"")</f>
        <v/>
      </c>
    </row>
    <row r="1467">
      <c r="A1467" t="inlineStr">
        <is>
          <t>SIMULATED_FEA_Commercial_Study</t>
        </is>
      </c>
      <c r="B1467" t="inlineStr">
        <is>
          <t>V28</t>
        </is>
      </c>
      <c r="C1467" t="inlineStr">
        <is>
          <t>Stimulus</t>
        </is>
      </c>
      <c r="D1467" t="inlineStr">
        <is>
          <t>Commercial</t>
        </is>
      </c>
      <c r="E1467" t="n">
        <v>60</v>
      </c>
      <c r="F1467" t="inlineStr">
        <is>
          <t>Surprise</t>
        </is>
      </c>
      <c r="G1467" t="n">
        <v>50</v>
      </c>
      <c r="H1467" t="n">
        <v>0.78</v>
      </c>
      <c r="I1467" t="n">
        <v>1</v>
      </c>
      <c r="J1467" t="inlineStr">
        <is>
          <t>NA</t>
        </is>
      </c>
      <c r="K1467" t="n">
        <v>98.8</v>
      </c>
      <c r="L1467">
        <f>IF(K1467&gt;=80,"Yes","No")</f>
        <v/>
      </c>
      <c r="M1467">
        <f>IF(ISNUMBER(H1467),IF(H1467&gt;0,1,0),"")</f>
        <v/>
      </c>
    </row>
    <row r="1468">
      <c r="A1468" t="inlineStr">
        <is>
          <t>SIMULATED_FEA_Commercial_Study</t>
        </is>
      </c>
      <c r="B1468" t="inlineStr">
        <is>
          <t>V28</t>
        </is>
      </c>
      <c r="C1468" t="inlineStr">
        <is>
          <t>Stimulus</t>
        </is>
      </c>
      <c r="D1468" t="inlineStr">
        <is>
          <t>Commercial</t>
        </is>
      </c>
      <c r="E1468" t="n">
        <v>60</v>
      </c>
      <c r="F1468" t="inlineStr">
        <is>
          <t>Brow Furrow</t>
        </is>
      </c>
      <c r="G1468" t="n">
        <v>50</v>
      </c>
      <c r="H1468" t="n">
        <v>0</v>
      </c>
      <c r="I1468" t="n">
        <v>0</v>
      </c>
      <c r="J1468" t="inlineStr">
        <is>
          <t>NA</t>
        </is>
      </c>
      <c r="K1468" t="n">
        <v>98.8</v>
      </c>
      <c r="L1468">
        <f>IF(K1468&gt;=80,"Yes","No")</f>
        <v/>
      </c>
      <c r="M1468">
        <f>IF(ISNUMBER(H1468),IF(H1468&gt;0,1,0),"")</f>
        <v/>
      </c>
    </row>
    <row r="1469">
      <c r="A1469" t="inlineStr">
        <is>
          <t>SIMULATED_FEA_Commercial_Study</t>
        </is>
      </c>
      <c r="B1469" t="inlineStr">
        <is>
          <t>V28</t>
        </is>
      </c>
      <c r="C1469" t="inlineStr">
        <is>
          <t>Stimulus</t>
        </is>
      </c>
      <c r="D1469" t="inlineStr">
        <is>
          <t>Commercial</t>
        </is>
      </c>
      <c r="E1469" t="n">
        <v>60</v>
      </c>
      <c r="F1469" t="inlineStr">
        <is>
          <t>Positive Valence</t>
        </is>
      </c>
      <c r="G1469" t="n">
        <v>50</v>
      </c>
      <c r="H1469" t="n">
        <v>1.33</v>
      </c>
      <c r="I1469" t="n">
        <v>1</v>
      </c>
      <c r="J1469" t="inlineStr">
        <is>
          <t>NA</t>
        </is>
      </c>
      <c r="K1469" t="n">
        <v>98.8</v>
      </c>
      <c r="L1469">
        <f>IF(K1469&gt;=80,"Yes","No")</f>
        <v/>
      </c>
      <c r="M1469">
        <f>IF(ISNUMBER(H1469),IF(H1469&gt;0,1,0),"")</f>
        <v/>
      </c>
    </row>
    <row r="1470">
      <c r="A1470" t="inlineStr">
        <is>
          <t>SIMULATED_FEA_Commercial_Study</t>
        </is>
      </c>
      <c r="B1470" t="inlineStr">
        <is>
          <t>V28</t>
        </is>
      </c>
      <c r="C1470" t="inlineStr">
        <is>
          <t>Stimulus</t>
        </is>
      </c>
      <c r="D1470" t="inlineStr">
        <is>
          <t>Commercial</t>
        </is>
      </c>
      <c r="E1470" t="n">
        <v>60</v>
      </c>
      <c r="F1470" t="inlineStr">
        <is>
          <t>Negative Valence</t>
        </is>
      </c>
      <c r="G1470" t="n">
        <v>-50</v>
      </c>
      <c r="H1470" t="n">
        <v>0</v>
      </c>
      <c r="I1470" t="n">
        <v>0</v>
      </c>
      <c r="J1470" t="inlineStr">
        <is>
          <t>NA</t>
        </is>
      </c>
      <c r="K1470" t="n">
        <v>98.8</v>
      </c>
      <c r="L1470">
        <f>IF(K1470&gt;=80,"Yes","No")</f>
        <v/>
      </c>
      <c r="M1470">
        <f>IF(ISNUMBER(H1470),IF(H1470&gt;0,1,0),"")</f>
        <v/>
      </c>
    </row>
    <row r="1471">
      <c r="A1471" t="inlineStr">
        <is>
          <t>SIMULATED_FEA_Commercial_Study</t>
        </is>
      </c>
      <c r="B1471" t="inlineStr">
        <is>
          <t>V28</t>
        </is>
      </c>
      <c r="C1471" t="inlineStr">
        <is>
          <t>Stimulus</t>
        </is>
      </c>
      <c r="D1471" t="inlineStr">
        <is>
          <t>Commercial</t>
        </is>
      </c>
      <c r="E1471" t="n">
        <v>60</v>
      </c>
      <c r="F1471" t="inlineStr">
        <is>
          <t>Engagement</t>
        </is>
      </c>
      <c r="G1471" t="inlineStr">
        <is>
          <t>NA</t>
        </is>
      </c>
      <c r="H1471" t="inlineStr">
        <is>
          <t>NA</t>
        </is>
      </c>
      <c r="I1471" t="inlineStr">
        <is>
          <t>NA</t>
        </is>
      </c>
      <c r="J1471" t="n">
        <v>7.25</v>
      </c>
      <c r="K1471" t="n">
        <v>98.8</v>
      </c>
      <c r="L1471">
        <f>IF(K1471&gt;=80,"Yes","No")</f>
        <v/>
      </c>
      <c r="M1471">
        <f>IF(ISNUMBER(H1471),IF(H1471&gt;0,1,0),"")</f>
        <v/>
      </c>
    </row>
    <row r="1472">
      <c r="A1472" t="inlineStr">
        <is>
          <t>SIMULATED_FEA_Commercial_Study</t>
        </is>
      </c>
      <c r="B1472" t="inlineStr">
        <is>
          <t>V28</t>
        </is>
      </c>
      <c r="C1472" t="inlineStr">
        <is>
          <t>Stimulus</t>
        </is>
      </c>
      <c r="D1472" t="inlineStr">
        <is>
          <t>Recovery</t>
        </is>
      </c>
      <c r="E1472" t="n">
        <v>15</v>
      </c>
      <c r="F1472" t="inlineStr">
        <is>
          <t>Joy</t>
        </is>
      </c>
      <c r="G1472" t="n">
        <v>50</v>
      </c>
      <c r="H1472" t="n">
        <v>0</v>
      </c>
      <c r="I1472" t="n">
        <v>0</v>
      </c>
      <c r="J1472" t="inlineStr">
        <is>
          <t>NA</t>
        </is>
      </c>
      <c r="K1472" t="n">
        <v>98.8</v>
      </c>
      <c r="L1472">
        <f>IF(K1472&gt;=80,"Yes","No")</f>
        <v/>
      </c>
      <c r="M1472">
        <f>IF(ISNUMBER(H1472),IF(H1472&gt;0,1,0),"")</f>
        <v/>
      </c>
    </row>
    <row r="1473">
      <c r="A1473" t="inlineStr">
        <is>
          <t>SIMULATED_FEA_Commercial_Study</t>
        </is>
      </c>
      <c r="B1473" t="inlineStr">
        <is>
          <t>V28</t>
        </is>
      </c>
      <c r="C1473" t="inlineStr">
        <is>
          <t>Stimulus</t>
        </is>
      </c>
      <c r="D1473" t="inlineStr">
        <is>
          <t>Recovery</t>
        </is>
      </c>
      <c r="E1473" t="n">
        <v>15</v>
      </c>
      <c r="F1473" t="inlineStr">
        <is>
          <t>Surprise</t>
        </is>
      </c>
      <c r="G1473" t="n">
        <v>50</v>
      </c>
      <c r="H1473" t="n">
        <v>0</v>
      </c>
      <c r="I1473" t="n">
        <v>0</v>
      </c>
      <c r="J1473" t="inlineStr">
        <is>
          <t>NA</t>
        </is>
      </c>
      <c r="K1473" t="n">
        <v>98.8</v>
      </c>
      <c r="L1473">
        <f>IF(K1473&gt;=80,"Yes","No")</f>
        <v/>
      </c>
      <c r="M1473">
        <f>IF(ISNUMBER(H1473),IF(H1473&gt;0,1,0),"")</f>
        <v/>
      </c>
    </row>
    <row r="1474">
      <c r="A1474" t="inlineStr">
        <is>
          <t>SIMULATED_FEA_Commercial_Study</t>
        </is>
      </c>
      <c r="B1474" t="inlineStr">
        <is>
          <t>V28</t>
        </is>
      </c>
      <c r="C1474" t="inlineStr">
        <is>
          <t>Stimulus</t>
        </is>
      </c>
      <c r="D1474" t="inlineStr">
        <is>
          <t>Recovery</t>
        </is>
      </c>
      <c r="E1474" t="n">
        <v>15</v>
      </c>
      <c r="F1474" t="inlineStr">
        <is>
          <t>Brow Furrow</t>
        </is>
      </c>
      <c r="G1474" t="n">
        <v>50</v>
      </c>
      <c r="H1474" t="n">
        <v>0</v>
      </c>
      <c r="I1474" t="n">
        <v>0</v>
      </c>
      <c r="J1474" t="inlineStr">
        <is>
          <t>NA</t>
        </is>
      </c>
      <c r="K1474" t="n">
        <v>98.8</v>
      </c>
      <c r="L1474">
        <f>IF(K1474&gt;=80,"Yes","No")</f>
        <v/>
      </c>
      <c r="M1474">
        <f>IF(ISNUMBER(H1474),IF(H1474&gt;0,1,0),"")</f>
        <v/>
      </c>
    </row>
    <row r="1475">
      <c r="A1475" t="inlineStr">
        <is>
          <t>SIMULATED_FEA_Commercial_Study</t>
        </is>
      </c>
      <c r="B1475" t="inlineStr">
        <is>
          <t>V28</t>
        </is>
      </c>
      <c r="C1475" t="inlineStr">
        <is>
          <t>Stimulus</t>
        </is>
      </c>
      <c r="D1475" t="inlineStr">
        <is>
          <t>Recovery</t>
        </is>
      </c>
      <c r="E1475" t="n">
        <v>15</v>
      </c>
      <c r="F1475" t="inlineStr">
        <is>
          <t>Positive Valence</t>
        </is>
      </c>
      <c r="G1475" t="n">
        <v>50</v>
      </c>
      <c r="H1475" t="n">
        <v>0</v>
      </c>
      <c r="I1475" t="n">
        <v>0</v>
      </c>
      <c r="J1475" t="inlineStr">
        <is>
          <t>NA</t>
        </is>
      </c>
      <c r="K1475" t="n">
        <v>98.8</v>
      </c>
      <c r="L1475">
        <f>IF(K1475&gt;=80,"Yes","No")</f>
        <v/>
      </c>
      <c r="M1475">
        <f>IF(ISNUMBER(H1475),IF(H1475&gt;0,1,0),"")</f>
        <v/>
      </c>
    </row>
    <row r="1476">
      <c r="A1476" t="inlineStr">
        <is>
          <t>SIMULATED_FEA_Commercial_Study</t>
        </is>
      </c>
      <c r="B1476" t="inlineStr">
        <is>
          <t>V28</t>
        </is>
      </c>
      <c r="C1476" t="inlineStr">
        <is>
          <t>Stimulus</t>
        </is>
      </c>
      <c r="D1476" t="inlineStr">
        <is>
          <t>Recovery</t>
        </is>
      </c>
      <c r="E1476" t="n">
        <v>15</v>
      </c>
      <c r="F1476" t="inlineStr">
        <is>
          <t>Negative Valence</t>
        </is>
      </c>
      <c r="G1476" t="n">
        <v>-50</v>
      </c>
      <c r="H1476" t="n">
        <v>0</v>
      </c>
      <c r="I1476" t="n">
        <v>0</v>
      </c>
      <c r="J1476" t="inlineStr">
        <is>
          <t>NA</t>
        </is>
      </c>
      <c r="K1476" t="n">
        <v>98.8</v>
      </c>
      <c r="L1476">
        <f>IF(K1476&gt;=80,"Yes","No")</f>
        <v/>
      </c>
      <c r="M1476">
        <f>IF(ISNUMBER(H1476),IF(H1476&gt;0,1,0),"")</f>
        <v/>
      </c>
    </row>
    <row r="1477">
      <c r="A1477" t="inlineStr">
        <is>
          <t>SIMULATED_FEA_Commercial_Study</t>
        </is>
      </c>
      <c r="B1477" t="inlineStr">
        <is>
          <t>V28</t>
        </is>
      </c>
      <c r="C1477" t="inlineStr">
        <is>
          <t>Stimulus</t>
        </is>
      </c>
      <c r="D1477" t="inlineStr">
        <is>
          <t>Recovery</t>
        </is>
      </c>
      <c r="E1477" t="n">
        <v>15</v>
      </c>
      <c r="F1477" t="inlineStr">
        <is>
          <t>Engagement</t>
        </is>
      </c>
      <c r="G1477" t="inlineStr">
        <is>
          <t>NA</t>
        </is>
      </c>
      <c r="H1477" t="inlineStr">
        <is>
          <t>NA</t>
        </is>
      </c>
      <c r="I1477" t="inlineStr">
        <is>
          <t>NA</t>
        </is>
      </c>
      <c r="J1477" t="n">
        <v>5.75</v>
      </c>
      <c r="K1477" t="n">
        <v>98.8</v>
      </c>
      <c r="L1477">
        <f>IF(K1477&gt;=80,"Yes","No")</f>
        <v/>
      </c>
      <c r="M1477">
        <f>IF(ISNUMBER(H1477),IF(H1477&gt;0,1,0),"")</f>
        <v/>
      </c>
    </row>
    <row r="1478">
      <c r="A1478" t="inlineStr">
        <is>
          <t>SIMULATED_FEA_Commercial_Study</t>
        </is>
      </c>
      <c r="B1478" t="inlineStr">
        <is>
          <t>V28</t>
        </is>
      </c>
      <c r="C1478" t="inlineStr">
        <is>
          <t>Annotation</t>
        </is>
      </c>
      <c r="D1478" t="inlineStr">
        <is>
          <t>Bin_01</t>
        </is>
      </c>
      <c r="E1478" t="n">
        <v>10</v>
      </c>
      <c r="F1478" t="inlineStr">
        <is>
          <t>Joy</t>
        </is>
      </c>
      <c r="G1478" t="n">
        <v>50</v>
      </c>
      <c r="H1478" t="n">
        <v>0</v>
      </c>
      <c r="I1478" t="n">
        <v>0</v>
      </c>
      <c r="J1478" t="inlineStr">
        <is>
          <t>NA</t>
        </is>
      </c>
      <c r="K1478" t="n">
        <v>98.8</v>
      </c>
      <c r="L1478">
        <f>IF(K1478&gt;=80,"Yes","No")</f>
        <v/>
      </c>
      <c r="M1478">
        <f>IF(ISNUMBER(H1478),IF(H1478&gt;0,1,0),"")</f>
        <v/>
      </c>
    </row>
    <row r="1479">
      <c r="A1479" t="inlineStr">
        <is>
          <t>SIMULATED_FEA_Commercial_Study</t>
        </is>
      </c>
      <c r="B1479" t="inlineStr">
        <is>
          <t>V28</t>
        </is>
      </c>
      <c r="C1479" t="inlineStr">
        <is>
          <t>Annotation</t>
        </is>
      </c>
      <c r="D1479" t="inlineStr">
        <is>
          <t>Bin_01</t>
        </is>
      </c>
      <c r="E1479" t="n">
        <v>10</v>
      </c>
      <c r="F1479" t="inlineStr">
        <is>
          <t>Surprise</t>
        </is>
      </c>
      <c r="G1479" t="n">
        <v>50</v>
      </c>
      <c r="H1479" t="n">
        <v>0</v>
      </c>
      <c r="I1479" t="n">
        <v>0</v>
      </c>
      <c r="J1479" t="inlineStr">
        <is>
          <t>NA</t>
        </is>
      </c>
      <c r="K1479" t="n">
        <v>98.8</v>
      </c>
      <c r="L1479">
        <f>IF(K1479&gt;=80,"Yes","No")</f>
        <v/>
      </c>
      <c r="M1479">
        <f>IF(ISNUMBER(H1479),IF(H1479&gt;0,1,0),"")</f>
        <v/>
      </c>
    </row>
    <row r="1480">
      <c r="A1480" t="inlineStr">
        <is>
          <t>SIMULATED_FEA_Commercial_Study</t>
        </is>
      </c>
      <c r="B1480" t="inlineStr">
        <is>
          <t>V28</t>
        </is>
      </c>
      <c r="C1480" t="inlineStr">
        <is>
          <t>Annotation</t>
        </is>
      </c>
      <c r="D1480" t="inlineStr">
        <is>
          <t>Bin_01</t>
        </is>
      </c>
      <c r="E1480" t="n">
        <v>10</v>
      </c>
      <c r="F1480" t="inlineStr">
        <is>
          <t>Brow Furrow</t>
        </is>
      </c>
      <c r="G1480" t="n">
        <v>50</v>
      </c>
      <c r="H1480" t="n">
        <v>0</v>
      </c>
      <c r="I1480" t="n">
        <v>0</v>
      </c>
      <c r="J1480" t="inlineStr">
        <is>
          <t>NA</t>
        </is>
      </c>
      <c r="K1480" t="n">
        <v>98.8</v>
      </c>
      <c r="L1480">
        <f>IF(K1480&gt;=80,"Yes","No")</f>
        <v/>
      </c>
      <c r="M1480">
        <f>IF(ISNUMBER(H1480),IF(H1480&gt;0,1,0),"")</f>
        <v/>
      </c>
    </row>
    <row r="1481">
      <c r="A1481" t="inlineStr">
        <is>
          <t>SIMULATED_FEA_Commercial_Study</t>
        </is>
      </c>
      <c r="B1481" t="inlineStr">
        <is>
          <t>V28</t>
        </is>
      </c>
      <c r="C1481" t="inlineStr">
        <is>
          <t>Annotation</t>
        </is>
      </c>
      <c r="D1481" t="inlineStr">
        <is>
          <t>Bin_01</t>
        </is>
      </c>
      <c r="E1481" t="n">
        <v>10</v>
      </c>
      <c r="F1481" t="inlineStr">
        <is>
          <t>Positive Valence</t>
        </is>
      </c>
      <c r="G1481" t="n">
        <v>50</v>
      </c>
      <c r="H1481" t="n">
        <v>0</v>
      </c>
      <c r="I1481" t="n">
        <v>0</v>
      </c>
      <c r="J1481" t="inlineStr">
        <is>
          <t>NA</t>
        </is>
      </c>
      <c r="K1481" t="n">
        <v>98.8</v>
      </c>
      <c r="L1481">
        <f>IF(K1481&gt;=80,"Yes","No")</f>
        <v/>
      </c>
      <c r="M1481">
        <f>IF(ISNUMBER(H1481),IF(H1481&gt;0,1,0),"")</f>
        <v/>
      </c>
    </row>
    <row r="1482">
      <c r="A1482" t="inlineStr">
        <is>
          <t>SIMULATED_FEA_Commercial_Study</t>
        </is>
      </c>
      <c r="B1482" t="inlineStr">
        <is>
          <t>V28</t>
        </is>
      </c>
      <c r="C1482" t="inlineStr">
        <is>
          <t>Annotation</t>
        </is>
      </c>
      <c r="D1482" t="inlineStr">
        <is>
          <t>Bin_01</t>
        </is>
      </c>
      <c r="E1482" t="n">
        <v>10</v>
      </c>
      <c r="F1482" t="inlineStr">
        <is>
          <t>Negative Valence</t>
        </is>
      </c>
      <c r="G1482" t="n">
        <v>-50</v>
      </c>
      <c r="H1482" t="n">
        <v>0</v>
      </c>
      <c r="I1482" t="n">
        <v>0</v>
      </c>
      <c r="J1482" t="inlineStr">
        <is>
          <t>NA</t>
        </is>
      </c>
      <c r="K1482" t="n">
        <v>98.8</v>
      </c>
      <c r="L1482">
        <f>IF(K1482&gt;=80,"Yes","No")</f>
        <v/>
      </c>
      <c r="M1482">
        <f>IF(ISNUMBER(H1482),IF(H1482&gt;0,1,0),"")</f>
        <v/>
      </c>
    </row>
    <row r="1483">
      <c r="A1483" t="inlineStr">
        <is>
          <t>SIMULATED_FEA_Commercial_Study</t>
        </is>
      </c>
      <c r="B1483" t="inlineStr">
        <is>
          <t>V28</t>
        </is>
      </c>
      <c r="C1483" t="inlineStr">
        <is>
          <t>Annotation</t>
        </is>
      </c>
      <c r="D1483" t="inlineStr">
        <is>
          <t>Bin_01</t>
        </is>
      </c>
      <c r="E1483" t="n">
        <v>10</v>
      </c>
      <c r="F1483" t="inlineStr">
        <is>
          <t>Engagement</t>
        </is>
      </c>
      <c r="G1483" t="inlineStr">
        <is>
          <t>NA</t>
        </is>
      </c>
      <c r="H1483" t="inlineStr">
        <is>
          <t>NA</t>
        </is>
      </c>
      <c r="I1483" t="inlineStr">
        <is>
          <t>NA</t>
        </is>
      </c>
      <c r="J1483" t="n">
        <v>5.62</v>
      </c>
      <c r="K1483" t="n">
        <v>98.8</v>
      </c>
      <c r="L1483">
        <f>IF(K1483&gt;=80,"Yes","No")</f>
        <v/>
      </c>
      <c r="M1483">
        <f>IF(ISNUMBER(H1483),IF(H1483&gt;0,1,0),"")</f>
        <v/>
      </c>
    </row>
    <row r="1484">
      <c r="A1484" t="inlineStr">
        <is>
          <t>SIMULATED_FEA_Commercial_Study</t>
        </is>
      </c>
      <c r="B1484" t="inlineStr">
        <is>
          <t>V28</t>
        </is>
      </c>
      <c r="C1484" t="inlineStr">
        <is>
          <t>Annotation</t>
        </is>
      </c>
      <c r="D1484" t="inlineStr">
        <is>
          <t>Bin_02</t>
        </is>
      </c>
      <c r="E1484" t="n">
        <v>10</v>
      </c>
      <c r="F1484" t="inlineStr">
        <is>
          <t>Joy</t>
        </is>
      </c>
      <c r="G1484" t="n">
        <v>50</v>
      </c>
      <c r="H1484" t="n">
        <v>0</v>
      </c>
      <c r="I1484" t="n">
        <v>0</v>
      </c>
      <c r="J1484" t="inlineStr">
        <is>
          <t>NA</t>
        </is>
      </c>
      <c r="K1484" t="n">
        <v>98.8</v>
      </c>
      <c r="L1484">
        <f>IF(K1484&gt;=80,"Yes","No")</f>
        <v/>
      </c>
      <c r="M1484">
        <f>IF(ISNUMBER(H1484),IF(H1484&gt;0,1,0),"")</f>
        <v/>
      </c>
    </row>
    <row r="1485">
      <c r="A1485" t="inlineStr">
        <is>
          <t>SIMULATED_FEA_Commercial_Study</t>
        </is>
      </c>
      <c r="B1485" t="inlineStr">
        <is>
          <t>V28</t>
        </is>
      </c>
      <c r="C1485" t="inlineStr">
        <is>
          <t>Annotation</t>
        </is>
      </c>
      <c r="D1485" t="inlineStr">
        <is>
          <t>Bin_02</t>
        </is>
      </c>
      <c r="E1485" t="n">
        <v>10</v>
      </c>
      <c r="F1485" t="inlineStr">
        <is>
          <t>Surprise</t>
        </is>
      </c>
      <c r="G1485" t="n">
        <v>50</v>
      </c>
      <c r="H1485" t="n">
        <v>0</v>
      </c>
      <c r="I1485" t="n">
        <v>0</v>
      </c>
      <c r="J1485" t="inlineStr">
        <is>
          <t>NA</t>
        </is>
      </c>
      <c r="K1485" t="n">
        <v>98.8</v>
      </c>
      <c r="L1485">
        <f>IF(K1485&gt;=80,"Yes","No")</f>
        <v/>
      </c>
      <c r="M1485">
        <f>IF(ISNUMBER(H1485),IF(H1485&gt;0,1,0),"")</f>
        <v/>
      </c>
    </row>
    <row r="1486">
      <c r="A1486" t="inlineStr">
        <is>
          <t>SIMULATED_FEA_Commercial_Study</t>
        </is>
      </c>
      <c r="B1486" t="inlineStr">
        <is>
          <t>V28</t>
        </is>
      </c>
      <c r="C1486" t="inlineStr">
        <is>
          <t>Annotation</t>
        </is>
      </c>
      <c r="D1486" t="inlineStr">
        <is>
          <t>Bin_02</t>
        </is>
      </c>
      <c r="E1486" t="n">
        <v>10</v>
      </c>
      <c r="F1486" t="inlineStr">
        <is>
          <t>Brow Furrow</t>
        </is>
      </c>
      <c r="G1486" t="n">
        <v>50</v>
      </c>
      <c r="H1486" t="n">
        <v>0</v>
      </c>
      <c r="I1486" t="n">
        <v>0</v>
      </c>
      <c r="J1486" t="inlineStr">
        <is>
          <t>NA</t>
        </is>
      </c>
      <c r="K1486" t="n">
        <v>98.8</v>
      </c>
      <c r="L1486">
        <f>IF(K1486&gt;=80,"Yes","No")</f>
        <v/>
      </c>
      <c r="M1486">
        <f>IF(ISNUMBER(H1486),IF(H1486&gt;0,1,0),"")</f>
        <v/>
      </c>
    </row>
    <row r="1487">
      <c r="A1487" t="inlineStr">
        <is>
          <t>SIMULATED_FEA_Commercial_Study</t>
        </is>
      </c>
      <c r="B1487" t="inlineStr">
        <is>
          <t>V28</t>
        </is>
      </c>
      <c r="C1487" t="inlineStr">
        <is>
          <t>Annotation</t>
        </is>
      </c>
      <c r="D1487" t="inlineStr">
        <is>
          <t>Bin_02</t>
        </is>
      </c>
      <c r="E1487" t="n">
        <v>10</v>
      </c>
      <c r="F1487" t="inlineStr">
        <is>
          <t>Positive Valence</t>
        </is>
      </c>
      <c r="G1487" t="n">
        <v>50</v>
      </c>
      <c r="H1487" t="n">
        <v>0</v>
      </c>
      <c r="I1487" t="n">
        <v>0</v>
      </c>
      <c r="J1487" t="inlineStr">
        <is>
          <t>NA</t>
        </is>
      </c>
      <c r="K1487" t="n">
        <v>98.8</v>
      </c>
      <c r="L1487">
        <f>IF(K1487&gt;=80,"Yes","No")</f>
        <v/>
      </c>
      <c r="M1487">
        <f>IF(ISNUMBER(H1487),IF(H1487&gt;0,1,0),"")</f>
        <v/>
      </c>
    </row>
    <row r="1488">
      <c r="A1488" t="inlineStr">
        <is>
          <t>SIMULATED_FEA_Commercial_Study</t>
        </is>
      </c>
      <c r="B1488" t="inlineStr">
        <is>
          <t>V28</t>
        </is>
      </c>
      <c r="C1488" t="inlineStr">
        <is>
          <t>Annotation</t>
        </is>
      </c>
      <c r="D1488" t="inlineStr">
        <is>
          <t>Bin_02</t>
        </is>
      </c>
      <c r="E1488" t="n">
        <v>10</v>
      </c>
      <c r="F1488" t="inlineStr">
        <is>
          <t>Negative Valence</t>
        </is>
      </c>
      <c r="G1488" t="n">
        <v>-50</v>
      </c>
      <c r="H1488" t="n">
        <v>0</v>
      </c>
      <c r="I1488" t="n">
        <v>0</v>
      </c>
      <c r="J1488" t="inlineStr">
        <is>
          <t>NA</t>
        </is>
      </c>
      <c r="K1488" t="n">
        <v>98.8</v>
      </c>
      <c r="L1488">
        <f>IF(K1488&gt;=80,"Yes","No")</f>
        <v/>
      </c>
      <c r="M1488">
        <f>IF(ISNUMBER(H1488),IF(H1488&gt;0,1,0),"")</f>
        <v/>
      </c>
    </row>
    <row r="1489">
      <c r="A1489" t="inlineStr">
        <is>
          <t>SIMULATED_FEA_Commercial_Study</t>
        </is>
      </c>
      <c r="B1489" t="inlineStr">
        <is>
          <t>V28</t>
        </is>
      </c>
      <c r="C1489" t="inlineStr">
        <is>
          <t>Annotation</t>
        </is>
      </c>
      <c r="D1489" t="inlineStr">
        <is>
          <t>Bin_02</t>
        </is>
      </c>
      <c r="E1489" t="n">
        <v>10</v>
      </c>
      <c r="F1489" t="inlineStr">
        <is>
          <t>Engagement</t>
        </is>
      </c>
      <c r="G1489" t="inlineStr">
        <is>
          <t>NA</t>
        </is>
      </c>
      <c r="H1489" t="inlineStr">
        <is>
          <t>NA</t>
        </is>
      </c>
      <c r="I1489" t="inlineStr">
        <is>
          <t>NA</t>
        </is>
      </c>
      <c r="J1489" t="n">
        <v>6.15</v>
      </c>
      <c r="K1489" t="n">
        <v>98.8</v>
      </c>
      <c r="L1489">
        <f>IF(K1489&gt;=80,"Yes","No")</f>
        <v/>
      </c>
      <c r="M1489">
        <f>IF(ISNUMBER(H1489),IF(H1489&gt;0,1,0),"")</f>
        <v/>
      </c>
    </row>
    <row r="1490">
      <c r="A1490" t="inlineStr">
        <is>
          <t>SIMULATED_FEA_Commercial_Study</t>
        </is>
      </c>
      <c r="B1490" t="inlineStr">
        <is>
          <t>V28</t>
        </is>
      </c>
      <c r="C1490" t="inlineStr">
        <is>
          <t>Annotation</t>
        </is>
      </c>
      <c r="D1490" t="inlineStr">
        <is>
          <t>Bin_03</t>
        </is>
      </c>
      <c r="E1490" t="n">
        <v>10</v>
      </c>
      <c r="F1490" t="inlineStr">
        <is>
          <t>Joy</t>
        </is>
      </c>
      <c r="G1490" t="n">
        <v>50</v>
      </c>
      <c r="H1490" t="n">
        <v>0</v>
      </c>
      <c r="I1490" t="n">
        <v>0</v>
      </c>
      <c r="J1490" t="inlineStr">
        <is>
          <t>NA</t>
        </is>
      </c>
      <c r="K1490" t="n">
        <v>98.8</v>
      </c>
      <c r="L1490">
        <f>IF(K1490&gt;=80,"Yes","No")</f>
        <v/>
      </c>
      <c r="M1490">
        <f>IF(ISNUMBER(H1490),IF(H1490&gt;0,1,0),"")</f>
        <v/>
      </c>
    </row>
    <row r="1491">
      <c r="A1491" t="inlineStr">
        <is>
          <t>SIMULATED_FEA_Commercial_Study</t>
        </is>
      </c>
      <c r="B1491" t="inlineStr">
        <is>
          <t>V28</t>
        </is>
      </c>
      <c r="C1491" t="inlineStr">
        <is>
          <t>Annotation</t>
        </is>
      </c>
      <c r="D1491" t="inlineStr">
        <is>
          <t>Bin_03</t>
        </is>
      </c>
      <c r="E1491" t="n">
        <v>10</v>
      </c>
      <c r="F1491" t="inlineStr">
        <is>
          <t>Surprise</t>
        </is>
      </c>
      <c r="G1491" t="n">
        <v>50</v>
      </c>
      <c r="H1491" t="n">
        <v>0</v>
      </c>
      <c r="I1491" t="n">
        <v>0</v>
      </c>
      <c r="J1491" t="inlineStr">
        <is>
          <t>NA</t>
        </is>
      </c>
      <c r="K1491" t="n">
        <v>98.8</v>
      </c>
      <c r="L1491">
        <f>IF(K1491&gt;=80,"Yes","No")</f>
        <v/>
      </c>
      <c r="M1491">
        <f>IF(ISNUMBER(H1491),IF(H1491&gt;0,1,0),"")</f>
        <v/>
      </c>
    </row>
    <row r="1492">
      <c r="A1492" t="inlineStr">
        <is>
          <t>SIMULATED_FEA_Commercial_Study</t>
        </is>
      </c>
      <c r="B1492" t="inlineStr">
        <is>
          <t>V28</t>
        </is>
      </c>
      <c r="C1492" t="inlineStr">
        <is>
          <t>Annotation</t>
        </is>
      </c>
      <c r="D1492" t="inlineStr">
        <is>
          <t>Bin_03</t>
        </is>
      </c>
      <c r="E1492" t="n">
        <v>10</v>
      </c>
      <c r="F1492" t="inlineStr">
        <is>
          <t>Brow Furrow</t>
        </is>
      </c>
      <c r="G1492" t="n">
        <v>50</v>
      </c>
      <c r="H1492" t="n">
        <v>0</v>
      </c>
      <c r="I1492" t="n">
        <v>0</v>
      </c>
      <c r="J1492" t="inlineStr">
        <is>
          <t>NA</t>
        </is>
      </c>
      <c r="K1492" t="n">
        <v>98.8</v>
      </c>
      <c r="L1492">
        <f>IF(K1492&gt;=80,"Yes","No")</f>
        <v/>
      </c>
      <c r="M1492">
        <f>IF(ISNUMBER(H1492),IF(H1492&gt;0,1,0),"")</f>
        <v/>
      </c>
    </row>
    <row r="1493">
      <c r="A1493" t="inlineStr">
        <is>
          <t>SIMULATED_FEA_Commercial_Study</t>
        </is>
      </c>
      <c r="B1493" t="inlineStr">
        <is>
          <t>V28</t>
        </is>
      </c>
      <c r="C1493" t="inlineStr">
        <is>
          <t>Annotation</t>
        </is>
      </c>
      <c r="D1493" t="inlineStr">
        <is>
          <t>Bin_03</t>
        </is>
      </c>
      <c r="E1493" t="n">
        <v>10</v>
      </c>
      <c r="F1493" t="inlineStr">
        <is>
          <t>Positive Valence</t>
        </is>
      </c>
      <c r="G1493" t="n">
        <v>50</v>
      </c>
      <c r="H1493" t="n">
        <v>0</v>
      </c>
      <c r="I1493" t="n">
        <v>0</v>
      </c>
      <c r="J1493" t="inlineStr">
        <is>
          <t>NA</t>
        </is>
      </c>
      <c r="K1493" t="n">
        <v>98.8</v>
      </c>
      <c r="L1493">
        <f>IF(K1493&gt;=80,"Yes","No")</f>
        <v/>
      </c>
      <c r="M1493">
        <f>IF(ISNUMBER(H1493),IF(H1493&gt;0,1,0),"")</f>
        <v/>
      </c>
    </row>
    <row r="1494">
      <c r="A1494" t="inlineStr">
        <is>
          <t>SIMULATED_FEA_Commercial_Study</t>
        </is>
      </c>
      <c r="B1494" t="inlineStr">
        <is>
          <t>V28</t>
        </is>
      </c>
      <c r="C1494" t="inlineStr">
        <is>
          <t>Annotation</t>
        </is>
      </c>
      <c r="D1494" t="inlineStr">
        <is>
          <t>Bin_03</t>
        </is>
      </c>
      <c r="E1494" t="n">
        <v>10</v>
      </c>
      <c r="F1494" t="inlineStr">
        <is>
          <t>Negative Valence</t>
        </is>
      </c>
      <c r="G1494" t="n">
        <v>-50</v>
      </c>
      <c r="H1494" t="n">
        <v>0</v>
      </c>
      <c r="I1494" t="n">
        <v>0</v>
      </c>
      <c r="J1494" t="inlineStr">
        <is>
          <t>NA</t>
        </is>
      </c>
      <c r="K1494" t="n">
        <v>98.8</v>
      </c>
      <c r="L1494">
        <f>IF(K1494&gt;=80,"Yes","No")</f>
        <v/>
      </c>
      <c r="M1494">
        <f>IF(ISNUMBER(H1494),IF(H1494&gt;0,1,0),"")</f>
        <v/>
      </c>
    </row>
    <row r="1495">
      <c r="A1495" t="inlineStr">
        <is>
          <t>SIMULATED_FEA_Commercial_Study</t>
        </is>
      </c>
      <c r="B1495" t="inlineStr">
        <is>
          <t>V28</t>
        </is>
      </c>
      <c r="C1495" t="inlineStr">
        <is>
          <t>Annotation</t>
        </is>
      </c>
      <c r="D1495" t="inlineStr">
        <is>
          <t>Bin_03</t>
        </is>
      </c>
      <c r="E1495" t="n">
        <v>10</v>
      </c>
      <c r="F1495" t="inlineStr">
        <is>
          <t>Engagement</t>
        </is>
      </c>
      <c r="G1495" t="inlineStr">
        <is>
          <t>NA</t>
        </is>
      </c>
      <c r="H1495" t="inlineStr">
        <is>
          <t>NA</t>
        </is>
      </c>
      <c r="I1495" t="inlineStr">
        <is>
          <t>NA</t>
        </is>
      </c>
      <c r="J1495" t="n">
        <v>6.39</v>
      </c>
      <c r="K1495" t="n">
        <v>98.8</v>
      </c>
      <c r="L1495">
        <f>IF(K1495&gt;=80,"Yes","No")</f>
        <v/>
      </c>
      <c r="M1495">
        <f>IF(ISNUMBER(H1495),IF(H1495&gt;0,1,0),"")</f>
        <v/>
      </c>
    </row>
    <row r="1496">
      <c r="A1496" t="inlineStr">
        <is>
          <t>SIMULATED_FEA_Commercial_Study</t>
        </is>
      </c>
      <c r="B1496" t="inlineStr">
        <is>
          <t>V28</t>
        </is>
      </c>
      <c r="C1496" t="inlineStr">
        <is>
          <t>Annotation</t>
        </is>
      </c>
      <c r="D1496" t="inlineStr">
        <is>
          <t>Bin_04</t>
        </is>
      </c>
      <c r="E1496" t="n">
        <v>10</v>
      </c>
      <c r="F1496" t="inlineStr">
        <is>
          <t>Joy</t>
        </is>
      </c>
      <c r="G1496" t="n">
        <v>50</v>
      </c>
      <c r="H1496" t="n">
        <v>3.67</v>
      </c>
      <c r="I1496" t="n">
        <v>1</v>
      </c>
      <c r="J1496" t="inlineStr">
        <is>
          <t>NA</t>
        </is>
      </c>
      <c r="K1496" t="n">
        <v>98.8</v>
      </c>
      <c r="L1496">
        <f>IF(K1496&gt;=80,"Yes","No")</f>
        <v/>
      </c>
      <c r="M1496">
        <f>IF(ISNUMBER(H1496),IF(H1496&gt;0,1,0),"")</f>
        <v/>
      </c>
    </row>
    <row r="1497">
      <c r="A1497" t="inlineStr">
        <is>
          <t>SIMULATED_FEA_Commercial_Study</t>
        </is>
      </c>
      <c r="B1497" t="inlineStr">
        <is>
          <t>V28</t>
        </is>
      </c>
      <c r="C1497" t="inlineStr">
        <is>
          <t>Annotation</t>
        </is>
      </c>
      <c r="D1497" t="inlineStr">
        <is>
          <t>Bin_04</t>
        </is>
      </c>
      <c r="E1497" t="n">
        <v>10</v>
      </c>
      <c r="F1497" t="inlineStr">
        <is>
          <t>Surprise</t>
        </is>
      </c>
      <c r="G1497" t="n">
        <v>50</v>
      </c>
      <c r="H1497" t="n">
        <v>0</v>
      </c>
      <c r="I1497" t="n">
        <v>0</v>
      </c>
      <c r="J1497" t="inlineStr">
        <is>
          <t>NA</t>
        </is>
      </c>
      <c r="K1497" t="n">
        <v>98.8</v>
      </c>
      <c r="L1497">
        <f>IF(K1497&gt;=80,"Yes","No")</f>
        <v/>
      </c>
      <c r="M1497">
        <f>IF(ISNUMBER(H1497),IF(H1497&gt;0,1,0),"")</f>
        <v/>
      </c>
    </row>
    <row r="1498">
      <c r="A1498" t="inlineStr">
        <is>
          <t>SIMULATED_FEA_Commercial_Study</t>
        </is>
      </c>
      <c r="B1498" t="inlineStr">
        <is>
          <t>V28</t>
        </is>
      </c>
      <c r="C1498" t="inlineStr">
        <is>
          <t>Annotation</t>
        </is>
      </c>
      <c r="D1498" t="inlineStr">
        <is>
          <t>Bin_04</t>
        </is>
      </c>
      <c r="E1498" t="n">
        <v>10</v>
      </c>
      <c r="F1498" t="inlineStr">
        <is>
          <t>Brow Furrow</t>
        </is>
      </c>
      <c r="G1498" t="n">
        <v>50</v>
      </c>
      <c r="H1498" t="n">
        <v>0</v>
      </c>
      <c r="I1498" t="n">
        <v>0</v>
      </c>
      <c r="J1498" t="inlineStr">
        <is>
          <t>NA</t>
        </is>
      </c>
      <c r="K1498" t="n">
        <v>98.8</v>
      </c>
      <c r="L1498">
        <f>IF(K1498&gt;=80,"Yes","No")</f>
        <v/>
      </c>
      <c r="M1498">
        <f>IF(ISNUMBER(H1498),IF(H1498&gt;0,1,0),"")</f>
        <v/>
      </c>
    </row>
    <row r="1499">
      <c r="A1499" t="inlineStr">
        <is>
          <t>SIMULATED_FEA_Commercial_Study</t>
        </is>
      </c>
      <c r="B1499" t="inlineStr">
        <is>
          <t>V28</t>
        </is>
      </c>
      <c r="C1499" t="inlineStr">
        <is>
          <t>Annotation</t>
        </is>
      </c>
      <c r="D1499" t="inlineStr">
        <is>
          <t>Bin_04</t>
        </is>
      </c>
      <c r="E1499" t="n">
        <v>10</v>
      </c>
      <c r="F1499" t="inlineStr">
        <is>
          <t>Positive Valence</t>
        </is>
      </c>
      <c r="G1499" t="n">
        <v>50</v>
      </c>
      <c r="H1499" t="n">
        <v>3.33</v>
      </c>
      <c r="I1499" t="n">
        <v>1</v>
      </c>
      <c r="J1499" t="inlineStr">
        <is>
          <t>NA</t>
        </is>
      </c>
      <c r="K1499" t="n">
        <v>98.8</v>
      </c>
      <c r="L1499">
        <f>IF(K1499&gt;=80,"Yes","No")</f>
        <v/>
      </c>
      <c r="M1499">
        <f>IF(ISNUMBER(H1499),IF(H1499&gt;0,1,0),"")</f>
        <v/>
      </c>
    </row>
    <row r="1500">
      <c r="A1500" t="inlineStr">
        <is>
          <t>SIMULATED_FEA_Commercial_Study</t>
        </is>
      </c>
      <c r="B1500" t="inlineStr">
        <is>
          <t>V28</t>
        </is>
      </c>
      <c r="C1500" t="inlineStr">
        <is>
          <t>Annotation</t>
        </is>
      </c>
      <c r="D1500" t="inlineStr">
        <is>
          <t>Bin_04</t>
        </is>
      </c>
      <c r="E1500" t="n">
        <v>10</v>
      </c>
      <c r="F1500" t="inlineStr">
        <is>
          <t>Negative Valence</t>
        </is>
      </c>
      <c r="G1500" t="n">
        <v>-50</v>
      </c>
      <c r="H1500" t="n">
        <v>0</v>
      </c>
      <c r="I1500" t="n">
        <v>0</v>
      </c>
      <c r="J1500" t="inlineStr">
        <is>
          <t>NA</t>
        </is>
      </c>
      <c r="K1500" t="n">
        <v>98.8</v>
      </c>
      <c r="L1500">
        <f>IF(K1500&gt;=80,"Yes","No")</f>
        <v/>
      </c>
      <c r="M1500">
        <f>IF(ISNUMBER(H1500),IF(H1500&gt;0,1,0),"")</f>
        <v/>
      </c>
    </row>
    <row r="1501">
      <c r="A1501" t="inlineStr">
        <is>
          <t>SIMULATED_FEA_Commercial_Study</t>
        </is>
      </c>
      <c r="B1501" t="inlineStr">
        <is>
          <t>V28</t>
        </is>
      </c>
      <c r="C1501" t="inlineStr">
        <is>
          <t>Annotation</t>
        </is>
      </c>
      <c r="D1501" t="inlineStr">
        <is>
          <t>Bin_04</t>
        </is>
      </c>
      <c r="E1501" t="n">
        <v>10</v>
      </c>
      <c r="F1501" t="inlineStr">
        <is>
          <t>Engagement</t>
        </is>
      </c>
      <c r="G1501" t="inlineStr">
        <is>
          <t>NA</t>
        </is>
      </c>
      <c r="H1501" t="inlineStr">
        <is>
          <t>NA</t>
        </is>
      </c>
      <c r="I1501" t="inlineStr">
        <is>
          <t>NA</t>
        </is>
      </c>
      <c r="J1501" t="n">
        <v>8.19</v>
      </c>
      <c r="K1501" t="n">
        <v>98.8</v>
      </c>
      <c r="L1501">
        <f>IF(K1501&gt;=80,"Yes","No")</f>
        <v/>
      </c>
      <c r="M1501">
        <f>IF(ISNUMBER(H1501),IF(H1501&gt;0,1,0),"")</f>
        <v/>
      </c>
    </row>
    <row r="1502">
      <c r="A1502" t="inlineStr">
        <is>
          <t>SIMULATED_FEA_Commercial_Study</t>
        </is>
      </c>
      <c r="B1502" t="inlineStr">
        <is>
          <t>V28</t>
        </is>
      </c>
      <c r="C1502" t="inlineStr">
        <is>
          <t>Annotation</t>
        </is>
      </c>
      <c r="D1502" t="inlineStr">
        <is>
          <t>Bin_05</t>
        </is>
      </c>
      <c r="E1502" t="n">
        <v>10</v>
      </c>
      <c r="F1502" t="inlineStr">
        <is>
          <t>Joy</t>
        </is>
      </c>
      <c r="G1502" t="n">
        <v>50</v>
      </c>
      <c r="H1502" t="n">
        <v>4.67</v>
      </c>
      <c r="I1502" t="n">
        <v>1</v>
      </c>
      <c r="J1502" t="inlineStr">
        <is>
          <t>NA</t>
        </is>
      </c>
      <c r="K1502" t="n">
        <v>98.8</v>
      </c>
      <c r="L1502">
        <f>IF(K1502&gt;=80,"Yes","No")</f>
        <v/>
      </c>
      <c r="M1502">
        <f>IF(ISNUMBER(H1502),IF(H1502&gt;0,1,0),"")</f>
        <v/>
      </c>
    </row>
    <row r="1503">
      <c r="A1503" t="inlineStr">
        <is>
          <t>SIMULATED_FEA_Commercial_Study</t>
        </is>
      </c>
      <c r="B1503" t="inlineStr">
        <is>
          <t>V28</t>
        </is>
      </c>
      <c r="C1503" t="inlineStr">
        <is>
          <t>Annotation</t>
        </is>
      </c>
      <c r="D1503" t="inlineStr">
        <is>
          <t>Bin_05</t>
        </is>
      </c>
      <c r="E1503" t="n">
        <v>10</v>
      </c>
      <c r="F1503" t="inlineStr">
        <is>
          <t>Surprise</t>
        </is>
      </c>
      <c r="G1503" t="n">
        <v>50</v>
      </c>
      <c r="H1503" t="n">
        <v>4.67</v>
      </c>
      <c r="I1503" t="n">
        <v>1</v>
      </c>
      <c r="J1503" t="inlineStr">
        <is>
          <t>NA</t>
        </is>
      </c>
      <c r="K1503" t="n">
        <v>98.8</v>
      </c>
      <c r="L1503">
        <f>IF(K1503&gt;=80,"Yes","No")</f>
        <v/>
      </c>
      <c r="M1503">
        <f>IF(ISNUMBER(H1503),IF(H1503&gt;0,1,0),"")</f>
        <v/>
      </c>
    </row>
    <row r="1504">
      <c r="A1504" t="inlineStr">
        <is>
          <t>SIMULATED_FEA_Commercial_Study</t>
        </is>
      </c>
      <c r="B1504" t="inlineStr">
        <is>
          <t>V28</t>
        </is>
      </c>
      <c r="C1504" t="inlineStr">
        <is>
          <t>Annotation</t>
        </is>
      </c>
      <c r="D1504" t="inlineStr">
        <is>
          <t>Bin_05</t>
        </is>
      </c>
      <c r="E1504" t="n">
        <v>10</v>
      </c>
      <c r="F1504" t="inlineStr">
        <is>
          <t>Brow Furrow</t>
        </is>
      </c>
      <c r="G1504" t="n">
        <v>50</v>
      </c>
      <c r="H1504" t="n">
        <v>0</v>
      </c>
      <c r="I1504" t="n">
        <v>0</v>
      </c>
      <c r="J1504" t="inlineStr">
        <is>
          <t>NA</t>
        </is>
      </c>
      <c r="K1504" t="n">
        <v>98.8</v>
      </c>
      <c r="L1504">
        <f>IF(K1504&gt;=80,"Yes","No")</f>
        <v/>
      </c>
      <c r="M1504">
        <f>IF(ISNUMBER(H1504),IF(H1504&gt;0,1,0),"")</f>
        <v/>
      </c>
    </row>
    <row r="1505">
      <c r="A1505" t="inlineStr">
        <is>
          <t>SIMULATED_FEA_Commercial_Study</t>
        </is>
      </c>
      <c r="B1505" t="inlineStr">
        <is>
          <t>V28</t>
        </is>
      </c>
      <c r="C1505" t="inlineStr">
        <is>
          <t>Annotation</t>
        </is>
      </c>
      <c r="D1505" t="inlineStr">
        <is>
          <t>Bin_05</t>
        </is>
      </c>
      <c r="E1505" t="n">
        <v>10</v>
      </c>
      <c r="F1505" t="inlineStr">
        <is>
          <t>Positive Valence</t>
        </is>
      </c>
      <c r="G1505" t="n">
        <v>50</v>
      </c>
      <c r="H1505" t="n">
        <v>4.67</v>
      </c>
      <c r="I1505" t="n">
        <v>1</v>
      </c>
      <c r="J1505" t="inlineStr">
        <is>
          <t>NA</t>
        </is>
      </c>
      <c r="K1505" t="n">
        <v>98.8</v>
      </c>
      <c r="L1505">
        <f>IF(K1505&gt;=80,"Yes","No")</f>
        <v/>
      </c>
      <c r="M1505">
        <f>IF(ISNUMBER(H1505),IF(H1505&gt;0,1,0),"")</f>
        <v/>
      </c>
    </row>
    <row r="1506">
      <c r="A1506" t="inlineStr">
        <is>
          <t>SIMULATED_FEA_Commercial_Study</t>
        </is>
      </c>
      <c r="B1506" t="inlineStr">
        <is>
          <t>V28</t>
        </is>
      </c>
      <c r="C1506" t="inlineStr">
        <is>
          <t>Annotation</t>
        </is>
      </c>
      <c r="D1506" t="inlineStr">
        <is>
          <t>Bin_05</t>
        </is>
      </c>
      <c r="E1506" t="n">
        <v>10</v>
      </c>
      <c r="F1506" t="inlineStr">
        <is>
          <t>Negative Valence</t>
        </is>
      </c>
      <c r="G1506" t="n">
        <v>-50</v>
      </c>
      <c r="H1506" t="n">
        <v>0</v>
      </c>
      <c r="I1506" t="n">
        <v>0</v>
      </c>
      <c r="J1506" t="inlineStr">
        <is>
          <t>NA</t>
        </is>
      </c>
      <c r="K1506" t="n">
        <v>98.8</v>
      </c>
      <c r="L1506">
        <f>IF(K1506&gt;=80,"Yes","No")</f>
        <v/>
      </c>
      <c r="M1506">
        <f>IF(ISNUMBER(H1506),IF(H1506&gt;0,1,0),"")</f>
        <v/>
      </c>
    </row>
    <row r="1507">
      <c r="A1507" t="inlineStr">
        <is>
          <t>SIMULATED_FEA_Commercial_Study</t>
        </is>
      </c>
      <c r="B1507" t="inlineStr">
        <is>
          <t>V28</t>
        </is>
      </c>
      <c r="C1507" t="inlineStr">
        <is>
          <t>Annotation</t>
        </is>
      </c>
      <c r="D1507" t="inlineStr">
        <is>
          <t>Bin_05</t>
        </is>
      </c>
      <c r="E1507" t="n">
        <v>10</v>
      </c>
      <c r="F1507" t="inlineStr">
        <is>
          <t>Engagement</t>
        </is>
      </c>
      <c r="G1507" t="inlineStr">
        <is>
          <t>NA</t>
        </is>
      </c>
      <c r="H1507" t="inlineStr">
        <is>
          <t>NA</t>
        </is>
      </c>
      <c r="I1507" t="inlineStr">
        <is>
          <t>NA</t>
        </is>
      </c>
      <c r="J1507" t="n">
        <v>10.69</v>
      </c>
      <c r="K1507" t="n">
        <v>98.8</v>
      </c>
      <c r="L1507">
        <f>IF(K1507&gt;=80,"Yes","No")</f>
        <v/>
      </c>
      <c r="M1507">
        <f>IF(ISNUMBER(H1507),IF(H1507&gt;0,1,0),"")</f>
        <v/>
      </c>
    </row>
    <row r="1508">
      <c r="A1508" t="inlineStr">
        <is>
          <t>SIMULATED_FEA_Commercial_Study</t>
        </is>
      </c>
      <c r="B1508" t="inlineStr">
        <is>
          <t>V28</t>
        </is>
      </c>
      <c r="C1508" t="inlineStr">
        <is>
          <t>Annotation</t>
        </is>
      </c>
      <c r="D1508" t="inlineStr">
        <is>
          <t>Bin_06</t>
        </is>
      </c>
      <c r="E1508" t="n">
        <v>10</v>
      </c>
      <c r="F1508" t="inlineStr">
        <is>
          <t>Joy</t>
        </is>
      </c>
      <c r="G1508" t="n">
        <v>50</v>
      </c>
      <c r="H1508" t="n">
        <v>0</v>
      </c>
      <c r="I1508" t="n">
        <v>0</v>
      </c>
      <c r="J1508" t="inlineStr">
        <is>
          <t>NA</t>
        </is>
      </c>
      <c r="K1508" t="n">
        <v>98.8</v>
      </c>
      <c r="L1508">
        <f>IF(K1508&gt;=80,"Yes","No")</f>
        <v/>
      </c>
      <c r="M1508">
        <f>IF(ISNUMBER(H1508),IF(H1508&gt;0,1,0),"")</f>
        <v/>
      </c>
    </row>
    <row r="1509">
      <c r="A1509" t="inlineStr">
        <is>
          <t>SIMULATED_FEA_Commercial_Study</t>
        </is>
      </c>
      <c r="B1509" t="inlineStr">
        <is>
          <t>V28</t>
        </is>
      </c>
      <c r="C1509" t="inlineStr">
        <is>
          <t>Annotation</t>
        </is>
      </c>
      <c r="D1509" t="inlineStr">
        <is>
          <t>Bin_06</t>
        </is>
      </c>
      <c r="E1509" t="n">
        <v>10</v>
      </c>
      <c r="F1509" t="inlineStr">
        <is>
          <t>Surprise</t>
        </is>
      </c>
      <c r="G1509" t="n">
        <v>50</v>
      </c>
      <c r="H1509" t="n">
        <v>0</v>
      </c>
      <c r="I1509" t="n">
        <v>0</v>
      </c>
      <c r="J1509" t="inlineStr">
        <is>
          <t>NA</t>
        </is>
      </c>
      <c r="K1509" t="n">
        <v>98.8</v>
      </c>
      <c r="L1509">
        <f>IF(K1509&gt;=80,"Yes","No")</f>
        <v/>
      </c>
      <c r="M1509">
        <f>IF(ISNUMBER(H1509),IF(H1509&gt;0,1,0),"")</f>
        <v/>
      </c>
    </row>
    <row r="1510">
      <c r="A1510" t="inlineStr">
        <is>
          <t>SIMULATED_FEA_Commercial_Study</t>
        </is>
      </c>
      <c r="B1510" t="inlineStr">
        <is>
          <t>V28</t>
        </is>
      </c>
      <c r="C1510" t="inlineStr">
        <is>
          <t>Annotation</t>
        </is>
      </c>
      <c r="D1510" t="inlineStr">
        <is>
          <t>Bin_06</t>
        </is>
      </c>
      <c r="E1510" t="n">
        <v>10</v>
      </c>
      <c r="F1510" t="inlineStr">
        <is>
          <t>Brow Furrow</t>
        </is>
      </c>
      <c r="G1510" t="n">
        <v>50</v>
      </c>
      <c r="H1510" t="n">
        <v>0</v>
      </c>
      <c r="I1510" t="n">
        <v>0</v>
      </c>
      <c r="J1510" t="inlineStr">
        <is>
          <t>NA</t>
        </is>
      </c>
      <c r="K1510" t="n">
        <v>98.8</v>
      </c>
      <c r="L1510">
        <f>IF(K1510&gt;=80,"Yes","No")</f>
        <v/>
      </c>
      <c r="M1510">
        <f>IF(ISNUMBER(H1510),IF(H1510&gt;0,1,0),"")</f>
        <v/>
      </c>
    </row>
    <row r="1511">
      <c r="A1511" t="inlineStr">
        <is>
          <t>SIMULATED_FEA_Commercial_Study</t>
        </is>
      </c>
      <c r="B1511" t="inlineStr">
        <is>
          <t>V28</t>
        </is>
      </c>
      <c r="C1511" t="inlineStr">
        <is>
          <t>Annotation</t>
        </is>
      </c>
      <c r="D1511" t="inlineStr">
        <is>
          <t>Bin_06</t>
        </is>
      </c>
      <c r="E1511" t="n">
        <v>10</v>
      </c>
      <c r="F1511" t="inlineStr">
        <is>
          <t>Positive Valence</t>
        </is>
      </c>
      <c r="G1511" t="n">
        <v>50</v>
      </c>
      <c r="H1511" t="n">
        <v>0</v>
      </c>
      <c r="I1511" t="n">
        <v>0</v>
      </c>
      <c r="J1511" t="inlineStr">
        <is>
          <t>NA</t>
        </is>
      </c>
      <c r="K1511" t="n">
        <v>98.8</v>
      </c>
      <c r="L1511">
        <f>IF(K1511&gt;=80,"Yes","No")</f>
        <v/>
      </c>
      <c r="M1511">
        <f>IF(ISNUMBER(H1511),IF(H1511&gt;0,1,0),"")</f>
        <v/>
      </c>
    </row>
    <row r="1512">
      <c r="A1512" t="inlineStr">
        <is>
          <t>SIMULATED_FEA_Commercial_Study</t>
        </is>
      </c>
      <c r="B1512" t="inlineStr">
        <is>
          <t>V28</t>
        </is>
      </c>
      <c r="C1512" t="inlineStr">
        <is>
          <t>Annotation</t>
        </is>
      </c>
      <c r="D1512" t="inlineStr">
        <is>
          <t>Bin_06</t>
        </is>
      </c>
      <c r="E1512" t="n">
        <v>10</v>
      </c>
      <c r="F1512" t="inlineStr">
        <is>
          <t>Negative Valence</t>
        </is>
      </c>
      <c r="G1512" t="n">
        <v>-50</v>
      </c>
      <c r="H1512" t="n">
        <v>0</v>
      </c>
      <c r="I1512" t="n">
        <v>0</v>
      </c>
      <c r="J1512" t="inlineStr">
        <is>
          <t>NA</t>
        </is>
      </c>
      <c r="K1512" t="n">
        <v>98.8</v>
      </c>
      <c r="L1512">
        <f>IF(K1512&gt;=80,"Yes","No")</f>
        <v/>
      </c>
      <c r="M1512">
        <f>IF(ISNUMBER(H1512),IF(H1512&gt;0,1,0),"")</f>
        <v/>
      </c>
    </row>
    <row r="1513">
      <c r="A1513" t="inlineStr">
        <is>
          <t>SIMULATED_FEA_Commercial_Study</t>
        </is>
      </c>
      <c r="B1513" t="inlineStr">
        <is>
          <t>V28</t>
        </is>
      </c>
      <c r="C1513" t="inlineStr">
        <is>
          <t>Annotation</t>
        </is>
      </c>
      <c r="D1513" t="inlineStr">
        <is>
          <t>Bin_06</t>
        </is>
      </c>
      <c r="E1513" t="n">
        <v>10</v>
      </c>
      <c r="F1513" t="inlineStr">
        <is>
          <t>Engagement</t>
        </is>
      </c>
      <c r="G1513" t="inlineStr">
        <is>
          <t>NA</t>
        </is>
      </c>
      <c r="H1513" t="inlineStr">
        <is>
          <t>NA</t>
        </is>
      </c>
      <c r="I1513" t="inlineStr">
        <is>
          <t>NA</t>
        </is>
      </c>
      <c r="J1513" t="n">
        <v>6.48</v>
      </c>
      <c r="K1513" t="n">
        <v>98.8</v>
      </c>
      <c r="L1513">
        <f>IF(K1513&gt;=80,"Yes","No")</f>
        <v/>
      </c>
      <c r="M1513">
        <f>IF(ISNUMBER(H1513),IF(H1513&gt;0,1,0),"")</f>
        <v/>
      </c>
    </row>
    <row r="1514">
      <c r="A1514" t="inlineStr">
        <is>
          <t>SIMULATED_FEA_Commercial_Study</t>
        </is>
      </c>
      <c r="B1514" t="inlineStr">
        <is>
          <t>V29</t>
        </is>
      </c>
      <c r="C1514" t="inlineStr">
        <is>
          <t>Stimulus</t>
        </is>
      </c>
      <c r="D1514" t="inlineStr">
        <is>
          <t>Baseline</t>
        </is>
      </c>
      <c r="E1514" t="n">
        <v>60</v>
      </c>
      <c r="F1514" t="inlineStr">
        <is>
          <t>Joy</t>
        </is>
      </c>
      <c r="G1514" t="n">
        <v>50</v>
      </c>
      <c r="H1514" t="n">
        <v>0</v>
      </c>
      <c r="I1514" t="n">
        <v>0</v>
      </c>
      <c r="J1514" t="inlineStr">
        <is>
          <t>NA</t>
        </is>
      </c>
      <c r="K1514" t="n">
        <v>95.8</v>
      </c>
      <c r="L1514">
        <f>IF(K1514&gt;=80,"Yes","No")</f>
        <v/>
      </c>
      <c r="M1514">
        <f>IF(ISNUMBER(H1514),IF(H1514&gt;0,1,0),"")</f>
        <v/>
      </c>
    </row>
    <row r="1515">
      <c r="A1515" t="inlineStr">
        <is>
          <t>SIMULATED_FEA_Commercial_Study</t>
        </is>
      </c>
      <c r="B1515" t="inlineStr">
        <is>
          <t>V29</t>
        </is>
      </c>
      <c r="C1515" t="inlineStr">
        <is>
          <t>Stimulus</t>
        </is>
      </c>
      <c r="D1515" t="inlineStr">
        <is>
          <t>Baseline</t>
        </is>
      </c>
      <c r="E1515" t="n">
        <v>60</v>
      </c>
      <c r="F1515" t="inlineStr">
        <is>
          <t>Surprise</t>
        </is>
      </c>
      <c r="G1515" t="n">
        <v>50</v>
      </c>
      <c r="H1515" t="n">
        <v>2.28</v>
      </c>
      <c r="I1515" t="n">
        <v>1</v>
      </c>
      <c r="J1515" t="inlineStr">
        <is>
          <t>NA</t>
        </is>
      </c>
      <c r="K1515" t="n">
        <v>95.8</v>
      </c>
      <c r="L1515">
        <f>IF(K1515&gt;=80,"Yes","No")</f>
        <v/>
      </c>
      <c r="M1515">
        <f>IF(ISNUMBER(H1515),IF(H1515&gt;0,1,0),"")</f>
        <v/>
      </c>
    </row>
    <row r="1516">
      <c r="A1516" t="inlineStr">
        <is>
          <t>SIMULATED_FEA_Commercial_Study</t>
        </is>
      </c>
      <c r="B1516" t="inlineStr">
        <is>
          <t>V29</t>
        </is>
      </c>
      <c r="C1516" t="inlineStr">
        <is>
          <t>Stimulus</t>
        </is>
      </c>
      <c r="D1516" t="inlineStr">
        <is>
          <t>Baseline</t>
        </is>
      </c>
      <c r="E1516" t="n">
        <v>60</v>
      </c>
      <c r="F1516" t="inlineStr">
        <is>
          <t>Brow Furrow</t>
        </is>
      </c>
      <c r="G1516" t="n">
        <v>50</v>
      </c>
      <c r="H1516" t="n">
        <v>1.67</v>
      </c>
      <c r="I1516" t="n">
        <v>1</v>
      </c>
      <c r="J1516" t="inlineStr">
        <is>
          <t>NA</t>
        </is>
      </c>
      <c r="K1516" t="n">
        <v>95.8</v>
      </c>
      <c r="L1516">
        <f>IF(K1516&gt;=80,"Yes","No")</f>
        <v/>
      </c>
      <c r="M1516">
        <f>IF(ISNUMBER(H1516),IF(H1516&gt;0,1,0),"")</f>
        <v/>
      </c>
    </row>
    <row r="1517">
      <c r="A1517" t="inlineStr">
        <is>
          <t>SIMULATED_FEA_Commercial_Study</t>
        </is>
      </c>
      <c r="B1517" t="inlineStr">
        <is>
          <t>V29</t>
        </is>
      </c>
      <c r="C1517" t="inlineStr">
        <is>
          <t>Stimulus</t>
        </is>
      </c>
      <c r="D1517" t="inlineStr">
        <is>
          <t>Baseline</t>
        </is>
      </c>
      <c r="E1517" t="n">
        <v>60</v>
      </c>
      <c r="F1517" t="inlineStr">
        <is>
          <t>Positive Valence</t>
        </is>
      </c>
      <c r="G1517" t="n">
        <v>50</v>
      </c>
      <c r="H1517" t="n">
        <v>0</v>
      </c>
      <c r="I1517" t="n">
        <v>0</v>
      </c>
      <c r="J1517" t="inlineStr">
        <is>
          <t>NA</t>
        </is>
      </c>
      <c r="K1517" t="n">
        <v>95.8</v>
      </c>
      <c r="L1517">
        <f>IF(K1517&gt;=80,"Yes","No")</f>
        <v/>
      </c>
      <c r="M1517">
        <f>IF(ISNUMBER(H1517),IF(H1517&gt;0,1,0),"")</f>
        <v/>
      </c>
    </row>
    <row r="1518">
      <c r="A1518" t="inlineStr">
        <is>
          <t>SIMULATED_FEA_Commercial_Study</t>
        </is>
      </c>
      <c r="B1518" t="inlineStr">
        <is>
          <t>V29</t>
        </is>
      </c>
      <c r="C1518" t="inlineStr">
        <is>
          <t>Stimulus</t>
        </is>
      </c>
      <c r="D1518" t="inlineStr">
        <is>
          <t>Baseline</t>
        </is>
      </c>
      <c r="E1518" t="n">
        <v>60</v>
      </c>
      <c r="F1518" t="inlineStr">
        <is>
          <t>Negative Valence</t>
        </is>
      </c>
      <c r="G1518" t="n">
        <v>-50</v>
      </c>
      <c r="H1518" t="n">
        <v>0</v>
      </c>
      <c r="I1518" t="n">
        <v>0</v>
      </c>
      <c r="J1518" t="inlineStr">
        <is>
          <t>NA</t>
        </is>
      </c>
      <c r="K1518" t="n">
        <v>95.8</v>
      </c>
      <c r="L1518">
        <f>IF(K1518&gt;=80,"Yes","No")</f>
        <v/>
      </c>
      <c r="M1518">
        <f>IF(ISNUMBER(H1518),IF(H1518&gt;0,1,0),"")</f>
        <v/>
      </c>
    </row>
    <row r="1519">
      <c r="A1519" t="inlineStr">
        <is>
          <t>SIMULATED_FEA_Commercial_Study</t>
        </is>
      </c>
      <c r="B1519" t="inlineStr">
        <is>
          <t>V29</t>
        </is>
      </c>
      <c r="C1519" t="inlineStr">
        <is>
          <t>Stimulus</t>
        </is>
      </c>
      <c r="D1519" t="inlineStr">
        <is>
          <t>Baseline</t>
        </is>
      </c>
      <c r="E1519" t="n">
        <v>60</v>
      </c>
      <c r="F1519" t="inlineStr">
        <is>
          <t>Engagement</t>
        </is>
      </c>
      <c r="G1519" t="inlineStr">
        <is>
          <t>NA</t>
        </is>
      </c>
      <c r="H1519" t="inlineStr">
        <is>
          <t>NA</t>
        </is>
      </c>
      <c r="I1519" t="inlineStr">
        <is>
          <t>NA</t>
        </is>
      </c>
      <c r="J1519" t="n">
        <v>7.2</v>
      </c>
      <c r="K1519" t="n">
        <v>95.8</v>
      </c>
      <c r="L1519">
        <f>IF(K1519&gt;=80,"Yes","No")</f>
        <v/>
      </c>
      <c r="M1519">
        <f>IF(ISNUMBER(H1519),IF(H1519&gt;0,1,0),"")</f>
        <v/>
      </c>
    </row>
    <row r="1520">
      <c r="A1520" t="inlineStr">
        <is>
          <t>SIMULATED_FEA_Commercial_Study</t>
        </is>
      </c>
      <c r="B1520" t="inlineStr">
        <is>
          <t>V29</t>
        </is>
      </c>
      <c r="C1520" t="inlineStr">
        <is>
          <t>Stimulus</t>
        </is>
      </c>
      <c r="D1520" t="inlineStr">
        <is>
          <t>Commercial</t>
        </is>
      </c>
      <c r="E1520" t="n">
        <v>60</v>
      </c>
      <c r="F1520" t="inlineStr">
        <is>
          <t>Joy</t>
        </is>
      </c>
      <c r="G1520" t="n">
        <v>50</v>
      </c>
      <c r="H1520" t="n">
        <v>33.61</v>
      </c>
      <c r="I1520" t="n">
        <v>9</v>
      </c>
      <c r="J1520" t="inlineStr">
        <is>
          <t>NA</t>
        </is>
      </c>
      <c r="K1520" t="n">
        <v>95.8</v>
      </c>
      <c r="L1520">
        <f>IF(K1520&gt;=80,"Yes","No")</f>
        <v/>
      </c>
      <c r="M1520">
        <f>IF(ISNUMBER(H1520),IF(H1520&gt;0,1,0),"")</f>
        <v/>
      </c>
    </row>
    <row r="1521">
      <c r="A1521" t="inlineStr">
        <is>
          <t>SIMULATED_FEA_Commercial_Study</t>
        </is>
      </c>
      <c r="B1521" t="inlineStr">
        <is>
          <t>V29</t>
        </is>
      </c>
      <c r="C1521" t="inlineStr">
        <is>
          <t>Stimulus</t>
        </is>
      </c>
      <c r="D1521" t="inlineStr">
        <is>
          <t>Commercial</t>
        </is>
      </c>
      <c r="E1521" t="n">
        <v>60</v>
      </c>
      <c r="F1521" t="inlineStr">
        <is>
          <t>Surprise</t>
        </is>
      </c>
      <c r="G1521" t="n">
        <v>50</v>
      </c>
      <c r="H1521" t="n">
        <v>1.06</v>
      </c>
      <c r="I1521" t="n">
        <v>1</v>
      </c>
      <c r="J1521" t="inlineStr">
        <is>
          <t>NA</t>
        </is>
      </c>
      <c r="K1521" t="n">
        <v>95.8</v>
      </c>
      <c r="L1521">
        <f>IF(K1521&gt;=80,"Yes","No")</f>
        <v/>
      </c>
      <c r="M1521">
        <f>IF(ISNUMBER(H1521),IF(H1521&gt;0,1,0),"")</f>
        <v/>
      </c>
    </row>
    <row r="1522">
      <c r="A1522" t="inlineStr">
        <is>
          <t>SIMULATED_FEA_Commercial_Study</t>
        </is>
      </c>
      <c r="B1522" t="inlineStr">
        <is>
          <t>V29</t>
        </is>
      </c>
      <c r="C1522" t="inlineStr">
        <is>
          <t>Stimulus</t>
        </is>
      </c>
      <c r="D1522" t="inlineStr">
        <is>
          <t>Commercial</t>
        </is>
      </c>
      <c r="E1522" t="n">
        <v>60</v>
      </c>
      <c r="F1522" t="inlineStr">
        <is>
          <t>Brow Furrow</t>
        </is>
      </c>
      <c r="G1522" t="n">
        <v>50</v>
      </c>
      <c r="H1522" t="n">
        <v>7.22</v>
      </c>
      <c r="I1522" t="n">
        <v>1</v>
      </c>
      <c r="J1522" t="inlineStr">
        <is>
          <t>NA</t>
        </is>
      </c>
      <c r="K1522" t="n">
        <v>95.8</v>
      </c>
      <c r="L1522">
        <f>IF(K1522&gt;=80,"Yes","No")</f>
        <v/>
      </c>
      <c r="M1522">
        <f>IF(ISNUMBER(H1522),IF(H1522&gt;0,1,0),"")</f>
        <v/>
      </c>
    </row>
    <row r="1523">
      <c r="A1523" t="inlineStr">
        <is>
          <t>SIMULATED_FEA_Commercial_Study</t>
        </is>
      </c>
      <c r="B1523" t="inlineStr">
        <is>
          <t>V29</t>
        </is>
      </c>
      <c r="C1523" t="inlineStr">
        <is>
          <t>Stimulus</t>
        </is>
      </c>
      <c r="D1523" t="inlineStr">
        <is>
          <t>Commercial</t>
        </is>
      </c>
      <c r="E1523" t="n">
        <v>60</v>
      </c>
      <c r="F1523" t="inlineStr">
        <is>
          <t>Positive Valence</t>
        </is>
      </c>
      <c r="G1523" t="n">
        <v>50</v>
      </c>
      <c r="H1523" t="n">
        <v>30.56</v>
      </c>
      <c r="I1523" t="n">
        <v>8</v>
      </c>
      <c r="J1523" t="inlineStr">
        <is>
          <t>NA</t>
        </is>
      </c>
      <c r="K1523" t="n">
        <v>95.8</v>
      </c>
      <c r="L1523">
        <f>IF(K1523&gt;=80,"Yes","No")</f>
        <v/>
      </c>
      <c r="M1523">
        <f>IF(ISNUMBER(H1523),IF(H1523&gt;0,1,0),"")</f>
        <v/>
      </c>
    </row>
    <row r="1524">
      <c r="A1524" t="inlineStr">
        <is>
          <t>SIMULATED_FEA_Commercial_Study</t>
        </is>
      </c>
      <c r="B1524" t="inlineStr">
        <is>
          <t>V29</t>
        </is>
      </c>
      <c r="C1524" t="inlineStr">
        <is>
          <t>Stimulus</t>
        </is>
      </c>
      <c r="D1524" t="inlineStr">
        <is>
          <t>Commercial</t>
        </is>
      </c>
      <c r="E1524" t="n">
        <v>60</v>
      </c>
      <c r="F1524" t="inlineStr">
        <is>
          <t>Negative Valence</t>
        </is>
      </c>
      <c r="G1524" t="n">
        <v>-50</v>
      </c>
      <c r="H1524" t="n">
        <v>0</v>
      </c>
      <c r="I1524" t="n">
        <v>0</v>
      </c>
      <c r="J1524" t="inlineStr">
        <is>
          <t>NA</t>
        </is>
      </c>
      <c r="K1524" t="n">
        <v>95.8</v>
      </c>
      <c r="L1524">
        <f>IF(K1524&gt;=80,"Yes","No")</f>
        <v/>
      </c>
      <c r="M1524">
        <f>IF(ISNUMBER(H1524),IF(H1524&gt;0,1,0),"")</f>
        <v/>
      </c>
    </row>
    <row r="1525">
      <c r="A1525" t="inlineStr">
        <is>
          <t>SIMULATED_FEA_Commercial_Study</t>
        </is>
      </c>
      <c r="B1525" t="inlineStr">
        <is>
          <t>V29</t>
        </is>
      </c>
      <c r="C1525" t="inlineStr">
        <is>
          <t>Stimulus</t>
        </is>
      </c>
      <c r="D1525" t="inlineStr">
        <is>
          <t>Commercial</t>
        </is>
      </c>
      <c r="E1525" t="n">
        <v>60</v>
      </c>
      <c r="F1525" t="inlineStr">
        <is>
          <t>Engagement</t>
        </is>
      </c>
      <c r="G1525" t="inlineStr">
        <is>
          <t>NA</t>
        </is>
      </c>
      <c r="H1525" t="inlineStr">
        <is>
          <t>NA</t>
        </is>
      </c>
      <c r="I1525" t="inlineStr">
        <is>
          <t>NA</t>
        </is>
      </c>
      <c r="J1525" t="n">
        <v>26.22</v>
      </c>
      <c r="K1525" t="n">
        <v>95.8</v>
      </c>
      <c r="L1525">
        <f>IF(K1525&gt;=80,"Yes","No")</f>
        <v/>
      </c>
      <c r="M1525">
        <f>IF(ISNUMBER(H1525),IF(H1525&gt;0,1,0),"")</f>
        <v/>
      </c>
    </row>
    <row r="1526">
      <c r="A1526" t="inlineStr">
        <is>
          <t>SIMULATED_FEA_Commercial_Study</t>
        </is>
      </c>
      <c r="B1526" t="inlineStr">
        <is>
          <t>V29</t>
        </is>
      </c>
      <c r="C1526" t="inlineStr">
        <is>
          <t>Stimulus</t>
        </is>
      </c>
      <c r="D1526" t="inlineStr">
        <is>
          <t>Recovery</t>
        </is>
      </c>
      <c r="E1526" t="n">
        <v>15</v>
      </c>
      <c r="F1526" t="inlineStr">
        <is>
          <t>Joy</t>
        </is>
      </c>
      <c r="G1526" t="n">
        <v>50</v>
      </c>
      <c r="H1526" t="n">
        <v>10.67</v>
      </c>
      <c r="I1526" t="n">
        <v>1</v>
      </c>
      <c r="J1526" t="inlineStr">
        <is>
          <t>NA</t>
        </is>
      </c>
      <c r="K1526" t="n">
        <v>95.8</v>
      </c>
      <c r="L1526">
        <f>IF(K1526&gt;=80,"Yes","No")</f>
        <v/>
      </c>
      <c r="M1526">
        <f>IF(ISNUMBER(H1526),IF(H1526&gt;0,1,0),"")</f>
        <v/>
      </c>
    </row>
    <row r="1527">
      <c r="A1527" t="inlineStr">
        <is>
          <t>SIMULATED_FEA_Commercial_Study</t>
        </is>
      </c>
      <c r="B1527" t="inlineStr">
        <is>
          <t>V29</t>
        </is>
      </c>
      <c r="C1527" t="inlineStr">
        <is>
          <t>Stimulus</t>
        </is>
      </c>
      <c r="D1527" t="inlineStr">
        <is>
          <t>Recovery</t>
        </is>
      </c>
      <c r="E1527" t="n">
        <v>15</v>
      </c>
      <c r="F1527" t="inlineStr">
        <is>
          <t>Surprise</t>
        </is>
      </c>
      <c r="G1527" t="n">
        <v>50</v>
      </c>
      <c r="H1527" t="n">
        <v>0</v>
      </c>
      <c r="I1527" t="n">
        <v>0</v>
      </c>
      <c r="J1527" t="inlineStr">
        <is>
          <t>NA</t>
        </is>
      </c>
      <c r="K1527" t="n">
        <v>95.8</v>
      </c>
      <c r="L1527">
        <f>IF(K1527&gt;=80,"Yes","No")</f>
        <v/>
      </c>
      <c r="M1527">
        <f>IF(ISNUMBER(H1527),IF(H1527&gt;0,1,0),"")</f>
        <v/>
      </c>
    </row>
    <row r="1528">
      <c r="A1528" t="inlineStr">
        <is>
          <t>SIMULATED_FEA_Commercial_Study</t>
        </is>
      </c>
      <c r="B1528" t="inlineStr">
        <is>
          <t>V29</t>
        </is>
      </c>
      <c r="C1528" t="inlineStr">
        <is>
          <t>Stimulus</t>
        </is>
      </c>
      <c r="D1528" t="inlineStr">
        <is>
          <t>Recovery</t>
        </is>
      </c>
      <c r="E1528" t="n">
        <v>15</v>
      </c>
      <c r="F1528" t="inlineStr">
        <is>
          <t>Brow Furrow</t>
        </is>
      </c>
      <c r="G1528" t="n">
        <v>50</v>
      </c>
      <c r="H1528" t="n">
        <v>0</v>
      </c>
      <c r="I1528" t="n">
        <v>0</v>
      </c>
      <c r="J1528" t="inlineStr">
        <is>
          <t>NA</t>
        </is>
      </c>
      <c r="K1528" t="n">
        <v>95.8</v>
      </c>
      <c r="L1528">
        <f>IF(K1528&gt;=80,"Yes","No")</f>
        <v/>
      </c>
      <c r="M1528">
        <f>IF(ISNUMBER(H1528),IF(H1528&gt;0,1,0),"")</f>
        <v/>
      </c>
    </row>
    <row r="1529">
      <c r="A1529" t="inlineStr">
        <is>
          <t>SIMULATED_FEA_Commercial_Study</t>
        </is>
      </c>
      <c r="B1529" t="inlineStr">
        <is>
          <t>V29</t>
        </is>
      </c>
      <c r="C1529" t="inlineStr">
        <is>
          <t>Stimulus</t>
        </is>
      </c>
      <c r="D1529" t="inlineStr">
        <is>
          <t>Recovery</t>
        </is>
      </c>
      <c r="E1529" t="n">
        <v>15</v>
      </c>
      <c r="F1529" t="inlineStr">
        <is>
          <t>Positive Valence</t>
        </is>
      </c>
      <c r="G1529" t="n">
        <v>50</v>
      </c>
      <c r="H1529" t="n">
        <v>9.779999999999999</v>
      </c>
      <c r="I1529" t="n">
        <v>1</v>
      </c>
      <c r="J1529" t="inlineStr">
        <is>
          <t>NA</t>
        </is>
      </c>
      <c r="K1529" t="n">
        <v>95.8</v>
      </c>
      <c r="L1529">
        <f>IF(K1529&gt;=80,"Yes","No")</f>
        <v/>
      </c>
      <c r="M1529">
        <f>IF(ISNUMBER(H1529),IF(H1529&gt;0,1,0),"")</f>
        <v/>
      </c>
    </row>
    <row r="1530">
      <c r="A1530" t="inlineStr">
        <is>
          <t>SIMULATED_FEA_Commercial_Study</t>
        </is>
      </c>
      <c r="B1530" t="inlineStr">
        <is>
          <t>V29</t>
        </is>
      </c>
      <c r="C1530" t="inlineStr">
        <is>
          <t>Stimulus</t>
        </is>
      </c>
      <c r="D1530" t="inlineStr">
        <is>
          <t>Recovery</t>
        </is>
      </c>
      <c r="E1530" t="n">
        <v>15</v>
      </c>
      <c r="F1530" t="inlineStr">
        <is>
          <t>Negative Valence</t>
        </is>
      </c>
      <c r="G1530" t="n">
        <v>-50</v>
      </c>
      <c r="H1530" t="n">
        <v>0</v>
      </c>
      <c r="I1530" t="n">
        <v>0</v>
      </c>
      <c r="J1530" t="inlineStr">
        <is>
          <t>NA</t>
        </is>
      </c>
      <c r="K1530" t="n">
        <v>95.8</v>
      </c>
      <c r="L1530">
        <f>IF(K1530&gt;=80,"Yes","No")</f>
        <v/>
      </c>
      <c r="M1530">
        <f>IF(ISNUMBER(H1530),IF(H1530&gt;0,1,0),"")</f>
        <v/>
      </c>
    </row>
    <row r="1531">
      <c r="A1531" t="inlineStr">
        <is>
          <t>SIMULATED_FEA_Commercial_Study</t>
        </is>
      </c>
      <c r="B1531" t="inlineStr">
        <is>
          <t>V29</t>
        </is>
      </c>
      <c r="C1531" t="inlineStr">
        <is>
          <t>Stimulus</t>
        </is>
      </c>
      <c r="D1531" t="inlineStr">
        <is>
          <t>Recovery</t>
        </is>
      </c>
      <c r="E1531" t="n">
        <v>15</v>
      </c>
      <c r="F1531" t="inlineStr">
        <is>
          <t>Engagement</t>
        </is>
      </c>
      <c r="G1531" t="inlineStr">
        <is>
          <t>NA</t>
        </is>
      </c>
      <c r="H1531" t="inlineStr">
        <is>
          <t>NA</t>
        </is>
      </c>
      <c r="I1531" t="inlineStr">
        <is>
          <t>NA</t>
        </is>
      </c>
      <c r="J1531" t="n">
        <v>9.359999999999999</v>
      </c>
      <c r="K1531" t="n">
        <v>95.8</v>
      </c>
      <c r="L1531">
        <f>IF(K1531&gt;=80,"Yes","No")</f>
        <v/>
      </c>
      <c r="M1531">
        <f>IF(ISNUMBER(H1531),IF(H1531&gt;0,1,0),"")</f>
        <v/>
      </c>
    </row>
    <row r="1532">
      <c r="A1532" t="inlineStr">
        <is>
          <t>SIMULATED_FEA_Commercial_Study</t>
        </is>
      </c>
      <c r="B1532" t="inlineStr">
        <is>
          <t>V29</t>
        </is>
      </c>
      <c r="C1532" t="inlineStr">
        <is>
          <t>Annotation</t>
        </is>
      </c>
      <c r="D1532" t="inlineStr">
        <is>
          <t>Bin_01</t>
        </is>
      </c>
      <c r="E1532" t="n">
        <v>10</v>
      </c>
      <c r="F1532" t="inlineStr">
        <is>
          <t>Joy</t>
        </is>
      </c>
      <c r="G1532" t="n">
        <v>50</v>
      </c>
      <c r="H1532" t="n">
        <v>0</v>
      </c>
      <c r="I1532" t="n">
        <v>0</v>
      </c>
      <c r="J1532" t="inlineStr">
        <is>
          <t>NA</t>
        </is>
      </c>
      <c r="K1532" t="n">
        <v>95.8</v>
      </c>
      <c r="L1532">
        <f>IF(K1532&gt;=80,"Yes","No")</f>
        <v/>
      </c>
      <c r="M1532">
        <f>IF(ISNUMBER(H1532),IF(H1532&gt;0,1,0),"")</f>
        <v/>
      </c>
    </row>
    <row r="1533">
      <c r="A1533" t="inlineStr">
        <is>
          <t>SIMULATED_FEA_Commercial_Study</t>
        </is>
      </c>
      <c r="B1533" t="inlineStr">
        <is>
          <t>V29</t>
        </is>
      </c>
      <c r="C1533" t="inlineStr">
        <is>
          <t>Annotation</t>
        </is>
      </c>
      <c r="D1533" t="inlineStr">
        <is>
          <t>Bin_01</t>
        </is>
      </c>
      <c r="E1533" t="n">
        <v>10</v>
      </c>
      <c r="F1533" t="inlineStr">
        <is>
          <t>Surprise</t>
        </is>
      </c>
      <c r="G1533" t="n">
        <v>50</v>
      </c>
      <c r="H1533" t="n">
        <v>0</v>
      </c>
      <c r="I1533" t="n">
        <v>0</v>
      </c>
      <c r="J1533" t="inlineStr">
        <is>
          <t>NA</t>
        </is>
      </c>
      <c r="K1533" t="n">
        <v>95.8</v>
      </c>
      <c r="L1533">
        <f>IF(K1533&gt;=80,"Yes","No")</f>
        <v/>
      </c>
      <c r="M1533">
        <f>IF(ISNUMBER(H1533),IF(H1533&gt;0,1,0),"")</f>
        <v/>
      </c>
    </row>
    <row r="1534">
      <c r="A1534" t="inlineStr">
        <is>
          <t>SIMULATED_FEA_Commercial_Study</t>
        </is>
      </c>
      <c r="B1534" t="inlineStr">
        <is>
          <t>V29</t>
        </is>
      </c>
      <c r="C1534" t="inlineStr">
        <is>
          <t>Annotation</t>
        </is>
      </c>
      <c r="D1534" t="inlineStr">
        <is>
          <t>Bin_01</t>
        </is>
      </c>
      <c r="E1534" t="n">
        <v>10</v>
      </c>
      <c r="F1534" t="inlineStr">
        <is>
          <t>Brow Furrow</t>
        </is>
      </c>
      <c r="G1534" t="n">
        <v>50</v>
      </c>
      <c r="H1534" t="n">
        <v>0</v>
      </c>
      <c r="I1534" t="n">
        <v>0</v>
      </c>
      <c r="J1534" t="inlineStr">
        <is>
          <t>NA</t>
        </is>
      </c>
      <c r="K1534" t="n">
        <v>95.8</v>
      </c>
      <c r="L1534">
        <f>IF(K1534&gt;=80,"Yes","No")</f>
        <v/>
      </c>
      <c r="M1534">
        <f>IF(ISNUMBER(H1534),IF(H1534&gt;0,1,0),"")</f>
        <v/>
      </c>
    </row>
    <row r="1535">
      <c r="A1535" t="inlineStr">
        <is>
          <t>SIMULATED_FEA_Commercial_Study</t>
        </is>
      </c>
      <c r="B1535" t="inlineStr">
        <is>
          <t>V29</t>
        </is>
      </c>
      <c r="C1535" t="inlineStr">
        <is>
          <t>Annotation</t>
        </is>
      </c>
      <c r="D1535" t="inlineStr">
        <is>
          <t>Bin_01</t>
        </is>
      </c>
      <c r="E1535" t="n">
        <v>10</v>
      </c>
      <c r="F1535" t="inlineStr">
        <is>
          <t>Positive Valence</t>
        </is>
      </c>
      <c r="G1535" t="n">
        <v>50</v>
      </c>
      <c r="H1535" t="n">
        <v>0</v>
      </c>
      <c r="I1535" t="n">
        <v>0</v>
      </c>
      <c r="J1535" t="inlineStr">
        <is>
          <t>NA</t>
        </is>
      </c>
      <c r="K1535" t="n">
        <v>95.8</v>
      </c>
      <c r="L1535">
        <f>IF(K1535&gt;=80,"Yes","No")</f>
        <v/>
      </c>
      <c r="M1535">
        <f>IF(ISNUMBER(H1535),IF(H1535&gt;0,1,0),"")</f>
        <v/>
      </c>
    </row>
    <row r="1536">
      <c r="A1536" t="inlineStr">
        <is>
          <t>SIMULATED_FEA_Commercial_Study</t>
        </is>
      </c>
      <c r="B1536" t="inlineStr">
        <is>
          <t>V29</t>
        </is>
      </c>
      <c r="C1536" t="inlineStr">
        <is>
          <t>Annotation</t>
        </is>
      </c>
      <c r="D1536" t="inlineStr">
        <is>
          <t>Bin_01</t>
        </is>
      </c>
      <c r="E1536" t="n">
        <v>10</v>
      </c>
      <c r="F1536" t="inlineStr">
        <is>
          <t>Negative Valence</t>
        </is>
      </c>
      <c r="G1536" t="n">
        <v>-50</v>
      </c>
      <c r="H1536" t="n">
        <v>0</v>
      </c>
      <c r="I1536" t="n">
        <v>0</v>
      </c>
      <c r="J1536" t="inlineStr">
        <is>
          <t>NA</t>
        </is>
      </c>
      <c r="K1536" t="n">
        <v>95.8</v>
      </c>
      <c r="L1536">
        <f>IF(K1536&gt;=80,"Yes","No")</f>
        <v/>
      </c>
      <c r="M1536">
        <f>IF(ISNUMBER(H1536),IF(H1536&gt;0,1,0),"")</f>
        <v/>
      </c>
    </row>
    <row r="1537">
      <c r="A1537" t="inlineStr">
        <is>
          <t>SIMULATED_FEA_Commercial_Study</t>
        </is>
      </c>
      <c r="B1537" t="inlineStr">
        <is>
          <t>V29</t>
        </is>
      </c>
      <c r="C1537" t="inlineStr">
        <is>
          <t>Annotation</t>
        </is>
      </c>
      <c r="D1537" t="inlineStr">
        <is>
          <t>Bin_01</t>
        </is>
      </c>
      <c r="E1537" t="n">
        <v>10</v>
      </c>
      <c r="F1537" t="inlineStr">
        <is>
          <t>Engagement</t>
        </is>
      </c>
      <c r="G1537" t="inlineStr">
        <is>
          <t>NA</t>
        </is>
      </c>
      <c r="H1537" t="inlineStr">
        <is>
          <t>NA</t>
        </is>
      </c>
      <c r="I1537" t="inlineStr">
        <is>
          <t>NA</t>
        </is>
      </c>
      <c r="J1537" t="n">
        <v>4.99</v>
      </c>
      <c r="K1537" t="n">
        <v>95.8</v>
      </c>
      <c r="L1537">
        <f>IF(K1537&gt;=80,"Yes","No")</f>
        <v/>
      </c>
      <c r="M1537">
        <f>IF(ISNUMBER(H1537),IF(H1537&gt;0,1,0),"")</f>
        <v/>
      </c>
    </row>
    <row r="1538">
      <c r="A1538" t="inlineStr">
        <is>
          <t>SIMULATED_FEA_Commercial_Study</t>
        </is>
      </c>
      <c r="B1538" t="inlineStr">
        <is>
          <t>V29</t>
        </is>
      </c>
      <c r="C1538" t="inlineStr">
        <is>
          <t>Annotation</t>
        </is>
      </c>
      <c r="D1538" t="inlineStr">
        <is>
          <t>Bin_02</t>
        </is>
      </c>
      <c r="E1538" t="n">
        <v>10</v>
      </c>
      <c r="F1538" t="inlineStr">
        <is>
          <t>Joy</t>
        </is>
      </c>
      <c r="G1538" t="n">
        <v>50</v>
      </c>
      <c r="H1538" t="n">
        <v>47.33</v>
      </c>
      <c r="I1538" t="n">
        <v>4</v>
      </c>
      <c r="J1538" t="inlineStr">
        <is>
          <t>NA</t>
        </is>
      </c>
      <c r="K1538" t="n">
        <v>95.8</v>
      </c>
      <c r="L1538">
        <f>IF(K1538&gt;=80,"Yes","No")</f>
        <v/>
      </c>
      <c r="M1538">
        <f>IF(ISNUMBER(H1538),IF(H1538&gt;0,1,0),"")</f>
        <v/>
      </c>
    </row>
    <row r="1539">
      <c r="A1539" t="inlineStr">
        <is>
          <t>SIMULATED_FEA_Commercial_Study</t>
        </is>
      </c>
      <c r="B1539" t="inlineStr">
        <is>
          <t>V29</t>
        </is>
      </c>
      <c r="C1539" t="inlineStr">
        <is>
          <t>Annotation</t>
        </is>
      </c>
      <c r="D1539" t="inlineStr">
        <is>
          <t>Bin_02</t>
        </is>
      </c>
      <c r="E1539" t="n">
        <v>10</v>
      </c>
      <c r="F1539" t="inlineStr">
        <is>
          <t>Surprise</t>
        </is>
      </c>
      <c r="G1539" t="n">
        <v>50</v>
      </c>
      <c r="H1539" t="n">
        <v>0</v>
      </c>
      <c r="I1539" t="n">
        <v>0</v>
      </c>
      <c r="J1539" t="inlineStr">
        <is>
          <t>NA</t>
        </is>
      </c>
      <c r="K1539" t="n">
        <v>95.8</v>
      </c>
      <c r="L1539">
        <f>IF(K1539&gt;=80,"Yes","No")</f>
        <v/>
      </c>
      <c r="M1539">
        <f>IF(ISNUMBER(H1539),IF(H1539&gt;0,1,0),"")</f>
        <v/>
      </c>
    </row>
    <row r="1540">
      <c r="A1540" t="inlineStr">
        <is>
          <t>SIMULATED_FEA_Commercial_Study</t>
        </is>
      </c>
      <c r="B1540" t="inlineStr">
        <is>
          <t>V29</t>
        </is>
      </c>
      <c r="C1540" t="inlineStr">
        <is>
          <t>Annotation</t>
        </is>
      </c>
      <c r="D1540" t="inlineStr">
        <is>
          <t>Bin_02</t>
        </is>
      </c>
      <c r="E1540" t="n">
        <v>10</v>
      </c>
      <c r="F1540" t="inlineStr">
        <is>
          <t>Brow Furrow</t>
        </is>
      </c>
      <c r="G1540" t="n">
        <v>50</v>
      </c>
      <c r="H1540" t="n">
        <v>0</v>
      </c>
      <c r="I1540" t="n">
        <v>0</v>
      </c>
      <c r="J1540" t="inlineStr">
        <is>
          <t>NA</t>
        </is>
      </c>
      <c r="K1540" t="n">
        <v>95.8</v>
      </c>
      <c r="L1540">
        <f>IF(K1540&gt;=80,"Yes","No")</f>
        <v/>
      </c>
      <c r="M1540">
        <f>IF(ISNUMBER(H1540),IF(H1540&gt;0,1,0),"")</f>
        <v/>
      </c>
    </row>
    <row r="1541">
      <c r="A1541" t="inlineStr">
        <is>
          <t>SIMULATED_FEA_Commercial_Study</t>
        </is>
      </c>
      <c r="B1541" t="inlineStr">
        <is>
          <t>V29</t>
        </is>
      </c>
      <c r="C1541" t="inlineStr">
        <is>
          <t>Annotation</t>
        </is>
      </c>
      <c r="D1541" t="inlineStr">
        <is>
          <t>Bin_02</t>
        </is>
      </c>
      <c r="E1541" t="n">
        <v>10</v>
      </c>
      <c r="F1541" t="inlineStr">
        <is>
          <t>Positive Valence</t>
        </is>
      </c>
      <c r="G1541" t="n">
        <v>50</v>
      </c>
      <c r="H1541" t="n">
        <v>32.67</v>
      </c>
      <c r="I1541" t="n">
        <v>2</v>
      </c>
      <c r="J1541" t="inlineStr">
        <is>
          <t>NA</t>
        </is>
      </c>
      <c r="K1541" t="n">
        <v>95.8</v>
      </c>
      <c r="L1541">
        <f>IF(K1541&gt;=80,"Yes","No")</f>
        <v/>
      </c>
      <c r="M1541">
        <f>IF(ISNUMBER(H1541),IF(H1541&gt;0,1,0),"")</f>
        <v/>
      </c>
    </row>
    <row r="1542">
      <c r="A1542" t="inlineStr">
        <is>
          <t>SIMULATED_FEA_Commercial_Study</t>
        </is>
      </c>
      <c r="B1542" t="inlineStr">
        <is>
          <t>V29</t>
        </is>
      </c>
      <c r="C1542" t="inlineStr">
        <is>
          <t>Annotation</t>
        </is>
      </c>
      <c r="D1542" t="inlineStr">
        <is>
          <t>Bin_02</t>
        </is>
      </c>
      <c r="E1542" t="n">
        <v>10</v>
      </c>
      <c r="F1542" t="inlineStr">
        <is>
          <t>Negative Valence</t>
        </is>
      </c>
      <c r="G1542" t="n">
        <v>-50</v>
      </c>
      <c r="H1542" t="n">
        <v>0</v>
      </c>
      <c r="I1542" t="n">
        <v>0</v>
      </c>
      <c r="J1542" t="inlineStr">
        <is>
          <t>NA</t>
        </is>
      </c>
      <c r="K1542" t="n">
        <v>95.8</v>
      </c>
      <c r="L1542">
        <f>IF(K1542&gt;=80,"Yes","No")</f>
        <v/>
      </c>
      <c r="M1542">
        <f>IF(ISNUMBER(H1542),IF(H1542&gt;0,1,0),"")</f>
        <v/>
      </c>
    </row>
    <row r="1543">
      <c r="A1543" t="inlineStr">
        <is>
          <t>SIMULATED_FEA_Commercial_Study</t>
        </is>
      </c>
      <c r="B1543" t="inlineStr">
        <is>
          <t>V29</t>
        </is>
      </c>
      <c r="C1543" t="inlineStr">
        <is>
          <t>Annotation</t>
        </is>
      </c>
      <c r="D1543" t="inlineStr">
        <is>
          <t>Bin_02</t>
        </is>
      </c>
      <c r="E1543" t="n">
        <v>10</v>
      </c>
      <c r="F1543" t="inlineStr">
        <is>
          <t>Engagement</t>
        </is>
      </c>
      <c r="G1543" t="inlineStr">
        <is>
          <t>NA</t>
        </is>
      </c>
      <c r="H1543" t="inlineStr">
        <is>
          <t>NA</t>
        </is>
      </c>
      <c r="I1543" t="inlineStr">
        <is>
          <t>NA</t>
        </is>
      </c>
      <c r="J1543" t="n">
        <v>24.91</v>
      </c>
      <c r="K1543" t="n">
        <v>95.8</v>
      </c>
      <c r="L1543">
        <f>IF(K1543&gt;=80,"Yes","No")</f>
        <v/>
      </c>
      <c r="M1543">
        <f>IF(ISNUMBER(H1543),IF(H1543&gt;0,1,0),"")</f>
        <v/>
      </c>
    </row>
    <row r="1544">
      <c r="A1544" t="inlineStr">
        <is>
          <t>SIMULATED_FEA_Commercial_Study</t>
        </is>
      </c>
      <c r="B1544" t="inlineStr">
        <is>
          <t>V29</t>
        </is>
      </c>
      <c r="C1544" t="inlineStr">
        <is>
          <t>Annotation</t>
        </is>
      </c>
      <c r="D1544" t="inlineStr">
        <is>
          <t>Bin_03</t>
        </is>
      </c>
      <c r="E1544" t="n">
        <v>10</v>
      </c>
      <c r="F1544" t="inlineStr">
        <is>
          <t>Joy</t>
        </is>
      </c>
      <c r="G1544" t="n">
        <v>50</v>
      </c>
      <c r="H1544" t="n">
        <v>3</v>
      </c>
      <c r="I1544" t="n">
        <v>1</v>
      </c>
      <c r="J1544" t="inlineStr">
        <is>
          <t>NA</t>
        </is>
      </c>
      <c r="K1544" t="n">
        <v>95.8</v>
      </c>
      <c r="L1544">
        <f>IF(K1544&gt;=80,"Yes","No")</f>
        <v/>
      </c>
      <c r="M1544">
        <f>IF(ISNUMBER(H1544),IF(H1544&gt;0,1,0),"")</f>
        <v/>
      </c>
    </row>
    <row r="1545">
      <c r="A1545" t="inlineStr">
        <is>
          <t>SIMULATED_FEA_Commercial_Study</t>
        </is>
      </c>
      <c r="B1545" t="inlineStr">
        <is>
          <t>V29</t>
        </is>
      </c>
      <c r="C1545" t="inlineStr">
        <is>
          <t>Annotation</t>
        </is>
      </c>
      <c r="D1545" t="inlineStr">
        <is>
          <t>Bin_03</t>
        </is>
      </c>
      <c r="E1545" t="n">
        <v>10</v>
      </c>
      <c r="F1545" t="inlineStr">
        <is>
          <t>Surprise</t>
        </is>
      </c>
      <c r="G1545" t="n">
        <v>50</v>
      </c>
      <c r="H1545" t="n">
        <v>6.33</v>
      </c>
      <c r="I1545" t="n">
        <v>1</v>
      </c>
      <c r="J1545" t="inlineStr">
        <is>
          <t>NA</t>
        </is>
      </c>
      <c r="K1545" t="n">
        <v>95.8</v>
      </c>
      <c r="L1545">
        <f>IF(K1545&gt;=80,"Yes","No")</f>
        <v/>
      </c>
      <c r="M1545">
        <f>IF(ISNUMBER(H1545),IF(H1545&gt;0,1,0),"")</f>
        <v/>
      </c>
    </row>
    <row r="1546">
      <c r="A1546" t="inlineStr">
        <is>
          <t>SIMULATED_FEA_Commercial_Study</t>
        </is>
      </c>
      <c r="B1546" t="inlineStr">
        <is>
          <t>V29</t>
        </is>
      </c>
      <c r="C1546" t="inlineStr">
        <is>
          <t>Annotation</t>
        </is>
      </c>
      <c r="D1546" t="inlineStr">
        <is>
          <t>Bin_03</t>
        </is>
      </c>
      <c r="E1546" t="n">
        <v>10</v>
      </c>
      <c r="F1546" t="inlineStr">
        <is>
          <t>Brow Furrow</t>
        </is>
      </c>
      <c r="G1546" t="n">
        <v>50</v>
      </c>
      <c r="H1546" t="n">
        <v>0</v>
      </c>
      <c r="I1546" t="n">
        <v>0</v>
      </c>
      <c r="J1546" t="inlineStr">
        <is>
          <t>NA</t>
        </is>
      </c>
      <c r="K1546" t="n">
        <v>95.8</v>
      </c>
      <c r="L1546">
        <f>IF(K1546&gt;=80,"Yes","No")</f>
        <v/>
      </c>
      <c r="M1546">
        <f>IF(ISNUMBER(H1546),IF(H1546&gt;0,1,0),"")</f>
        <v/>
      </c>
    </row>
    <row r="1547">
      <c r="A1547" t="inlineStr">
        <is>
          <t>SIMULATED_FEA_Commercial_Study</t>
        </is>
      </c>
      <c r="B1547" t="inlineStr">
        <is>
          <t>V29</t>
        </is>
      </c>
      <c r="C1547" t="inlineStr">
        <is>
          <t>Annotation</t>
        </is>
      </c>
      <c r="D1547" t="inlineStr">
        <is>
          <t>Bin_03</t>
        </is>
      </c>
      <c r="E1547" t="n">
        <v>10</v>
      </c>
      <c r="F1547" t="inlineStr">
        <is>
          <t>Positive Valence</t>
        </is>
      </c>
      <c r="G1547" t="n">
        <v>50</v>
      </c>
      <c r="H1547" t="n">
        <v>2.33</v>
      </c>
      <c r="I1547" t="n">
        <v>1</v>
      </c>
      <c r="J1547" t="inlineStr">
        <is>
          <t>NA</t>
        </is>
      </c>
      <c r="K1547" t="n">
        <v>95.8</v>
      </c>
      <c r="L1547">
        <f>IF(K1547&gt;=80,"Yes","No")</f>
        <v/>
      </c>
      <c r="M1547">
        <f>IF(ISNUMBER(H1547),IF(H1547&gt;0,1,0),"")</f>
        <v/>
      </c>
    </row>
    <row r="1548">
      <c r="A1548" t="inlineStr">
        <is>
          <t>SIMULATED_FEA_Commercial_Study</t>
        </is>
      </c>
      <c r="B1548" t="inlineStr">
        <is>
          <t>V29</t>
        </is>
      </c>
      <c r="C1548" t="inlineStr">
        <is>
          <t>Annotation</t>
        </is>
      </c>
      <c r="D1548" t="inlineStr">
        <is>
          <t>Bin_03</t>
        </is>
      </c>
      <c r="E1548" t="n">
        <v>10</v>
      </c>
      <c r="F1548" t="inlineStr">
        <is>
          <t>Negative Valence</t>
        </is>
      </c>
      <c r="G1548" t="n">
        <v>-50</v>
      </c>
      <c r="H1548" t="n">
        <v>0</v>
      </c>
      <c r="I1548" t="n">
        <v>0</v>
      </c>
      <c r="J1548" t="inlineStr">
        <is>
          <t>NA</t>
        </is>
      </c>
      <c r="K1548" t="n">
        <v>95.8</v>
      </c>
      <c r="L1548">
        <f>IF(K1548&gt;=80,"Yes","No")</f>
        <v/>
      </c>
      <c r="M1548">
        <f>IF(ISNUMBER(H1548),IF(H1548&gt;0,1,0),"")</f>
        <v/>
      </c>
    </row>
    <row r="1549">
      <c r="A1549" t="inlineStr">
        <is>
          <t>SIMULATED_FEA_Commercial_Study</t>
        </is>
      </c>
      <c r="B1549" t="inlineStr">
        <is>
          <t>V29</t>
        </is>
      </c>
      <c r="C1549" t="inlineStr">
        <is>
          <t>Annotation</t>
        </is>
      </c>
      <c r="D1549" t="inlineStr">
        <is>
          <t>Bin_03</t>
        </is>
      </c>
      <c r="E1549" t="n">
        <v>10</v>
      </c>
      <c r="F1549" t="inlineStr">
        <is>
          <t>Engagement</t>
        </is>
      </c>
      <c r="G1549" t="inlineStr">
        <is>
          <t>NA</t>
        </is>
      </c>
      <c r="H1549" t="inlineStr">
        <is>
          <t>NA</t>
        </is>
      </c>
      <c r="I1549" t="inlineStr">
        <is>
          <t>NA</t>
        </is>
      </c>
      <c r="J1549" t="n">
        <v>13.03</v>
      </c>
      <c r="K1549" t="n">
        <v>95.8</v>
      </c>
      <c r="L1549">
        <f>IF(K1549&gt;=80,"Yes","No")</f>
        <v/>
      </c>
      <c r="M1549">
        <f>IF(ISNUMBER(H1549),IF(H1549&gt;0,1,0),"")</f>
        <v/>
      </c>
    </row>
    <row r="1550">
      <c r="A1550" t="inlineStr">
        <is>
          <t>SIMULATED_FEA_Commercial_Study</t>
        </is>
      </c>
      <c r="B1550" t="inlineStr">
        <is>
          <t>V29</t>
        </is>
      </c>
      <c r="C1550" t="inlineStr">
        <is>
          <t>Annotation</t>
        </is>
      </c>
      <c r="D1550" t="inlineStr">
        <is>
          <t>Bin_04</t>
        </is>
      </c>
      <c r="E1550" t="n">
        <v>10</v>
      </c>
      <c r="F1550" t="inlineStr">
        <is>
          <t>Joy</t>
        </is>
      </c>
      <c r="G1550" t="n">
        <v>50</v>
      </c>
      <c r="H1550" t="n">
        <v>31</v>
      </c>
      <c r="I1550" t="n">
        <v>1</v>
      </c>
      <c r="J1550" t="inlineStr">
        <is>
          <t>NA</t>
        </is>
      </c>
      <c r="K1550" t="n">
        <v>95.8</v>
      </c>
      <c r="L1550">
        <f>IF(K1550&gt;=80,"Yes","No")</f>
        <v/>
      </c>
      <c r="M1550">
        <f>IF(ISNUMBER(H1550),IF(H1550&gt;0,1,0),"")</f>
        <v/>
      </c>
    </row>
    <row r="1551">
      <c r="A1551" t="inlineStr">
        <is>
          <t>SIMULATED_FEA_Commercial_Study</t>
        </is>
      </c>
      <c r="B1551" t="inlineStr">
        <is>
          <t>V29</t>
        </is>
      </c>
      <c r="C1551" t="inlineStr">
        <is>
          <t>Annotation</t>
        </is>
      </c>
      <c r="D1551" t="inlineStr">
        <is>
          <t>Bin_04</t>
        </is>
      </c>
      <c r="E1551" t="n">
        <v>10</v>
      </c>
      <c r="F1551" t="inlineStr">
        <is>
          <t>Surprise</t>
        </is>
      </c>
      <c r="G1551" t="n">
        <v>50</v>
      </c>
      <c r="H1551" t="n">
        <v>0</v>
      </c>
      <c r="I1551" t="n">
        <v>0</v>
      </c>
      <c r="J1551" t="inlineStr">
        <is>
          <t>NA</t>
        </is>
      </c>
      <c r="K1551" t="n">
        <v>95.8</v>
      </c>
      <c r="L1551">
        <f>IF(K1551&gt;=80,"Yes","No")</f>
        <v/>
      </c>
      <c r="M1551">
        <f>IF(ISNUMBER(H1551),IF(H1551&gt;0,1,0),"")</f>
        <v/>
      </c>
    </row>
    <row r="1552">
      <c r="A1552" t="inlineStr">
        <is>
          <t>SIMULATED_FEA_Commercial_Study</t>
        </is>
      </c>
      <c r="B1552" t="inlineStr">
        <is>
          <t>V29</t>
        </is>
      </c>
      <c r="C1552" t="inlineStr">
        <is>
          <t>Annotation</t>
        </is>
      </c>
      <c r="D1552" t="inlineStr">
        <is>
          <t>Bin_04</t>
        </is>
      </c>
      <c r="E1552" t="n">
        <v>10</v>
      </c>
      <c r="F1552" t="inlineStr">
        <is>
          <t>Brow Furrow</t>
        </is>
      </c>
      <c r="G1552" t="n">
        <v>50</v>
      </c>
      <c r="H1552" t="n">
        <v>0.33</v>
      </c>
      <c r="I1552" t="n">
        <v>1</v>
      </c>
      <c r="J1552" t="inlineStr">
        <is>
          <t>NA</t>
        </is>
      </c>
      <c r="K1552" t="n">
        <v>95.8</v>
      </c>
      <c r="L1552">
        <f>IF(K1552&gt;=80,"Yes","No")</f>
        <v/>
      </c>
      <c r="M1552">
        <f>IF(ISNUMBER(H1552),IF(H1552&gt;0,1,0),"")</f>
        <v/>
      </c>
    </row>
    <row r="1553">
      <c r="A1553" t="inlineStr">
        <is>
          <t>SIMULATED_FEA_Commercial_Study</t>
        </is>
      </c>
      <c r="B1553" t="inlineStr">
        <is>
          <t>V29</t>
        </is>
      </c>
      <c r="C1553" t="inlineStr">
        <is>
          <t>Annotation</t>
        </is>
      </c>
      <c r="D1553" t="inlineStr">
        <is>
          <t>Bin_04</t>
        </is>
      </c>
      <c r="E1553" t="n">
        <v>10</v>
      </c>
      <c r="F1553" t="inlineStr">
        <is>
          <t>Positive Valence</t>
        </is>
      </c>
      <c r="G1553" t="n">
        <v>50</v>
      </c>
      <c r="H1553" t="n">
        <v>30</v>
      </c>
      <c r="I1553" t="n">
        <v>2</v>
      </c>
      <c r="J1553" t="inlineStr">
        <is>
          <t>NA</t>
        </is>
      </c>
      <c r="K1553" t="n">
        <v>95.8</v>
      </c>
      <c r="L1553">
        <f>IF(K1553&gt;=80,"Yes","No")</f>
        <v/>
      </c>
      <c r="M1553">
        <f>IF(ISNUMBER(H1553),IF(H1553&gt;0,1,0),"")</f>
        <v/>
      </c>
    </row>
    <row r="1554">
      <c r="A1554" t="inlineStr">
        <is>
          <t>SIMULATED_FEA_Commercial_Study</t>
        </is>
      </c>
      <c r="B1554" t="inlineStr">
        <is>
          <t>V29</t>
        </is>
      </c>
      <c r="C1554" t="inlineStr">
        <is>
          <t>Annotation</t>
        </is>
      </c>
      <c r="D1554" t="inlineStr">
        <is>
          <t>Bin_04</t>
        </is>
      </c>
      <c r="E1554" t="n">
        <v>10</v>
      </c>
      <c r="F1554" t="inlineStr">
        <is>
          <t>Negative Valence</t>
        </is>
      </c>
      <c r="G1554" t="n">
        <v>-50</v>
      </c>
      <c r="H1554" t="n">
        <v>0</v>
      </c>
      <c r="I1554" t="n">
        <v>0</v>
      </c>
      <c r="J1554" t="inlineStr">
        <is>
          <t>NA</t>
        </is>
      </c>
      <c r="K1554" t="n">
        <v>95.8</v>
      </c>
      <c r="L1554">
        <f>IF(K1554&gt;=80,"Yes","No")</f>
        <v/>
      </c>
      <c r="M1554">
        <f>IF(ISNUMBER(H1554),IF(H1554&gt;0,1,0),"")</f>
        <v/>
      </c>
    </row>
    <row r="1555">
      <c r="A1555" t="inlineStr">
        <is>
          <t>SIMULATED_FEA_Commercial_Study</t>
        </is>
      </c>
      <c r="B1555" t="inlineStr">
        <is>
          <t>V29</t>
        </is>
      </c>
      <c r="C1555" t="inlineStr">
        <is>
          <t>Annotation</t>
        </is>
      </c>
      <c r="D1555" t="inlineStr">
        <is>
          <t>Bin_04</t>
        </is>
      </c>
      <c r="E1555" t="n">
        <v>10</v>
      </c>
      <c r="F1555" t="inlineStr">
        <is>
          <t>Engagement</t>
        </is>
      </c>
      <c r="G1555" t="inlineStr">
        <is>
          <t>NA</t>
        </is>
      </c>
      <c r="H1555" t="inlineStr">
        <is>
          <t>NA</t>
        </is>
      </c>
      <c r="I1555" t="inlineStr">
        <is>
          <t>NA</t>
        </is>
      </c>
      <c r="J1555" t="n">
        <v>21.59</v>
      </c>
      <c r="K1555" t="n">
        <v>95.8</v>
      </c>
      <c r="L1555">
        <f>IF(K1555&gt;=80,"Yes","No")</f>
        <v/>
      </c>
      <c r="M1555">
        <f>IF(ISNUMBER(H1555),IF(H1555&gt;0,1,0),"")</f>
        <v/>
      </c>
    </row>
    <row r="1556">
      <c r="A1556" t="inlineStr">
        <is>
          <t>SIMULATED_FEA_Commercial_Study</t>
        </is>
      </c>
      <c r="B1556" t="inlineStr">
        <is>
          <t>V29</t>
        </is>
      </c>
      <c r="C1556" t="inlineStr">
        <is>
          <t>Annotation</t>
        </is>
      </c>
      <c r="D1556" t="inlineStr">
        <is>
          <t>Bin_05</t>
        </is>
      </c>
      <c r="E1556" t="n">
        <v>10</v>
      </c>
      <c r="F1556" t="inlineStr">
        <is>
          <t>Joy</t>
        </is>
      </c>
      <c r="G1556" t="n">
        <v>50</v>
      </c>
      <c r="H1556" t="n">
        <v>61.67</v>
      </c>
      <c r="I1556" t="n">
        <v>3</v>
      </c>
      <c r="J1556" t="inlineStr">
        <is>
          <t>NA</t>
        </is>
      </c>
      <c r="K1556" t="n">
        <v>95.8</v>
      </c>
      <c r="L1556">
        <f>IF(K1556&gt;=80,"Yes","No")</f>
        <v/>
      </c>
      <c r="M1556">
        <f>IF(ISNUMBER(H1556),IF(H1556&gt;0,1,0),"")</f>
        <v/>
      </c>
    </row>
    <row r="1557">
      <c r="A1557" t="inlineStr">
        <is>
          <t>SIMULATED_FEA_Commercial_Study</t>
        </is>
      </c>
      <c r="B1557" t="inlineStr">
        <is>
          <t>V29</t>
        </is>
      </c>
      <c r="C1557" t="inlineStr">
        <is>
          <t>Annotation</t>
        </is>
      </c>
      <c r="D1557" t="inlineStr">
        <is>
          <t>Bin_05</t>
        </is>
      </c>
      <c r="E1557" t="n">
        <v>10</v>
      </c>
      <c r="F1557" t="inlineStr">
        <is>
          <t>Surprise</t>
        </is>
      </c>
      <c r="G1557" t="n">
        <v>50</v>
      </c>
      <c r="H1557" t="n">
        <v>0</v>
      </c>
      <c r="I1557" t="n">
        <v>0</v>
      </c>
      <c r="J1557" t="inlineStr">
        <is>
          <t>NA</t>
        </is>
      </c>
      <c r="K1557" t="n">
        <v>95.8</v>
      </c>
      <c r="L1557">
        <f>IF(K1557&gt;=80,"Yes","No")</f>
        <v/>
      </c>
      <c r="M1557">
        <f>IF(ISNUMBER(H1557),IF(H1557&gt;0,1,0),"")</f>
        <v/>
      </c>
    </row>
    <row r="1558">
      <c r="A1558" t="inlineStr">
        <is>
          <t>SIMULATED_FEA_Commercial_Study</t>
        </is>
      </c>
      <c r="B1558" t="inlineStr">
        <is>
          <t>V29</t>
        </is>
      </c>
      <c r="C1558" t="inlineStr">
        <is>
          <t>Annotation</t>
        </is>
      </c>
      <c r="D1558" t="inlineStr">
        <is>
          <t>Bin_05</t>
        </is>
      </c>
      <c r="E1558" t="n">
        <v>10</v>
      </c>
      <c r="F1558" t="inlineStr">
        <is>
          <t>Brow Furrow</t>
        </is>
      </c>
      <c r="G1558" t="n">
        <v>50</v>
      </c>
      <c r="H1558" t="n">
        <v>43</v>
      </c>
      <c r="I1558" t="n">
        <v>1</v>
      </c>
      <c r="J1558" t="inlineStr">
        <is>
          <t>NA</t>
        </is>
      </c>
      <c r="K1558" t="n">
        <v>95.8</v>
      </c>
      <c r="L1558">
        <f>IF(K1558&gt;=80,"Yes","No")</f>
        <v/>
      </c>
      <c r="M1558">
        <f>IF(ISNUMBER(H1558),IF(H1558&gt;0,1,0),"")</f>
        <v/>
      </c>
    </row>
    <row r="1559">
      <c r="A1559" t="inlineStr">
        <is>
          <t>SIMULATED_FEA_Commercial_Study</t>
        </is>
      </c>
      <c r="B1559" t="inlineStr">
        <is>
          <t>V29</t>
        </is>
      </c>
      <c r="C1559" t="inlineStr">
        <is>
          <t>Annotation</t>
        </is>
      </c>
      <c r="D1559" t="inlineStr">
        <is>
          <t>Bin_05</t>
        </is>
      </c>
      <c r="E1559" t="n">
        <v>10</v>
      </c>
      <c r="F1559" t="inlineStr">
        <is>
          <t>Positive Valence</t>
        </is>
      </c>
      <c r="G1559" t="n">
        <v>50</v>
      </c>
      <c r="H1559" t="n">
        <v>63</v>
      </c>
      <c r="I1559" t="n">
        <v>3</v>
      </c>
      <c r="J1559" t="inlineStr">
        <is>
          <t>NA</t>
        </is>
      </c>
      <c r="K1559" t="n">
        <v>95.8</v>
      </c>
      <c r="L1559">
        <f>IF(K1559&gt;=80,"Yes","No")</f>
        <v/>
      </c>
      <c r="M1559">
        <f>IF(ISNUMBER(H1559),IF(H1559&gt;0,1,0),"")</f>
        <v/>
      </c>
    </row>
    <row r="1560">
      <c r="A1560" t="inlineStr">
        <is>
          <t>SIMULATED_FEA_Commercial_Study</t>
        </is>
      </c>
      <c r="B1560" t="inlineStr">
        <is>
          <t>V29</t>
        </is>
      </c>
      <c r="C1560" t="inlineStr">
        <is>
          <t>Annotation</t>
        </is>
      </c>
      <c r="D1560" t="inlineStr">
        <is>
          <t>Bin_05</t>
        </is>
      </c>
      <c r="E1560" t="n">
        <v>10</v>
      </c>
      <c r="F1560" t="inlineStr">
        <is>
          <t>Negative Valence</t>
        </is>
      </c>
      <c r="G1560" t="n">
        <v>-50</v>
      </c>
      <c r="H1560" t="n">
        <v>0</v>
      </c>
      <c r="I1560" t="n">
        <v>0</v>
      </c>
      <c r="J1560" t="inlineStr">
        <is>
          <t>NA</t>
        </is>
      </c>
      <c r="K1560" t="n">
        <v>95.8</v>
      </c>
      <c r="L1560">
        <f>IF(K1560&gt;=80,"Yes","No")</f>
        <v/>
      </c>
      <c r="M1560">
        <f>IF(ISNUMBER(H1560),IF(H1560&gt;0,1,0),"")</f>
        <v/>
      </c>
    </row>
    <row r="1561">
      <c r="A1561" t="inlineStr">
        <is>
          <t>SIMULATED_FEA_Commercial_Study</t>
        </is>
      </c>
      <c r="B1561" t="inlineStr">
        <is>
          <t>V29</t>
        </is>
      </c>
      <c r="C1561" t="inlineStr">
        <is>
          <t>Annotation</t>
        </is>
      </c>
      <c r="D1561" t="inlineStr">
        <is>
          <t>Bin_05</t>
        </is>
      </c>
      <c r="E1561" t="n">
        <v>10</v>
      </c>
      <c r="F1561" t="inlineStr">
        <is>
          <t>Engagement</t>
        </is>
      </c>
      <c r="G1561" t="inlineStr">
        <is>
          <t>NA</t>
        </is>
      </c>
      <c r="H1561" t="inlineStr">
        <is>
          <t>NA</t>
        </is>
      </c>
      <c r="I1561" t="inlineStr">
        <is>
          <t>NA</t>
        </is>
      </c>
      <c r="J1561" t="n">
        <v>54.4</v>
      </c>
      <c r="K1561" t="n">
        <v>95.8</v>
      </c>
      <c r="L1561">
        <f>IF(K1561&gt;=80,"Yes","No")</f>
        <v/>
      </c>
      <c r="M1561">
        <f>IF(ISNUMBER(H1561),IF(H1561&gt;0,1,0),"")</f>
        <v/>
      </c>
    </row>
    <row r="1562">
      <c r="A1562" t="inlineStr">
        <is>
          <t>SIMULATED_FEA_Commercial_Study</t>
        </is>
      </c>
      <c r="B1562" t="inlineStr">
        <is>
          <t>V29</t>
        </is>
      </c>
      <c r="C1562" t="inlineStr">
        <is>
          <t>Annotation</t>
        </is>
      </c>
      <c r="D1562" t="inlineStr">
        <is>
          <t>Bin_06</t>
        </is>
      </c>
      <c r="E1562" t="n">
        <v>10</v>
      </c>
      <c r="F1562" t="inlineStr">
        <is>
          <t>Joy</t>
        </is>
      </c>
      <c r="G1562" t="n">
        <v>50</v>
      </c>
      <c r="H1562" t="n">
        <v>58.67</v>
      </c>
      <c r="I1562" t="n">
        <v>2</v>
      </c>
      <c r="J1562" t="inlineStr">
        <is>
          <t>NA</t>
        </is>
      </c>
      <c r="K1562" t="n">
        <v>95.8</v>
      </c>
      <c r="L1562">
        <f>IF(K1562&gt;=80,"Yes","No")</f>
        <v/>
      </c>
      <c r="M1562">
        <f>IF(ISNUMBER(H1562),IF(H1562&gt;0,1,0),"")</f>
        <v/>
      </c>
    </row>
    <row r="1563">
      <c r="A1563" t="inlineStr">
        <is>
          <t>SIMULATED_FEA_Commercial_Study</t>
        </is>
      </c>
      <c r="B1563" t="inlineStr">
        <is>
          <t>V29</t>
        </is>
      </c>
      <c r="C1563" t="inlineStr">
        <is>
          <t>Annotation</t>
        </is>
      </c>
      <c r="D1563" t="inlineStr">
        <is>
          <t>Bin_06</t>
        </is>
      </c>
      <c r="E1563" t="n">
        <v>10</v>
      </c>
      <c r="F1563" t="inlineStr">
        <is>
          <t>Surprise</t>
        </is>
      </c>
      <c r="G1563" t="n">
        <v>50</v>
      </c>
      <c r="H1563" t="n">
        <v>0</v>
      </c>
      <c r="I1563" t="n">
        <v>0</v>
      </c>
      <c r="J1563" t="inlineStr">
        <is>
          <t>NA</t>
        </is>
      </c>
      <c r="K1563" t="n">
        <v>95.8</v>
      </c>
      <c r="L1563">
        <f>IF(K1563&gt;=80,"Yes","No")</f>
        <v/>
      </c>
      <c r="M1563">
        <f>IF(ISNUMBER(H1563),IF(H1563&gt;0,1,0),"")</f>
        <v/>
      </c>
    </row>
    <row r="1564">
      <c r="A1564" t="inlineStr">
        <is>
          <t>SIMULATED_FEA_Commercial_Study</t>
        </is>
      </c>
      <c r="B1564" t="inlineStr">
        <is>
          <t>V29</t>
        </is>
      </c>
      <c r="C1564" t="inlineStr">
        <is>
          <t>Annotation</t>
        </is>
      </c>
      <c r="D1564" t="inlineStr">
        <is>
          <t>Bin_06</t>
        </is>
      </c>
      <c r="E1564" t="n">
        <v>10</v>
      </c>
      <c r="F1564" t="inlineStr">
        <is>
          <t>Brow Furrow</t>
        </is>
      </c>
      <c r="G1564" t="n">
        <v>50</v>
      </c>
      <c r="H1564" t="n">
        <v>0</v>
      </c>
      <c r="I1564" t="n">
        <v>0</v>
      </c>
      <c r="J1564" t="inlineStr">
        <is>
          <t>NA</t>
        </is>
      </c>
      <c r="K1564" t="n">
        <v>95.8</v>
      </c>
      <c r="L1564">
        <f>IF(K1564&gt;=80,"Yes","No")</f>
        <v/>
      </c>
      <c r="M1564">
        <f>IF(ISNUMBER(H1564),IF(H1564&gt;0,1,0),"")</f>
        <v/>
      </c>
    </row>
    <row r="1565">
      <c r="A1565" t="inlineStr">
        <is>
          <t>SIMULATED_FEA_Commercial_Study</t>
        </is>
      </c>
      <c r="B1565" t="inlineStr">
        <is>
          <t>V29</t>
        </is>
      </c>
      <c r="C1565" t="inlineStr">
        <is>
          <t>Annotation</t>
        </is>
      </c>
      <c r="D1565" t="inlineStr">
        <is>
          <t>Bin_06</t>
        </is>
      </c>
      <c r="E1565" t="n">
        <v>10</v>
      </c>
      <c r="F1565" t="inlineStr">
        <is>
          <t>Positive Valence</t>
        </is>
      </c>
      <c r="G1565" t="n">
        <v>50</v>
      </c>
      <c r="H1565" t="n">
        <v>55.33</v>
      </c>
      <c r="I1565" t="n">
        <v>2</v>
      </c>
      <c r="J1565" t="inlineStr">
        <is>
          <t>NA</t>
        </is>
      </c>
      <c r="K1565" t="n">
        <v>95.8</v>
      </c>
      <c r="L1565">
        <f>IF(K1565&gt;=80,"Yes","No")</f>
        <v/>
      </c>
      <c r="M1565">
        <f>IF(ISNUMBER(H1565),IF(H1565&gt;0,1,0),"")</f>
        <v/>
      </c>
    </row>
    <row r="1566">
      <c r="A1566" t="inlineStr">
        <is>
          <t>SIMULATED_FEA_Commercial_Study</t>
        </is>
      </c>
      <c r="B1566" t="inlineStr">
        <is>
          <t>V29</t>
        </is>
      </c>
      <c r="C1566" t="inlineStr">
        <is>
          <t>Annotation</t>
        </is>
      </c>
      <c r="D1566" t="inlineStr">
        <is>
          <t>Bin_06</t>
        </is>
      </c>
      <c r="E1566" t="n">
        <v>10</v>
      </c>
      <c r="F1566" t="inlineStr">
        <is>
          <t>Negative Valence</t>
        </is>
      </c>
      <c r="G1566" t="n">
        <v>-50</v>
      </c>
      <c r="H1566" t="n">
        <v>0</v>
      </c>
      <c r="I1566" t="n">
        <v>0</v>
      </c>
      <c r="J1566" t="inlineStr">
        <is>
          <t>NA</t>
        </is>
      </c>
      <c r="K1566" t="n">
        <v>95.8</v>
      </c>
      <c r="L1566">
        <f>IF(K1566&gt;=80,"Yes","No")</f>
        <v/>
      </c>
      <c r="M1566">
        <f>IF(ISNUMBER(H1566),IF(H1566&gt;0,1,0),"")</f>
        <v/>
      </c>
    </row>
    <row r="1567">
      <c r="A1567" t="inlineStr">
        <is>
          <t>SIMULATED_FEA_Commercial_Study</t>
        </is>
      </c>
      <c r="B1567" t="inlineStr">
        <is>
          <t>V29</t>
        </is>
      </c>
      <c r="C1567" t="inlineStr">
        <is>
          <t>Annotation</t>
        </is>
      </c>
      <c r="D1567" t="inlineStr">
        <is>
          <t>Bin_06</t>
        </is>
      </c>
      <c r="E1567" t="n">
        <v>10</v>
      </c>
      <c r="F1567" t="inlineStr">
        <is>
          <t>Engagement</t>
        </is>
      </c>
      <c r="G1567" t="inlineStr">
        <is>
          <t>NA</t>
        </is>
      </c>
      <c r="H1567" t="inlineStr">
        <is>
          <t>NA</t>
        </is>
      </c>
      <c r="I1567" t="inlineStr">
        <is>
          <t>NA</t>
        </is>
      </c>
      <c r="J1567" t="n">
        <v>39.23</v>
      </c>
      <c r="K1567" t="n">
        <v>95.8</v>
      </c>
      <c r="L1567">
        <f>IF(K1567&gt;=80,"Yes","No")</f>
        <v/>
      </c>
      <c r="M1567">
        <f>IF(ISNUMBER(H1567),IF(H1567&gt;0,1,0),"")</f>
        <v/>
      </c>
    </row>
    <row r="1568">
      <c r="A1568" t="inlineStr">
        <is>
          <t>SIMULATED_FEA_Commercial_Study</t>
        </is>
      </c>
      <c r="B1568" t="inlineStr">
        <is>
          <t>V30</t>
        </is>
      </c>
      <c r="C1568" t="inlineStr">
        <is>
          <t>Stimulus</t>
        </is>
      </c>
      <c r="D1568" t="inlineStr">
        <is>
          <t>Baseline</t>
        </is>
      </c>
      <c r="E1568" t="n">
        <v>60</v>
      </c>
      <c r="F1568" t="inlineStr">
        <is>
          <t>Joy</t>
        </is>
      </c>
      <c r="G1568" t="n">
        <v>50</v>
      </c>
      <c r="H1568" t="n">
        <v>1.67</v>
      </c>
      <c r="I1568" t="n">
        <v>1</v>
      </c>
      <c r="J1568" t="inlineStr">
        <is>
          <t>NA</t>
        </is>
      </c>
      <c r="K1568" t="n">
        <v>91.8</v>
      </c>
      <c r="L1568">
        <f>IF(K1568&gt;=80,"Yes","No")</f>
        <v/>
      </c>
      <c r="M1568">
        <f>IF(ISNUMBER(H1568),IF(H1568&gt;0,1,0),"")</f>
        <v/>
      </c>
    </row>
    <row r="1569">
      <c r="A1569" t="inlineStr">
        <is>
          <t>SIMULATED_FEA_Commercial_Study</t>
        </is>
      </c>
      <c r="B1569" t="inlineStr">
        <is>
          <t>V30</t>
        </is>
      </c>
      <c r="C1569" t="inlineStr">
        <is>
          <t>Stimulus</t>
        </is>
      </c>
      <c r="D1569" t="inlineStr">
        <is>
          <t>Baseline</t>
        </is>
      </c>
      <c r="E1569" t="n">
        <v>60</v>
      </c>
      <c r="F1569" t="inlineStr">
        <is>
          <t>Surprise</t>
        </is>
      </c>
      <c r="G1569" t="n">
        <v>50</v>
      </c>
      <c r="H1569" t="n">
        <v>1.33</v>
      </c>
      <c r="I1569" t="n">
        <v>1</v>
      </c>
      <c r="J1569" t="inlineStr">
        <is>
          <t>NA</t>
        </is>
      </c>
      <c r="K1569" t="n">
        <v>91.8</v>
      </c>
      <c r="L1569">
        <f>IF(K1569&gt;=80,"Yes","No")</f>
        <v/>
      </c>
      <c r="M1569">
        <f>IF(ISNUMBER(H1569),IF(H1569&gt;0,1,0),"")</f>
        <v/>
      </c>
    </row>
    <row r="1570">
      <c r="A1570" t="inlineStr">
        <is>
          <t>SIMULATED_FEA_Commercial_Study</t>
        </is>
      </c>
      <c r="B1570" t="inlineStr">
        <is>
          <t>V30</t>
        </is>
      </c>
      <c r="C1570" t="inlineStr">
        <is>
          <t>Stimulus</t>
        </is>
      </c>
      <c r="D1570" t="inlineStr">
        <is>
          <t>Baseline</t>
        </is>
      </c>
      <c r="E1570" t="n">
        <v>60</v>
      </c>
      <c r="F1570" t="inlineStr">
        <is>
          <t>Brow Furrow</t>
        </is>
      </c>
      <c r="G1570" t="n">
        <v>50</v>
      </c>
      <c r="H1570" t="n">
        <v>0.44</v>
      </c>
      <c r="I1570" t="n">
        <v>4</v>
      </c>
      <c r="J1570" t="inlineStr">
        <is>
          <t>NA</t>
        </is>
      </c>
      <c r="K1570" t="n">
        <v>91.8</v>
      </c>
      <c r="L1570">
        <f>IF(K1570&gt;=80,"Yes","No")</f>
        <v/>
      </c>
      <c r="M1570">
        <f>IF(ISNUMBER(H1570),IF(H1570&gt;0,1,0),"")</f>
        <v/>
      </c>
    </row>
    <row r="1571">
      <c r="A1571" t="inlineStr">
        <is>
          <t>SIMULATED_FEA_Commercial_Study</t>
        </is>
      </c>
      <c r="B1571" t="inlineStr">
        <is>
          <t>V30</t>
        </is>
      </c>
      <c r="C1571" t="inlineStr">
        <is>
          <t>Stimulus</t>
        </is>
      </c>
      <c r="D1571" t="inlineStr">
        <is>
          <t>Baseline</t>
        </is>
      </c>
      <c r="E1571" t="n">
        <v>60</v>
      </c>
      <c r="F1571" t="inlineStr">
        <is>
          <t>Positive Valence</t>
        </is>
      </c>
      <c r="G1571" t="n">
        <v>50</v>
      </c>
      <c r="H1571" t="n">
        <v>1.44</v>
      </c>
      <c r="I1571" t="n">
        <v>1</v>
      </c>
      <c r="J1571" t="inlineStr">
        <is>
          <t>NA</t>
        </is>
      </c>
      <c r="K1571" t="n">
        <v>91.8</v>
      </c>
      <c r="L1571">
        <f>IF(K1571&gt;=80,"Yes","No")</f>
        <v/>
      </c>
      <c r="M1571">
        <f>IF(ISNUMBER(H1571),IF(H1571&gt;0,1,0),"")</f>
        <v/>
      </c>
    </row>
    <row r="1572">
      <c r="A1572" t="inlineStr">
        <is>
          <t>SIMULATED_FEA_Commercial_Study</t>
        </is>
      </c>
      <c r="B1572" t="inlineStr">
        <is>
          <t>V30</t>
        </is>
      </c>
      <c r="C1572" t="inlineStr">
        <is>
          <t>Stimulus</t>
        </is>
      </c>
      <c r="D1572" t="inlineStr">
        <is>
          <t>Baseline</t>
        </is>
      </c>
      <c r="E1572" t="n">
        <v>60</v>
      </c>
      <c r="F1572" t="inlineStr">
        <is>
          <t>Negative Valence</t>
        </is>
      </c>
      <c r="G1572" t="n">
        <v>-50</v>
      </c>
      <c r="H1572" t="n">
        <v>1.89</v>
      </c>
      <c r="I1572" t="n">
        <v>2</v>
      </c>
      <c r="J1572" t="inlineStr">
        <is>
          <t>NA</t>
        </is>
      </c>
      <c r="K1572" t="n">
        <v>91.8</v>
      </c>
      <c r="L1572">
        <f>IF(K1572&gt;=80,"Yes","No")</f>
        <v/>
      </c>
      <c r="M1572">
        <f>IF(ISNUMBER(H1572),IF(H1572&gt;0,1,0),"")</f>
        <v/>
      </c>
    </row>
    <row r="1573">
      <c r="A1573" t="inlineStr">
        <is>
          <t>SIMULATED_FEA_Commercial_Study</t>
        </is>
      </c>
      <c r="B1573" t="inlineStr">
        <is>
          <t>V30</t>
        </is>
      </c>
      <c r="C1573" t="inlineStr">
        <is>
          <t>Stimulus</t>
        </is>
      </c>
      <c r="D1573" t="inlineStr">
        <is>
          <t>Baseline</t>
        </is>
      </c>
      <c r="E1573" t="n">
        <v>60</v>
      </c>
      <c r="F1573" t="inlineStr">
        <is>
          <t>Engagement</t>
        </is>
      </c>
      <c r="G1573" t="inlineStr">
        <is>
          <t>NA</t>
        </is>
      </c>
      <c r="H1573" t="inlineStr">
        <is>
          <t>NA</t>
        </is>
      </c>
      <c r="I1573" t="inlineStr">
        <is>
          <t>NA</t>
        </is>
      </c>
      <c r="J1573" t="n">
        <v>7.98</v>
      </c>
      <c r="K1573" t="n">
        <v>91.8</v>
      </c>
      <c r="L1573">
        <f>IF(K1573&gt;=80,"Yes","No")</f>
        <v/>
      </c>
      <c r="M1573">
        <f>IF(ISNUMBER(H1573),IF(H1573&gt;0,1,0),"")</f>
        <v/>
      </c>
    </row>
    <row r="1574">
      <c r="A1574" t="inlineStr">
        <is>
          <t>SIMULATED_FEA_Commercial_Study</t>
        </is>
      </c>
      <c r="B1574" t="inlineStr">
        <is>
          <t>V30</t>
        </is>
      </c>
      <c r="C1574" t="inlineStr">
        <is>
          <t>Stimulus</t>
        </is>
      </c>
      <c r="D1574" t="inlineStr">
        <is>
          <t>Commercial</t>
        </is>
      </c>
      <c r="E1574" t="n">
        <v>60</v>
      </c>
      <c r="F1574" t="inlineStr">
        <is>
          <t>Joy</t>
        </is>
      </c>
      <c r="G1574" t="n">
        <v>50</v>
      </c>
      <c r="H1574" t="n">
        <v>13.72</v>
      </c>
      <c r="I1574" t="n">
        <v>4</v>
      </c>
      <c r="J1574" t="inlineStr">
        <is>
          <t>NA</t>
        </is>
      </c>
      <c r="K1574" t="n">
        <v>91.8</v>
      </c>
      <c r="L1574">
        <f>IF(K1574&gt;=80,"Yes","No")</f>
        <v/>
      </c>
      <c r="M1574">
        <f>IF(ISNUMBER(H1574),IF(H1574&gt;0,1,0),"")</f>
        <v/>
      </c>
    </row>
    <row r="1575">
      <c r="A1575" t="inlineStr">
        <is>
          <t>SIMULATED_FEA_Commercial_Study</t>
        </is>
      </c>
      <c r="B1575" t="inlineStr">
        <is>
          <t>V30</t>
        </is>
      </c>
      <c r="C1575" t="inlineStr">
        <is>
          <t>Stimulus</t>
        </is>
      </c>
      <c r="D1575" t="inlineStr">
        <is>
          <t>Commercial</t>
        </is>
      </c>
      <c r="E1575" t="n">
        <v>60</v>
      </c>
      <c r="F1575" t="inlineStr">
        <is>
          <t>Surprise</t>
        </is>
      </c>
      <c r="G1575" t="n">
        <v>50</v>
      </c>
      <c r="H1575" t="n">
        <v>0</v>
      </c>
      <c r="I1575" t="n">
        <v>0</v>
      </c>
      <c r="J1575" t="inlineStr">
        <is>
          <t>NA</t>
        </is>
      </c>
      <c r="K1575" t="n">
        <v>91.8</v>
      </c>
      <c r="L1575">
        <f>IF(K1575&gt;=80,"Yes","No")</f>
        <v/>
      </c>
      <c r="M1575">
        <f>IF(ISNUMBER(H1575),IF(H1575&gt;0,1,0),"")</f>
        <v/>
      </c>
    </row>
    <row r="1576">
      <c r="A1576" t="inlineStr">
        <is>
          <t>SIMULATED_FEA_Commercial_Study</t>
        </is>
      </c>
      <c r="B1576" t="inlineStr">
        <is>
          <t>V30</t>
        </is>
      </c>
      <c r="C1576" t="inlineStr">
        <is>
          <t>Stimulus</t>
        </is>
      </c>
      <c r="D1576" t="inlineStr">
        <is>
          <t>Commercial</t>
        </is>
      </c>
      <c r="E1576" t="n">
        <v>60</v>
      </c>
      <c r="F1576" t="inlineStr">
        <is>
          <t>Brow Furrow</t>
        </is>
      </c>
      <c r="G1576" t="n">
        <v>50</v>
      </c>
      <c r="H1576" t="n">
        <v>15.06</v>
      </c>
      <c r="I1576" t="n">
        <v>6</v>
      </c>
      <c r="J1576" t="inlineStr">
        <is>
          <t>NA</t>
        </is>
      </c>
      <c r="K1576" t="n">
        <v>91.8</v>
      </c>
      <c r="L1576">
        <f>IF(K1576&gt;=80,"Yes","No")</f>
        <v/>
      </c>
      <c r="M1576">
        <f>IF(ISNUMBER(H1576),IF(H1576&gt;0,1,0),"")</f>
        <v/>
      </c>
    </row>
    <row r="1577">
      <c r="A1577" t="inlineStr">
        <is>
          <t>SIMULATED_FEA_Commercial_Study</t>
        </is>
      </c>
      <c r="B1577" t="inlineStr">
        <is>
          <t>V30</t>
        </is>
      </c>
      <c r="C1577" t="inlineStr">
        <is>
          <t>Stimulus</t>
        </is>
      </c>
      <c r="D1577" t="inlineStr">
        <is>
          <t>Commercial</t>
        </is>
      </c>
      <c r="E1577" t="n">
        <v>60</v>
      </c>
      <c r="F1577" t="inlineStr">
        <is>
          <t>Positive Valence</t>
        </is>
      </c>
      <c r="G1577" t="n">
        <v>50</v>
      </c>
      <c r="H1577" t="n">
        <v>14.72</v>
      </c>
      <c r="I1577" t="n">
        <v>4</v>
      </c>
      <c r="J1577" t="inlineStr">
        <is>
          <t>NA</t>
        </is>
      </c>
      <c r="K1577" t="n">
        <v>91.8</v>
      </c>
      <c r="L1577">
        <f>IF(K1577&gt;=80,"Yes","No")</f>
        <v/>
      </c>
      <c r="M1577">
        <f>IF(ISNUMBER(H1577),IF(H1577&gt;0,1,0),"")</f>
        <v/>
      </c>
    </row>
    <row r="1578">
      <c r="A1578" t="inlineStr">
        <is>
          <t>SIMULATED_FEA_Commercial_Study</t>
        </is>
      </c>
      <c r="B1578" t="inlineStr">
        <is>
          <t>V30</t>
        </is>
      </c>
      <c r="C1578" t="inlineStr">
        <is>
          <t>Stimulus</t>
        </is>
      </c>
      <c r="D1578" t="inlineStr">
        <is>
          <t>Commercial</t>
        </is>
      </c>
      <c r="E1578" t="n">
        <v>60</v>
      </c>
      <c r="F1578" t="inlineStr">
        <is>
          <t>Negative Valence</t>
        </is>
      </c>
      <c r="G1578" t="n">
        <v>-50</v>
      </c>
      <c r="H1578" t="n">
        <v>0</v>
      </c>
      <c r="I1578" t="n">
        <v>0</v>
      </c>
      <c r="J1578" t="inlineStr">
        <is>
          <t>NA</t>
        </is>
      </c>
      <c r="K1578" t="n">
        <v>91.8</v>
      </c>
      <c r="L1578">
        <f>IF(K1578&gt;=80,"Yes","No")</f>
        <v/>
      </c>
      <c r="M1578">
        <f>IF(ISNUMBER(H1578),IF(H1578&gt;0,1,0),"")</f>
        <v/>
      </c>
    </row>
    <row r="1579">
      <c r="A1579" t="inlineStr">
        <is>
          <t>SIMULATED_FEA_Commercial_Study</t>
        </is>
      </c>
      <c r="B1579" t="inlineStr">
        <is>
          <t>V30</t>
        </is>
      </c>
      <c r="C1579" t="inlineStr">
        <is>
          <t>Stimulus</t>
        </is>
      </c>
      <c r="D1579" t="inlineStr">
        <is>
          <t>Commercial</t>
        </is>
      </c>
      <c r="E1579" t="n">
        <v>60</v>
      </c>
      <c r="F1579" t="inlineStr">
        <is>
          <t>Engagement</t>
        </is>
      </c>
      <c r="G1579" t="inlineStr">
        <is>
          <t>NA</t>
        </is>
      </c>
      <c r="H1579" t="inlineStr">
        <is>
          <t>NA</t>
        </is>
      </c>
      <c r="I1579" t="inlineStr">
        <is>
          <t>NA</t>
        </is>
      </c>
      <c r="J1579" t="n">
        <v>23.18</v>
      </c>
      <c r="K1579" t="n">
        <v>91.8</v>
      </c>
      <c r="L1579">
        <f>IF(K1579&gt;=80,"Yes","No")</f>
        <v/>
      </c>
      <c r="M1579">
        <f>IF(ISNUMBER(H1579),IF(H1579&gt;0,1,0),"")</f>
        <v/>
      </c>
    </row>
    <row r="1580">
      <c r="A1580" t="inlineStr">
        <is>
          <t>SIMULATED_FEA_Commercial_Study</t>
        </is>
      </c>
      <c r="B1580" t="inlineStr">
        <is>
          <t>V30</t>
        </is>
      </c>
      <c r="C1580" t="inlineStr">
        <is>
          <t>Stimulus</t>
        </is>
      </c>
      <c r="D1580" t="inlineStr">
        <is>
          <t>Recovery</t>
        </is>
      </c>
      <c r="E1580" t="n">
        <v>15</v>
      </c>
      <c r="F1580" t="inlineStr">
        <is>
          <t>Joy</t>
        </is>
      </c>
      <c r="G1580" t="n">
        <v>50</v>
      </c>
      <c r="H1580" t="n">
        <v>0</v>
      </c>
      <c r="I1580" t="n">
        <v>0</v>
      </c>
      <c r="J1580" t="inlineStr">
        <is>
          <t>NA</t>
        </is>
      </c>
      <c r="K1580" t="n">
        <v>91.8</v>
      </c>
      <c r="L1580">
        <f>IF(K1580&gt;=80,"Yes","No")</f>
        <v/>
      </c>
      <c r="M1580">
        <f>IF(ISNUMBER(H1580),IF(H1580&gt;0,1,0),"")</f>
        <v/>
      </c>
    </row>
    <row r="1581">
      <c r="A1581" t="inlineStr">
        <is>
          <t>SIMULATED_FEA_Commercial_Study</t>
        </is>
      </c>
      <c r="B1581" t="inlineStr">
        <is>
          <t>V30</t>
        </is>
      </c>
      <c r="C1581" t="inlineStr">
        <is>
          <t>Stimulus</t>
        </is>
      </c>
      <c r="D1581" t="inlineStr">
        <is>
          <t>Recovery</t>
        </is>
      </c>
      <c r="E1581" t="n">
        <v>15</v>
      </c>
      <c r="F1581" t="inlineStr">
        <is>
          <t>Surprise</t>
        </is>
      </c>
      <c r="G1581" t="n">
        <v>50</v>
      </c>
      <c r="H1581" t="n">
        <v>0</v>
      </c>
      <c r="I1581" t="n">
        <v>0</v>
      </c>
      <c r="J1581" t="inlineStr">
        <is>
          <t>NA</t>
        </is>
      </c>
      <c r="K1581" t="n">
        <v>91.8</v>
      </c>
      <c r="L1581">
        <f>IF(K1581&gt;=80,"Yes","No")</f>
        <v/>
      </c>
      <c r="M1581">
        <f>IF(ISNUMBER(H1581),IF(H1581&gt;0,1,0),"")</f>
        <v/>
      </c>
    </row>
    <row r="1582">
      <c r="A1582" t="inlineStr">
        <is>
          <t>SIMULATED_FEA_Commercial_Study</t>
        </is>
      </c>
      <c r="B1582" t="inlineStr">
        <is>
          <t>V30</t>
        </is>
      </c>
      <c r="C1582" t="inlineStr">
        <is>
          <t>Stimulus</t>
        </is>
      </c>
      <c r="D1582" t="inlineStr">
        <is>
          <t>Recovery</t>
        </is>
      </c>
      <c r="E1582" t="n">
        <v>15</v>
      </c>
      <c r="F1582" t="inlineStr">
        <is>
          <t>Brow Furrow</t>
        </is>
      </c>
      <c r="G1582" t="n">
        <v>50</v>
      </c>
      <c r="H1582" t="n">
        <v>19.33</v>
      </c>
      <c r="I1582" t="n">
        <v>1</v>
      </c>
      <c r="J1582" t="inlineStr">
        <is>
          <t>NA</t>
        </is>
      </c>
      <c r="K1582" t="n">
        <v>91.8</v>
      </c>
      <c r="L1582">
        <f>IF(K1582&gt;=80,"Yes","No")</f>
        <v/>
      </c>
      <c r="M1582">
        <f>IF(ISNUMBER(H1582),IF(H1582&gt;0,1,0),"")</f>
        <v/>
      </c>
    </row>
    <row r="1583">
      <c r="A1583" t="inlineStr">
        <is>
          <t>SIMULATED_FEA_Commercial_Study</t>
        </is>
      </c>
      <c r="B1583" t="inlineStr">
        <is>
          <t>V30</t>
        </is>
      </c>
      <c r="C1583" t="inlineStr">
        <is>
          <t>Stimulus</t>
        </is>
      </c>
      <c r="D1583" t="inlineStr">
        <is>
          <t>Recovery</t>
        </is>
      </c>
      <c r="E1583" t="n">
        <v>15</v>
      </c>
      <c r="F1583" t="inlineStr">
        <is>
          <t>Positive Valence</t>
        </is>
      </c>
      <c r="G1583" t="n">
        <v>50</v>
      </c>
      <c r="H1583" t="n">
        <v>15.11</v>
      </c>
      <c r="I1583" t="n">
        <v>1</v>
      </c>
      <c r="J1583" t="inlineStr">
        <is>
          <t>NA</t>
        </is>
      </c>
      <c r="K1583" t="n">
        <v>91.8</v>
      </c>
      <c r="L1583">
        <f>IF(K1583&gt;=80,"Yes","No")</f>
        <v/>
      </c>
      <c r="M1583">
        <f>IF(ISNUMBER(H1583),IF(H1583&gt;0,1,0),"")</f>
        <v/>
      </c>
    </row>
    <row r="1584">
      <c r="A1584" t="inlineStr">
        <is>
          <t>SIMULATED_FEA_Commercial_Study</t>
        </is>
      </c>
      <c r="B1584" t="inlineStr">
        <is>
          <t>V30</t>
        </is>
      </c>
      <c r="C1584" t="inlineStr">
        <is>
          <t>Stimulus</t>
        </is>
      </c>
      <c r="D1584" t="inlineStr">
        <is>
          <t>Recovery</t>
        </is>
      </c>
      <c r="E1584" t="n">
        <v>15</v>
      </c>
      <c r="F1584" t="inlineStr">
        <is>
          <t>Negative Valence</t>
        </is>
      </c>
      <c r="G1584" t="n">
        <v>-50</v>
      </c>
      <c r="H1584" t="n">
        <v>0</v>
      </c>
      <c r="I1584" t="n">
        <v>0</v>
      </c>
      <c r="J1584" t="inlineStr">
        <is>
          <t>NA</t>
        </is>
      </c>
      <c r="K1584" t="n">
        <v>91.8</v>
      </c>
      <c r="L1584">
        <f>IF(K1584&gt;=80,"Yes","No")</f>
        <v/>
      </c>
      <c r="M1584">
        <f>IF(ISNUMBER(H1584),IF(H1584&gt;0,1,0),"")</f>
        <v/>
      </c>
    </row>
    <row r="1585">
      <c r="A1585" t="inlineStr">
        <is>
          <t>SIMULATED_FEA_Commercial_Study</t>
        </is>
      </c>
      <c r="B1585" t="inlineStr">
        <is>
          <t>V30</t>
        </is>
      </c>
      <c r="C1585" t="inlineStr">
        <is>
          <t>Stimulus</t>
        </is>
      </c>
      <c r="D1585" t="inlineStr">
        <is>
          <t>Recovery</t>
        </is>
      </c>
      <c r="E1585" t="n">
        <v>15</v>
      </c>
      <c r="F1585" t="inlineStr">
        <is>
          <t>Engagement</t>
        </is>
      </c>
      <c r="G1585" t="inlineStr">
        <is>
          <t>NA</t>
        </is>
      </c>
      <c r="H1585" t="inlineStr">
        <is>
          <t>NA</t>
        </is>
      </c>
      <c r="I1585" t="inlineStr">
        <is>
          <t>NA</t>
        </is>
      </c>
      <c r="J1585" t="n">
        <v>21.4</v>
      </c>
      <c r="K1585" t="n">
        <v>91.8</v>
      </c>
      <c r="L1585">
        <f>IF(K1585&gt;=80,"Yes","No")</f>
        <v/>
      </c>
      <c r="M1585">
        <f>IF(ISNUMBER(H1585),IF(H1585&gt;0,1,0),"")</f>
        <v/>
      </c>
    </row>
    <row r="1586">
      <c r="A1586" t="inlineStr">
        <is>
          <t>SIMULATED_FEA_Commercial_Study</t>
        </is>
      </c>
      <c r="B1586" t="inlineStr">
        <is>
          <t>V30</t>
        </is>
      </c>
      <c r="C1586" t="inlineStr">
        <is>
          <t>Annotation</t>
        </is>
      </c>
      <c r="D1586" t="inlineStr">
        <is>
          <t>Bin_01</t>
        </is>
      </c>
      <c r="E1586" t="n">
        <v>10</v>
      </c>
      <c r="F1586" t="inlineStr">
        <is>
          <t>Joy</t>
        </is>
      </c>
      <c r="G1586" t="n">
        <v>50</v>
      </c>
      <c r="H1586" t="n">
        <v>0</v>
      </c>
      <c r="I1586" t="n">
        <v>0</v>
      </c>
      <c r="J1586" t="inlineStr">
        <is>
          <t>NA</t>
        </is>
      </c>
      <c r="K1586" t="n">
        <v>91.8</v>
      </c>
      <c r="L1586">
        <f>IF(K1586&gt;=80,"Yes","No")</f>
        <v/>
      </c>
      <c r="M1586">
        <f>IF(ISNUMBER(H1586),IF(H1586&gt;0,1,0),"")</f>
        <v/>
      </c>
    </row>
    <row r="1587">
      <c r="A1587" t="inlineStr">
        <is>
          <t>SIMULATED_FEA_Commercial_Study</t>
        </is>
      </c>
      <c r="B1587" t="inlineStr">
        <is>
          <t>V30</t>
        </is>
      </c>
      <c r="C1587" t="inlineStr">
        <is>
          <t>Annotation</t>
        </is>
      </c>
      <c r="D1587" t="inlineStr">
        <is>
          <t>Bin_01</t>
        </is>
      </c>
      <c r="E1587" t="n">
        <v>10</v>
      </c>
      <c r="F1587" t="inlineStr">
        <is>
          <t>Surprise</t>
        </is>
      </c>
      <c r="G1587" t="n">
        <v>50</v>
      </c>
      <c r="H1587" t="n">
        <v>0</v>
      </c>
      <c r="I1587" t="n">
        <v>0</v>
      </c>
      <c r="J1587" t="inlineStr">
        <is>
          <t>NA</t>
        </is>
      </c>
      <c r="K1587" t="n">
        <v>91.8</v>
      </c>
      <c r="L1587">
        <f>IF(K1587&gt;=80,"Yes","No")</f>
        <v/>
      </c>
      <c r="M1587">
        <f>IF(ISNUMBER(H1587),IF(H1587&gt;0,1,0),"")</f>
        <v/>
      </c>
    </row>
    <row r="1588">
      <c r="A1588" t="inlineStr">
        <is>
          <t>SIMULATED_FEA_Commercial_Study</t>
        </is>
      </c>
      <c r="B1588" t="inlineStr">
        <is>
          <t>V30</t>
        </is>
      </c>
      <c r="C1588" t="inlineStr">
        <is>
          <t>Annotation</t>
        </is>
      </c>
      <c r="D1588" t="inlineStr">
        <is>
          <t>Bin_01</t>
        </is>
      </c>
      <c r="E1588" t="n">
        <v>10</v>
      </c>
      <c r="F1588" t="inlineStr">
        <is>
          <t>Brow Furrow</t>
        </is>
      </c>
      <c r="G1588" t="n">
        <v>50</v>
      </c>
      <c r="H1588" t="n">
        <v>24.67</v>
      </c>
      <c r="I1588" t="n">
        <v>3</v>
      </c>
      <c r="J1588" t="inlineStr">
        <is>
          <t>NA</t>
        </is>
      </c>
      <c r="K1588" t="n">
        <v>91.8</v>
      </c>
      <c r="L1588">
        <f>IF(K1588&gt;=80,"Yes","No")</f>
        <v/>
      </c>
      <c r="M1588">
        <f>IF(ISNUMBER(H1588),IF(H1588&gt;0,1,0),"")</f>
        <v/>
      </c>
    </row>
    <row r="1589">
      <c r="A1589" t="inlineStr">
        <is>
          <t>SIMULATED_FEA_Commercial_Study</t>
        </is>
      </c>
      <c r="B1589" t="inlineStr">
        <is>
          <t>V30</t>
        </is>
      </c>
      <c r="C1589" t="inlineStr">
        <is>
          <t>Annotation</t>
        </is>
      </c>
      <c r="D1589" t="inlineStr">
        <is>
          <t>Bin_01</t>
        </is>
      </c>
      <c r="E1589" t="n">
        <v>10</v>
      </c>
      <c r="F1589" t="inlineStr">
        <is>
          <t>Positive Valence</t>
        </is>
      </c>
      <c r="G1589" t="n">
        <v>50</v>
      </c>
      <c r="H1589" t="n">
        <v>0</v>
      </c>
      <c r="I1589" t="n">
        <v>0</v>
      </c>
      <c r="J1589" t="inlineStr">
        <is>
          <t>NA</t>
        </is>
      </c>
      <c r="K1589" t="n">
        <v>91.8</v>
      </c>
      <c r="L1589">
        <f>IF(K1589&gt;=80,"Yes","No")</f>
        <v/>
      </c>
      <c r="M1589">
        <f>IF(ISNUMBER(H1589),IF(H1589&gt;0,1,0),"")</f>
        <v/>
      </c>
    </row>
    <row r="1590">
      <c r="A1590" t="inlineStr">
        <is>
          <t>SIMULATED_FEA_Commercial_Study</t>
        </is>
      </c>
      <c r="B1590" t="inlineStr">
        <is>
          <t>V30</t>
        </is>
      </c>
      <c r="C1590" t="inlineStr">
        <is>
          <t>Annotation</t>
        </is>
      </c>
      <c r="D1590" t="inlineStr">
        <is>
          <t>Bin_01</t>
        </is>
      </c>
      <c r="E1590" t="n">
        <v>10</v>
      </c>
      <c r="F1590" t="inlineStr">
        <is>
          <t>Negative Valence</t>
        </is>
      </c>
      <c r="G1590" t="n">
        <v>-50</v>
      </c>
      <c r="H1590" t="n">
        <v>0</v>
      </c>
      <c r="I1590" t="n">
        <v>0</v>
      </c>
      <c r="J1590" t="inlineStr">
        <is>
          <t>NA</t>
        </is>
      </c>
      <c r="K1590" t="n">
        <v>91.8</v>
      </c>
      <c r="L1590">
        <f>IF(K1590&gt;=80,"Yes","No")</f>
        <v/>
      </c>
      <c r="M1590">
        <f>IF(ISNUMBER(H1590),IF(H1590&gt;0,1,0),"")</f>
        <v/>
      </c>
    </row>
    <row r="1591">
      <c r="A1591" t="inlineStr">
        <is>
          <t>SIMULATED_FEA_Commercial_Study</t>
        </is>
      </c>
      <c r="B1591" t="inlineStr">
        <is>
          <t>V30</t>
        </is>
      </c>
      <c r="C1591" t="inlineStr">
        <is>
          <t>Annotation</t>
        </is>
      </c>
      <c r="D1591" t="inlineStr">
        <is>
          <t>Bin_01</t>
        </is>
      </c>
      <c r="E1591" t="n">
        <v>10</v>
      </c>
      <c r="F1591" t="inlineStr">
        <is>
          <t>Engagement</t>
        </is>
      </c>
      <c r="G1591" t="inlineStr">
        <is>
          <t>NA</t>
        </is>
      </c>
      <c r="H1591" t="inlineStr">
        <is>
          <t>NA</t>
        </is>
      </c>
      <c r="I1591" t="inlineStr">
        <is>
          <t>NA</t>
        </is>
      </c>
      <c r="J1591" t="n">
        <v>17.93</v>
      </c>
      <c r="K1591" t="n">
        <v>91.8</v>
      </c>
      <c r="L1591">
        <f>IF(K1591&gt;=80,"Yes","No")</f>
        <v/>
      </c>
      <c r="M1591">
        <f>IF(ISNUMBER(H1591),IF(H1591&gt;0,1,0),"")</f>
        <v/>
      </c>
    </row>
    <row r="1592">
      <c r="A1592" t="inlineStr">
        <is>
          <t>SIMULATED_FEA_Commercial_Study</t>
        </is>
      </c>
      <c r="B1592" t="inlineStr">
        <is>
          <t>V30</t>
        </is>
      </c>
      <c r="C1592" t="inlineStr">
        <is>
          <t>Annotation</t>
        </is>
      </c>
      <c r="D1592" t="inlineStr">
        <is>
          <t>Bin_02</t>
        </is>
      </c>
      <c r="E1592" t="n">
        <v>10</v>
      </c>
      <c r="F1592" t="inlineStr">
        <is>
          <t>Joy</t>
        </is>
      </c>
      <c r="G1592" t="n">
        <v>50</v>
      </c>
      <c r="H1592" t="n">
        <v>0</v>
      </c>
      <c r="I1592" t="n">
        <v>0</v>
      </c>
      <c r="J1592" t="inlineStr">
        <is>
          <t>NA</t>
        </is>
      </c>
      <c r="K1592" t="n">
        <v>91.8</v>
      </c>
      <c r="L1592">
        <f>IF(K1592&gt;=80,"Yes","No")</f>
        <v/>
      </c>
      <c r="M1592">
        <f>IF(ISNUMBER(H1592),IF(H1592&gt;0,1,0),"")</f>
        <v/>
      </c>
    </row>
    <row r="1593">
      <c r="A1593" t="inlineStr">
        <is>
          <t>SIMULATED_FEA_Commercial_Study</t>
        </is>
      </c>
      <c r="B1593" t="inlineStr">
        <is>
          <t>V30</t>
        </is>
      </c>
      <c r="C1593" t="inlineStr">
        <is>
          <t>Annotation</t>
        </is>
      </c>
      <c r="D1593" t="inlineStr">
        <is>
          <t>Bin_02</t>
        </is>
      </c>
      <c r="E1593" t="n">
        <v>10</v>
      </c>
      <c r="F1593" t="inlineStr">
        <is>
          <t>Surprise</t>
        </is>
      </c>
      <c r="G1593" t="n">
        <v>50</v>
      </c>
      <c r="H1593" t="n">
        <v>0</v>
      </c>
      <c r="I1593" t="n">
        <v>0</v>
      </c>
      <c r="J1593" t="inlineStr">
        <is>
          <t>NA</t>
        </is>
      </c>
      <c r="K1593" t="n">
        <v>91.8</v>
      </c>
      <c r="L1593">
        <f>IF(K1593&gt;=80,"Yes","No")</f>
        <v/>
      </c>
      <c r="M1593">
        <f>IF(ISNUMBER(H1593),IF(H1593&gt;0,1,0),"")</f>
        <v/>
      </c>
    </row>
    <row r="1594">
      <c r="A1594" t="inlineStr">
        <is>
          <t>SIMULATED_FEA_Commercial_Study</t>
        </is>
      </c>
      <c r="B1594" t="inlineStr">
        <is>
          <t>V30</t>
        </is>
      </c>
      <c r="C1594" t="inlineStr">
        <is>
          <t>Annotation</t>
        </is>
      </c>
      <c r="D1594" t="inlineStr">
        <is>
          <t>Bin_02</t>
        </is>
      </c>
      <c r="E1594" t="n">
        <v>10</v>
      </c>
      <c r="F1594" t="inlineStr">
        <is>
          <t>Brow Furrow</t>
        </is>
      </c>
      <c r="G1594" t="n">
        <v>50</v>
      </c>
      <c r="H1594" t="n">
        <v>15</v>
      </c>
      <c r="I1594" t="n">
        <v>1</v>
      </c>
      <c r="J1594" t="inlineStr">
        <is>
          <t>NA</t>
        </is>
      </c>
      <c r="K1594" t="n">
        <v>91.8</v>
      </c>
      <c r="L1594">
        <f>IF(K1594&gt;=80,"Yes","No")</f>
        <v/>
      </c>
      <c r="M1594">
        <f>IF(ISNUMBER(H1594),IF(H1594&gt;0,1,0),"")</f>
        <v/>
      </c>
    </row>
    <row r="1595">
      <c r="A1595" t="inlineStr">
        <is>
          <t>SIMULATED_FEA_Commercial_Study</t>
        </is>
      </c>
      <c r="B1595" t="inlineStr">
        <is>
          <t>V30</t>
        </is>
      </c>
      <c r="C1595" t="inlineStr">
        <is>
          <t>Annotation</t>
        </is>
      </c>
      <c r="D1595" t="inlineStr">
        <is>
          <t>Bin_02</t>
        </is>
      </c>
      <c r="E1595" t="n">
        <v>10</v>
      </c>
      <c r="F1595" t="inlineStr">
        <is>
          <t>Positive Valence</t>
        </is>
      </c>
      <c r="G1595" t="n">
        <v>50</v>
      </c>
      <c r="H1595" t="n">
        <v>0</v>
      </c>
      <c r="I1595" t="n">
        <v>0</v>
      </c>
      <c r="J1595" t="inlineStr">
        <is>
          <t>NA</t>
        </is>
      </c>
      <c r="K1595" t="n">
        <v>91.8</v>
      </c>
      <c r="L1595">
        <f>IF(K1595&gt;=80,"Yes","No")</f>
        <v/>
      </c>
      <c r="M1595">
        <f>IF(ISNUMBER(H1595),IF(H1595&gt;0,1,0),"")</f>
        <v/>
      </c>
    </row>
    <row r="1596">
      <c r="A1596" t="inlineStr">
        <is>
          <t>SIMULATED_FEA_Commercial_Study</t>
        </is>
      </c>
      <c r="B1596" t="inlineStr">
        <is>
          <t>V30</t>
        </is>
      </c>
      <c r="C1596" t="inlineStr">
        <is>
          <t>Annotation</t>
        </is>
      </c>
      <c r="D1596" t="inlineStr">
        <is>
          <t>Bin_02</t>
        </is>
      </c>
      <c r="E1596" t="n">
        <v>10</v>
      </c>
      <c r="F1596" t="inlineStr">
        <is>
          <t>Negative Valence</t>
        </is>
      </c>
      <c r="G1596" t="n">
        <v>-50</v>
      </c>
      <c r="H1596" t="n">
        <v>0</v>
      </c>
      <c r="I1596" t="n">
        <v>0</v>
      </c>
      <c r="J1596" t="inlineStr">
        <is>
          <t>NA</t>
        </is>
      </c>
      <c r="K1596" t="n">
        <v>91.8</v>
      </c>
      <c r="L1596">
        <f>IF(K1596&gt;=80,"Yes","No")</f>
        <v/>
      </c>
      <c r="M1596">
        <f>IF(ISNUMBER(H1596),IF(H1596&gt;0,1,0),"")</f>
        <v/>
      </c>
    </row>
    <row r="1597">
      <c r="A1597" t="inlineStr">
        <is>
          <t>SIMULATED_FEA_Commercial_Study</t>
        </is>
      </c>
      <c r="B1597" t="inlineStr">
        <is>
          <t>V30</t>
        </is>
      </c>
      <c r="C1597" t="inlineStr">
        <is>
          <t>Annotation</t>
        </is>
      </c>
      <c r="D1597" t="inlineStr">
        <is>
          <t>Bin_02</t>
        </is>
      </c>
      <c r="E1597" t="n">
        <v>10</v>
      </c>
      <c r="F1597" t="inlineStr">
        <is>
          <t>Engagement</t>
        </is>
      </c>
      <c r="G1597" t="inlineStr">
        <is>
          <t>NA</t>
        </is>
      </c>
      <c r="H1597" t="inlineStr">
        <is>
          <t>NA</t>
        </is>
      </c>
      <c r="I1597" t="inlineStr">
        <is>
          <t>NA</t>
        </is>
      </c>
      <c r="J1597" t="n">
        <v>15.73</v>
      </c>
      <c r="K1597" t="n">
        <v>91.8</v>
      </c>
      <c r="L1597">
        <f>IF(K1597&gt;=80,"Yes","No")</f>
        <v/>
      </c>
      <c r="M1597">
        <f>IF(ISNUMBER(H1597),IF(H1597&gt;0,1,0),"")</f>
        <v/>
      </c>
    </row>
    <row r="1598">
      <c r="A1598" t="inlineStr">
        <is>
          <t>SIMULATED_FEA_Commercial_Study</t>
        </is>
      </c>
      <c r="B1598" t="inlineStr">
        <is>
          <t>V30</t>
        </is>
      </c>
      <c r="C1598" t="inlineStr">
        <is>
          <t>Annotation</t>
        </is>
      </c>
      <c r="D1598" t="inlineStr">
        <is>
          <t>Bin_03</t>
        </is>
      </c>
      <c r="E1598" t="n">
        <v>10</v>
      </c>
      <c r="F1598" t="inlineStr">
        <is>
          <t>Joy</t>
        </is>
      </c>
      <c r="G1598" t="n">
        <v>50</v>
      </c>
      <c r="H1598" t="n">
        <v>36.67</v>
      </c>
      <c r="I1598" t="n">
        <v>2</v>
      </c>
      <c r="J1598" t="inlineStr">
        <is>
          <t>NA</t>
        </is>
      </c>
      <c r="K1598" t="n">
        <v>91.8</v>
      </c>
      <c r="L1598">
        <f>IF(K1598&gt;=80,"Yes","No")</f>
        <v/>
      </c>
      <c r="M1598">
        <f>IF(ISNUMBER(H1598),IF(H1598&gt;0,1,0),"")</f>
        <v/>
      </c>
    </row>
    <row r="1599">
      <c r="A1599" t="inlineStr">
        <is>
          <t>SIMULATED_FEA_Commercial_Study</t>
        </is>
      </c>
      <c r="B1599" t="inlineStr">
        <is>
          <t>V30</t>
        </is>
      </c>
      <c r="C1599" t="inlineStr">
        <is>
          <t>Annotation</t>
        </is>
      </c>
      <c r="D1599" t="inlineStr">
        <is>
          <t>Bin_03</t>
        </is>
      </c>
      <c r="E1599" t="n">
        <v>10</v>
      </c>
      <c r="F1599" t="inlineStr">
        <is>
          <t>Surprise</t>
        </is>
      </c>
      <c r="G1599" t="n">
        <v>50</v>
      </c>
      <c r="H1599" t="n">
        <v>0</v>
      </c>
      <c r="I1599" t="n">
        <v>0</v>
      </c>
      <c r="J1599" t="inlineStr">
        <is>
          <t>NA</t>
        </is>
      </c>
      <c r="K1599" t="n">
        <v>91.8</v>
      </c>
      <c r="L1599">
        <f>IF(K1599&gt;=80,"Yes","No")</f>
        <v/>
      </c>
      <c r="M1599">
        <f>IF(ISNUMBER(H1599),IF(H1599&gt;0,1,0),"")</f>
        <v/>
      </c>
    </row>
    <row r="1600">
      <c r="A1600" t="inlineStr">
        <is>
          <t>SIMULATED_FEA_Commercial_Study</t>
        </is>
      </c>
      <c r="B1600" t="inlineStr">
        <is>
          <t>V30</t>
        </is>
      </c>
      <c r="C1600" t="inlineStr">
        <is>
          <t>Annotation</t>
        </is>
      </c>
      <c r="D1600" t="inlineStr">
        <is>
          <t>Bin_03</t>
        </is>
      </c>
      <c r="E1600" t="n">
        <v>10</v>
      </c>
      <c r="F1600" t="inlineStr">
        <is>
          <t>Brow Furrow</t>
        </is>
      </c>
      <c r="G1600" t="n">
        <v>50</v>
      </c>
      <c r="H1600" t="n">
        <v>50.67</v>
      </c>
      <c r="I1600" t="n">
        <v>3</v>
      </c>
      <c r="J1600" t="inlineStr">
        <is>
          <t>NA</t>
        </is>
      </c>
      <c r="K1600" t="n">
        <v>91.8</v>
      </c>
      <c r="L1600">
        <f>IF(K1600&gt;=80,"Yes","No")</f>
        <v/>
      </c>
      <c r="M1600">
        <f>IF(ISNUMBER(H1600),IF(H1600&gt;0,1,0),"")</f>
        <v/>
      </c>
    </row>
    <row r="1601">
      <c r="A1601" t="inlineStr">
        <is>
          <t>SIMULATED_FEA_Commercial_Study</t>
        </is>
      </c>
      <c r="B1601" t="inlineStr">
        <is>
          <t>V30</t>
        </is>
      </c>
      <c r="C1601" t="inlineStr">
        <is>
          <t>Annotation</t>
        </is>
      </c>
      <c r="D1601" t="inlineStr">
        <is>
          <t>Bin_03</t>
        </is>
      </c>
      <c r="E1601" t="n">
        <v>10</v>
      </c>
      <c r="F1601" t="inlineStr">
        <is>
          <t>Positive Valence</t>
        </is>
      </c>
      <c r="G1601" t="n">
        <v>50</v>
      </c>
      <c r="H1601" t="n">
        <v>33.67</v>
      </c>
      <c r="I1601" t="n">
        <v>2</v>
      </c>
      <c r="J1601" t="inlineStr">
        <is>
          <t>NA</t>
        </is>
      </c>
      <c r="K1601" t="n">
        <v>91.8</v>
      </c>
      <c r="L1601">
        <f>IF(K1601&gt;=80,"Yes","No")</f>
        <v/>
      </c>
      <c r="M1601">
        <f>IF(ISNUMBER(H1601),IF(H1601&gt;0,1,0),"")</f>
        <v/>
      </c>
    </row>
    <row r="1602">
      <c r="A1602" t="inlineStr">
        <is>
          <t>SIMULATED_FEA_Commercial_Study</t>
        </is>
      </c>
      <c r="B1602" t="inlineStr">
        <is>
          <t>V30</t>
        </is>
      </c>
      <c r="C1602" t="inlineStr">
        <is>
          <t>Annotation</t>
        </is>
      </c>
      <c r="D1602" t="inlineStr">
        <is>
          <t>Bin_03</t>
        </is>
      </c>
      <c r="E1602" t="n">
        <v>10</v>
      </c>
      <c r="F1602" t="inlineStr">
        <is>
          <t>Negative Valence</t>
        </is>
      </c>
      <c r="G1602" t="n">
        <v>-50</v>
      </c>
      <c r="H1602" t="n">
        <v>0</v>
      </c>
      <c r="I1602" t="n">
        <v>0</v>
      </c>
      <c r="J1602" t="inlineStr">
        <is>
          <t>NA</t>
        </is>
      </c>
      <c r="K1602" t="n">
        <v>91.8</v>
      </c>
      <c r="L1602">
        <f>IF(K1602&gt;=80,"Yes","No")</f>
        <v/>
      </c>
      <c r="M1602">
        <f>IF(ISNUMBER(H1602),IF(H1602&gt;0,1,0),"")</f>
        <v/>
      </c>
    </row>
    <row r="1603">
      <c r="A1603" t="inlineStr">
        <is>
          <t>SIMULATED_FEA_Commercial_Study</t>
        </is>
      </c>
      <c r="B1603" t="inlineStr">
        <is>
          <t>V30</t>
        </is>
      </c>
      <c r="C1603" t="inlineStr">
        <is>
          <t>Annotation</t>
        </is>
      </c>
      <c r="D1603" t="inlineStr">
        <is>
          <t>Bin_03</t>
        </is>
      </c>
      <c r="E1603" t="n">
        <v>10</v>
      </c>
      <c r="F1603" t="inlineStr">
        <is>
          <t>Engagement</t>
        </is>
      </c>
      <c r="G1603" t="inlineStr">
        <is>
          <t>NA</t>
        </is>
      </c>
      <c r="H1603" t="inlineStr">
        <is>
          <t>NA</t>
        </is>
      </c>
      <c r="I1603" t="inlineStr">
        <is>
          <t>NA</t>
        </is>
      </c>
      <c r="J1603" t="n">
        <v>42.63</v>
      </c>
      <c r="K1603" t="n">
        <v>91.8</v>
      </c>
      <c r="L1603">
        <f>IF(K1603&gt;=80,"Yes","No")</f>
        <v/>
      </c>
      <c r="M1603">
        <f>IF(ISNUMBER(H1603),IF(H1603&gt;0,1,0),"")</f>
        <v/>
      </c>
    </row>
    <row r="1604">
      <c r="A1604" t="inlineStr">
        <is>
          <t>SIMULATED_FEA_Commercial_Study</t>
        </is>
      </c>
      <c r="B1604" t="inlineStr">
        <is>
          <t>V30</t>
        </is>
      </c>
      <c r="C1604" t="inlineStr">
        <is>
          <t>Annotation</t>
        </is>
      </c>
      <c r="D1604" t="inlineStr">
        <is>
          <t>Bin_04</t>
        </is>
      </c>
      <c r="E1604" t="n">
        <v>10</v>
      </c>
      <c r="F1604" t="inlineStr">
        <is>
          <t>Joy</t>
        </is>
      </c>
      <c r="G1604" t="n">
        <v>50</v>
      </c>
      <c r="H1604" t="n">
        <v>0</v>
      </c>
      <c r="I1604" t="n">
        <v>0</v>
      </c>
      <c r="J1604" t="inlineStr">
        <is>
          <t>NA</t>
        </is>
      </c>
      <c r="K1604" t="n">
        <v>91.8</v>
      </c>
      <c r="L1604">
        <f>IF(K1604&gt;=80,"Yes","No")</f>
        <v/>
      </c>
      <c r="M1604">
        <f>IF(ISNUMBER(H1604),IF(H1604&gt;0,1,0),"")</f>
        <v/>
      </c>
    </row>
    <row r="1605">
      <c r="A1605" t="inlineStr">
        <is>
          <t>SIMULATED_FEA_Commercial_Study</t>
        </is>
      </c>
      <c r="B1605" t="inlineStr">
        <is>
          <t>V30</t>
        </is>
      </c>
      <c r="C1605" t="inlineStr">
        <is>
          <t>Annotation</t>
        </is>
      </c>
      <c r="D1605" t="inlineStr">
        <is>
          <t>Bin_04</t>
        </is>
      </c>
      <c r="E1605" t="n">
        <v>10</v>
      </c>
      <c r="F1605" t="inlineStr">
        <is>
          <t>Surprise</t>
        </is>
      </c>
      <c r="G1605" t="n">
        <v>50</v>
      </c>
      <c r="H1605" t="n">
        <v>0</v>
      </c>
      <c r="I1605" t="n">
        <v>0</v>
      </c>
      <c r="J1605" t="inlineStr">
        <is>
          <t>NA</t>
        </is>
      </c>
      <c r="K1605" t="n">
        <v>91.8</v>
      </c>
      <c r="L1605">
        <f>IF(K1605&gt;=80,"Yes","No")</f>
        <v/>
      </c>
      <c r="M1605">
        <f>IF(ISNUMBER(H1605),IF(H1605&gt;0,1,0),"")</f>
        <v/>
      </c>
    </row>
    <row r="1606">
      <c r="A1606" t="inlineStr">
        <is>
          <t>SIMULATED_FEA_Commercial_Study</t>
        </is>
      </c>
      <c r="B1606" t="inlineStr">
        <is>
          <t>V30</t>
        </is>
      </c>
      <c r="C1606" t="inlineStr">
        <is>
          <t>Annotation</t>
        </is>
      </c>
      <c r="D1606" t="inlineStr">
        <is>
          <t>Bin_04</t>
        </is>
      </c>
      <c r="E1606" t="n">
        <v>10</v>
      </c>
      <c r="F1606" t="inlineStr">
        <is>
          <t>Brow Furrow</t>
        </is>
      </c>
      <c r="G1606" t="n">
        <v>50</v>
      </c>
      <c r="H1606" t="n">
        <v>0</v>
      </c>
      <c r="I1606" t="n">
        <v>0</v>
      </c>
      <c r="J1606" t="inlineStr">
        <is>
          <t>NA</t>
        </is>
      </c>
      <c r="K1606" t="n">
        <v>91.8</v>
      </c>
      <c r="L1606">
        <f>IF(K1606&gt;=80,"Yes","No")</f>
        <v/>
      </c>
      <c r="M1606">
        <f>IF(ISNUMBER(H1606),IF(H1606&gt;0,1,0),"")</f>
        <v/>
      </c>
    </row>
    <row r="1607">
      <c r="A1607" t="inlineStr">
        <is>
          <t>SIMULATED_FEA_Commercial_Study</t>
        </is>
      </c>
      <c r="B1607" t="inlineStr">
        <is>
          <t>V30</t>
        </is>
      </c>
      <c r="C1607" t="inlineStr">
        <is>
          <t>Annotation</t>
        </is>
      </c>
      <c r="D1607" t="inlineStr">
        <is>
          <t>Bin_04</t>
        </is>
      </c>
      <c r="E1607" t="n">
        <v>10</v>
      </c>
      <c r="F1607" t="inlineStr">
        <is>
          <t>Positive Valence</t>
        </is>
      </c>
      <c r="G1607" t="n">
        <v>50</v>
      </c>
      <c r="H1607" t="n">
        <v>0</v>
      </c>
      <c r="I1607" t="n">
        <v>0</v>
      </c>
      <c r="J1607" t="inlineStr">
        <is>
          <t>NA</t>
        </is>
      </c>
      <c r="K1607" t="n">
        <v>91.8</v>
      </c>
      <c r="L1607">
        <f>IF(K1607&gt;=80,"Yes","No")</f>
        <v/>
      </c>
      <c r="M1607">
        <f>IF(ISNUMBER(H1607),IF(H1607&gt;0,1,0),"")</f>
        <v/>
      </c>
    </row>
    <row r="1608">
      <c r="A1608" t="inlineStr">
        <is>
          <t>SIMULATED_FEA_Commercial_Study</t>
        </is>
      </c>
      <c r="B1608" t="inlineStr">
        <is>
          <t>V30</t>
        </is>
      </c>
      <c r="C1608" t="inlineStr">
        <is>
          <t>Annotation</t>
        </is>
      </c>
      <c r="D1608" t="inlineStr">
        <is>
          <t>Bin_04</t>
        </is>
      </c>
      <c r="E1608" t="n">
        <v>10</v>
      </c>
      <c r="F1608" t="inlineStr">
        <is>
          <t>Negative Valence</t>
        </is>
      </c>
      <c r="G1608" t="n">
        <v>-50</v>
      </c>
      <c r="H1608" t="n">
        <v>0</v>
      </c>
      <c r="I1608" t="n">
        <v>0</v>
      </c>
      <c r="J1608" t="inlineStr">
        <is>
          <t>NA</t>
        </is>
      </c>
      <c r="K1608" t="n">
        <v>91.8</v>
      </c>
      <c r="L1608">
        <f>IF(K1608&gt;=80,"Yes","No")</f>
        <v/>
      </c>
      <c r="M1608">
        <f>IF(ISNUMBER(H1608),IF(H1608&gt;0,1,0),"")</f>
        <v/>
      </c>
    </row>
    <row r="1609">
      <c r="A1609" t="inlineStr">
        <is>
          <t>SIMULATED_FEA_Commercial_Study</t>
        </is>
      </c>
      <c r="B1609" t="inlineStr">
        <is>
          <t>V30</t>
        </is>
      </c>
      <c r="C1609" t="inlineStr">
        <is>
          <t>Annotation</t>
        </is>
      </c>
      <c r="D1609" t="inlineStr">
        <is>
          <t>Bin_04</t>
        </is>
      </c>
      <c r="E1609" t="n">
        <v>10</v>
      </c>
      <c r="F1609" t="inlineStr">
        <is>
          <t>Engagement</t>
        </is>
      </c>
      <c r="G1609" t="inlineStr">
        <is>
          <t>NA</t>
        </is>
      </c>
      <c r="H1609" t="inlineStr">
        <is>
          <t>NA</t>
        </is>
      </c>
      <c r="I1609" t="inlineStr">
        <is>
          <t>NA</t>
        </is>
      </c>
      <c r="J1609" t="n">
        <v>7.32</v>
      </c>
      <c r="K1609" t="n">
        <v>91.8</v>
      </c>
      <c r="L1609">
        <f>IF(K1609&gt;=80,"Yes","No")</f>
        <v/>
      </c>
      <c r="M1609">
        <f>IF(ISNUMBER(H1609),IF(H1609&gt;0,1,0),"")</f>
        <v/>
      </c>
    </row>
    <row r="1610">
      <c r="A1610" t="inlineStr">
        <is>
          <t>SIMULATED_FEA_Commercial_Study</t>
        </is>
      </c>
      <c r="B1610" t="inlineStr">
        <is>
          <t>V30</t>
        </is>
      </c>
      <c r="C1610" t="inlineStr">
        <is>
          <t>Annotation</t>
        </is>
      </c>
      <c r="D1610" t="inlineStr">
        <is>
          <t>Bin_05</t>
        </is>
      </c>
      <c r="E1610" t="n">
        <v>10</v>
      </c>
      <c r="F1610" t="inlineStr">
        <is>
          <t>Joy</t>
        </is>
      </c>
      <c r="G1610" t="n">
        <v>50</v>
      </c>
      <c r="H1610" t="n">
        <v>35.67</v>
      </c>
      <c r="I1610" t="n">
        <v>2</v>
      </c>
      <c r="J1610" t="inlineStr">
        <is>
          <t>NA</t>
        </is>
      </c>
      <c r="K1610" t="n">
        <v>91.8</v>
      </c>
      <c r="L1610">
        <f>IF(K1610&gt;=80,"Yes","No")</f>
        <v/>
      </c>
      <c r="M1610">
        <f>IF(ISNUMBER(H1610),IF(H1610&gt;0,1,0),"")</f>
        <v/>
      </c>
    </row>
    <row r="1611">
      <c r="A1611" t="inlineStr">
        <is>
          <t>SIMULATED_FEA_Commercial_Study</t>
        </is>
      </c>
      <c r="B1611" t="inlineStr">
        <is>
          <t>V30</t>
        </is>
      </c>
      <c r="C1611" t="inlineStr">
        <is>
          <t>Annotation</t>
        </is>
      </c>
      <c r="D1611" t="inlineStr">
        <is>
          <t>Bin_05</t>
        </is>
      </c>
      <c r="E1611" t="n">
        <v>10</v>
      </c>
      <c r="F1611" t="inlineStr">
        <is>
          <t>Surprise</t>
        </is>
      </c>
      <c r="G1611" t="n">
        <v>50</v>
      </c>
      <c r="H1611" t="n">
        <v>0</v>
      </c>
      <c r="I1611" t="n">
        <v>0</v>
      </c>
      <c r="J1611" t="inlineStr">
        <is>
          <t>NA</t>
        </is>
      </c>
      <c r="K1611" t="n">
        <v>91.8</v>
      </c>
      <c r="L1611">
        <f>IF(K1611&gt;=80,"Yes","No")</f>
        <v/>
      </c>
      <c r="M1611">
        <f>IF(ISNUMBER(H1611),IF(H1611&gt;0,1,0),"")</f>
        <v/>
      </c>
    </row>
    <row r="1612">
      <c r="A1612" t="inlineStr">
        <is>
          <t>SIMULATED_FEA_Commercial_Study</t>
        </is>
      </c>
      <c r="B1612" t="inlineStr">
        <is>
          <t>V30</t>
        </is>
      </c>
      <c r="C1612" t="inlineStr">
        <is>
          <t>Annotation</t>
        </is>
      </c>
      <c r="D1612" t="inlineStr">
        <is>
          <t>Bin_05</t>
        </is>
      </c>
      <c r="E1612" t="n">
        <v>10</v>
      </c>
      <c r="F1612" t="inlineStr">
        <is>
          <t>Brow Furrow</t>
        </is>
      </c>
      <c r="G1612" t="n">
        <v>50</v>
      </c>
      <c r="H1612" t="n">
        <v>0</v>
      </c>
      <c r="I1612" t="n">
        <v>0</v>
      </c>
      <c r="J1612" t="inlineStr">
        <is>
          <t>NA</t>
        </is>
      </c>
      <c r="K1612" t="n">
        <v>91.8</v>
      </c>
      <c r="L1612">
        <f>IF(K1612&gt;=80,"Yes","No")</f>
        <v/>
      </c>
      <c r="M1612">
        <f>IF(ISNUMBER(H1612),IF(H1612&gt;0,1,0),"")</f>
        <v/>
      </c>
    </row>
    <row r="1613">
      <c r="A1613" t="inlineStr">
        <is>
          <t>SIMULATED_FEA_Commercial_Study</t>
        </is>
      </c>
      <c r="B1613" t="inlineStr">
        <is>
          <t>V30</t>
        </is>
      </c>
      <c r="C1613" t="inlineStr">
        <is>
          <t>Annotation</t>
        </is>
      </c>
      <c r="D1613" t="inlineStr">
        <is>
          <t>Bin_05</t>
        </is>
      </c>
      <c r="E1613" t="n">
        <v>10</v>
      </c>
      <c r="F1613" t="inlineStr">
        <is>
          <t>Positive Valence</t>
        </is>
      </c>
      <c r="G1613" t="n">
        <v>50</v>
      </c>
      <c r="H1613" t="n">
        <v>44.67</v>
      </c>
      <c r="I1613" t="n">
        <v>1</v>
      </c>
      <c r="J1613" t="inlineStr">
        <is>
          <t>NA</t>
        </is>
      </c>
      <c r="K1613" t="n">
        <v>91.8</v>
      </c>
      <c r="L1613">
        <f>IF(K1613&gt;=80,"Yes","No")</f>
        <v/>
      </c>
      <c r="M1613">
        <f>IF(ISNUMBER(H1613),IF(H1613&gt;0,1,0),"")</f>
        <v/>
      </c>
    </row>
    <row r="1614">
      <c r="A1614" t="inlineStr">
        <is>
          <t>SIMULATED_FEA_Commercial_Study</t>
        </is>
      </c>
      <c r="B1614" t="inlineStr">
        <is>
          <t>V30</t>
        </is>
      </c>
      <c r="C1614" t="inlineStr">
        <is>
          <t>Annotation</t>
        </is>
      </c>
      <c r="D1614" t="inlineStr">
        <is>
          <t>Bin_05</t>
        </is>
      </c>
      <c r="E1614" t="n">
        <v>10</v>
      </c>
      <c r="F1614" t="inlineStr">
        <is>
          <t>Negative Valence</t>
        </is>
      </c>
      <c r="G1614" t="n">
        <v>-50</v>
      </c>
      <c r="H1614" t="n">
        <v>0</v>
      </c>
      <c r="I1614" t="n">
        <v>0</v>
      </c>
      <c r="J1614" t="inlineStr">
        <is>
          <t>NA</t>
        </is>
      </c>
      <c r="K1614" t="n">
        <v>91.8</v>
      </c>
      <c r="L1614">
        <f>IF(K1614&gt;=80,"Yes","No")</f>
        <v/>
      </c>
      <c r="M1614">
        <f>IF(ISNUMBER(H1614),IF(H1614&gt;0,1,0),"")</f>
        <v/>
      </c>
    </row>
    <row r="1615">
      <c r="A1615" t="inlineStr">
        <is>
          <t>SIMULATED_FEA_Commercial_Study</t>
        </is>
      </c>
      <c r="B1615" t="inlineStr">
        <is>
          <t>V30</t>
        </is>
      </c>
      <c r="C1615" t="inlineStr">
        <is>
          <t>Annotation</t>
        </is>
      </c>
      <c r="D1615" t="inlineStr">
        <is>
          <t>Bin_05</t>
        </is>
      </c>
      <c r="E1615" t="n">
        <v>10</v>
      </c>
      <c r="F1615" t="inlineStr">
        <is>
          <t>Engagement</t>
        </is>
      </c>
      <c r="G1615" t="inlineStr">
        <is>
          <t>NA</t>
        </is>
      </c>
      <c r="H1615" t="inlineStr">
        <is>
          <t>NA</t>
        </is>
      </c>
      <c r="I1615" t="inlineStr">
        <is>
          <t>NA</t>
        </is>
      </c>
      <c r="J1615" t="n">
        <v>33.68</v>
      </c>
      <c r="K1615" t="n">
        <v>91.8</v>
      </c>
      <c r="L1615">
        <f>IF(K1615&gt;=80,"Yes","No")</f>
        <v/>
      </c>
      <c r="M1615">
        <f>IF(ISNUMBER(H1615),IF(H1615&gt;0,1,0),"")</f>
        <v/>
      </c>
    </row>
    <row r="1616">
      <c r="A1616" t="inlineStr">
        <is>
          <t>SIMULATED_FEA_Commercial_Study</t>
        </is>
      </c>
      <c r="B1616" t="inlineStr">
        <is>
          <t>V30</t>
        </is>
      </c>
      <c r="C1616" t="inlineStr">
        <is>
          <t>Annotation</t>
        </is>
      </c>
      <c r="D1616" t="inlineStr">
        <is>
          <t>Bin_06</t>
        </is>
      </c>
      <c r="E1616" t="n">
        <v>10</v>
      </c>
      <c r="F1616" t="inlineStr">
        <is>
          <t>Joy</t>
        </is>
      </c>
      <c r="G1616" t="n">
        <v>50</v>
      </c>
      <c r="H1616" t="n">
        <v>10</v>
      </c>
      <c r="I1616" t="n">
        <v>1</v>
      </c>
      <c r="J1616" t="inlineStr">
        <is>
          <t>NA</t>
        </is>
      </c>
      <c r="K1616" t="n">
        <v>91.8</v>
      </c>
      <c r="L1616">
        <f>IF(K1616&gt;=80,"Yes","No")</f>
        <v/>
      </c>
      <c r="M1616">
        <f>IF(ISNUMBER(H1616),IF(H1616&gt;0,1,0),"")</f>
        <v/>
      </c>
    </row>
    <row r="1617">
      <c r="A1617" t="inlineStr">
        <is>
          <t>SIMULATED_FEA_Commercial_Study</t>
        </is>
      </c>
      <c r="B1617" t="inlineStr">
        <is>
          <t>V30</t>
        </is>
      </c>
      <c r="C1617" t="inlineStr">
        <is>
          <t>Annotation</t>
        </is>
      </c>
      <c r="D1617" t="inlineStr">
        <is>
          <t>Bin_06</t>
        </is>
      </c>
      <c r="E1617" t="n">
        <v>10</v>
      </c>
      <c r="F1617" t="inlineStr">
        <is>
          <t>Surprise</t>
        </is>
      </c>
      <c r="G1617" t="n">
        <v>50</v>
      </c>
      <c r="H1617" t="n">
        <v>0</v>
      </c>
      <c r="I1617" t="n">
        <v>0</v>
      </c>
      <c r="J1617" t="inlineStr">
        <is>
          <t>NA</t>
        </is>
      </c>
      <c r="K1617" t="n">
        <v>91.8</v>
      </c>
      <c r="L1617">
        <f>IF(K1617&gt;=80,"Yes","No")</f>
        <v/>
      </c>
      <c r="M1617">
        <f>IF(ISNUMBER(H1617),IF(H1617&gt;0,1,0),"")</f>
        <v/>
      </c>
    </row>
    <row r="1618">
      <c r="A1618" t="inlineStr">
        <is>
          <t>SIMULATED_FEA_Commercial_Study</t>
        </is>
      </c>
      <c r="B1618" t="inlineStr">
        <is>
          <t>V30</t>
        </is>
      </c>
      <c r="C1618" t="inlineStr">
        <is>
          <t>Annotation</t>
        </is>
      </c>
      <c r="D1618" t="inlineStr">
        <is>
          <t>Bin_06</t>
        </is>
      </c>
      <c r="E1618" t="n">
        <v>10</v>
      </c>
      <c r="F1618" t="inlineStr">
        <is>
          <t>Brow Furrow</t>
        </is>
      </c>
      <c r="G1618" t="n">
        <v>50</v>
      </c>
      <c r="H1618" t="n">
        <v>0</v>
      </c>
      <c r="I1618" t="n">
        <v>0</v>
      </c>
      <c r="J1618" t="inlineStr">
        <is>
          <t>NA</t>
        </is>
      </c>
      <c r="K1618" t="n">
        <v>91.8</v>
      </c>
      <c r="L1618">
        <f>IF(K1618&gt;=80,"Yes","No")</f>
        <v/>
      </c>
      <c r="M1618">
        <f>IF(ISNUMBER(H1618),IF(H1618&gt;0,1,0),"")</f>
        <v/>
      </c>
    </row>
    <row r="1619">
      <c r="A1619" t="inlineStr">
        <is>
          <t>SIMULATED_FEA_Commercial_Study</t>
        </is>
      </c>
      <c r="B1619" t="inlineStr">
        <is>
          <t>V30</t>
        </is>
      </c>
      <c r="C1619" t="inlineStr">
        <is>
          <t>Annotation</t>
        </is>
      </c>
      <c r="D1619" t="inlineStr">
        <is>
          <t>Bin_06</t>
        </is>
      </c>
      <c r="E1619" t="n">
        <v>10</v>
      </c>
      <c r="F1619" t="inlineStr">
        <is>
          <t>Positive Valence</t>
        </is>
      </c>
      <c r="G1619" t="n">
        <v>50</v>
      </c>
      <c r="H1619" t="n">
        <v>10</v>
      </c>
      <c r="I1619" t="n">
        <v>2</v>
      </c>
      <c r="J1619" t="inlineStr">
        <is>
          <t>NA</t>
        </is>
      </c>
      <c r="K1619" t="n">
        <v>91.8</v>
      </c>
      <c r="L1619">
        <f>IF(K1619&gt;=80,"Yes","No")</f>
        <v/>
      </c>
      <c r="M1619">
        <f>IF(ISNUMBER(H1619),IF(H1619&gt;0,1,0),"")</f>
        <v/>
      </c>
    </row>
    <row r="1620">
      <c r="A1620" t="inlineStr">
        <is>
          <t>SIMULATED_FEA_Commercial_Study</t>
        </is>
      </c>
      <c r="B1620" t="inlineStr">
        <is>
          <t>V30</t>
        </is>
      </c>
      <c r="C1620" t="inlineStr">
        <is>
          <t>Annotation</t>
        </is>
      </c>
      <c r="D1620" t="inlineStr">
        <is>
          <t>Bin_06</t>
        </is>
      </c>
      <c r="E1620" t="n">
        <v>10</v>
      </c>
      <c r="F1620" t="inlineStr">
        <is>
          <t>Negative Valence</t>
        </is>
      </c>
      <c r="G1620" t="n">
        <v>-50</v>
      </c>
      <c r="H1620" t="n">
        <v>0</v>
      </c>
      <c r="I1620" t="n">
        <v>0</v>
      </c>
      <c r="J1620" t="inlineStr">
        <is>
          <t>NA</t>
        </is>
      </c>
      <c r="K1620" t="n">
        <v>91.8</v>
      </c>
      <c r="L1620">
        <f>IF(K1620&gt;=80,"Yes","No")</f>
        <v/>
      </c>
      <c r="M1620">
        <f>IF(ISNUMBER(H1620),IF(H1620&gt;0,1,0),"")</f>
        <v/>
      </c>
    </row>
    <row r="1621">
      <c r="A1621" t="inlineStr">
        <is>
          <t>SIMULATED_FEA_Commercial_Study</t>
        </is>
      </c>
      <c r="B1621" t="inlineStr">
        <is>
          <t>V30</t>
        </is>
      </c>
      <c r="C1621" t="inlineStr">
        <is>
          <t>Annotation</t>
        </is>
      </c>
      <c r="D1621" t="inlineStr">
        <is>
          <t>Bin_06</t>
        </is>
      </c>
      <c r="E1621" t="n">
        <v>10</v>
      </c>
      <c r="F1621" t="inlineStr">
        <is>
          <t>Engagement</t>
        </is>
      </c>
      <c r="G1621" t="inlineStr">
        <is>
          <t>NA</t>
        </is>
      </c>
      <c r="H1621" t="inlineStr">
        <is>
          <t>NA</t>
        </is>
      </c>
      <c r="I1621" t="inlineStr">
        <is>
          <t>NA</t>
        </is>
      </c>
      <c r="J1621" t="n">
        <v>20.11</v>
      </c>
      <c r="K1621" t="n">
        <v>91.8</v>
      </c>
      <c r="L1621">
        <f>IF(K1621&gt;=80,"Yes","No")</f>
        <v/>
      </c>
      <c r="M1621">
        <f>IF(ISNUMBER(H1621),IF(H1621&gt;0,1,0),"")</f>
        <v/>
      </c>
    </row>
    <row r="1622">
      <c r="A1622" t="inlineStr">
        <is>
          <t>SIMULATED_FEA_Commercial_Study</t>
        </is>
      </c>
      <c r="B1622" t="inlineStr">
        <is>
          <t>V31</t>
        </is>
      </c>
      <c r="C1622" t="inlineStr">
        <is>
          <t>Stimulus</t>
        </is>
      </c>
      <c r="D1622" t="inlineStr">
        <is>
          <t>Baseline</t>
        </is>
      </c>
      <c r="E1622" t="n">
        <v>60</v>
      </c>
      <c r="F1622" t="inlineStr">
        <is>
          <t>Joy</t>
        </is>
      </c>
      <c r="G1622" t="n">
        <v>50</v>
      </c>
      <c r="H1622" t="n">
        <v>0</v>
      </c>
      <c r="I1622" t="n">
        <v>0</v>
      </c>
      <c r="J1622" t="inlineStr">
        <is>
          <t>NA</t>
        </is>
      </c>
      <c r="K1622" t="n">
        <v>92.90000000000001</v>
      </c>
      <c r="L1622">
        <f>IF(K1622&gt;=80,"Yes","No")</f>
        <v/>
      </c>
      <c r="M1622">
        <f>IF(ISNUMBER(H1622),IF(H1622&gt;0,1,0),"")</f>
        <v/>
      </c>
    </row>
    <row r="1623">
      <c r="A1623" t="inlineStr">
        <is>
          <t>SIMULATED_FEA_Commercial_Study</t>
        </is>
      </c>
      <c r="B1623" t="inlineStr">
        <is>
          <t>V31</t>
        </is>
      </c>
      <c r="C1623" t="inlineStr">
        <is>
          <t>Stimulus</t>
        </is>
      </c>
      <c r="D1623" t="inlineStr">
        <is>
          <t>Baseline</t>
        </is>
      </c>
      <c r="E1623" t="n">
        <v>60</v>
      </c>
      <c r="F1623" t="inlineStr">
        <is>
          <t>Surprise</t>
        </is>
      </c>
      <c r="G1623" t="n">
        <v>50</v>
      </c>
      <c r="H1623" t="n">
        <v>0</v>
      </c>
      <c r="I1623" t="n">
        <v>0</v>
      </c>
      <c r="J1623" t="inlineStr">
        <is>
          <t>NA</t>
        </is>
      </c>
      <c r="K1623" t="n">
        <v>92.90000000000001</v>
      </c>
      <c r="L1623">
        <f>IF(K1623&gt;=80,"Yes","No")</f>
        <v/>
      </c>
      <c r="M1623">
        <f>IF(ISNUMBER(H1623),IF(H1623&gt;0,1,0),"")</f>
        <v/>
      </c>
    </row>
    <row r="1624">
      <c r="A1624" t="inlineStr">
        <is>
          <t>SIMULATED_FEA_Commercial_Study</t>
        </is>
      </c>
      <c r="B1624" t="inlineStr">
        <is>
          <t>V31</t>
        </is>
      </c>
      <c r="C1624" t="inlineStr">
        <is>
          <t>Stimulus</t>
        </is>
      </c>
      <c r="D1624" t="inlineStr">
        <is>
          <t>Baseline</t>
        </is>
      </c>
      <c r="E1624" t="n">
        <v>60</v>
      </c>
      <c r="F1624" t="inlineStr">
        <is>
          <t>Brow Furrow</t>
        </is>
      </c>
      <c r="G1624" t="n">
        <v>50</v>
      </c>
      <c r="H1624" t="n">
        <v>0</v>
      </c>
      <c r="I1624" t="n">
        <v>0</v>
      </c>
      <c r="J1624" t="inlineStr">
        <is>
          <t>NA</t>
        </is>
      </c>
      <c r="K1624" t="n">
        <v>92.90000000000001</v>
      </c>
      <c r="L1624">
        <f>IF(K1624&gt;=80,"Yes","No")</f>
        <v/>
      </c>
      <c r="M1624">
        <f>IF(ISNUMBER(H1624),IF(H1624&gt;0,1,0),"")</f>
        <v/>
      </c>
    </row>
    <row r="1625">
      <c r="A1625" t="inlineStr">
        <is>
          <t>SIMULATED_FEA_Commercial_Study</t>
        </is>
      </c>
      <c r="B1625" t="inlineStr">
        <is>
          <t>V31</t>
        </is>
      </c>
      <c r="C1625" t="inlineStr">
        <is>
          <t>Stimulus</t>
        </is>
      </c>
      <c r="D1625" t="inlineStr">
        <is>
          <t>Baseline</t>
        </is>
      </c>
      <c r="E1625" t="n">
        <v>60</v>
      </c>
      <c r="F1625" t="inlineStr">
        <is>
          <t>Positive Valence</t>
        </is>
      </c>
      <c r="G1625" t="n">
        <v>50</v>
      </c>
      <c r="H1625" t="n">
        <v>0</v>
      </c>
      <c r="I1625" t="n">
        <v>0</v>
      </c>
      <c r="J1625" t="inlineStr">
        <is>
          <t>NA</t>
        </is>
      </c>
      <c r="K1625" t="n">
        <v>92.90000000000001</v>
      </c>
      <c r="L1625">
        <f>IF(K1625&gt;=80,"Yes","No")</f>
        <v/>
      </c>
      <c r="M1625">
        <f>IF(ISNUMBER(H1625),IF(H1625&gt;0,1,0),"")</f>
        <v/>
      </c>
    </row>
    <row r="1626">
      <c r="A1626" t="inlineStr">
        <is>
          <t>SIMULATED_FEA_Commercial_Study</t>
        </is>
      </c>
      <c r="B1626" t="inlineStr">
        <is>
          <t>V31</t>
        </is>
      </c>
      <c r="C1626" t="inlineStr">
        <is>
          <t>Stimulus</t>
        </is>
      </c>
      <c r="D1626" t="inlineStr">
        <is>
          <t>Baseline</t>
        </is>
      </c>
      <c r="E1626" t="n">
        <v>60</v>
      </c>
      <c r="F1626" t="inlineStr">
        <is>
          <t>Negative Valence</t>
        </is>
      </c>
      <c r="G1626" t="n">
        <v>-50</v>
      </c>
      <c r="H1626" t="n">
        <v>0</v>
      </c>
      <c r="I1626" t="n">
        <v>0</v>
      </c>
      <c r="J1626" t="inlineStr">
        <is>
          <t>NA</t>
        </is>
      </c>
      <c r="K1626" t="n">
        <v>92.90000000000001</v>
      </c>
      <c r="L1626">
        <f>IF(K1626&gt;=80,"Yes","No")</f>
        <v/>
      </c>
      <c r="M1626">
        <f>IF(ISNUMBER(H1626),IF(H1626&gt;0,1,0),"")</f>
        <v/>
      </c>
    </row>
    <row r="1627">
      <c r="A1627" t="inlineStr">
        <is>
          <t>SIMULATED_FEA_Commercial_Study</t>
        </is>
      </c>
      <c r="B1627" t="inlineStr">
        <is>
          <t>V31</t>
        </is>
      </c>
      <c r="C1627" t="inlineStr">
        <is>
          <t>Stimulus</t>
        </is>
      </c>
      <c r="D1627" t="inlineStr">
        <is>
          <t>Baseline</t>
        </is>
      </c>
      <c r="E1627" t="n">
        <v>60</v>
      </c>
      <c r="F1627" t="inlineStr">
        <is>
          <t>Engagement</t>
        </is>
      </c>
      <c r="G1627" t="inlineStr">
        <is>
          <t>NA</t>
        </is>
      </c>
      <c r="H1627" t="inlineStr">
        <is>
          <t>NA</t>
        </is>
      </c>
      <c r="I1627" t="inlineStr">
        <is>
          <t>NA</t>
        </is>
      </c>
      <c r="J1627" t="n">
        <v>2.68</v>
      </c>
      <c r="K1627" t="n">
        <v>92.90000000000001</v>
      </c>
      <c r="L1627">
        <f>IF(K1627&gt;=80,"Yes","No")</f>
        <v/>
      </c>
      <c r="M1627">
        <f>IF(ISNUMBER(H1627),IF(H1627&gt;0,1,0),"")</f>
        <v/>
      </c>
    </row>
    <row r="1628">
      <c r="A1628" t="inlineStr">
        <is>
          <t>SIMULATED_FEA_Commercial_Study</t>
        </is>
      </c>
      <c r="B1628" t="inlineStr">
        <is>
          <t>V31</t>
        </is>
      </c>
      <c r="C1628" t="inlineStr">
        <is>
          <t>Stimulus</t>
        </is>
      </c>
      <c r="D1628" t="inlineStr">
        <is>
          <t>Commercial</t>
        </is>
      </c>
      <c r="E1628" t="n">
        <v>60</v>
      </c>
      <c r="F1628" t="inlineStr">
        <is>
          <t>Joy</t>
        </is>
      </c>
      <c r="G1628" t="n">
        <v>50</v>
      </c>
      <c r="H1628" t="n">
        <v>2.56</v>
      </c>
      <c r="I1628" t="n">
        <v>1</v>
      </c>
      <c r="J1628" t="inlineStr">
        <is>
          <t>NA</t>
        </is>
      </c>
      <c r="K1628" t="n">
        <v>92.90000000000001</v>
      </c>
      <c r="L1628">
        <f>IF(K1628&gt;=80,"Yes","No")</f>
        <v/>
      </c>
      <c r="M1628">
        <f>IF(ISNUMBER(H1628),IF(H1628&gt;0,1,0),"")</f>
        <v/>
      </c>
    </row>
    <row r="1629">
      <c r="A1629" t="inlineStr">
        <is>
          <t>SIMULATED_FEA_Commercial_Study</t>
        </is>
      </c>
      <c r="B1629" t="inlineStr">
        <is>
          <t>V31</t>
        </is>
      </c>
      <c r="C1629" t="inlineStr">
        <is>
          <t>Stimulus</t>
        </is>
      </c>
      <c r="D1629" t="inlineStr">
        <is>
          <t>Commercial</t>
        </is>
      </c>
      <c r="E1629" t="n">
        <v>60</v>
      </c>
      <c r="F1629" t="inlineStr">
        <is>
          <t>Surprise</t>
        </is>
      </c>
      <c r="G1629" t="n">
        <v>50</v>
      </c>
      <c r="H1629" t="n">
        <v>0</v>
      </c>
      <c r="I1629" t="n">
        <v>0</v>
      </c>
      <c r="J1629" t="inlineStr">
        <is>
          <t>NA</t>
        </is>
      </c>
      <c r="K1629" t="n">
        <v>92.90000000000001</v>
      </c>
      <c r="L1629">
        <f>IF(K1629&gt;=80,"Yes","No")</f>
        <v/>
      </c>
      <c r="M1629">
        <f>IF(ISNUMBER(H1629),IF(H1629&gt;0,1,0),"")</f>
        <v/>
      </c>
    </row>
    <row r="1630">
      <c r="A1630" t="inlineStr">
        <is>
          <t>SIMULATED_FEA_Commercial_Study</t>
        </is>
      </c>
      <c r="B1630" t="inlineStr">
        <is>
          <t>V31</t>
        </is>
      </c>
      <c r="C1630" t="inlineStr">
        <is>
          <t>Stimulus</t>
        </is>
      </c>
      <c r="D1630" t="inlineStr">
        <is>
          <t>Commercial</t>
        </is>
      </c>
      <c r="E1630" t="n">
        <v>60</v>
      </c>
      <c r="F1630" t="inlineStr">
        <is>
          <t>Brow Furrow</t>
        </is>
      </c>
      <c r="G1630" t="n">
        <v>50</v>
      </c>
      <c r="H1630" t="n">
        <v>17.06</v>
      </c>
      <c r="I1630" t="n">
        <v>12</v>
      </c>
      <c r="J1630" t="inlineStr">
        <is>
          <t>NA</t>
        </is>
      </c>
      <c r="K1630" t="n">
        <v>92.90000000000001</v>
      </c>
      <c r="L1630">
        <f>IF(K1630&gt;=80,"Yes","No")</f>
        <v/>
      </c>
      <c r="M1630">
        <f>IF(ISNUMBER(H1630),IF(H1630&gt;0,1,0),"")</f>
        <v/>
      </c>
    </row>
    <row r="1631">
      <c r="A1631" t="inlineStr">
        <is>
          <t>SIMULATED_FEA_Commercial_Study</t>
        </is>
      </c>
      <c r="B1631" t="inlineStr">
        <is>
          <t>V31</t>
        </is>
      </c>
      <c r="C1631" t="inlineStr">
        <is>
          <t>Stimulus</t>
        </is>
      </c>
      <c r="D1631" t="inlineStr">
        <is>
          <t>Commercial</t>
        </is>
      </c>
      <c r="E1631" t="n">
        <v>60</v>
      </c>
      <c r="F1631" t="inlineStr">
        <is>
          <t>Positive Valence</t>
        </is>
      </c>
      <c r="G1631" t="n">
        <v>50</v>
      </c>
      <c r="H1631" t="n">
        <v>2.22</v>
      </c>
      <c r="I1631" t="n">
        <v>2</v>
      </c>
      <c r="J1631" t="inlineStr">
        <is>
          <t>NA</t>
        </is>
      </c>
      <c r="K1631" t="n">
        <v>92.90000000000001</v>
      </c>
      <c r="L1631">
        <f>IF(K1631&gt;=80,"Yes","No")</f>
        <v/>
      </c>
      <c r="M1631">
        <f>IF(ISNUMBER(H1631),IF(H1631&gt;0,1,0),"")</f>
        <v/>
      </c>
    </row>
    <row r="1632">
      <c r="A1632" t="inlineStr">
        <is>
          <t>SIMULATED_FEA_Commercial_Study</t>
        </is>
      </c>
      <c r="B1632" t="inlineStr">
        <is>
          <t>V31</t>
        </is>
      </c>
      <c r="C1632" t="inlineStr">
        <is>
          <t>Stimulus</t>
        </is>
      </c>
      <c r="D1632" t="inlineStr">
        <is>
          <t>Commercial</t>
        </is>
      </c>
      <c r="E1632" t="n">
        <v>60</v>
      </c>
      <c r="F1632" t="inlineStr">
        <is>
          <t>Negative Valence</t>
        </is>
      </c>
      <c r="G1632" t="n">
        <v>-50</v>
      </c>
      <c r="H1632" t="n">
        <v>0</v>
      </c>
      <c r="I1632" t="n">
        <v>0</v>
      </c>
      <c r="J1632" t="inlineStr">
        <is>
          <t>NA</t>
        </is>
      </c>
      <c r="K1632" t="n">
        <v>92.90000000000001</v>
      </c>
      <c r="L1632">
        <f>IF(K1632&gt;=80,"Yes","No")</f>
        <v/>
      </c>
      <c r="M1632">
        <f>IF(ISNUMBER(H1632),IF(H1632&gt;0,1,0),"")</f>
        <v/>
      </c>
    </row>
    <row r="1633">
      <c r="A1633" t="inlineStr">
        <is>
          <t>SIMULATED_FEA_Commercial_Study</t>
        </is>
      </c>
      <c r="B1633" t="inlineStr">
        <is>
          <t>V31</t>
        </is>
      </c>
      <c r="C1633" t="inlineStr">
        <is>
          <t>Stimulus</t>
        </is>
      </c>
      <c r="D1633" t="inlineStr">
        <is>
          <t>Commercial</t>
        </is>
      </c>
      <c r="E1633" t="n">
        <v>60</v>
      </c>
      <c r="F1633" t="inlineStr">
        <is>
          <t>Engagement</t>
        </is>
      </c>
      <c r="G1633" t="inlineStr">
        <is>
          <t>NA</t>
        </is>
      </c>
      <c r="H1633" t="inlineStr">
        <is>
          <t>NA</t>
        </is>
      </c>
      <c r="I1633" t="inlineStr">
        <is>
          <t>NA</t>
        </is>
      </c>
      <c r="J1633" t="n">
        <v>11.82</v>
      </c>
      <c r="K1633" t="n">
        <v>92.90000000000001</v>
      </c>
      <c r="L1633">
        <f>IF(K1633&gt;=80,"Yes","No")</f>
        <v/>
      </c>
      <c r="M1633">
        <f>IF(ISNUMBER(H1633),IF(H1633&gt;0,1,0),"")</f>
        <v/>
      </c>
    </row>
    <row r="1634">
      <c r="A1634" t="inlineStr">
        <is>
          <t>SIMULATED_FEA_Commercial_Study</t>
        </is>
      </c>
      <c r="B1634" t="inlineStr">
        <is>
          <t>V31</t>
        </is>
      </c>
      <c r="C1634" t="inlineStr">
        <is>
          <t>Stimulus</t>
        </is>
      </c>
      <c r="D1634" t="inlineStr">
        <is>
          <t>Recovery</t>
        </is>
      </c>
      <c r="E1634" t="n">
        <v>15</v>
      </c>
      <c r="F1634" t="inlineStr">
        <is>
          <t>Joy</t>
        </is>
      </c>
      <c r="G1634" t="n">
        <v>50</v>
      </c>
      <c r="H1634" t="n">
        <v>0</v>
      </c>
      <c r="I1634" t="n">
        <v>0</v>
      </c>
      <c r="J1634" t="inlineStr">
        <is>
          <t>NA</t>
        </is>
      </c>
      <c r="K1634" t="n">
        <v>92.90000000000001</v>
      </c>
      <c r="L1634">
        <f>IF(K1634&gt;=80,"Yes","No")</f>
        <v/>
      </c>
      <c r="M1634">
        <f>IF(ISNUMBER(H1634),IF(H1634&gt;0,1,0),"")</f>
        <v/>
      </c>
    </row>
    <row r="1635">
      <c r="A1635" t="inlineStr">
        <is>
          <t>SIMULATED_FEA_Commercial_Study</t>
        </is>
      </c>
      <c r="B1635" t="inlineStr">
        <is>
          <t>V31</t>
        </is>
      </c>
      <c r="C1635" t="inlineStr">
        <is>
          <t>Stimulus</t>
        </is>
      </c>
      <c r="D1635" t="inlineStr">
        <is>
          <t>Recovery</t>
        </is>
      </c>
      <c r="E1635" t="n">
        <v>15</v>
      </c>
      <c r="F1635" t="inlineStr">
        <is>
          <t>Surprise</t>
        </is>
      </c>
      <c r="G1635" t="n">
        <v>50</v>
      </c>
      <c r="H1635" t="n">
        <v>0</v>
      </c>
      <c r="I1635" t="n">
        <v>0</v>
      </c>
      <c r="J1635" t="inlineStr">
        <is>
          <t>NA</t>
        </is>
      </c>
      <c r="K1635" t="n">
        <v>92.90000000000001</v>
      </c>
      <c r="L1635">
        <f>IF(K1635&gt;=80,"Yes","No")</f>
        <v/>
      </c>
      <c r="M1635">
        <f>IF(ISNUMBER(H1635),IF(H1635&gt;0,1,0),"")</f>
        <v/>
      </c>
    </row>
    <row r="1636">
      <c r="A1636" t="inlineStr">
        <is>
          <t>SIMULATED_FEA_Commercial_Study</t>
        </is>
      </c>
      <c r="B1636" t="inlineStr">
        <is>
          <t>V31</t>
        </is>
      </c>
      <c r="C1636" t="inlineStr">
        <is>
          <t>Stimulus</t>
        </is>
      </c>
      <c r="D1636" t="inlineStr">
        <is>
          <t>Recovery</t>
        </is>
      </c>
      <c r="E1636" t="n">
        <v>15</v>
      </c>
      <c r="F1636" t="inlineStr">
        <is>
          <t>Brow Furrow</t>
        </is>
      </c>
      <c r="G1636" t="n">
        <v>50</v>
      </c>
      <c r="H1636" t="n">
        <v>20.44</v>
      </c>
      <c r="I1636" t="n">
        <v>1</v>
      </c>
      <c r="J1636" t="inlineStr">
        <is>
          <t>NA</t>
        </is>
      </c>
      <c r="K1636" t="n">
        <v>92.90000000000001</v>
      </c>
      <c r="L1636">
        <f>IF(K1636&gt;=80,"Yes","No")</f>
        <v/>
      </c>
      <c r="M1636">
        <f>IF(ISNUMBER(H1636),IF(H1636&gt;0,1,0),"")</f>
        <v/>
      </c>
    </row>
    <row r="1637">
      <c r="A1637" t="inlineStr">
        <is>
          <t>SIMULATED_FEA_Commercial_Study</t>
        </is>
      </c>
      <c r="B1637" t="inlineStr">
        <is>
          <t>V31</t>
        </is>
      </c>
      <c r="C1637" t="inlineStr">
        <is>
          <t>Stimulus</t>
        </is>
      </c>
      <c r="D1637" t="inlineStr">
        <is>
          <t>Recovery</t>
        </is>
      </c>
      <c r="E1637" t="n">
        <v>15</v>
      </c>
      <c r="F1637" t="inlineStr">
        <is>
          <t>Positive Valence</t>
        </is>
      </c>
      <c r="G1637" t="n">
        <v>50</v>
      </c>
      <c r="H1637" t="n">
        <v>0</v>
      </c>
      <c r="I1637" t="n">
        <v>0</v>
      </c>
      <c r="J1637" t="inlineStr">
        <is>
          <t>NA</t>
        </is>
      </c>
      <c r="K1637" t="n">
        <v>92.90000000000001</v>
      </c>
      <c r="L1637">
        <f>IF(K1637&gt;=80,"Yes","No")</f>
        <v/>
      </c>
      <c r="M1637">
        <f>IF(ISNUMBER(H1637),IF(H1637&gt;0,1,0),"")</f>
        <v/>
      </c>
    </row>
    <row r="1638">
      <c r="A1638" t="inlineStr">
        <is>
          <t>SIMULATED_FEA_Commercial_Study</t>
        </is>
      </c>
      <c r="B1638" t="inlineStr">
        <is>
          <t>V31</t>
        </is>
      </c>
      <c r="C1638" t="inlineStr">
        <is>
          <t>Stimulus</t>
        </is>
      </c>
      <c r="D1638" t="inlineStr">
        <is>
          <t>Recovery</t>
        </is>
      </c>
      <c r="E1638" t="n">
        <v>15</v>
      </c>
      <c r="F1638" t="inlineStr">
        <is>
          <t>Negative Valence</t>
        </is>
      </c>
      <c r="G1638" t="n">
        <v>-50</v>
      </c>
      <c r="H1638" t="n">
        <v>0</v>
      </c>
      <c r="I1638" t="n">
        <v>0</v>
      </c>
      <c r="J1638" t="inlineStr">
        <is>
          <t>NA</t>
        </is>
      </c>
      <c r="K1638" t="n">
        <v>92.90000000000001</v>
      </c>
      <c r="L1638">
        <f>IF(K1638&gt;=80,"Yes","No")</f>
        <v/>
      </c>
      <c r="M1638">
        <f>IF(ISNUMBER(H1638),IF(H1638&gt;0,1,0),"")</f>
        <v/>
      </c>
    </row>
    <row r="1639">
      <c r="A1639" t="inlineStr">
        <is>
          <t>SIMULATED_FEA_Commercial_Study</t>
        </is>
      </c>
      <c r="B1639" t="inlineStr">
        <is>
          <t>V31</t>
        </is>
      </c>
      <c r="C1639" t="inlineStr">
        <is>
          <t>Stimulus</t>
        </is>
      </c>
      <c r="D1639" t="inlineStr">
        <is>
          <t>Recovery</t>
        </is>
      </c>
      <c r="E1639" t="n">
        <v>15</v>
      </c>
      <c r="F1639" t="inlineStr">
        <is>
          <t>Engagement</t>
        </is>
      </c>
      <c r="G1639" t="inlineStr">
        <is>
          <t>NA</t>
        </is>
      </c>
      <c r="H1639" t="inlineStr">
        <is>
          <t>NA</t>
        </is>
      </c>
      <c r="I1639" t="inlineStr">
        <is>
          <t>NA</t>
        </is>
      </c>
      <c r="J1639" t="n">
        <v>13.43</v>
      </c>
      <c r="K1639" t="n">
        <v>92.90000000000001</v>
      </c>
      <c r="L1639">
        <f>IF(K1639&gt;=80,"Yes","No")</f>
        <v/>
      </c>
      <c r="M1639">
        <f>IF(ISNUMBER(H1639),IF(H1639&gt;0,1,0),"")</f>
        <v/>
      </c>
    </row>
    <row r="1640">
      <c r="A1640" t="inlineStr">
        <is>
          <t>SIMULATED_FEA_Commercial_Study</t>
        </is>
      </c>
      <c r="B1640" t="inlineStr">
        <is>
          <t>V31</t>
        </is>
      </c>
      <c r="C1640" t="inlineStr">
        <is>
          <t>Annotation</t>
        </is>
      </c>
      <c r="D1640" t="inlineStr">
        <is>
          <t>Bin_01</t>
        </is>
      </c>
      <c r="E1640" t="n">
        <v>10</v>
      </c>
      <c r="F1640" t="inlineStr">
        <is>
          <t>Joy</t>
        </is>
      </c>
      <c r="G1640" t="n">
        <v>50</v>
      </c>
      <c r="H1640" t="n">
        <v>0</v>
      </c>
      <c r="I1640" t="n">
        <v>0</v>
      </c>
      <c r="J1640" t="inlineStr">
        <is>
          <t>NA</t>
        </is>
      </c>
      <c r="K1640" t="n">
        <v>92.90000000000001</v>
      </c>
      <c r="L1640">
        <f>IF(K1640&gt;=80,"Yes","No")</f>
        <v/>
      </c>
      <c r="M1640">
        <f>IF(ISNUMBER(H1640),IF(H1640&gt;0,1,0),"")</f>
        <v/>
      </c>
    </row>
    <row r="1641">
      <c r="A1641" t="inlineStr">
        <is>
          <t>SIMULATED_FEA_Commercial_Study</t>
        </is>
      </c>
      <c r="B1641" t="inlineStr">
        <is>
          <t>V31</t>
        </is>
      </c>
      <c r="C1641" t="inlineStr">
        <is>
          <t>Annotation</t>
        </is>
      </c>
      <c r="D1641" t="inlineStr">
        <is>
          <t>Bin_01</t>
        </is>
      </c>
      <c r="E1641" t="n">
        <v>10</v>
      </c>
      <c r="F1641" t="inlineStr">
        <is>
          <t>Surprise</t>
        </is>
      </c>
      <c r="G1641" t="n">
        <v>50</v>
      </c>
      <c r="H1641" t="n">
        <v>0</v>
      </c>
      <c r="I1641" t="n">
        <v>0</v>
      </c>
      <c r="J1641" t="inlineStr">
        <is>
          <t>NA</t>
        </is>
      </c>
      <c r="K1641" t="n">
        <v>92.90000000000001</v>
      </c>
      <c r="L1641">
        <f>IF(K1641&gt;=80,"Yes","No")</f>
        <v/>
      </c>
      <c r="M1641">
        <f>IF(ISNUMBER(H1641),IF(H1641&gt;0,1,0),"")</f>
        <v/>
      </c>
    </row>
    <row r="1642">
      <c r="A1642" t="inlineStr">
        <is>
          <t>SIMULATED_FEA_Commercial_Study</t>
        </is>
      </c>
      <c r="B1642" t="inlineStr">
        <is>
          <t>V31</t>
        </is>
      </c>
      <c r="C1642" t="inlineStr">
        <is>
          <t>Annotation</t>
        </is>
      </c>
      <c r="D1642" t="inlineStr">
        <is>
          <t>Bin_01</t>
        </is>
      </c>
      <c r="E1642" t="n">
        <v>10</v>
      </c>
      <c r="F1642" t="inlineStr">
        <is>
          <t>Brow Furrow</t>
        </is>
      </c>
      <c r="G1642" t="n">
        <v>50</v>
      </c>
      <c r="H1642" t="n">
        <v>46.33</v>
      </c>
      <c r="I1642" t="n">
        <v>5</v>
      </c>
      <c r="J1642" t="inlineStr">
        <is>
          <t>NA</t>
        </is>
      </c>
      <c r="K1642" t="n">
        <v>92.90000000000001</v>
      </c>
      <c r="L1642">
        <f>IF(K1642&gt;=80,"Yes","No")</f>
        <v/>
      </c>
      <c r="M1642">
        <f>IF(ISNUMBER(H1642),IF(H1642&gt;0,1,0),"")</f>
        <v/>
      </c>
    </row>
    <row r="1643">
      <c r="A1643" t="inlineStr">
        <is>
          <t>SIMULATED_FEA_Commercial_Study</t>
        </is>
      </c>
      <c r="B1643" t="inlineStr">
        <is>
          <t>V31</t>
        </is>
      </c>
      <c r="C1643" t="inlineStr">
        <is>
          <t>Annotation</t>
        </is>
      </c>
      <c r="D1643" t="inlineStr">
        <is>
          <t>Bin_01</t>
        </is>
      </c>
      <c r="E1643" t="n">
        <v>10</v>
      </c>
      <c r="F1643" t="inlineStr">
        <is>
          <t>Positive Valence</t>
        </is>
      </c>
      <c r="G1643" t="n">
        <v>50</v>
      </c>
      <c r="H1643" t="n">
        <v>0</v>
      </c>
      <c r="I1643" t="n">
        <v>0</v>
      </c>
      <c r="J1643" t="inlineStr">
        <is>
          <t>NA</t>
        </is>
      </c>
      <c r="K1643" t="n">
        <v>92.90000000000001</v>
      </c>
      <c r="L1643">
        <f>IF(K1643&gt;=80,"Yes","No")</f>
        <v/>
      </c>
      <c r="M1643">
        <f>IF(ISNUMBER(H1643),IF(H1643&gt;0,1,0),"")</f>
        <v/>
      </c>
    </row>
    <row r="1644">
      <c r="A1644" t="inlineStr">
        <is>
          <t>SIMULATED_FEA_Commercial_Study</t>
        </is>
      </c>
      <c r="B1644" t="inlineStr">
        <is>
          <t>V31</t>
        </is>
      </c>
      <c r="C1644" t="inlineStr">
        <is>
          <t>Annotation</t>
        </is>
      </c>
      <c r="D1644" t="inlineStr">
        <is>
          <t>Bin_01</t>
        </is>
      </c>
      <c r="E1644" t="n">
        <v>10</v>
      </c>
      <c r="F1644" t="inlineStr">
        <is>
          <t>Negative Valence</t>
        </is>
      </c>
      <c r="G1644" t="n">
        <v>-50</v>
      </c>
      <c r="H1644" t="n">
        <v>0</v>
      </c>
      <c r="I1644" t="n">
        <v>0</v>
      </c>
      <c r="J1644" t="inlineStr">
        <is>
          <t>NA</t>
        </is>
      </c>
      <c r="K1644" t="n">
        <v>92.90000000000001</v>
      </c>
      <c r="L1644">
        <f>IF(K1644&gt;=80,"Yes","No")</f>
        <v/>
      </c>
      <c r="M1644">
        <f>IF(ISNUMBER(H1644),IF(H1644&gt;0,1,0),"")</f>
        <v/>
      </c>
    </row>
    <row r="1645">
      <c r="A1645" t="inlineStr">
        <is>
          <t>SIMULATED_FEA_Commercial_Study</t>
        </is>
      </c>
      <c r="B1645" t="inlineStr">
        <is>
          <t>V31</t>
        </is>
      </c>
      <c r="C1645" t="inlineStr">
        <is>
          <t>Annotation</t>
        </is>
      </c>
      <c r="D1645" t="inlineStr">
        <is>
          <t>Bin_01</t>
        </is>
      </c>
      <c r="E1645" t="n">
        <v>10</v>
      </c>
      <c r="F1645" t="inlineStr">
        <is>
          <t>Engagement</t>
        </is>
      </c>
      <c r="G1645" t="inlineStr">
        <is>
          <t>NA</t>
        </is>
      </c>
      <c r="H1645" t="inlineStr">
        <is>
          <t>NA</t>
        </is>
      </c>
      <c r="I1645" t="inlineStr">
        <is>
          <t>NA</t>
        </is>
      </c>
      <c r="J1645" t="n">
        <v>21.38</v>
      </c>
      <c r="K1645" t="n">
        <v>92.90000000000001</v>
      </c>
      <c r="L1645">
        <f>IF(K1645&gt;=80,"Yes","No")</f>
        <v/>
      </c>
      <c r="M1645">
        <f>IF(ISNUMBER(H1645),IF(H1645&gt;0,1,0),"")</f>
        <v/>
      </c>
    </row>
    <row r="1646">
      <c r="A1646" t="inlineStr">
        <is>
          <t>SIMULATED_FEA_Commercial_Study</t>
        </is>
      </c>
      <c r="B1646" t="inlineStr">
        <is>
          <t>V31</t>
        </is>
      </c>
      <c r="C1646" t="inlineStr">
        <is>
          <t>Annotation</t>
        </is>
      </c>
      <c r="D1646" t="inlineStr">
        <is>
          <t>Bin_02</t>
        </is>
      </c>
      <c r="E1646" t="n">
        <v>10</v>
      </c>
      <c r="F1646" t="inlineStr">
        <is>
          <t>Joy</t>
        </is>
      </c>
      <c r="G1646" t="n">
        <v>50</v>
      </c>
      <c r="H1646" t="n">
        <v>0</v>
      </c>
      <c r="I1646" t="n">
        <v>0</v>
      </c>
      <c r="J1646" t="inlineStr">
        <is>
          <t>NA</t>
        </is>
      </c>
      <c r="K1646" t="n">
        <v>92.90000000000001</v>
      </c>
      <c r="L1646">
        <f>IF(K1646&gt;=80,"Yes","No")</f>
        <v/>
      </c>
      <c r="M1646">
        <f>IF(ISNUMBER(H1646),IF(H1646&gt;0,1,0),"")</f>
        <v/>
      </c>
    </row>
    <row r="1647">
      <c r="A1647" t="inlineStr">
        <is>
          <t>SIMULATED_FEA_Commercial_Study</t>
        </is>
      </c>
      <c r="B1647" t="inlineStr">
        <is>
          <t>V31</t>
        </is>
      </c>
      <c r="C1647" t="inlineStr">
        <is>
          <t>Annotation</t>
        </is>
      </c>
      <c r="D1647" t="inlineStr">
        <is>
          <t>Bin_02</t>
        </is>
      </c>
      <c r="E1647" t="n">
        <v>10</v>
      </c>
      <c r="F1647" t="inlineStr">
        <is>
          <t>Surprise</t>
        </is>
      </c>
      <c r="G1647" t="n">
        <v>50</v>
      </c>
      <c r="H1647" t="n">
        <v>0</v>
      </c>
      <c r="I1647" t="n">
        <v>0</v>
      </c>
      <c r="J1647" t="inlineStr">
        <is>
          <t>NA</t>
        </is>
      </c>
      <c r="K1647" t="n">
        <v>92.90000000000001</v>
      </c>
      <c r="L1647">
        <f>IF(K1647&gt;=80,"Yes","No")</f>
        <v/>
      </c>
      <c r="M1647">
        <f>IF(ISNUMBER(H1647),IF(H1647&gt;0,1,0),"")</f>
        <v/>
      </c>
    </row>
    <row r="1648">
      <c r="A1648" t="inlineStr">
        <is>
          <t>SIMULATED_FEA_Commercial_Study</t>
        </is>
      </c>
      <c r="B1648" t="inlineStr">
        <is>
          <t>V31</t>
        </is>
      </c>
      <c r="C1648" t="inlineStr">
        <is>
          <t>Annotation</t>
        </is>
      </c>
      <c r="D1648" t="inlineStr">
        <is>
          <t>Bin_02</t>
        </is>
      </c>
      <c r="E1648" t="n">
        <v>10</v>
      </c>
      <c r="F1648" t="inlineStr">
        <is>
          <t>Brow Furrow</t>
        </is>
      </c>
      <c r="G1648" t="n">
        <v>50</v>
      </c>
      <c r="H1648" t="n">
        <v>27.67</v>
      </c>
      <c r="I1648" t="n">
        <v>3</v>
      </c>
      <c r="J1648" t="inlineStr">
        <is>
          <t>NA</t>
        </is>
      </c>
      <c r="K1648" t="n">
        <v>92.90000000000001</v>
      </c>
      <c r="L1648">
        <f>IF(K1648&gt;=80,"Yes","No")</f>
        <v/>
      </c>
      <c r="M1648">
        <f>IF(ISNUMBER(H1648),IF(H1648&gt;0,1,0),"")</f>
        <v/>
      </c>
    </row>
    <row r="1649">
      <c r="A1649" t="inlineStr">
        <is>
          <t>SIMULATED_FEA_Commercial_Study</t>
        </is>
      </c>
      <c r="B1649" t="inlineStr">
        <is>
          <t>V31</t>
        </is>
      </c>
      <c r="C1649" t="inlineStr">
        <is>
          <t>Annotation</t>
        </is>
      </c>
      <c r="D1649" t="inlineStr">
        <is>
          <t>Bin_02</t>
        </is>
      </c>
      <c r="E1649" t="n">
        <v>10</v>
      </c>
      <c r="F1649" t="inlineStr">
        <is>
          <t>Positive Valence</t>
        </is>
      </c>
      <c r="G1649" t="n">
        <v>50</v>
      </c>
      <c r="H1649" t="n">
        <v>0</v>
      </c>
      <c r="I1649" t="n">
        <v>0</v>
      </c>
      <c r="J1649" t="inlineStr">
        <is>
          <t>NA</t>
        </is>
      </c>
      <c r="K1649" t="n">
        <v>92.90000000000001</v>
      </c>
      <c r="L1649">
        <f>IF(K1649&gt;=80,"Yes","No")</f>
        <v/>
      </c>
      <c r="M1649">
        <f>IF(ISNUMBER(H1649),IF(H1649&gt;0,1,0),"")</f>
        <v/>
      </c>
    </row>
    <row r="1650">
      <c r="A1650" t="inlineStr">
        <is>
          <t>SIMULATED_FEA_Commercial_Study</t>
        </is>
      </c>
      <c r="B1650" t="inlineStr">
        <is>
          <t>V31</t>
        </is>
      </c>
      <c r="C1650" t="inlineStr">
        <is>
          <t>Annotation</t>
        </is>
      </c>
      <c r="D1650" t="inlineStr">
        <is>
          <t>Bin_02</t>
        </is>
      </c>
      <c r="E1650" t="n">
        <v>10</v>
      </c>
      <c r="F1650" t="inlineStr">
        <is>
          <t>Negative Valence</t>
        </is>
      </c>
      <c r="G1650" t="n">
        <v>-50</v>
      </c>
      <c r="H1650" t="n">
        <v>0</v>
      </c>
      <c r="I1650" t="n">
        <v>0</v>
      </c>
      <c r="J1650" t="inlineStr">
        <is>
          <t>NA</t>
        </is>
      </c>
      <c r="K1650" t="n">
        <v>92.90000000000001</v>
      </c>
      <c r="L1650">
        <f>IF(K1650&gt;=80,"Yes","No")</f>
        <v/>
      </c>
      <c r="M1650">
        <f>IF(ISNUMBER(H1650),IF(H1650&gt;0,1,0),"")</f>
        <v/>
      </c>
    </row>
    <row r="1651">
      <c r="A1651" t="inlineStr">
        <is>
          <t>SIMULATED_FEA_Commercial_Study</t>
        </is>
      </c>
      <c r="B1651" t="inlineStr">
        <is>
          <t>V31</t>
        </is>
      </c>
      <c r="C1651" t="inlineStr">
        <is>
          <t>Annotation</t>
        </is>
      </c>
      <c r="D1651" t="inlineStr">
        <is>
          <t>Bin_02</t>
        </is>
      </c>
      <c r="E1651" t="n">
        <v>10</v>
      </c>
      <c r="F1651" t="inlineStr">
        <is>
          <t>Engagement</t>
        </is>
      </c>
      <c r="G1651" t="inlineStr">
        <is>
          <t>NA</t>
        </is>
      </c>
      <c r="H1651" t="inlineStr">
        <is>
          <t>NA</t>
        </is>
      </c>
      <c r="I1651" t="inlineStr">
        <is>
          <t>NA</t>
        </is>
      </c>
      <c r="J1651" t="n">
        <v>13.64</v>
      </c>
      <c r="K1651" t="n">
        <v>92.90000000000001</v>
      </c>
      <c r="L1651">
        <f>IF(K1651&gt;=80,"Yes","No")</f>
        <v/>
      </c>
      <c r="M1651">
        <f>IF(ISNUMBER(H1651),IF(H1651&gt;0,1,0),"")</f>
        <v/>
      </c>
    </row>
    <row r="1652">
      <c r="A1652" t="inlineStr">
        <is>
          <t>SIMULATED_FEA_Commercial_Study</t>
        </is>
      </c>
      <c r="B1652" t="inlineStr">
        <is>
          <t>V31</t>
        </is>
      </c>
      <c r="C1652" t="inlineStr">
        <is>
          <t>Annotation</t>
        </is>
      </c>
      <c r="D1652" t="inlineStr">
        <is>
          <t>Bin_03</t>
        </is>
      </c>
      <c r="E1652" t="n">
        <v>10</v>
      </c>
      <c r="F1652" t="inlineStr">
        <is>
          <t>Joy</t>
        </is>
      </c>
      <c r="G1652" t="n">
        <v>50</v>
      </c>
      <c r="H1652" t="n">
        <v>0</v>
      </c>
      <c r="I1652" t="n">
        <v>0</v>
      </c>
      <c r="J1652" t="inlineStr">
        <is>
          <t>NA</t>
        </is>
      </c>
      <c r="K1652" t="n">
        <v>92.90000000000001</v>
      </c>
      <c r="L1652">
        <f>IF(K1652&gt;=80,"Yes","No")</f>
        <v/>
      </c>
      <c r="M1652">
        <f>IF(ISNUMBER(H1652),IF(H1652&gt;0,1,0),"")</f>
        <v/>
      </c>
    </row>
    <row r="1653">
      <c r="A1653" t="inlineStr">
        <is>
          <t>SIMULATED_FEA_Commercial_Study</t>
        </is>
      </c>
      <c r="B1653" t="inlineStr">
        <is>
          <t>V31</t>
        </is>
      </c>
      <c r="C1653" t="inlineStr">
        <is>
          <t>Annotation</t>
        </is>
      </c>
      <c r="D1653" t="inlineStr">
        <is>
          <t>Bin_03</t>
        </is>
      </c>
      <c r="E1653" t="n">
        <v>10</v>
      </c>
      <c r="F1653" t="inlineStr">
        <is>
          <t>Surprise</t>
        </is>
      </c>
      <c r="G1653" t="n">
        <v>50</v>
      </c>
      <c r="H1653" t="n">
        <v>0</v>
      </c>
      <c r="I1653" t="n">
        <v>0</v>
      </c>
      <c r="J1653" t="inlineStr">
        <is>
          <t>NA</t>
        </is>
      </c>
      <c r="K1653" t="n">
        <v>92.90000000000001</v>
      </c>
      <c r="L1653">
        <f>IF(K1653&gt;=80,"Yes","No")</f>
        <v/>
      </c>
      <c r="M1653">
        <f>IF(ISNUMBER(H1653),IF(H1653&gt;0,1,0),"")</f>
        <v/>
      </c>
    </row>
    <row r="1654">
      <c r="A1654" t="inlineStr">
        <is>
          <t>SIMULATED_FEA_Commercial_Study</t>
        </is>
      </c>
      <c r="B1654" t="inlineStr">
        <is>
          <t>V31</t>
        </is>
      </c>
      <c r="C1654" t="inlineStr">
        <is>
          <t>Annotation</t>
        </is>
      </c>
      <c r="D1654" t="inlineStr">
        <is>
          <t>Bin_03</t>
        </is>
      </c>
      <c r="E1654" t="n">
        <v>10</v>
      </c>
      <c r="F1654" t="inlineStr">
        <is>
          <t>Brow Furrow</t>
        </is>
      </c>
      <c r="G1654" t="n">
        <v>50</v>
      </c>
      <c r="H1654" t="n">
        <v>7</v>
      </c>
      <c r="I1654" t="n">
        <v>3</v>
      </c>
      <c r="J1654" t="inlineStr">
        <is>
          <t>NA</t>
        </is>
      </c>
      <c r="K1654" t="n">
        <v>92.90000000000001</v>
      </c>
      <c r="L1654">
        <f>IF(K1654&gt;=80,"Yes","No")</f>
        <v/>
      </c>
      <c r="M1654">
        <f>IF(ISNUMBER(H1654),IF(H1654&gt;0,1,0),"")</f>
        <v/>
      </c>
    </row>
    <row r="1655">
      <c r="A1655" t="inlineStr">
        <is>
          <t>SIMULATED_FEA_Commercial_Study</t>
        </is>
      </c>
      <c r="B1655" t="inlineStr">
        <is>
          <t>V31</t>
        </is>
      </c>
      <c r="C1655" t="inlineStr">
        <is>
          <t>Annotation</t>
        </is>
      </c>
      <c r="D1655" t="inlineStr">
        <is>
          <t>Bin_03</t>
        </is>
      </c>
      <c r="E1655" t="n">
        <v>10</v>
      </c>
      <c r="F1655" t="inlineStr">
        <is>
          <t>Positive Valence</t>
        </is>
      </c>
      <c r="G1655" t="n">
        <v>50</v>
      </c>
      <c r="H1655" t="n">
        <v>0</v>
      </c>
      <c r="I1655" t="n">
        <v>0</v>
      </c>
      <c r="J1655" t="inlineStr">
        <is>
          <t>NA</t>
        </is>
      </c>
      <c r="K1655" t="n">
        <v>92.90000000000001</v>
      </c>
      <c r="L1655">
        <f>IF(K1655&gt;=80,"Yes","No")</f>
        <v/>
      </c>
      <c r="M1655">
        <f>IF(ISNUMBER(H1655),IF(H1655&gt;0,1,0),"")</f>
        <v/>
      </c>
    </row>
    <row r="1656">
      <c r="A1656" t="inlineStr">
        <is>
          <t>SIMULATED_FEA_Commercial_Study</t>
        </is>
      </c>
      <c r="B1656" t="inlineStr">
        <is>
          <t>V31</t>
        </is>
      </c>
      <c r="C1656" t="inlineStr">
        <is>
          <t>Annotation</t>
        </is>
      </c>
      <c r="D1656" t="inlineStr">
        <is>
          <t>Bin_03</t>
        </is>
      </c>
      <c r="E1656" t="n">
        <v>10</v>
      </c>
      <c r="F1656" t="inlineStr">
        <is>
          <t>Negative Valence</t>
        </is>
      </c>
      <c r="G1656" t="n">
        <v>-50</v>
      </c>
      <c r="H1656" t="n">
        <v>0</v>
      </c>
      <c r="I1656" t="n">
        <v>0</v>
      </c>
      <c r="J1656" t="inlineStr">
        <is>
          <t>NA</t>
        </is>
      </c>
      <c r="K1656" t="n">
        <v>92.90000000000001</v>
      </c>
      <c r="L1656">
        <f>IF(K1656&gt;=80,"Yes","No")</f>
        <v/>
      </c>
      <c r="M1656">
        <f>IF(ISNUMBER(H1656),IF(H1656&gt;0,1,0),"")</f>
        <v/>
      </c>
    </row>
    <row r="1657">
      <c r="A1657" t="inlineStr">
        <is>
          <t>SIMULATED_FEA_Commercial_Study</t>
        </is>
      </c>
      <c r="B1657" t="inlineStr">
        <is>
          <t>V31</t>
        </is>
      </c>
      <c r="C1657" t="inlineStr">
        <is>
          <t>Annotation</t>
        </is>
      </c>
      <c r="D1657" t="inlineStr">
        <is>
          <t>Bin_03</t>
        </is>
      </c>
      <c r="E1657" t="n">
        <v>10</v>
      </c>
      <c r="F1657" t="inlineStr">
        <is>
          <t>Engagement</t>
        </is>
      </c>
      <c r="G1657" t="inlineStr">
        <is>
          <t>NA</t>
        </is>
      </c>
      <c r="H1657" t="inlineStr">
        <is>
          <t>NA</t>
        </is>
      </c>
      <c r="I1657" t="inlineStr">
        <is>
          <t>NA</t>
        </is>
      </c>
      <c r="J1657" t="n">
        <v>8.609999999999999</v>
      </c>
      <c r="K1657" t="n">
        <v>92.90000000000001</v>
      </c>
      <c r="L1657">
        <f>IF(K1657&gt;=80,"Yes","No")</f>
        <v/>
      </c>
      <c r="M1657">
        <f>IF(ISNUMBER(H1657),IF(H1657&gt;0,1,0),"")</f>
        <v/>
      </c>
    </row>
    <row r="1658">
      <c r="A1658" t="inlineStr">
        <is>
          <t>SIMULATED_FEA_Commercial_Study</t>
        </is>
      </c>
      <c r="B1658" t="inlineStr">
        <is>
          <t>V31</t>
        </is>
      </c>
      <c r="C1658" t="inlineStr">
        <is>
          <t>Annotation</t>
        </is>
      </c>
      <c r="D1658" t="inlineStr">
        <is>
          <t>Bin_04</t>
        </is>
      </c>
      <c r="E1658" t="n">
        <v>10</v>
      </c>
      <c r="F1658" t="inlineStr">
        <is>
          <t>Joy</t>
        </is>
      </c>
      <c r="G1658" t="n">
        <v>50</v>
      </c>
      <c r="H1658" t="n">
        <v>0</v>
      </c>
      <c r="I1658" t="n">
        <v>0</v>
      </c>
      <c r="J1658" t="inlineStr">
        <is>
          <t>NA</t>
        </is>
      </c>
      <c r="K1658" t="n">
        <v>92.90000000000001</v>
      </c>
      <c r="L1658">
        <f>IF(K1658&gt;=80,"Yes","No")</f>
        <v/>
      </c>
      <c r="M1658">
        <f>IF(ISNUMBER(H1658),IF(H1658&gt;0,1,0),"")</f>
        <v/>
      </c>
    </row>
    <row r="1659">
      <c r="A1659" t="inlineStr">
        <is>
          <t>SIMULATED_FEA_Commercial_Study</t>
        </is>
      </c>
      <c r="B1659" t="inlineStr">
        <is>
          <t>V31</t>
        </is>
      </c>
      <c r="C1659" t="inlineStr">
        <is>
          <t>Annotation</t>
        </is>
      </c>
      <c r="D1659" t="inlineStr">
        <is>
          <t>Bin_04</t>
        </is>
      </c>
      <c r="E1659" t="n">
        <v>10</v>
      </c>
      <c r="F1659" t="inlineStr">
        <is>
          <t>Surprise</t>
        </is>
      </c>
      <c r="G1659" t="n">
        <v>50</v>
      </c>
      <c r="H1659" t="n">
        <v>0</v>
      </c>
      <c r="I1659" t="n">
        <v>0</v>
      </c>
      <c r="J1659" t="inlineStr">
        <is>
          <t>NA</t>
        </is>
      </c>
      <c r="K1659" t="n">
        <v>92.90000000000001</v>
      </c>
      <c r="L1659">
        <f>IF(K1659&gt;=80,"Yes","No")</f>
        <v/>
      </c>
      <c r="M1659">
        <f>IF(ISNUMBER(H1659),IF(H1659&gt;0,1,0),"")</f>
        <v/>
      </c>
    </row>
    <row r="1660">
      <c r="A1660" t="inlineStr">
        <is>
          <t>SIMULATED_FEA_Commercial_Study</t>
        </is>
      </c>
      <c r="B1660" t="inlineStr">
        <is>
          <t>V31</t>
        </is>
      </c>
      <c r="C1660" t="inlineStr">
        <is>
          <t>Annotation</t>
        </is>
      </c>
      <c r="D1660" t="inlineStr">
        <is>
          <t>Bin_04</t>
        </is>
      </c>
      <c r="E1660" t="n">
        <v>10</v>
      </c>
      <c r="F1660" t="inlineStr">
        <is>
          <t>Brow Furrow</t>
        </is>
      </c>
      <c r="G1660" t="n">
        <v>50</v>
      </c>
      <c r="H1660" t="n">
        <v>0</v>
      </c>
      <c r="I1660" t="n">
        <v>0</v>
      </c>
      <c r="J1660" t="inlineStr">
        <is>
          <t>NA</t>
        </is>
      </c>
      <c r="K1660" t="n">
        <v>92.90000000000001</v>
      </c>
      <c r="L1660">
        <f>IF(K1660&gt;=80,"Yes","No")</f>
        <v/>
      </c>
      <c r="M1660">
        <f>IF(ISNUMBER(H1660),IF(H1660&gt;0,1,0),"")</f>
        <v/>
      </c>
    </row>
    <row r="1661">
      <c r="A1661" t="inlineStr">
        <is>
          <t>SIMULATED_FEA_Commercial_Study</t>
        </is>
      </c>
      <c r="B1661" t="inlineStr">
        <is>
          <t>V31</t>
        </is>
      </c>
      <c r="C1661" t="inlineStr">
        <is>
          <t>Annotation</t>
        </is>
      </c>
      <c r="D1661" t="inlineStr">
        <is>
          <t>Bin_04</t>
        </is>
      </c>
      <c r="E1661" t="n">
        <v>10</v>
      </c>
      <c r="F1661" t="inlineStr">
        <is>
          <t>Positive Valence</t>
        </is>
      </c>
      <c r="G1661" t="n">
        <v>50</v>
      </c>
      <c r="H1661" t="n">
        <v>0</v>
      </c>
      <c r="I1661" t="n">
        <v>0</v>
      </c>
      <c r="J1661" t="inlineStr">
        <is>
          <t>NA</t>
        </is>
      </c>
      <c r="K1661" t="n">
        <v>92.90000000000001</v>
      </c>
      <c r="L1661">
        <f>IF(K1661&gt;=80,"Yes","No")</f>
        <v/>
      </c>
      <c r="M1661">
        <f>IF(ISNUMBER(H1661),IF(H1661&gt;0,1,0),"")</f>
        <v/>
      </c>
    </row>
    <row r="1662">
      <c r="A1662" t="inlineStr">
        <is>
          <t>SIMULATED_FEA_Commercial_Study</t>
        </is>
      </c>
      <c r="B1662" t="inlineStr">
        <is>
          <t>V31</t>
        </is>
      </c>
      <c r="C1662" t="inlineStr">
        <is>
          <t>Annotation</t>
        </is>
      </c>
      <c r="D1662" t="inlineStr">
        <is>
          <t>Bin_04</t>
        </is>
      </c>
      <c r="E1662" t="n">
        <v>10</v>
      </c>
      <c r="F1662" t="inlineStr">
        <is>
          <t>Negative Valence</t>
        </is>
      </c>
      <c r="G1662" t="n">
        <v>-50</v>
      </c>
      <c r="H1662" t="n">
        <v>0</v>
      </c>
      <c r="I1662" t="n">
        <v>0</v>
      </c>
      <c r="J1662" t="inlineStr">
        <is>
          <t>NA</t>
        </is>
      </c>
      <c r="K1662" t="n">
        <v>92.90000000000001</v>
      </c>
      <c r="L1662">
        <f>IF(K1662&gt;=80,"Yes","No")</f>
        <v/>
      </c>
      <c r="M1662">
        <f>IF(ISNUMBER(H1662),IF(H1662&gt;0,1,0),"")</f>
        <v/>
      </c>
    </row>
    <row r="1663">
      <c r="A1663" t="inlineStr">
        <is>
          <t>SIMULATED_FEA_Commercial_Study</t>
        </is>
      </c>
      <c r="B1663" t="inlineStr">
        <is>
          <t>V31</t>
        </is>
      </c>
      <c r="C1663" t="inlineStr">
        <is>
          <t>Annotation</t>
        </is>
      </c>
      <c r="D1663" t="inlineStr">
        <is>
          <t>Bin_04</t>
        </is>
      </c>
      <c r="E1663" t="n">
        <v>10</v>
      </c>
      <c r="F1663" t="inlineStr">
        <is>
          <t>Engagement</t>
        </is>
      </c>
      <c r="G1663" t="inlineStr">
        <is>
          <t>NA</t>
        </is>
      </c>
      <c r="H1663" t="inlineStr">
        <is>
          <t>NA</t>
        </is>
      </c>
      <c r="I1663" t="inlineStr">
        <is>
          <t>NA</t>
        </is>
      </c>
      <c r="J1663" t="n">
        <v>6.72</v>
      </c>
      <c r="K1663" t="n">
        <v>92.90000000000001</v>
      </c>
      <c r="L1663">
        <f>IF(K1663&gt;=80,"Yes","No")</f>
        <v/>
      </c>
      <c r="M1663">
        <f>IF(ISNUMBER(H1663),IF(H1663&gt;0,1,0),"")</f>
        <v/>
      </c>
    </row>
    <row r="1664">
      <c r="A1664" t="inlineStr">
        <is>
          <t>SIMULATED_FEA_Commercial_Study</t>
        </is>
      </c>
      <c r="B1664" t="inlineStr">
        <is>
          <t>V31</t>
        </is>
      </c>
      <c r="C1664" t="inlineStr">
        <is>
          <t>Annotation</t>
        </is>
      </c>
      <c r="D1664" t="inlineStr">
        <is>
          <t>Bin_05</t>
        </is>
      </c>
      <c r="E1664" t="n">
        <v>10</v>
      </c>
      <c r="F1664" t="inlineStr">
        <is>
          <t>Joy</t>
        </is>
      </c>
      <c r="G1664" t="n">
        <v>50</v>
      </c>
      <c r="H1664" t="n">
        <v>15.33</v>
      </c>
      <c r="I1664" t="n">
        <v>1</v>
      </c>
      <c r="J1664" t="inlineStr">
        <is>
          <t>NA</t>
        </is>
      </c>
      <c r="K1664" t="n">
        <v>92.90000000000001</v>
      </c>
      <c r="L1664">
        <f>IF(K1664&gt;=80,"Yes","No")</f>
        <v/>
      </c>
      <c r="M1664">
        <f>IF(ISNUMBER(H1664),IF(H1664&gt;0,1,0),"")</f>
        <v/>
      </c>
    </row>
    <row r="1665">
      <c r="A1665" t="inlineStr">
        <is>
          <t>SIMULATED_FEA_Commercial_Study</t>
        </is>
      </c>
      <c r="B1665" t="inlineStr">
        <is>
          <t>V31</t>
        </is>
      </c>
      <c r="C1665" t="inlineStr">
        <is>
          <t>Annotation</t>
        </is>
      </c>
      <c r="D1665" t="inlineStr">
        <is>
          <t>Bin_05</t>
        </is>
      </c>
      <c r="E1665" t="n">
        <v>10</v>
      </c>
      <c r="F1665" t="inlineStr">
        <is>
          <t>Surprise</t>
        </is>
      </c>
      <c r="G1665" t="n">
        <v>50</v>
      </c>
      <c r="H1665" t="n">
        <v>0</v>
      </c>
      <c r="I1665" t="n">
        <v>0</v>
      </c>
      <c r="J1665" t="inlineStr">
        <is>
          <t>NA</t>
        </is>
      </c>
      <c r="K1665" t="n">
        <v>92.90000000000001</v>
      </c>
      <c r="L1665">
        <f>IF(K1665&gt;=80,"Yes","No")</f>
        <v/>
      </c>
      <c r="M1665">
        <f>IF(ISNUMBER(H1665),IF(H1665&gt;0,1,0),"")</f>
        <v/>
      </c>
    </row>
    <row r="1666">
      <c r="A1666" t="inlineStr">
        <is>
          <t>SIMULATED_FEA_Commercial_Study</t>
        </is>
      </c>
      <c r="B1666" t="inlineStr">
        <is>
          <t>V31</t>
        </is>
      </c>
      <c r="C1666" t="inlineStr">
        <is>
          <t>Annotation</t>
        </is>
      </c>
      <c r="D1666" t="inlineStr">
        <is>
          <t>Bin_05</t>
        </is>
      </c>
      <c r="E1666" t="n">
        <v>10</v>
      </c>
      <c r="F1666" t="inlineStr">
        <is>
          <t>Brow Furrow</t>
        </is>
      </c>
      <c r="G1666" t="n">
        <v>50</v>
      </c>
      <c r="H1666" t="n">
        <v>0</v>
      </c>
      <c r="I1666" t="n">
        <v>0</v>
      </c>
      <c r="J1666" t="inlineStr">
        <is>
          <t>NA</t>
        </is>
      </c>
      <c r="K1666" t="n">
        <v>92.90000000000001</v>
      </c>
      <c r="L1666">
        <f>IF(K1666&gt;=80,"Yes","No")</f>
        <v/>
      </c>
      <c r="M1666">
        <f>IF(ISNUMBER(H1666),IF(H1666&gt;0,1,0),"")</f>
        <v/>
      </c>
    </row>
    <row r="1667">
      <c r="A1667" t="inlineStr">
        <is>
          <t>SIMULATED_FEA_Commercial_Study</t>
        </is>
      </c>
      <c r="B1667" t="inlineStr">
        <is>
          <t>V31</t>
        </is>
      </c>
      <c r="C1667" t="inlineStr">
        <is>
          <t>Annotation</t>
        </is>
      </c>
      <c r="D1667" t="inlineStr">
        <is>
          <t>Bin_05</t>
        </is>
      </c>
      <c r="E1667" t="n">
        <v>10</v>
      </c>
      <c r="F1667" t="inlineStr">
        <is>
          <t>Positive Valence</t>
        </is>
      </c>
      <c r="G1667" t="n">
        <v>50</v>
      </c>
      <c r="H1667" t="n">
        <v>13.33</v>
      </c>
      <c r="I1667" t="n">
        <v>2</v>
      </c>
      <c r="J1667" t="inlineStr">
        <is>
          <t>NA</t>
        </is>
      </c>
      <c r="K1667" t="n">
        <v>92.90000000000001</v>
      </c>
      <c r="L1667">
        <f>IF(K1667&gt;=80,"Yes","No")</f>
        <v/>
      </c>
      <c r="M1667">
        <f>IF(ISNUMBER(H1667),IF(H1667&gt;0,1,0),"")</f>
        <v/>
      </c>
    </row>
    <row r="1668">
      <c r="A1668" t="inlineStr">
        <is>
          <t>SIMULATED_FEA_Commercial_Study</t>
        </is>
      </c>
      <c r="B1668" t="inlineStr">
        <is>
          <t>V31</t>
        </is>
      </c>
      <c r="C1668" t="inlineStr">
        <is>
          <t>Annotation</t>
        </is>
      </c>
      <c r="D1668" t="inlineStr">
        <is>
          <t>Bin_05</t>
        </is>
      </c>
      <c r="E1668" t="n">
        <v>10</v>
      </c>
      <c r="F1668" t="inlineStr">
        <is>
          <t>Negative Valence</t>
        </is>
      </c>
      <c r="G1668" t="n">
        <v>-50</v>
      </c>
      <c r="H1668" t="n">
        <v>0</v>
      </c>
      <c r="I1668" t="n">
        <v>0</v>
      </c>
      <c r="J1668" t="inlineStr">
        <is>
          <t>NA</t>
        </is>
      </c>
      <c r="K1668" t="n">
        <v>92.90000000000001</v>
      </c>
      <c r="L1668">
        <f>IF(K1668&gt;=80,"Yes","No")</f>
        <v/>
      </c>
      <c r="M1668">
        <f>IF(ISNUMBER(H1668),IF(H1668&gt;0,1,0),"")</f>
        <v/>
      </c>
    </row>
    <row r="1669">
      <c r="A1669" t="inlineStr">
        <is>
          <t>SIMULATED_FEA_Commercial_Study</t>
        </is>
      </c>
      <c r="B1669" t="inlineStr">
        <is>
          <t>V31</t>
        </is>
      </c>
      <c r="C1669" t="inlineStr">
        <is>
          <t>Annotation</t>
        </is>
      </c>
      <c r="D1669" t="inlineStr">
        <is>
          <t>Bin_05</t>
        </is>
      </c>
      <c r="E1669" t="n">
        <v>10</v>
      </c>
      <c r="F1669" t="inlineStr">
        <is>
          <t>Engagement</t>
        </is>
      </c>
      <c r="G1669" t="inlineStr">
        <is>
          <t>NA</t>
        </is>
      </c>
      <c r="H1669" t="inlineStr">
        <is>
          <t>NA</t>
        </is>
      </c>
      <c r="I1669" t="inlineStr">
        <is>
          <t>NA</t>
        </is>
      </c>
      <c r="J1669" t="n">
        <v>9.33</v>
      </c>
      <c r="K1669" t="n">
        <v>92.90000000000001</v>
      </c>
      <c r="L1669">
        <f>IF(K1669&gt;=80,"Yes","No")</f>
        <v/>
      </c>
      <c r="M1669">
        <f>IF(ISNUMBER(H1669),IF(H1669&gt;0,1,0),"")</f>
        <v/>
      </c>
    </row>
    <row r="1670">
      <c r="A1670" t="inlineStr">
        <is>
          <t>SIMULATED_FEA_Commercial_Study</t>
        </is>
      </c>
      <c r="B1670" t="inlineStr">
        <is>
          <t>V31</t>
        </is>
      </c>
      <c r="C1670" t="inlineStr">
        <is>
          <t>Annotation</t>
        </is>
      </c>
      <c r="D1670" t="inlineStr">
        <is>
          <t>Bin_06</t>
        </is>
      </c>
      <c r="E1670" t="n">
        <v>10</v>
      </c>
      <c r="F1670" t="inlineStr">
        <is>
          <t>Joy</t>
        </is>
      </c>
      <c r="G1670" t="n">
        <v>50</v>
      </c>
      <c r="H1670" t="n">
        <v>0</v>
      </c>
      <c r="I1670" t="n">
        <v>0</v>
      </c>
      <c r="J1670" t="inlineStr">
        <is>
          <t>NA</t>
        </is>
      </c>
      <c r="K1670" t="n">
        <v>92.90000000000001</v>
      </c>
      <c r="L1670">
        <f>IF(K1670&gt;=80,"Yes","No")</f>
        <v/>
      </c>
      <c r="M1670">
        <f>IF(ISNUMBER(H1670),IF(H1670&gt;0,1,0),"")</f>
        <v/>
      </c>
    </row>
    <row r="1671">
      <c r="A1671" t="inlineStr">
        <is>
          <t>SIMULATED_FEA_Commercial_Study</t>
        </is>
      </c>
      <c r="B1671" t="inlineStr">
        <is>
          <t>V31</t>
        </is>
      </c>
      <c r="C1671" t="inlineStr">
        <is>
          <t>Annotation</t>
        </is>
      </c>
      <c r="D1671" t="inlineStr">
        <is>
          <t>Bin_06</t>
        </is>
      </c>
      <c r="E1671" t="n">
        <v>10</v>
      </c>
      <c r="F1671" t="inlineStr">
        <is>
          <t>Surprise</t>
        </is>
      </c>
      <c r="G1671" t="n">
        <v>50</v>
      </c>
      <c r="H1671" t="n">
        <v>0</v>
      </c>
      <c r="I1671" t="n">
        <v>0</v>
      </c>
      <c r="J1671" t="inlineStr">
        <is>
          <t>NA</t>
        </is>
      </c>
      <c r="K1671" t="n">
        <v>92.90000000000001</v>
      </c>
      <c r="L1671">
        <f>IF(K1671&gt;=80,"Yes","No")</f>
        <v/>
      </c>
      <c r="M1671">
        <f>IF(ISNUMBER(H1671),IF(H1671&gt;0,1,0),"")</f>
        <v/>
      </c>
    </row>
    <row r="1672">
      <c r="A1672" t="inlineStr">
        <is>
          <t>SIMULATED_FEA_Commercial_Study</t>
        </is>
      </c>
      <c r="B1672" t="inlineStr">
        <is>
          <t>V31</t>
        </is>
      </c>
      <c r="C1672" t="inlineStr">
        <is>
          <t>Annotation</t>
        </is>
      </c>
      <c r="D1672" t="inlineStr">
        <is>
          <t>Bin_06</t>
        </is>
      </c>
      <c r="E1672" t="n">
        <v>10</v>
      </c>
      <c r="F1672" t="inlineStr">
        <is>
          <t>Brow Furrow</t>
        </is>
      </c>
      <c r="G1672" t="n">
        <v>50</v>
      </c>
      <c r="H1672" t="n">
        <v>21.33</v>
      </c>
      <c r="I1672" t="n">
        <v>2</v>
      </c>
      <c r="J1672" t="inlineStr">
        <is>
          <t>NA</t>
        </is>
      </c>
      <c r="K1672" t="n">
        <v>92.90000000000001</v>
      </c>
      <c r="L1672">
        <f>IF(K1672&gt;=80,"Yes","No")</f>
        <v/>
      </c>
      <c r="M1672">
        <f>IF(ISNUMBER(H1672),IF(H1672&gt;0,1,0),"")</f>
        <v/>
      </c>
    </row>
    <row r="1673">
      <c r="A1673" t="inlineStr">
        <is>
          <t>SIMULATED_FEA_Commercial_Study</t>
        </is>
      </c>
      <c r="B1673" t="inlineStr">
        <is>
          <t>V31</t>
        </is>
      </c>
      <c r="C1673" t="inlineStr">
        <is>
          <t>Annotation</t>
        </is>
      </c>
      <c r="D1673" t="inlineStr">
        <is>
          <t>Bin_06</t>
        </is>
      </c>
      <c r="E1673" t="n">
        <v>10</v>
      </c>
      <c r="F1673" t="inlineStr">
        <is>
          <t>Positive Valence</t>
        </is>
      </c>
      <c r="G1673" t="n">
        <v>50</v>
      </c>
      <c r="H1673" t="n">
        <v>0</v>
      </c>
      <c r="I1673" t="n">
        <v>0</v>
      </c>
      <c r="J1673" t="inlineStr">
        <is>
          <t>NA</t>
        </is>
      </c>
      <c r="K1673" t="n">
        <v>92.90000000000001</v>
      </c>
      <c r="L1673">
        <f>IF(K1673&gt;=80,"Yes","No")</f>
        <v/>
      </c>
      <c r="M1673">
        <f>IF(ISNUMBER(H1673),IF(H1673&gt;0,1,0),"")</f>
        <v/>
      </c>
    </row>
    <row r="1674">
      <c r="A1674" t="inlineStr">
        <is>
          <t>SIMULATED_FEA_Commercial_Study</t>
        </is>
      </c>
      <c r="B1674" t="inlineStr">
        <is>
          <t>V31</t>
        </is>
      </c>
      <c r="C1674" t="inlineStr">
        <is>
          <t>Annotation</t>
        </is>
      </c>
      <c r="D1674" t="inlineStr">
        <is>
          <t>Bin_06</t>
        </is>
      </c>
      <c r="E1674" t="n">
        <v>10</v>
      </c>
      <c r="F1674" t="inlineStr">
        <is>
          <t>Negative Valence</t>
        </is>
      </c>
      <c r="G1674" t="n">
        <v>-50</v>
      </c>
      <c r="H1674" t="n">
        <v>0</v>
      </c>
      <c r="I1674" t="n">
        <v>0</v>
      </c>
      <c r="J1674" t="inlineStr">
        <is>
          <t>NA</t>
        </is>
      </c>
      <c r="K1674" t="n">
        <v>92.90000000000001</v>
      </c>
      <c r="L1674">
        <f>IF(K1674&gt;=80,"Yes","No")</f>
        <v/>
      </c>
      <c r="M1674">
        <f>IF(ISNUMBER(H1674),IF(H1674&gt;0,1,0),"")</f>
        <v/>
      </c>
    </row>
    <row r="1675">
      <c r="A1675" t="inlineStr">
        <is>
          <t>SIMULATED_FEA_Commercial_Study</t>
        </is>
      </c>
      <c r="B1675" t="inlineStr">
        <is>
          <t>V31</t>
        </is>
      </c>
      <c r="C1675" t="inlineStr">
        <is>
          <t>Annotation</t>
        </is>
      </c>
      <c r="D1675" t="inlineStr">
        <is>
          <t>Bin_06</t>
        </is>
      </c>
      <c r="E1675" t="n">
        <v>10</v>
      </c>
      <c r="F1675" t="inlineStr">
        <is>
          <t>Engagement</t>
        </is>
      </c>
      <c r="G1675" t="inlineStr">
        <is>
          <t>NA</t>
        </is>
      </c>
      <c r="H1675" t="inlineStr">
        <is>
          <t>NA</t>
        </is>
      </c>
      <c r="I1675" t="inlineStr">
        <is>
          <t>NA</t>
        </is>
      </c>
      <c r="J1675" t="n">
        <v>10.65</v>
      </c>
      <c r="K1675" t="n">
        <v>92.90000000000001</v>
      </c>
      <c r="L1675">
        <f>IF(K1675&gt;=80,"Yes","No")</f>
        <v/>
      </c>
      <c r="M1675">
        <f>IF(ISNUMBER(H1675),IF(H1675&gt;0,1,0),"")</f>
        <v/>
      </c>
    </row>
    <row r="1676">
      <c r="A1676" t="inlineStr">
        <is>
          <t>SIMULATED_FEA_Commercial_Study</t>
        </is>
      </c>
      <c r="B1676" t="inlineStr">
        <is>
          <t>V32</t>
        </is>
      </c>
      <c r="C1676" t="inlineStr">
        <is>
          <t>Stimulus</t>
        </is>
      </c>
      <c r="D1676" t="inlineStr">
        <is>
          <t>Baseline</t>
        </is>
      </c>
      <c r="E1676" t="n">
        <v>60</v>
      </c>
      <c r="F1676" t="inlineStr">
        <is>
          <t>Joy</t>
        </is>
      </c>
      <c r="G1676" t="n">
        <v>50</v>
      </c>
      <c r="H1676" t="n">
        <v>0</v>
      </c>
      <c r="I1676" t="n">
        <v>0</v>
      </c>
      <c r="J1676" t="inlineStr">
        <is>
          <t>NA</t>
        </is>
      </c>
      <c r="K1676" t="n">
        <v>98.8</v>
      </c>
      <c r="L1676">
        <f>IF(K1676&gt;=80,"Yes","No")</f>
        <v/>
      </c>
      <c r="M1676">
        <f>IF(ISNUMBER(H1676),IF(H1676&gt;0,1,0),"")</f>
        <v/>
      </c>
    </row>
    <row r="1677">
      <c r="A1677" t="inlineStr">
        <is>
          <t>SIMULATED_FEA_Commercial_Study</t>
        </is>
      </c>
      <c r="B1677" t="inlineStr">
        <is>
          <t>V32</t>
        </is>
      </c>
      <c r="C1677" t="inlineStr">
        <is>
          <t>Stimulus</t>
        </is>
      </c>
      <c r="D1677" t="inlineStr">
        <is>
          <t>Baseline</t>
        </is>
      </c>
      <c r="E1677" t="n">
        <v>60</v>
      </c>
      <c r="F1677" t="inlineStr">
        <is>
          <t>Surprise</t>
        </is>
      </c>
      <c r="G1677" t="n">
        <v>50</v>
      </c>
      <c r="H1677" t="n">
        <v>0</v>
      </c>
      <c r="I1677" t="n">
        <v>0</v>
      </c>
      <c r="J1677" t="inlineStr">
        <is>
          <t>NA</t>
        </is>
      </c>
      <c r="K1677" t="n">
        <v>98.8</v>
      </c>
      <c r="L1677">
        <f>IF(K1677&gt;=80,"Yes","No")</f>
        <v/>
      </c>
      <c r="M1677">
        <f>IF(ISNUMBER(H1677),IF(H1677&gt;0,1,0),"")</f>
        <v/>
      </c>
    </row>
    <row r="1678">
      <c r="A1678" t="inlineStr">
        <is>
          <t>SIMULATED_FEA_Commercial_Study</t>
        </is>
      </c>
      <c r="B1678" t="inlineStr">
        <is>
          <t>V32</t>
        </is>
      </c>
      <c r="C1678" t="inlineStr">
        <is>
          <t>Stimulus</t>
        </is>
      </c>
      <c r="D1678" t="inlineStr">
        <is>
          <t>Baseline</t>
        </is>
      </c>
      <c r="E1678" t="n">
        <v>60</v>
      </c>
      <c r="F1678" t="inlineStr">
        <is>
          <t>Brow Furrow</t>
        </is>
      </c>
      <c r="G1678" t="n">
        <v>50</v>
      </c>
      <c r="H1678" t="n">
        <v>0</v>
      </c>
      <c r="I1678" t="n">
        <v>0</v>
      </c>
      <c r="J1678" t="inlineStr">
        <is>
          <t>NA</t>
        </is>
      </c>
      <c r="K1678" t="n">
        <v>98.8</v>
      </c>
      <c r="L1678">
        <f>IF(K1678&gt;=80,"Yes","No")</f>
        <v/>
      </c>
      <c r="M1678">
        <f>IF(ISNUMBER(H1678),IF(H1678&gt;0,1,0),"")</f>
        <v/>
      </c>
    </row>
    <row r="1679">
      <c r="A1679" t="inlineStr">
        <is>
          <t>SIMULATED_FEA_Commercial_Study</t>
        </is>
      </c>
      <c r="B1679" t="inlineStr">
        <is>
          <t>V32</t>
        </is>
      </c>
      <c r="C1679" t="inlineStr">
        <is>
          <t>Stimulus</t>
        </is>
      </c>
      <c r="D1679" t="inlineStr">
        <is>
          <t>Baseline</t>
        </is>
      </c>
      <c r="E1679" t="n">
        <v>60</v>
      </c>
      <c r="F1679" t="inlineStr">
        <is>
          <t>Positive Valence</t>
        </is>
      </c>
      <c r="G1679" t="n">
        <v>50</v>
      </c>
      <c r="H1679" t="n">
        <v>0</v>
      </c>
      <c r="I1679" t="n">
        <v>0</v>
      </c>
      <c r="J1679" t="inlineStr">
        <is>
          <t>NA</t>
        </is>
      </c>
      <c r="K1679" t="n">
        <v>98.8</v>
      </c>
      <c r="L1679">
        <f>IF(K1679&gt;=80,"Yes","No")</f>
        <v/>
      </c>
      <c r="M1679">
        <f>IF(ISNUMBER(H1679),IF(H1679&gt;0,1,0),"")</f>
        <v/>
      </c>
    </row>
    <row r="1680">
      <c r="A1680" t="inlineStr">
        <is>
          <t>SIMULATED_FEA_Commercial_Study</t>
        </is>
      </c>
      <c r="B1680" t="inlineStr">
        <is>
          <t>V32</t>
        </is>
      </c>
      <c r="C1680" t="inlineStr">
        <is>
          <t>Stimulus</t>
        </is>
      </c>
      <c r="D1680" t="inlineStr">
        <is>
          <t>Baseline</t>
        </is>
      </c>
      <c r="E1680" t="n">
        <v>60</v>
      </c>
      <c r="F1680" t="inlineStr">
        <is>
          <t>Negative Valence</t>
        </is>
      </c>
      <c r="G1680" t="n">
        <v>-50</v>
      </c>
      <c r="H1680" t="n">
        <v>0</v>
      </c>
      <c r="I1680" t="n">
        <v>0</v>
      </c>
      <c r="J1680" t="inlineStr">
        <is>
          <t>NA</t>
        </is>
      </c>
      <c r="K1680" t="n">
        <v>98.8</v>
      </c>
      <c r="L1680">
        <f>IF(K1680&gt;=80,"Yes","No")</f>
        <v/>
      </c>
      <c r="M1680">
        <f>IF(ISNUMBER(H1680),IF(H1680&gt;0,1,0),"")</f>
        <v/>
      </c>
    </row>
    <row r="1681">
      <c r="A1681" t="inlineStr">
        <is>
          <t>SIMULATED_FEA_Commercial_Study</t>
        </is>
      </c>
      <c r="B1681" t="inlineStr">
        <is>
          <t>V32</t>
        </is>
      </c>
      <c r="C1681" t="inlineStr">
        <is>
          <t>Stimulus</t>
        </is>
      </c>
      <c r="D1681" t="inlineStr">
        <is>
          <t>Baseline</t>
        </is>
      </c>
      <c r="E1681" t="n">
        <v>60</v>
      </c>
      <c r="F1681" t="inlineStr">
        <is>
          <t>Engagement</t>
        </is>
      </c>
      <c r="G1681" t="inlineStr">
        <is>
          <t>NA</t>
        </is>
      </c>
      <c r="H1681" t="inlineStr">
        <is>
          <t>NA</t>
        </is>
      </c>
      <c r="I1681" t="inlineStr">
        <is>
          <t>NA</t>
        </is>
      </c>
      <c r="J1681" t="n">
        <v>4.25</v>
      </c>
      <c r="K1681" t="n">
        <v>98.8</v>
      </c>
      <c r="L1681">
        <f>IF(K1681&gt;=80,"Yes","No")</f>
        <v/>
      </c>
      <c r="M1681">
        <f>IF(ISNUMBER(H1681),IF(H1681&gt;0,1,0),"")</f>
        <v/>
      </c>
    </row>
    <row r="1682">
      <c r="A1682" t="inlineStr">
        <is>
          <t>SIMULATED_FEA_Commercial_Study</t>
        </is>
      </c>
      <c r="B1682" t="inlineStr">
        <is>
          <t>V32</t>
        </is>
      </c>
      <c r="C1682" t="inlineStr">
        <is>
          <t>Stimulus</t>
        </is>
      </c>
      <c r="D1682" t="inlineStr">
        <is>
          <t>Commercial</t>
        </is>
      </c>
      <c r="E1682" t="n">
        <v>60</v>
      </c>
      <c r="F1682" t="inlineStr">
        <is>
          <t>Joy</t>
        </is>
      </c>
      <c r="G1682" t="n">
        <v>50</v>
      </c>
      <c r="H1682" t="n">
        <v>8.67</v>
      </c>
      <c r="I1682" t="n">
        <v>8</v>
      </c>
      <c r="J1682" t="inlineStr">
        <is>
          <t>NA</t>
        </is>
      </c>
      <c r="K1682" t="n">
        <v>98.8</v>
      </c>
      <c r="L1682">
        <f>IF(K1682&gt;=80,"Yes","No")</f>
        <v/>
      </c>
      <c r="M1682">
        <f>IF(ISNUMBER(H1682),IF(H1682&gt;0,1,0),"")</f>
        <v/>
      </c>
    </row>
    <row r="1683">
      <c r="A1683" t="inlineStr">
        <is>
          <t>SIMULATED_FEA_Commercial_Study</t>
        </is>
      </c>
      <c r="B1683" t="inlineStr">
        <is>
          <t>V32</t>
        </is>
      </c>
      <c r="C1683" t="inlineStr">
        <is>
          <t>Stimulus</t>
        </is>
      </c>
      <c r="D1683" t="inlineStr">
        <is>
          <t>Commercial</t>
        </is>
      </c>
      <c r="E1683" t="n">
        <v>60</v>
      </c>
      <c r="F1683" t="inlineStr">
        <is>
          <t>Surprise</t>
        </is>
      </c>
      <c r="G1683" t="n">
        <v>50</v>
      </c>
      <c r="H1683" t="n">
        <v>3.94</v>
      </c>
      <c r="I1683" t="n">
        <v>1</v>
      </c>
      <c r="J1683" t="inlineStr">
        <is>
          <t>NA</t>
        </is>
      </c>
      <c r="K1683" t="n">
        <v>98.8</v>
      </c>
      <c r="L1683">
        <f>IF(K1683&gt;=80,"Yes","No")</f>
        <v/>
      </c>
      <c r="M1683">
        <f>IF(ISNUMBER(H1683),IF(H1683&gt;0,1,0),"")</f>
        <v/>
      </c>
    </row>
    <row r="1684">
      <c r="A1684" t="inlineStr">
        <is>
          <t>SIMULATED_FEA_Commercial_Study</t>
        </is>
      </c>
      <c r="B1684" t="inlineStr">
        <is>
          <t>V32</t>
        </is>
      </c>
      <c r="C1684" t="inlineStr">
        <is>
          <t>Stimulus</t>
        </is>
      </c>
      <c r="D1684" t="inlineStr">
        <is>
          <t>Commercial</t>
        </is>
      </c>
      <c r="E1684" t="n">
        <v>60</v>
      </c>
      <c r="F1684" t="inlineStr">
        <is>
          <t>Brow Furrow</t>
        </is>
      </c>
      <c r="G1684" t="n">
        <v>50</v>
      </c>
      <c r="H1684" t="n">
        <v>5.72</v>
      </c>
      <c r="I1684" t="n">
        <v>11</v>
      </c>
      <c r="J1684" t="inlineStr">
        <is>
          <t>NA</t>
        </is>
      </c>
      <c r="K1684" t="n">
        <v>98.8</v>
      </c>
      <c r="L1684">
        <f>IF(K1684&gt;=80,"Yes","No")</f>
        <v/>
      </c>
      <c r="M1684">
        <f>IF(ISNUMBER(H1684),IF(H1684&gt;0,1,0),"")</f>
        <v/>
      </c>
    </row>
    <row r="1685">
      <c r="A1685" t="inlineStr">
        <is>
          <t>SIMULATED_FEA_Commercial_Study</t>
        </is>
      </c>
      <c r="B1685" t="inlineStr">
        <is>
          <t>V32</t>
        </is>
      </c>
      <c r="C1685" t="inlineStr">
        <is>
          <t>Stimulus</t>
        </is>
      </c>
      <c r="D1685" t="inlineStr">
        <is>
          <t>Commercial</t>
        </is>
      </c>
      <c r="E1685" t="n">
        <v>60</v>
      </c>
      <c r="F1685" t="inlineStr">
        <is>
          <t>Positive Valence</t>
        </is>
      </c>
      <c r="G1685" t="n">
        <v>50</v>
      </c>
      <c r="H1685" t="n">
        <v>7.06</v>
      </c>
      <c r="I1685" t="n">
        <v>3</v>
      </c>
      <c r="J1685" t="inlineStr">
        <is>
          <t>NA</t>
        </is>
      </c>
      <c r="K1685" t="n">
        <v>98.8</v>
      </c>
      <c r="L1685">
        <f>IF(K1685&gt;=80,"Yes","No")</f>
        <v/>
      </c>
      <c r="M1685">
        <f>IF(ISNUMBER(H1685),IF(H1685&gt;0,1,0),"")</f>
        <v/>
      </c>
    </row>
    <row r="1686">
      <c r="A1686" t="inlineStr">
        <is>
          <t>SIMULATED_FEA_Commercial_Study</t>
        </is>
      </c>
      <c r="B1686" t="inlineStr">
        <is>
          <t>V32</t>
        </is>
      </c>
      <c r="C1686" t="inlineStr">
        <is>
          <t>Stimulus</t>
        </is>
      </c>
      <c r="D1686" t="inlineStr">
        <is>
          <t>Commercial</t>
        </is>
      </c>
      <c r="E1686" t="n">
        <v>60</v>
      </c>
      <c r="F1686" t="inlineStr">
        <is>
          <t>Negative Valence</t>
        </is>
      </c>
      <c r="G1686" t="n">
        <v>-50</v>
      </c>
      <c r="H1686" t="n">
        <v>0.78</v>
      </c>
      <c r="I1686" t="n">
        <v>2</v>
      </c>
      <c r="J1686" t="inlineStr">
        <is>
          <t>NA</t>
        </is>
      </c>
      <c r="K1686" t="n">
        <v>98.8</v>
      </c>
      <c r="L1686">
        <f>IF(K1686&gt;=80,"Yes","No")</f>
        <v/>
      </c>
      <c r="M1686">
        <f>IF(ISNUMBER(H1686),IF(H1686&gt;0,1,0),"")</f>
        <v/>
      </c>
    </row>
    <row r="1687">
      <c r="A1687" t="inlineStr">
        <is>
          <t>SIMULATED_FEA_Commercial_Study</t>
        </is>
      </c>
      <c r="B1687" t="inlineStr">
        <is>
          <t>V32</t>
        </is>
      </c>
      <c r="C1687" t="inlineStr">
        <is>
          <t>Stimulus</t>
        </is>
      </c>
      <c r="D1687" t="inlineStr">
        <is>
          <t>Commercial</t>
        </is>
      </c>
      <c r="E1687" t="n">
        <v>60</v>
      </c>
      <c r="F1687" t="inlineStr">
        <is>
          <t>Engagement</t>
        </is>
      </c>
      <c r="G1687" t="inlineStr">
        <is>
          <t>NA</t>
        </is>
      </c>
      <c r="H1687" t="inlineStr">
        <is>
          <t>NA</t>
        </is>
      </c>
      <c r="I1687" t="inlineStr">
        <is>
          <t>NA</t>
        </is>
      </c>
      <c r="J1687" t="n">
        <v>20.18</v>
      </c>
      <c r="K1687" t="n">
        <v>98.8</v>
      </c>
      <c r="L1687">
        <f>IF(K1687&gt;=80,"Yes","No")</f>
        <v/>
      </c>
      <c r="M1687">
        <f>IF(ISNUMBER(H1687),IF(H1687&gt;0,1,0),"")</f>
        <v/>
      </c>
    </row>
    <row r="1688">
      <c r="A1688" t="inlineStr">
        <is>
          <t>SIMULATED_FEA_Commercial_Study</t>
        </is>
      </c>
      <c r="B1688" t="inlineStr">
        <is>
          <t>V32</t>
        </is>
      </c>
      <c r="C1688" t="inlineStr">
        <is>
          <t>Stimulus</t>
        </is>
      </c>
      <c r="D1688" t="inlineStr">
        <is>
          <t>Recovery</t>
        </is>
      </c>
      <c r="E1688" t="n">
        <v>15</v>
      </c>
      <c r="F1688" t="inlineStr">
        <is>
          <t>Joy</t>
        </is>
      </c>
      <c r="G1688" t="n">
        <v>50</v>
      </c>
      <c r="H1688" t="n">
        <v>0.22</v>
      </c>
      <c r="I1688" t="n">
        <v>1</v>
      </c>
      <c r="J1688" t="inlineStr">
        <is>
          <t>NA</t>
        </is>
      </c>
      <c r="K1688" t="n">
        <v>98.8</v>
      </c>
      <c r="L1688">
        <f>IF(K1688&gt;=80,"Yes","No")</f>
        <v/>
      </c>
      <c r="M1688">
        <f>IF(ISNUMBER(H1688),IF(H1688&gt;0,1,0),"")</f>
        <v/>
      </c>
    </row>
    <row r="1689">
      <c r="A1689" t="inlineStr">
        <is>
          <t>SIMULATED_FEA_Commercial_Study</t>
        </is>
      </c>
      <c r="B1689" t="inlineStr">
        <is>
          <t>V32</t>
        </is>
      </c>
      <c r="C1689" t="inlineStr">
        <is>
          <t>Stimulus</t>
        </is>
      </c>
      <c r="D1689" t="inlineStr">
        <is>
          <t>Recovery</t>
        </is>
      </c>
      <c r="E1689" t="n">
        <v>15</v>
      </c>
      <c r="F1689" t="inlineStr">
        <is>
          <t>Surprise</t>
        </is>
      </c>
      <c r="G1689" t="n">
        <v>50</v>
      </c>
      <c r="H1689" t="n">
        <v>0</v>
      </c>
      <c r="I1689" t="n">
        <v>0</v>
      </c>
      <c r="J1689" t="inlineStr">
        <is>
          <t>NA</t>
        </is>
      </c>
      <c r="K1689" t="n">
        <v>98.8</v>
      </c>
      <c r="L1689">
        <f>IF(K1689&gt;=80,"Yes","No")</f>
        <v/>
      </c>
      <c r="M1689">
        <f>IF(ISNUMBER(H1689),IF(H1689&gt;0,1,0),"")</f>
        <v/>
      </c>
    </row>
    <row r="1690">
      <c r="A1690" t="inlineStr">
        <is>
          <t>SIMULATED_FEA_Commercial_Study</t>
        </is>
      </c>
      <c r="B1690" t="inlineStr">
        <is>
          <t>V32</t>
        </is>
      </c>
      <c r="C1690" t="inlineStr">
        <is>
          <t>Stimulus</t>
        </is>
      </c>
      <c r="D1690" t="inlineStr">
        <is>
          <t>Recovery</t>
        </is>
      </c>
      <c r="E1690" t="n">
        <v>15</v>
      </c>
      <c r="F1690" t="inlineStr">
        <is>
          <t>Brow Furrow</t>
        </is>
      </c>
      <c r="G1690" t="n">
        <v>50</v>
      </c>
      <c r="H1690" t="n">
        <v>0</v>
      </c>
      <c r="I1690" t="n">
        <v>0</v>
      </c>
      <c r="J1690" t="inlineStr">
        <is>
          <t>NA</t>
        </is>
      </c>
      <c r="K1690" t="n">
        <v>98.8</v>
      </c>
      <c r="L1690">
        <f>IF(K1690&gt;=80,"Yes","No")</f>
        <v/>
      </c>
      <c r="M1690">
        <f>IF(ISNUMBER(H1690),IF(H1690&gt;0,1,0),"")</f>
        <v/>
      </c>
    </row>
    <row r="1691">
      <c r="A1691" t="inlineStr">
        <is>
          <t>SIMULATED_FEA_Commercial_Study</t>
        </is>
      </c>
      <c r="B1691" t="inlineStr">
        <is>
          <t>V32</t>
        </is>
      </c>
      <c r="C1691" t="inlineStr">
        <is>
          <t>Stimulus</t>
        </is>
      </c>
      <c r="D1691" t="inlineStr">
        <is>
          <t>Recovery</t>
        </is>
      </c>
      <c r="E1691" t="n">
        <v>15</v>
      </c>
      <c r="F1691" t="inlineStr">
        <is>
          <t>Positive Valence</t>
        </is>
      </c>
      <c r="G1691" t="n">
        <v>50</v>
      </c>
      <c r="H1691" t="n">
        <v>0</v>
      </c>
      <c r="I1691" t="n">
        <v>0</v>
      </c>
      <c r="J1691" t="inlineStr">
        <is>
          <t>NA</t>
        </is>
      </c>
      <c r="K1691" t="n">
        <v>98.8</v>
      </c>
      <c r="L1691">
        <f>IF(K1691&gt;=80,"Yes","No")</f>
        <v/>
      </c>
      <c r="M1691">
        <f>IF(ISNUMBER(H1691),IF(H1691&gt;0,1,0),"")</f>
        <v/>
      </c>
    </row>
    <row r="1692">
      <c r="A1692" t="inlineStr">
        <is>
          <t>SIMULATED_FEA_Commercial_Study</t>
        </is>
      </c>
      <c r="B1692" t="inlineStr">
        <is>
          <t>V32</t>
        </is>
      </c>
      <c r="C1692" t="inlineStr">
        <is>
          <t>Stimulus</t>
        </is>
      </c>
      <c r="D1692" t="inlineStr">
        <is>
          <t>Recovery</t>
        </is>
      </c>
      <c r="E1692" t="n">
        <v>15</v>
      </c>
      <c r="F1692" t="inlineStr">
        <is>
          <t>Negative Valence</t>
        </is>
      </c>
      <c r="G1692" t="n">
        <v>-50</v>
      </c>
      <c r="H1692" t="n">
        <v>0</v>
      </c>
      <c r="I1692" t="n">
        <v>0</v>
      </c>
      <c r="J1692" t="inlineStr">
        <is>
          <t>NA</t>
        </is>
      </c>
      <c r="K1692" t="n">
        <v>98.8</v>
      </c>
      <c r="L1692">
        <f>IF(K1692&gt;=80,"Yes","No")</f>
        <v/>
      </c>
      <c r="M1692">
        <f>IF(ISNUMBER(H1692),IF(H1692&gt;0,1,0),"")</f>
        <v/>
      </c>
    </row>
    <row r="1693">
      <c r="A1693" t="inlineStr">
        <is>
          <t>SIMULATED_FEA_Commercial_Study</t>
        </is>
      </c>
      <c r="B1693" t="inlineStr">
        <is>
          <t>V32</t>
        </is>
      </c>
      <c r="C1693" t="inlineStr">
        <is>
          <t>Stimulus</t>
        </is>
      </c>
      <c r="D1693" t="inlineStr">
        <is>
          <t>Recovery</t>
        </is>
      </c>
      <c r="E1693" t="n">
        <v>15</v>
      </c>
      <c r="F1693" t="inlineStr">
        <is>
          <t>Engagement</t>
        </is>
      </c>
      <c r="G1693" t="inlineStr">
        <is>
          <t>NA</t>
        </is>
      </c>
      <c r="H1693" t="inlineStr">
        <is>
          <t>NA</t>
        </is>
      </c>
      <c r="I1693" t="inlineStr">
        <is>
          <t>NA</t>
        </is>
      </c>
      <c r="J1693" t="n">
        <v>6.4</v>
      </c>
      <c r="K1693" t="n">
        <v>98.8</v>
      </c>
      <c r="L1693">
        <f>IF(K1693&gt;=80,"Yes","No")</f>
        <v/>
      </c>
      <c r="M1693">
        <f>IF(ISNUMBER(H1693),IF(H1693&gt;0,1,0),"")</f>
        <v/>
      </c>
    </row>
    <row r="1694">
      <c r="A1694" t="inlineStr">
        <is>
          <t>SIMULATED_FEA_Commercial_Study</t>
        </is>
      </c>
      <c r="B1694" t="inlineStr">
        <is>
          <t>V32</t>
        </is>
      </c>
      <c r="C1694" t="inlineStr">
        <is>
          <t>Annotation</t>
        </is>
      </c>
      <c r="D1694" t="inlineStr">
        <is>
          <t>Bin_01</t>
        </is>
      </c>
      <c r="E1694" t="n">
        <v>10</v>
      </c>
      <c r="F1694" t="inlineStr">
        <is>
          <t>Joy</t>
        </is>
      </c>
      <c r="G1694" t="n">
        <v>50</v>
      </c>
      <c r="H1694" t="n">
        <v>0</v>
      </c>
      <c r="I1694" t="n">
        <v>0</v>
      </c>
      <c r="J1694" t="inlineStr">
        <is>
          <t>NA</t>
        </is>
      </c>
      <c r="K1694" t="n">
        <v>98.8</v>
      </c>
      <c r="L1694">
        <f>IF(K1694&gt;=80,"Yes","No")</f>
        <v/>
      </c>
      <c r="M1694">
        <f>IF(ISNUMBER(H1694),IF(H1694&gt;0,1,0),"")</f>
        <v/>
      </c>
    </row>
    <row r="1695">
      <c r="A1695" t="inlineStr">
        <is>
          <t>SIMULATED_FEA_Commercial_Study</t>
        </is>
      </c>
      <c r="B1695" t="inlineStr">
        <is>
          <t>V32</t>
        </is>
      </c>
      <c r="C1695" t="inlineStr">
        <is>
          <t>Annotation</t>
        </is>
      </c>
      <c r="D1695" t="inlineStr">
        <is>
          <t>Bin_01</t>
        </is>
      </c>
      <c r="E1695" t="n">
        <v>10</v>
      </c>
      <c r="F1695" t="inlineStr">
        <is>
          <t>Surprise</t>
        </is>
      </c>
      <c r="G1695" t="n">
        <v>50</v>
      </c>
      <c r="H1695" t="n">
        <v>0</v>
      </c>
      <c r="I1695" t="n">
        <v>0</v>
      </c>
      <c r="J1695" t="inlineStr">
        <is>
          <t>NA</t>
        </is>
      </c>
      <c r="K1695" t="n">
        <v>98.8</v>
      </c>
      <c r="L1695">
        <f>IF(K1695&gt;=80,"Yes","No")</f>
        <v/>
      </c>
      <c r="M1695">
        <f>IF(ISNUMBER(H1695),IF(H1695&gt;0,1,0),"")</f>
        <v/>
      </c>
    </row>
    <row r="1696">
      <c r="A1696" t="inlineStr">
        <is>
          <t>SIMULATED_FEA_Commercial_Study</t>
        </is>
      </c>
      <c r="B1696" t="inlineStr">
        <is>
          <t>V32</t>
        </is>
      </c>
      <c r="C1696" t="inlineStr">
        <is>
          <t>Annotation</t>
        </is>
      </c>
      <c r="D1696" t="inlineStr">
        <is>
          <t>Bin_01</t>
        </is>
      </c>
      <c r="E1696" t="n">
        <v>10</v>
      </c>
      <c r="F1696" t="inlineStr">
        <is>
          <t>Brow Furrow</t>
        </is>
      </c>
      <c r="G1696" t="n">
        <v>50</v>
      </c>
      <c r="H1696" t="n">
        <v>0</v>
      </c>
      <c r="I1696" t="n">
        <v>0</v>
      </c>
      <c r="J1696" t="inlineStr">
        <is>
          <t>NA</t>
        </is>
      </c>
      <c r="K1696" t="n">
        <v>98.8</v>
      </c>
      <c r="L1696">
        <f>IF(K1696&gt;=80,"Yes","No")</f>
        <v/>
      </c>
      <c r="M1696">
        <f>IF(ISNUMBER(H1696),IF(H1696&gt;0,1,0),"")</f>
        <v/>
      </c>
    </row>
    <row r="1697">
      <c r="A1697" t="inlineStr">
        <is>
          <t>SIMULATED_FEA_Commercial_Study</t>
        </is>
      </c>
      <c r="B1697" t="inlineStr">
        <is>
          <t>V32</t>
        </is>
      </c>
      <c r="C1697" t="inlineStr">
        <is>
          <t>Annotation</t>
        </is>
      </c>
      <c r="D1697" t="inlineStr">
        <is>
          <t>Bin_01</t>
        </is>
      </c>
      <c r="E1697" t="n">
        <v>10</v>
      </c>
      <c r="F1697" t="inlineStr">
        <is>
          <t>Positive Valence</t>
        </is>
      </c>
      <c r="G1697" t="n">
        <v>50</v>
      </c>
      <c r="H1697" t="n">
        <v>0</v>
      </c>
      <c r="I1697" t="n">
        <v>0</v>
      </c>
      <c r="J1697" t="inlineStr">
        <is>
          <t>NA</t>
        </is>
      </c>
      <c r="K1697" t="n">
        <v>98.8</v>
      </c>
      <c r="L1697">
        <f>IF(K1697&gt;=80,"Yes","No")</f>
        <v/>
      </c>
      <c r="M1697">
        <f>IF(ISNUMBER(H1697),IF(H1697&gt;0,1,0),"")</f>
        <v/>
      </c>
    </row>
    <row r="1698">
      <c r="A1698" t="inlineStr">
        <is>
          <t>SIMULATED_FEA_Commercial_Study</t>
        </is>
      </c>
      <c r="B1698" t="inlineStr">
        <is>
          <t>V32</t>
        </is>
      </c>
      <c r="C1698" t="inlineStr">
        <is>
          <t>Annotation</t>
        </is>
      </c>
      <c r="D1698" t="inlineStr">
        <is>
          <t>Bin_01</t>
        </is>
      </c>
      <c r="E1698" t="n">
        <v>10</v>
      </c>
      <c r="F1698" t="inlineStr">
        <is>
          <t>Negative Valence</t>
        </is>
      </c>
      <c r="G1698" t="n">
        <v>-50</v>
      </c>
      <c r="H1698" t="n">
        <v>0</v>
      </c>
      <c r="I1698" t="n">
        <v>0</v>
      </c>
      <c r="J1698" t="inlineStr">
        <is>
          <t>NA</t>
        </is>
      </c>
      <c r="K1698" t="n">
        <v>98.8</v>
      </c>
      <c r="L1698">
        <f>IF(K1698&gt;=80,"Yes","No")</f>
        <v/>
      </c>
      <c r="M1698">
        <f>IF(ISNUMBER(H1698),IF(H1698&gt;0,1,0),"")</f>
        <v/>
      </c>
    </row>
    <row r="1699">
      <c r="A1699" t="inlineStr">
        <is>
          <t>SIMULATED_FEA_Commercial_Study</t>
        </is>
      </c>
      <c r="B1699" t="inlineStr">
        <is>
          <t>V32</t>
        </is>
      </c>
      <c r="C1699" t="inlineStr">
        <is>
          <t>Annotation</t>
        </is>
      </c>
      <c r="D1699" t="inlineStr">
        <is>
          <t>Bin_01</t>
        </is>
      </c>
      <c r="E1699" t="n">
        <v>10</v>
      </c>
      <c r="F1699" t="inlineStr">
        <is>
          <t>Engagement</t>
        </is>
      </c>
      <c r="G1699" t="inlineStr">
        <is>
          <t>NA</t>
        </is>
      </c>
      <c r="H1699" t="inlineStr">
        <is>
          <t>NA</t>
        </is>
      </c>
      <c r="I1699" t="inlineStr">
        <is>
          <t>NA</t>
        </is>
      </c>
      <c r="J1699" t="n">
        <v>6.56</v>
      </c>
      <c r="K1699" t="n">
        <v>98.8</v>
      </c>
      <c r="L1699">
        <f>IF(K1699&gt;=80,"Yes","No")</f>
        <v/>
      </c>
      <c r="M1699">
        <f>IF(ISNUMBER(H1699),IF(H1699&gt;0,1,0),"")</f>
        <v/>
      </c>
    </row>
    <row r="1700">
      <c r="A1700" t="inlineStr">
        <is>
          <t>SIMULATED_FEA_Commercial_Study</t>
        </is>
      </c>
      <c r="B1700" t="inlineStr">
        <is>
          <t>V32</t>
        </is>
      </c>
      <c r="C1700" t="inlineStr">
        <is>
          <t>Annotation</t>
        </is>
      </c>
      <c r="D1700" t="inlineStr">
        <is>
          <t>Bin_02</t>
        </is>
      </c>
      <c r="E1700" t="n">
        <v>10</v>
      </c>
      <c r="F1700" t="inlineStr">
        <is>
          <t>Joy</t>
        </is>
      </c>
      <c r="G1700" t="n">
        <v>50</v>
      </c>
      <c r="H1700" t="n">
        <v>20.67</v>
      </c>
      <c r="I1700" t="n">
        <v>1</v>
      </c>
      <c r="J1700" t="inlineStr">
        <is>
          <t>NA</t>
        </is>
      </c>
      <c r="K1700" t="n">
        <v>98.8</v>
      </c>
      <c r="L1700">
        <f>IF(K1700&gt;=80,"Yes","No")</f>
        <v/>
      </c>
      <c r="M1700">
        <f>IF(ISNUMBER(H1700),IF(H1700&gt;0,1,0),"")</f>
        <v/>
      </c>
    </row>
    <row r="1701">
      <c r="A1701" t="inlineStr">
        <is>
          <t>SIMULATED_FEA_Commercial_Study</t>
        </is>
      </c>
      <c r="B1701" t="inlineStr">
        <is>
          <t>V32</t>
        </is>
      </c>
      <c r="C1701" t="inlineStr">
        <is>
          <t>Annotation</t>
        </is>
      </c>
      <c r="D1701" t="inlineStr">
        <is>
          <t>Bin_02</t>
        </is>
      </c>
      <c r="E1701" t="n">
        <v>10</v>
      </c>
      <c r="F1701" t="inlineStr">
        <is>
          <t>Surprise</t>
        </is>
      </c>
      <c r="G1701" t="n">
        <v>50</v>
      </c>
      <c r="H1701" t="n">
        <v>0</v>
      </c>
      <c r="I1701" t="n">
        <v>0</v>
      </c>
      <c r="J1701" t="inlineStr">
        <is>
          <t>NA</t>
        </is>
      </c>
      <c r="K1701" t="n">
        <v>98.8</v>
      </c>
      <c r="L1701">
        <f>IF(K1701&gt;=80,"Yes","No")</f>
        <v/>
      </c>
      <c r="M1701">
        <f>IF(ISNUMBER(H1701),IF(H1701&gt;0,1,0),"")</f>
        <v/>
      </c>
    </row>
    <row r="1702">
      <c r="A1702" t="inlineStr">
        <is>
          <t>SIMULATED_FEA_Commercial_Study</t>
        </is>
      </c>
      <c r="B1702" t="inlineStr">
        <is>
          <t>V32</t>
        </is>
      </c>
      <c r="C1702" t="inlineStr">
        <is>
          <t>Annotation</t>
        </is>
      </c>
      <c r="D1702" t="inlineStr">
        <is>
          <t>Bin_02</t>
        </is>
      </c>
      <c r="E1702" t="n">
        <v>10</v>
      </c>
      <c r="F1702" t="inlineStr">
        <is>
          <t>Brow Furrow</t>
        </is>
      </c>
      <c r="G1702" t="n">
        <v>50</v>
      </c>
      <c r="H1702" t="n">
        <v>0</v>
      </c>
      <c r="I1702" t="n">
        <v>0</v>
      </c>
      <c r="J1702" t="inlineStr">
        <is>
          <t>NA</t>
        </is>
      </c>
      <c r="K1702" t="n">
        <v>98.8</v>
      </c>
      <c r="L1702">
        <f>IF(K1702&gt;=80,"Yes","No")</f>
        <v/>
      </c>
      <c r="M1702">
        <f>IF(ISNUMBER(H1702),IF(H1702&gt;0,1,0),"")</f>
        <v/>
      </c>
    </row>
    <row r="1703">
      <c r="A1703" t="inlineStr">
        <is>
          <t>SIMULATED_FEA_Commercial_Study</t>
        </is>
      </c>
      <c r="B1703" t="inlineStr">
        <is>
          <t>V32</t>
        </is>
      </c>
      <c r="C1703" t="inlineStr">
        <is>
          <t>Annotation</t>
        </is>
      </c>
      <c r="D1703" t="inlineStr">
        <is>
          <t>Bin_02</t>
        </is>
      </c>
      <c r="E1703" t="n">
        <v>10</v>
      </c>
      <c r="F1703" t="inlineStr">
        <is>
          <t>Positive Valence</t>
        </is>
      </c>
      <c r="G1703" t="n">
        <v>50</v>
      </c>
      <c r="H1703" t="n">
        <v>15.67</v>
      </c>
      <c r="I1703" t="n">
        <v>1</v>
      </c>
      <c r="J1703" t="inlineStr">
        <is>
          <t>NA</t>
        </is>
      </c>
      <c r="K1703" t="n">
        <v>98.8</v>
      </c>
      <c r="L1703">
        <f>IF(K1703&gt;=80,"Yes","No")</f>
        <v/>
      </c>
      <c r="M1703">
        <f>IF(ISNUMBER(H1703),IF(H1703&gt;0,1,0),"")</f>
        <v/>
      </c>
    </row>
    <row r="1704">
      <c r="A1704" t="inlineStr">
        <is>
          <t>SIMULATED_FEA_Commercial_Study</t>
        </is>
      </c>
      <c r="B1704" t="inlineStr">
        <is>
          <t>V32</t>
        </is>
      </c>
      <c r="C1704" t="inlineStr">
        <is>
          <t>Annotation</t>
        </is>
      </c>
      <c r="D1704" t="inlineStr">
        <is>
          <t>Bin_02</t>
        </is>
      </c>
      <c r="E1704" t="n">
        <v>10</v>
      </c>
      <c r="F1704" t="inlineStr">
        <is>
          <t>Negative Valence</t>
        </is>
      </c>
      <c r="G1704" t="n">
        <v>-50</v>
      </c>
      <c r="H1704" t="n">
        <v>0</v>
      </c>
      <c r="I1704" t="n">
        <v>0</v>
      </c>
      <c r="J1704" t="inlineStr">
        <is>
          <t>NA</t>
        </is>
      </c>
      <c r="K1704" t="n">
        <v>98.8</v>
      </c>
      <c r="L1704">
        <f>IF(K1704&gt;=80,"Yes","No")</f>
        <v/>
      </c>
      <c r="M1704">
        <f>IF(ISNUMBER(H1704),IF(H1704&gt;0,1,0),"")</f>
        <v/>
      </c>
    </row>
    <row r="1705">
      <c r="A1705" t="inlineStr">
        <is>
          <t>SIMULATED_FEA_Commercial_Study</t>
        </is>
      </c>
      <c r="B1705" t="inlineStr">
        <is>
          <t>V32</t>
        </is>
      </c>
      <c r="C1705" t="inlineStr">
        <is>
          <t>Annotation</t>
        </is>
      </c>
      <c r="D1705" t="inlineStr">
        <is>
          <t>Bin_02</t>
        </is>
      </c>
      <c r="E1705" t="n">
        <v>10</v>
      </c>
      <c r="F1705" t="inlineStr">
        <is>
          <t>Engagement</t>
        </is>
      </c>
      <c r="G1705" t="inlineStr">
        <is>
          <t>NA</t>
        </is>
      </c>
      <c r="H1705" t="inlineStr">
        <is>
          <t>NA</t>
        </is>
      </c>
      <c r="I1705" t="inlineStr">
        <is>
          <t>NA</t>
        </is>
      </c>
      <c r="J1705" t="n">
        <v>22.97</v>
      </c>
      <c r="K1705" t="n">
        <v>98.8</v>
      </c>
      <c r="L1705">
        <f>IF(K1705&gt;=80,"Yes","No")</f>
        <v/>
      </c>
      <c r="M1705">
        <f>IF(ISNUMBER(H1705),IF(H1705&gt;0,1,0),"")</f>
        <v/>
      </c>
    </row>
    <row r="1706">
      <c r="A1706" t="inlineStr">
        <is>
          <t>SIMULATED_FEA_Commercial_Study</t>
        </is>
      </c>
      <c r="B1706" t="inlineStr">
        <is>
          <t>V32</t>
        </is>
      </c>
      <c r="C1706" t="inlineStr">
        <is>
          <t>Annotation</t>
        </is>
      </c>
      <c r="D1706" t="inlineStr">
        <is>
          <t>Bin_03</t>
        </is>
      </c>
      <c r="E1706" t="n">
        <v>10</v>
      </c>
      <c r="F1706" t="inlineStr">
        <is>
          <t>Joy</t>
        </is>
      </c>
      <c r="G1706" t="n">
        <v>50</v>
      </c>
      <c r="H1706" t="n">
        <v>0</v>
      </c>
      <c r="I1706" t="n">
        <v>0</v>
      </c>
      <c r="J1706" t="inlineStr">
        <is>
          <t>NA</t>
        </is>
      </c>
      <c r="K1706" t="n">
        <v>98.8</v>
      </c>
      <c r="L1706">
        <f>IF(K1706&gt;=80,"Yes","No")</f>
        <v/>
      </c>
      <c r="M1706">
        <f>IF(ISNUMBER(H1706),IF(H1706&gt;0,1,0),"")</f>
        <v/>
      </c>
    </row>
    <row r="1707">
      <c r="A1707" t="inlineStr">
        <is>
          <t>SIMULATED_FEA_Commercial_Study</t>
        </is>
      </c>
      <c r="B1707" t="inlineStr">
        <is>
          <t>V32</t>
        </is>
      </c>
      <c r="C1707" t="inlineStr">
        <is>
          <t>Annotation</t>
        </is>
      </c>
      <c r="D1707" t="inlineStr">
        <is>
          <t>Bin_03</t>
        </is>
      </c>
      <c r="E1707" t="n">
        <v>10</v>
      </c>
      <c r="F1707" t="inlineStr">
        <is>
          <t>Surprise</t>
        </is>
      </c>
      <c r="G1707" t="n">
        <v>50</v>
      </c>
      <c r="H1707" t="n">
        <v>0</v>
      </c>
      <c r="I1707" t="n">
        <v>0</v>
      </c>
      <c r="J1707" t="inlineStr">
        <is>
          <t>NA</t>
        </is>
      </c>
      <c r="K1707" t="n">
        <v>98.8</v>
      </c>
      <c r="L1707">
        <f>IF(K1707&gt;=80,"Yes","No")</f>
        <v/>
      </c>
      <c r="M1707">
        <f>IF(ISNUMBER(H1707),IF(H1707&gt;0,1,0),"")</f>
        <v/>
      </c>
    </row>
    <row r="1708">
      <c r="A1708" t="inlineStr">
        <is>
          <t>SIMULATED_FEA_Commercial_Study</t>
        </is>
      </c>
      <c r="B1708" t="inlineStr">
        <is>
          <t>V32</t>
        </is>
      </c>
      <c r="C1708" t="inlineStr">
        <is>
          <t>Annotation</t>
        </is>
      </c>
      <c r="D1708" t="inlineStr">
        <is>
          <t>Bin_03</t>
        </is>
      </c>
      <c r="E1708" t="n">
        <v>10</v>
      </c>
      <c r="F1708" t="inlineStr">
        <is>
          <t>Brow Furrow</t>
        </is>
      </c>
      <c r="G1708" t="n">
        <v>50</v>
      </c>
      <c r="H1708" t="n">
        <v>11</v>
      </c>
      <c r="I1708" t="n">
        <v>9</v>
      </c>
      <c r="J1708" t="inlineStr">
        <is>
          <t>NA</t>
        </is>
      </c>
      <c r="K1708" t="n">
        <v>98.8</v>
      </c>
      <c r="L1708">
        <f>IF(K1708&gt;=80,"Yes","No")</f>
        <v/>
      </c>
      <c r="M1708">
        <f>IF(ISNUMBER(H1708),IF(H1708&gt;0,1,0),"")</f>
        <v/>
      </c>
    </row>
    <row r="1709">
      <c r="A1709" t="inlineStr">
        <is>
          <t>SIMULATED_FEA_Commercial_Study</t>
        </is>
      </c>
      <c r="B1709" t="inlineStr">
        <is>
          <t>V32</t>
        </is>
      </c>
      <c r="C1709" t="inlineStr">
        <is>
          <t>Annotation</t>
        </is>
      </c>
      <c r="D1709" t="inlineStr">
        <is>
          <t>Bin_03</t>
        </is>
      </c>
      <c r="E1709" t="n">
        <v>10</v>
      </c>
      <c r="F1709" t="inlineStr">
        <is>
          <t>Positive Valence</t>
        </is>
      </c>
      <c r="G1709" t="n">
        <v>50</v>
      </c>
      <c r="H1709" t="n">
        <v>0</v>
      </c>
      <c r="I1709" t="n">
        <v>0</v>
      </c>
      <c r="J1709" t="inlineStr">
        <is>
          <t>NA</t>
        </is>
      </c>
      <c r="K1709" t="n">
        <v>98.8</v>
      </c>
      <c r="L1709">
        <f>IF(K1709&gt;=80,"Yes","No")</f>
        <v/>
      </c>
      <c r="M1709">
        <f>IF(ISNUMBER(H1709),IF(H1709&gt;0,1,0),"")</f>
        <v/>
      </c>
    </row>
    <row r="1710">
      <c r="A1710" t="inlineStr">
        <is>
          <t>SIMULATED_FEA_Commercial_Study</t>
        </is>
      </c>
      <c r="B1710" t="inlineStr">
        <is>
          <t>V32</t>
        </is>
      </c>
      <c r="C1710" t="inlineStr">
        <is>
          <t>Annotation</t>
        </is>
      </c>
      <c r="D1710" t="inlineStr">
        <is>
          <t>Bin_03</t>
        </is>
      </c>
      <c r="E1710" t="n">
        <v>10</v>
      </c>
      <c r="F1710" t="inlineStr">
        <is>
          <t>Negative Valence</t>
        </is>
      </c>
      <c r="G1710" t="n">
        <v>-50</v>
      </c>
      <c r="H1710" t="n">
        <v>0</v>
      </c>
      <c r="I1710" t="n">
        <v>0</v>
      </c>
      <c r="J1710" t="inlineStr">
        <is>
          <t>NA</t>
        </is>
      </c>
      <c r="K1710" t="n">
        <v>98.8</v>
      </c>
      <c r="L1710">
        <f>IF(K1710&gt;=80,"Yes","No")</f>
        <v/>
      </c>
      <c r="M1710">
        <f>IF(ISNUMBER(H1710),IF(H1710&gt;0,1,0),"")</f>
        <v/>
      </c>
    </row>
    <row r="1711">
      <c r="A1711" t="inlineStr">
        <is>
          <t>SIMULATED_FEA_Commercial_Study</t>
        </is>
      </c>
      <c r="B1711" t="inlineStr">
        <is>
          <t>V32</t>
        </is>
      </c>
      <c r="C1711" t="inlineStr">
        <is>
          <t>Annotation</t>
        </is>
      </c>
      <c r="D1711" t="inlineStr">
        <is>
          <t>Bin_03</t>
        </is>
      </c>
      <c r="E1711" t="n">
        <v>10</v>
      </c>
      <c r="F1711" t="inlineStr">
        <is>
          <t>Engagement</t>
        </is>
      </c>
      <c r="G1711" t="inlineStr">
        <is>
          <t>NA</t>
        </is>
      </c>
      <c r="H1711" t="inlineStr">
        <is>
          <t>NA</t>
        </is>
      </c>
      <c r="I1711" t="inlineStr">
        <is>
          <t>NA</t>
        </is>
      </c>
      <c r="J1711" t="n">
        <v>14.72</v>
      </c>
      <c r="K1711" t="n">
        <v>98.8</v>
      </c>
      <c r="L1711">
        <f>IF(K1711&gt;=80,"Yes","No")</f>
        <v/>
      </c>
      <c r="M1711">
        <f>IF(ISNUMBER(H1711),IF(H1711&gt;0,1,0),"")</f>
        <v/>
      </c>
    </row>
    <row r="1712">
      <c r="A1712" t="inlineStr">
        <is>
          <t>SIMULATED_FEA_Commercial_Study</t>
        </is>
      </c>
      <c r="B1712" t="inlineStr">
        <is>
          <t>V32</t>
        </is>
      </c>
      <c r="C1712" t="inlineStr">
        <is>
          <t>Annotation</t>
        </is>
      </c>
      <c r="D1712" t="inlineStr">
        <is>
          <t>Bin_04</t>
        </is>
      </c>
      <c r="E1712" t="n">
        <v>10</v>
      </c>
      <c r="F1712" t="inlineStr">
        <is>
          <t>Joy</t>
        </is>
      </c>
      <c r="G1712" t="n">
        <v>50</v>
      </c>
      <c r="H1712" t="n">
        <v>18</v>
      </c>
      <c r="I1712" t="n">
        <v>1</v>
      </c>
      <c r="J1712" t="inlineStr">
        <is>
          <t>NA</t>
        </is>
      </c>
      <c r="K1712" t="n">
        <v>98.8</v>
      </c>
      <c r="L1712">
        <f>IF(K1712&gt;=80,"Yes","No")</f>
        <v/>
      </c>
      <c r="M1712">
        <f>IF(ISNUMBER(H1712),IF(H1712&gt;0,1,0),"")</f>
        <v/>
      </c>
    </row>
    <row r="1713">
      <c r="A1713" t="inlineStr">
        <is>
          <t>SIMULATED_FEA_Commercial_Study</t>
        </is>
      </c>
      <c r="B1713" t="inlineStr">
        <is>
          <t>V32</t>
        </is>
      </c>
      <c r="C1713" t="inlineStr">
        <is>
          <t>Annotation</t>
        </is>
      </c>
      <c r="D1713" t="inlineStr">
        <is>
          <t>Bin_04</t>
        </is>
      </c>
      <c r="E1713" t="n">
        <v>10</v>
      </c>
      <c r="F1713" t="inlineStr">
        <is>
          <t>Surprise</t>
        </is>
      </c>
      <c r="G1713" t="n">
        <v>50</v>
      </c>
      <c r="H1713" t="n">
        <v>23.67</v>
      </c>
      <c r="I1713" t="n">
        <v>1</v>
      </c>
      <c r="J1713" t="inlineStr">
        <is>
          <t>NA</t>
        </is>
      </c>
      <c r="K1713" t="n">
        <v>98.8</v>
      </c>
      <c r="L1713">
        <f>IF(K1713&gt;=80,"Yes","No")</f>
        <v/>
      </c>
      <c r="M1713">
        <f>IF(ISNUMBER(H1713),IF(H1713&gt;0,1,0),"")</f>
        <v/>
      </c>
    </row>
    <row r="1714">
      <c r="A1714" t="inlineStr">
        <is>
          <t>SIMULATED_FEA_Commercial_Study</t>
        </is>
      </c>
      <c r="B1714" t="inlineStr">
        <is>
          <t>V32</t>
        </is>
      </c>
      <c r="C1714" t="inlineStr">
        <is>
          <t>Annotation</t>
        </is>
      </c>
      <c r="D1714" t="inlineStr">
        <is>
          <t>Bin_04</t>
        </is>
      </c>
      <c r="E1714" t="n">
        <v>10</v>
      </c>
      <c r="F1714" t="inlineStr">
        <is>
          <t>Brow Furrow</t>
        </is>
      </c>
      <c r="G1714" t="n">
        <v>50</v>
      </c>
      <c r="H1714" t="n">
        <v>23.33</v>
      </c>
      <c r="I1714" t="n">
        <v>2</v>
      </c>
      <c r="J1714" t="inlineStr">
        <is>
          <t>NA</t>
        </is>
      </c>
      <c r="K1714" t="n">
        <v>98.8</v>
      </c>
      <c r="L1714">
        <f>IF(K1714&gt;=80,"Yes","No")</f>
        <v/>
      </c>
      <c r="M1714">
        <f>IF(ISNUMBER(H1714),IF(H1714&gt;0,1,0),"")</f>
        <v/>
      </c>
    </row>
    <row r="1715">
      <c r="A1715" t="inlineStr">
        <is>
          <t>SIMULATED_FEA_Commercial_Study</t>
        </is>
      </c>
      <c r="B1715" t="inlineStr">
        <is>
          <t>V32</t>
        </is>
      </c>
      <c r="C1715" t="inlineStr">
        <is>
          <t>Annotation</t>
        </is>
      </c>
      <c r="D1715" t="inlineStr">
        <is>
          <t>Bin_04</t>
        </is>
      </c>
      <c r="E1715" t="n">
        <v>10</v>
      </c>
      <c r="F1715" t="inlineStr">
        <is>
          <t>Positive Valence</t>
        </is>
      </c>
      <c r="G1715" t="n">
        <v>50</v>
      </c>
      <c r="H1715" t="n">
        <v>0</v>
      </c>
      <c r="I1715" t="n">
        <v>0</v>
      </c>
      <c r="J1715" t="inlineStr">
        <is>
          <t>NA</t>
        </is>
      </c>
      <c r="K1715" t="n">
        <v>98.8</v>
      </c>
      <c r="L1715">
        <f>IF(K1715&gt;=80,"Yes","No")</f>
        <v/>
      </c>
      <c r="M1715">
        <f>IF(ISNUMBER(H1715),IF(H1715&gt;0,1,0),"")</f>
        <v/>
      </c>
    </row>
    <row r="1716">
      <c r="A1716" t="inlineStr">
        <is>
          <t>SIMULATED_FEA_Commercial_Study</t>
        </is>
      </c>
      <c r="B1716" t="inlineStr">
        <is>
          <t>V32</t>
        </is>
      </c>
      <c r="C1716" t="inlineStr">
        <is>
          <t>Annotation</t>
        </is>
      </c>
      <c r="D1716" t="inlineStr">
        <is>
          <t>Bin_04</t>
        </is>
      </c>
      <c r="E1716" t="n">
        <v>10</v>
      </c>
      <c r="F1716" t="inlineStr">
        <is>
          <t>Negative Valence</t>
        </is>
      </c>
      <c r="G1716" t="n">
        <v>-50</v>
      </c>
      <c r="H1716" t="n">
        <v>4.67</v>
      </c>
      <c r="I1716" t="n">
        <v>2</v>
      </c>
      <c r="J1716" t="inlineStr">
        <is>
          <t>NA</t>
        </is>
      </c>
      <c r="K1716" t="n">
        <v>98.8</v>
      </c>
      <c r="L1716">
        <f>IF(K1716&gt;=80,"Yes","No")</f>
        <v/>
      </c>
      <c r="M1716">
        <f>IF(ISNUMBER(H1716),IF(H1716&gt;0,1,0),"")</f>
        <v/>
      </c>
    </row>
    <row r="1717">
      <c r="A1717" t="inlineStr">
        <is>
          <t>SIMULATED_FEA_Commercial_Study</t>
        </is>
      </c>
      <c r="B1717" t="inlineStr">
        <is>
          <t>V32</t>
        </is>
      </c>
      <c r="C1717" t="inlineStr">
        <is>
          <t>Annotation</t>
        </is>
      </c>
      <c r="D1717" t="inlineStr">
        <is>
          <t>Bin_04</t>
        </is>
      </c>
      <c r="E1717" t="n">
        <v>10</v>
      </c>
      <c r="F1717" t="inlineStr">
        <is>
          <t>Engagement</t>
        </is>
      </c>
      <c r="G1717" t="inlineStr">
        <is>
          <t>NA</t>
        </is>
      </c>
      <c r="H1717" t="inlineStr">
        <is>
          <t>NA</t>
        </is>
      </c>
      <c r="I1717" t="inlineStr">
        <is>
          <t>NA</t>
        </is>
      </c>
      <c r="J1717" t="n">
        <v>38.92</v>
      </c>
      <c r="K1717" t="n">
        <v>98.8</v>
      </c>
      <c r="L1717">
        <f>IF(K1717&gt;=80,"Yes","No")</f>
        <v/>
      </c>
      <c r="M1717">
        <f>IF(ISNUMBER(H1717),IF(H1717&gt;0,1,0),"")</f>
        <v/>
      </c>
    </row>
    <row r="1718">
      <c r="A1718" t="inlineStr">
        <is>
          <t>SIMULATED_FEA_Commercial_Study</t>
        </is>
      </c>
      <c r="B1718" t="inlineStr">
        <is>
          <t>V32</t>
        </is>
      </c>
      <c r="C1718" t="inlineStr">
        <is>
          <t>Annotation</t>
        </is>
      </c>
      <c r="D1718" t="inlineStr">
        <is>
          <t>Bin_05</t>
        </is>
      </c>
      <c r="E1718" t="n">
        <v>10</v>
      </c>
      <c r="F1718" t="inlineStr">
        <is>
          <t>Joy</t>
        </is>
      </c>
      <c r="G1718" t="n">
        <v>50</v>
      </c>
      <c r="H1718" t="n">
        <v>11.67</v>
      </c>
      <c r="I1718" t="n">
        <v>5</v>
      </c>
      <c r="J1718" t="inlineStr">
        <is>
          <t>NA</t>
        </is>
      </c>
      <c r="K1718" t="n">
        <v>98.8</v>
      </c>
      <c r="L1718">
        <f>IF(K1718&gt;=80,"Yes","No")</f>
        <v/>
      </c>
      <c r="M1718">
        <f>IF(ISNUMBER(H1718),IF(H1718&gt;0,1,0),"")</f>
        <v/>
      </c>
    </row>
    <row r="1719">
      <c r="A1719" t="inlineStr">
        <is>
          <t>SIMULATED_FEA_Commercial_Study</t>
        </is>
      </c>
      <c r="B1719" t="inlineStr">
        <is>
          <t>V32</t>
        </is>
      </c>
      <c r="C1719" t="inlineStr">
        <is>
          <t>Annotation</t>
        </is>
      </c>
      <c r="D1719" t="inlineStr">
        <is>
          <t>Bin_05</t>
        </is>
      </c>
      <c r="E1719" t="n">
        <v>10</v>
      </c>
      <c r="F1719" t="inlineStr">
        <is>
          <t>Surprise</t>
        </is>
      </c>
      <c r="G1719" t="n">
        <v>50</v>
      </c>
      <c r="H1719" t="n">
        <v>0</v>
      </c>
      <c r="I1719" t="n">
        <v>0</v>
      </c>
      <c r="J1719" t="inlineStr">
        <is>
          <t>NA</t>
        </is>
      </c>
      <c r="K1719" t="n">
        <v>98.8</v>
      </c>
      <c r="L1719">
        <f>IF(K1719&gt;=80,"Yes","No")</f>
        <v/>
      </c>
      <c r="M1719">
        <f>IF(ISNUMBER(H1719),IF(H1719&gt;0,1,0),"")</f>
        <v/>
      </c>
    </row>
    <row r="1720">
      <c r="A1720" t="inlineStr">
        <is>
          <t>SIMULATED_FEA_Commercial_Study</t>
        </is>
      </c>
      <c r="B1720" t="inlineStr">
        <is>
          <t>V32</t>
        </is>
      </c>
      <c r="C1720" t="inlineStr">
        <is>
          <t>Annotation</t>
        </is>
      </c>
      <c r="D1720" t="inlineStr">
        <is>
          <t>Bin_05</t>
        </is>
      </c>
      <c r="E1720" t="n">
        <v>10</v>
      </c>
      <c r="F1720" t="inlineStr">
        <is>
          <t>Brow Furrow</t>
        </is>
      </c>
      <c r="G1720" t="n">
        <v>50</v>
      </c>
      <c r="H1720" t="n">
        <v>0</v>
      </c>
      <c r="I1720" t="n">
        <v>0</v>
      </c>
      <c r="J1720" t="inlineStr">
        <is>
          <t>NA</t>
        </is>
      </c>
      <c r="K1720" t="n">
        <v>98.8</v>
      </c>
      <c r="L1720">
        <f>IF(K1720&gt;=80,"Yes","No")</f>
        <v/>
      </c>
      <c r="M1720">
        <f>IF(ISNUMBER(H1720),IF(H1720&gt;0,1,0),"")</f>
        <v/>
      </c>
    </row>
    <row r="1721">
      <c r="A1721" t="inlineStr">
        <is>
          <t>SIMULATED_FEA_Commercial_Study</t>
        </is>
      </c>
      <c r="B1721" t="inlineStr">
        <is>
          <t>V32</t>
        </is>
      </c>
      <c r="C1721" t="inlineStr">
        <is>
          <t>Annotation</t>
        </is>
      </c>
      <c r="D1721" t="inlineStr">
        <is>
          <t>Bin_05</t>
        </is>
      </c>
      <c r="E1721" t="n">
        <v>10</v>
      </c>
      <c r="F1721" t="inlineStr">
        <is>
          <t>Positive Valence</t>
        </is>
      </c>
      <c r="G1721" t="n">
        <v>50</v>
      </c>
      <c r="H1721" t="n">
        <v>26.67</v>
      </c>
      <c r="I1721" t="n">
        <v>2</v>
      </c>
      <c r="J1721" t="inlineStr">
        <is>
          <t>NA</t>
        </is>
      </c>
      <c r="K1721" t="n">
        <v>98.8</v>
      </c>
      <c r="L1721">
        <f>IF(K1721&gt;=80,"Yes","No")</f>
        <v/>
      </c>
      <c r="M1721">
        <f>IF(ISNUMBER(H1721),IF(H1721&gt;0,1,0),"")</f>
        <v/>
      </c>
    </row>
    <row r="1722">
      <c r="A1722" t="inlineStr">
        <is>
          <t>SIMULATED_FEA_Commercial_Study</t>
        </is>
      </c>
      <c r="B1722" t="inlineStr">
        <is>
          <t>V32</t>
        </is>
      </c>
      <c r="C1722" t="inlineStr">
        <is>
          <t>Annotation</t>
        </is>
      </c>
      <c r="D1722" t="inlineStr">
        <is>
          <t>Bin_05</t>
        </is>
      </c>
      <c r="E1722" t="n">
        <v>10</v>
      </c>
      <c r="F1722" t="inlineStr">
        <is>
          <t>Negative Valence</t>
        </is>
      </c>
      <c r="G1722" t="n">
        <v>-50</v>
      </c>
      <c r="H1722" t="n">
        <v>0</v>
      </c>
      <c r="I1722" t="n">
        <v>0</v>
      </c>
      <c r="J1722" t="inlineStr">
        <is>
          <t>NA</t>
        </is>
      </c>
      <c r="K1722" t="n">
        <v>98.8</v>
      </c>
      <c r="L1722">
        <f>IF(K1722&gt;=80,"Yes","No")</f>
        <v/>
      </c>
      <c r="M1722">
        <f>IF(ISNUMBER(H1722),IF(H1722&gt;0,1,0),"")</f>
        <v/>
      </c>
    </row>
    <row r="1723">
      <c r="A1723" t="inlineStr">
        <is>
          <t>SIMULATED_FEA_Commercial_Study</t>
        </is>
      </c>
      <c r="B1723" t="inlineStr">
        <is>
          <t>V32</t>
        </is>
      </c>
      <c r="C1723" t="inlineStr">
        <is>
          <t>Annotation</t>
        </is>
      </c>
      <c r="D1723" t="inlineStr">
        <is>
          <t>Bin_05</t>
        </is>
      </c>
      <c r="E1723" t="n">
        <v>10</v>
      </c>
      <c r="F1723" t="inlineStr">
        <is>
          <t>Engagement</t>
        </is>
      </c>
      <c r="G1723" t="inlineStr">
        <is>
          <t>NA</t>
        </is>
      </c>
      <c r="H1723" t="inlineStr">
        <is>
          <t>NA</t>
        </is>
      </c>
      <c r="I1723" t="inlineStr">
        <is>
          <t>NA</t>
        </is>
      </c>
      <c r="J1723" t="n">
        <v>25.54</v>
      </c>
      <c r="K1723" t="n">
        <v>98.8</v>
      </c>
      <c r="L1723">
        <f>IF(K1723&gt;=80,"Yes","No")</f>
        <v/>
      </c>
      <c r="M1723">
        <f>IF(ISNUMBER(H1723),IF(H1723&gt;0,1,0),"")</f>
        <v/>
      </c>
    </row>
    <row r="1724">
      <c r="A1724" t="inlineStr">
        <is>
          <t>SIMULATED_FEA_Commercial_Study</t>
        </is>
      </c>
      <c r="B1724" t="inlineStr">
        <is>
          <t>V32</t>
        </is>
      </c>
      <c r="C1724" t="inlineStr">
        <is>
          <t>Annotation</t>
        </is>
      </c>
      <c r="D1724" t="inlineStr">
        <is>
          <t>Bin_06</t>
        </is>
      </c>
      <c r="E1724" t="n">
        <v>10</v>
      </c>
      <c r="F1724" t="inlineStr">
        <is>
          <t>Joy</t>
        </is>
      </c>
      <c r="G1724" t="n">
        <v>50</v>
      </c>
      <c r="H1724" t="n">
        <v>1.67</v>
      </c>
      <c r="I1724" t="n">
        <v>1</v>
      </c>
      <c r="J1724" t="inlineStr">
        <is>
          <t>NA</t>
        </is>
      </c>
      <c r="K1724" t="n">
        <v>98.8</v>
      </c>
      <c r="L1724">
        <f>IF(K1724&gt;=80,"Yes","No")</f>
        <v/>
      </c>
      <c r="M1724">
        <f>IF(ISNUMBER(H1724),IF(H1724&gt;0,1,0),"")</f>
        <v/>
      </c>
    </row>
    <row r="1725">
      <c r="A1725" t="inlineStr">
        <is>
          <t>SIMULATED_FEA_Commercial_Study</t>
        </is>
      </c>
      <c r="B1725" t="inlineStr">
        <is>
          <t>V32</t>
        </is>
      </c>
      <c r="C1725" t="inlineStr">
        <is>
          <t>Annotation</t>
        </is>
      </c>
      <c r="D1725" t="inlineStr">
        <is>
          <t>Bin_06</t>
        </is>
      </c>
      <c r="E1725" t="n">
        <v>10</v>
      </c>
      <c r="F1725" t="inlineStr">
        <is>
          <t>Surprise</t>
        </is>
      </c>
      <c r="G1725" t="n">
        <v>50</v>
      </c>
      <c r="H1725" t="n">
        <v>0</v>
      </c>
      <c r="I1725" t="n">
        <v>0</v>
      </c>
      <c r="J1725" t="inlineStr">
        <is>
          <t>NA</t>
        </is>
      </c>
      <c r="K1725" t="n">
        <v>98.8</v>
      </c>
      <c r="L1725">
        <f>IF(K1725&gt;=80,"Yes","No")</f>
        <v/>
      </c>
      <c r="M1725">
        <f>IF(ISNUMBER(H1725),IF(H1725&gt;0,1,0),"")</f>
        <v/>
      </c>
    </row>
    <row r="1726">
      <c r="A1726" t="inlineStr">
        <is>
          <t>SIMULATED_FEA_Commercial_Study</t>
        </is>
      </c>
      <c r="B1726" t="inlineStr">
        <is>
          <t>V32</t>
        </is>
      </c>
      <c r="C1726" t="inlineStr">
        <is>
          <t>Annotation</t>
        </is>
      </c>
      <c r="D1726" t="inlineStr">
        <is>
          <t>Bin_06</t>
        </is>
      </c>
      <c r="E1726" t="n">
        <v>10</v>
      </c>
      <c r="F1726" t="inlineStr">
        <is>
          <t>Brow Furrow</t>
        </is>
      </c>
      <c r="G1726" t="n">
        <v>50</v>
      </c>
      <c r="H1726" t="n">
        <v>0</v>
      </c>
      <c r="I1726" t="n">
        <v>0</v>
      </c>
      <c r="J1726" t="inlineStr">
        <is>
          <t>NA</t>
        </is>
      </c>
      <c r="K1726" t="n">
        <v>98.8</v>
      </c>
      <c r="L1726">
        <f>IF(K1726&gt;=80,"Yes","No")</f>
        <v/>
      </c>
      <c r="M1726">
        <f>IF(ISNUMBER(H1726),IF(H1726&gt;0,1,0),"")</f>
        <v/>
      </c>
    </row>
    <row r="1727">
      <c r="A1727" t="inlineStr">
        <is>
          <t>SIMULATED_FEA_Commercial_Study</t>
        </is>
      </c>
      <c r="B1727" t="inlineStr">
        <is>
          <t>V32</t>
        </is>
      </c>
      <c r="C1727" t="inlineStr">
        <is>
          <t>Annotation</t>
        </is>
      </c>
      <c r="D1727" t="inlineStr">
        <is>
          <t>Bin_06</t>
        </is>
      </c>
      <c r="E1727" t="n">
        <v>10</v>
      </c>
      <c r="F1727" t="inlineStr">
        <is>
          <t>Positive Valence</t>
        </is>
      </c>
      <c r="G1727" t="n">
        <v>50</v>
      </c>
      <c r="H1727" t="n">
        <v>0</v>
      </c>
      <c r="I1727" t="n">
        <v>0</v>
      </c>
      <c r="J1727" t="inlineStr">
        <is>
          <t>NA</t>
        </is>
      </c>
      <c r="K1727" t="n">
        <v>98.8</v>
      </c>
      <c r="L1727">
        <f>IF(K1727&gt;=80,"Yes","No")</f>
        <v/>
      </c>
      <c r="M1727">
        <f>IF(ISNUMBER(H1727),IF(H1727&gt;0,1,0),"")</f>
        <v/>
      </c>
    </row>
    <row r="1728">
      <c r="A1728" t="inlineStr">
        <is>
          <t>SIMULATED_FEA_Commercial_Study</t>
        </is>
      </c>
      <c r="B1728" t="inlineStr">
        <is>
          <t>V32</t>
        </is>
      </c>
      <c r="C1728" t="inlineStr">
        <is>
          <t>Annotation</t>
        </is>
      </c>
      <c r="D1728" t="inlineStr">
        <is>
          <t>Bin_06</t>
        </is>
      </c>
      <c r="E1728" t="n">
        <v>10</v>
      </c>
      <c r="F1728" t="inlineStr">
        <is>
          <t>Negative Valence</t>
        </is>
      </c>
      <c r="G1728" t="n">
        <v>-50</v>
      </c>
      <c r="H1728" t="n">
        <v>0</v>
      </c>
      <c r="I1728" t="n">
        <v>0</v>
      </c>
      <c r="J1728" t="inlineStr">
        <is>
          <t>NA</t>
        </is>
      </c>
      <c r="K1728" t="n">
        <v>98.8</v>
      </c>
      <c r="L1728">
        <f>IF(K1728&gt;=80,"Yes","No")</f>
        <v/>
      </c>
      <c r="M1728">
        <f>IF(ISNUMBER(H1728),IF(H1728&gt;0,1,0),"")</f>
        <v/>
      </c>
    </row>
    <row r="1729">
      <c r="A1729" t="inlineStr">
        <is>
          <t>SIMULATED_FEA_Commercial_Study</t>
        </is>
      </c>
      <c r="B1729" t="inlineStr">
        <is>
          <t>V32</t>
        </is>
      </c>
      <c r="C1729" t="inlineStr">
        <is>
          <t>Annotation</t>
        </is>
      </c>
      <c r="D1729" t="inlineStr">
        <is>
          <t>Bin_06</t>
        </is>
      </c>
      <c r="E1729" t="n">
        <v>10</v>
      </c>
      <c r="F1729" t="inlineStr">
        <is>
          <t>Engagement</t>
        </is>
      </c>
      <c r="G1729" t="inlineStr">
        <is>
          <t>NA</t>
        </is>
      </c>
      <c r="H1729" t="inlineStr">
        <is>
          <t>NA</t>
        </is>
      </c>
      <c r="I1729" t="inlineStr">
        <is>
          <t>NA</t>
        </is>
      </c>
      <c r="J1729" t="n">
        <v>12.86</v>
      </c>
      <c r="K1729" t="n">
        <v>98.8</v>
      </c>
      <c r="L1729">
        <f>IF(K1729&gt;=80,"Yes","No")</f>
        <v/>
      </c>
      <c r="M1729">
        <f>IF(ISNUMBER(H1729),IF(H1729&gt;0,1,0),"")</f>
        <v/>
      </c>
    </row>
  </sheetData>
  <autoFilter ref="A1:M17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20" customWidth="1" min="1" max="1"/>
    <col width="12" customWidth="1" min="2" max="2"/>
    <col width="14" customWidth="1" min="3" max="3"/>
    <col width="22" customWidth="1" min="4" max="4"/>
    <col width="22" customWidth="1" min="5" max="5"/>
    <col width="22" customWidth="1" min="6" max="6"/>
    <col width="21" customWidth="1" min="7" max="7"/>
    <col width="21" customWidth="1" min="8" max="8"/>
    <col width="15" customWidth="1" min="9" max="9"/>
  </cols>
  <sheetData>
    <row r="1">
      <c r="A1" s="4" t="inlineStr">
        <is>
          <t>Descriptive table by expression and interval (kept respondents only). SIMULATED data.</t>
        </is>
      </c>
    </row>
    <row r="2">
      <c r="A2" s="5" t="inlineStr">
        <is>
          <t>n = kept respondents with a row; Mean, SD, and Median are of Percent of time present; Viewers present = respondents whose Percent of time present is above 0; Mean segments = Number of segments. Engagement (second table) is a raw mean score.</t>
        </is>
      </c>
    </row>
    <row r="3"/>
    <row r="4">
      <c r="A4" s="2" t="inlineStr">
        <is>
          <t>Expression</t>
        </is>
      </c>
      <c r="B4" s="2" t="inlineStr">
        <is>
          <t>Interval</t>
        </is>
      </c>
      <c r="C4" s="2" t="inlineStr">
        <is>
          <t>n</t>
        </is>
      </c>
      <c r="D4" s="2" t="inlineStr">
        <is>
          <t>Mean time present (%)</t>
        </is>
      </c>
      <c r="E4" s="2" t="inlineStr">
        <is>
          <t>SD (%)</t>
        </is>
      </c>
      <c r="F4" s="2" t="inlineStr">
        <is>
          <t>Median (%)</t>
        </is>
      </c>
      <c r="G4" s="2" t="inlineStr">
        <is>
          <t>Viewers present (n)</t>
        </is>
      </c>
      <c r="H4" s="2" t="inlineStr">
        <is>
          <t>Viewers present (%)</t>
        </is>
      </c>
      <c r="I4" s="2" t="inlineStr">
        <is>
          <t>Mean segments</t>
        </is>
      </c>
    </row>
    <row r="5">
      <c r="A5" s="6" t="inlineStr">
        <is>
          <t>Joy</t>
        </is>
      </c>
      <c r="B5" s="6" t="inlineStr">
        <is>
          <t>Baseline</t>
        </is>
      </c>
      <c r="C5" s="6">
        <f>COUNTIFS(Data!$F$2:$F$1729,$A5,Data!$D$2:$D$1729,$B5,Data!$L$2:$L$1729,"Yes")</f>
        <v/>
      </c>
      <c r="D5" s="7">
        <f>AVERAGEIFS(Data!$H$2:$H$1729,Data!$F$2:$F$1729,$A5,Data!$D$2:$D$1729,$B5,Data!$L$2:$L$1729,"Yes")</f>
        <v/>
      </c>
      <c r="E5" s="7">
        <f t="array" ref="E5">_xlfn.STDEV.S(IF((Data!$F$2:$F$1729=$A5)*(Data!$D$2:$D$1729=$B5)*(Data!$L$2:$L$1729="Yes"),Data!$H$2:$H$1729))</f>
        <v/>
      </c>
      <c r="F5" s="7">
        <f t="array" ref="F5">MEDIAN(IF((Data!$F$2:$F$1729=$A5)*(Data!$D$2:$D$1729=$B5)*(Data!$L$2:$L$1729="Yes"),Data!$H$2:$H$1729))</f>
        <v/>
      </c>
      <c r="G5" s="7">
        <f>COUNTIFS(Data!$F$2:$F$1729,$A5,Data!$D$2:$D$1729,$B5,Data!$L$2:$L$1729,"Yes",Data!$H$2:$H$1729,"&gt;0")</f>
        <v/>
      </c>
      <c r="H5" s="7">
        <f>100*G5/C5</f>
        <v/>
      </c>
      <c r="I5" s="7">
        <f>AVERAGEIFS(Data!$I$2:$I$1729,Data!$F$2:$F$1729,$A5,Data!$D$2:$D$1729,$B5,Data!$L$2:$L$1729,"Yes")</f>
        <v/>
      </c>
    </row>
    <row r="6">
      <c r="A6" s="6" t="inlineStr">
        <is>
          <t>Joy</t>
        </is>
      </c>
      <c r="B6" s="6" t="inlineStr">
        <is>
          <t>Commercial</t>
        </is>
      </c>
      <c r="C6" s="6">
        <f>COUNTIFS(Data!$F$2:$F$1729,$A6,Data!$D$2:$D$1729,$B6,Data!$L$2:$L$1729,"Yes")</f>
        <v/>
      </c>
      <c r="D6" s="7">
        <f>AVERAGEIFS(Data!$H$2:$H$1729,Data!$F$2:$F$1729,$A6,Data!$D$2:$D$1729,$B6,Data!$L$2:$L$1729,"Yes")</f>
        <v/>
      </c>
      <c r="E6" s="7">
        <f t="array" ref="E6">_xlfn.STDEV.S(IF((Data!$F$2:$F$1729=$A6)*(Data!$D$2:$D$1729=$B6)*(Data!$L$2:$L$1729="Yes"),Data!$H$2:$H$1729))</f>
        <v/>
      </c>
      <c r="F6" s="7">
        <f t="array" ref="F6">MEDIAN(IF((Data!$F$2:$F$1729=$A6)*(Data!$D$2:$D$1729=$B6)*(Data!$L$2:$L$1729="Yes"),Data!$H$2:$H$1729))</f>
        <v/>
      </c>
      <c r="G6" s="7">
        <f>COUNTIFS(Data!$F$2:$F$1729,$A6,Data!$D$2:$D$1729,$B6,Data!$L$2:$L$1729,"Yes",Data!$H$2:$H$1729,"&gt;0")</f>
        <v/>
      </c>
      <c r="H6" s="7">
        <f>100*G6/C6</f>
        <v/>
      </c>
      <c r="I6" s="7">
        <f>AVERAGEIFS(Data!$I$2:$I$1729,Data!$F$2:$F$1729,$A6,Data!$D$2:$D$1729,$B6,Data!$L$2:$L$1729,"Yes")</f>
        <v/>
      </c>
    </row>
    <row r="7">
      <c r="A7" s="6" t="inlineStr">
        <is>
          <t>Joy</t>
        </is>
      </c>
      <c r="B7" s="6" t="inlineStr">
        <is>
          <t>Recovery</t>
        </is>
      </c>
      <c r="C7" s="6">
        <f>COUNTIFS(Data!$F$2:$F$1729,$A7,Data!$D$2:$D$1729,$B7,Data!$L$2:$L$1729,"Yes")</f>
        <v/>
      </c>
      <c r="D7" s="7">
        <f>AVERAGEIFS(Data!$H$2:$H$1729,Data!$F$2:$F$1729,$A7,Data!$D$2:$D$1729,$B7,Data!$L$2:$L$1729,"Yes")</f>
        <v/>
      </c>
      <c r="E7" s="7">
        <f t="array" ref="E7">_xlfn.STDEV.S(IF((Data!$F$2:$F$1729=$A7)*(Data!$D$2:$D$1729=$B7)*(Data!$L$2:$L$1729="Yes"),Data!$H$2:$H$1729))</f>
        <v/>
      </c>
      <c r="F7" s="7">
        <f t="array" ref="F7">MEDIAN(IF((Data!$F$2:$F$1729=$A7)*(Data!$D$2:$D$1729=$B7)*(Data!$L$2:$L$1729="Yes"),Data!$H$2:$H$1729))</f>
        <v/>
      </c>
      <c r="G7" s="7">
        <f>COUNTIFS(Data!$F$2:$F$1729,$A7,Data!$D$2:$D$1729,$B7,Data!$L$2:$L$1729,"Yes",Data!$H$2:$H$1729,"&gt;0")</f>
        <v/>
      </c>
      <c r="H7" s="7">
        <f>100*G7/C7</f>
        <v/>
      </c>
      <c r="I7" s="7">
        <f>AVERAGEIFS(Data!$I$2:$I$1729,Data!$F$2:$F$1729,$A7,Data!$D$2:$D$1729,$B7,Data!$L$2:$L$1729,"Yes")</f>
        <v/>
      </c>
    </row>
    <row r="8">
      <c r="A8" s="6" t="inlineStr">
        <is>
          <t>Joy</t>
        </is>
      </c>
      <c r="B8" s="6" t="inlineStr">
        <is>
          <t>Bin_01</t>
        </is>
      </c>
      <c r="C8" s="6">
        <f>COUNTIFS(Data!$F$2:$F$1729,$A8,Data!$D$2:$D$1729,$B8,Data!$L$2:$L$1729,"Yes")</f>
        <v/>
      </c>
      <c r="D8" s="7">
        <f>AVERAGEIFS(Data!$H$2:$H$1729,Data!$F$2:$F$1729,$A8,Data!$D$2:$D$1729,$B8,Data!$L$2:$L$1729,"Yes")</f>
        <v/>
      </c>
      <c r="E8" s="7">
        <f t="array" ref="E8">_xlfn.STDEV.S(IF((Data!$F$2:$F$1729=$A8)*(Data!$D$2:$D$1729=$B8)*(Data!$L$2:$L$1729="Yes"),Data!$H$2:$H$1729))</f>
        <v/>
      </c>
      <c r="F8" s="7">
        <f t="array" ref="F8">MEDIAN(IF((Data!$F$2:$F$1729=$A8)*(Data!$D$2:$D$1729=$B8)*(Data!$L$2:$L$1729="Yes"),Data!$H$2:$H$1729))</f>
        <v/>
      </c>
      <c r="G8" s="7">
        <f>COUNTIFS(Data!$F$2:$F$1729,$A8,Data!$D$2:$D$1729,$B8,Data!$L$2:$L$1729,"Yes",Data!$H$2:$H$1729,"&gt;0")</f>
        <v/>
      </c>
      <c r="H8" s="7">
        <f>100*G8/C8</f>
        <v/>
      </c>
      <c r="I8" s="7">
        <f>AVERAGEIFS(Data!$I$2:$I$1729,Data!$F$2:$F$1729,$A8,Data!$D$2:$D$1729,$B8,Data!$L$2:$L$1729,"Yes")</f>
        <v/>
      </c>
    </row>
    <row r="9">
      <c r="A9" s="6" t="inlineStr">
        <is>
          <t>Joy</t>
        </is>
      </c>
      <c r="B9" s="6" t="inlineStr">
        <is>
          <t>Bin_02</t>
        </is>
      </c>
      <c r="C9" s="6">
        <f>COUNTIFS(Data!$F$2:$F$1729,$A9,Data!$D$2:$D$1729,$B9,Data!$L$2:$L$1729,"Yes")</f>
        <v/>
      </c>
      <c r="D9" s="7">
        <f>AVERAGEIFS(Data!$H$2:$H$1729,Data!$F$2:$F$1729,$A9,Data!$D$2:$D$1729,$B9,Data!$L$2:$L$1729,"Yes")</f>
        <v/>
      </c>
      <c r="E9" s="7">
        <f t="array" ref="E9">_xlfn.STDEV.S(IF((Data!$F$2:$F$1729=$A9)*(Data!$D$2:$D$1729=$B9)*(Data!$L$2:$L$1729="Yes"),Data!$H$2:$H$1729))</f>
        <v/>
      </c>
      <c r="F9" s="7">
        <f t="array" ref="F9">MEDIAN(IF((Data!$F$2:$F$1729=$A9)*(Data!$D$2:$D$1729=$B9)*(Data!$L$2:$L$1729="Yes"),Data!$H$2:$H$1729))</f>
        <v/>
      </c>
      <c r="G9" s="7">
        <f>COUNTIFS(Data!$F$2:$F$1729,$A9,Data!$D$2:$D$1729,$B9,Data!$L$2:$L$1729,"Yes",Data!$H$2:$H$1729,"&gt;0")</f>
        <v/>
      </c>
      <c r="H9" s="7">
        <f>100*G9/C9</f>
        <v/>
      </c>
      <c r="I9" s="7">
        <f>AVERAGEIFS(Data!$I$2:$I$1729,Data!$F$2:$F$1729,$A9,Data!$D$2:$D$1729,$B9,Data!$L$2:$L$1729,"Yes")</f>
        <v/>
      </c>
    </row>
    <row r="10">
      <c r="A10" s="6" t="inlineStr">
        <is>
          <t>Joy</t>
        </is>
      </c>
      <c r="B10" s="6" t="inlineStr">
        <is>
          <t>Bin_03</t>
        </is>
      </c>
      <c r="C10" s="6">
        <f>COUNTIFS(Data!$F$2:$F$1729,$A10,Data!$D$2:$D$1729,$B10,Data!$L$2:$L$1729,"Yes")</f>
        <v/>
      </c>
      <c r="D10" s="7">
        <f>AVERAGEIFS(Data!$H$2:$H$1729,Data!$F$2:$F$1729,$A10,Data!$D$2:$D$1729,$B10,Data!$L$2:$L$1729,"Yes")</f>
        <v/>
      </c>
      <c r="E10" s="7">
        <f t="array" ref="E10">_xlfn.STDEV.S(IF((Data!$F$2:$F$1729=$A10)*(Data!$D$2:$D$1729=$B10)*(Data!$L$2:$L$1729="Yes"),Data!$H$2:$H$1729))</f>
        <v/>
      </c>
      <c r="F10" s="7">
        <f t="array" ref="F10">MEDIAN(IF((Data!$F$2:$F$1729=$A10)*(Data!$D$2:$D$1729=$B10)*(Data!$L$2:$L$1729="Yes"),Data!$H$2:$H$1729))</f>
        <v/>
      </c>
      <c r="G10" s="7">
        <f>COUNTIFS(Data!$F$2:$F$1729,$A10,Data!$D$2:$D$1729,$B10,Data!$L$2:$L$1729,"Yes",Data!$H$2:$H$1729,"&gt;0")</f>
        <v/>
      </c>
      <c r="H10" s="7">
        <f>100*G10/C10</f>
        <v/>
      </c>
      <c r="I10" s="7">
        <f>AVERAGEIFS(Data!$I$2:$I$1729,Data!$F$2:$F$1729,$A10,Data!$D$2:$D$1729,$B10,Data!$L$2:$L$1729,"Yes")</f>
        <v/>
      </c>
    </row>
    <row r="11">
      <c r="A11" s="6" t="inlineStr">
        <is>
          <t>Joy</t>
        </is>
      </c>
      <c r="B11" s="6" t="inlineStr">
        <is>
          <t>Bin_04</t>
        </is>
      </c>
      <c r="C11" s="6">
        <f>COUNTIFS(Data!$F$2:$F$1729,$A11,Data!$D$2:$D$1729,$B11,Data!$L$2:$L$1729,"Yes")</f>
        <v/>
      </c>
      <c r="D11" s="7">
        <f>AVERAGEIFS(Data!$H$2:$H$1729,Data!$F$2:$F$1729,$A11,Data!$D$2:$D$1729,$B11,Data!$L$2:$L$1729,"Yes")</f>
        <v/>
      </c>
      <c r="E11" s="7">
        <f t="array" ref="E11">_xlfn.STDEV.S(IF((Data!$F$2:$F$1729=$A11)*(Data!$D$2:$D$1729=$B11)*(Data!$L$2:$L$1729="Yes"),Data!$H$2:$H$1729))</f>
        <v/>
      </c>
      <c r="F11" s="7">
        <f t="array" ref="F11">MEDIAN(IF((Data!$F$2:$F$1729=$A11)*(Data!$D$2:$D$1729=$B11)*(Data!$L$2:$L$1729="Yes"),Data!$H$2:$H$1729))</f>
        <v/>
      </c>
      <c r="G11" s="7">
        <f>COUNTIFS(Data!$F$2:$F$1729,$A11,Data!$D$2:$D$1729,$B11,Data!$L$2:$L$1729,"Yes",Data!$H$2:$H$1729,"&gt;0")</f>
        <v/>
      </c>
      <c r="H11" s="7">
        <f>100*G11/C11</f>
        <v/>
      </c>
      <c r="I11" s="7">
        <f>AVERAGEIFS(Data!$I$2:$I$1729,Data!$F$2:$F$1729,$A11,Data!$D$2:$D$1729,$B11,Data!$L$2:$L$1729,"Yes")</f>
        <v/>
      </c>
    </row>
    <row r="12">
      <c r="A12" s="6" t="inlineStr">
        <is>
          <t>Joy</t>
        </is>
      </c>
      <c r="B12" s="6" t="inlineStr">
        <is>
          <t>Bin_05</t>
        </is>
      </c>
      <c r="C12" s="6">
        <f>COUNTIFS(Data!$F$2:$F$1729,$A12,Data!$D$2:$D$1729,$B12,Data!$L$2:$L$1729,"Yes")</f>
        <v/>
      </c>
      <c r="D12" s="7">
        <f>AVERAGEIFS(Data!$H$2:$H$1729,Data!$F$2:$F$1729,$A12,Data!$D$2:$D$1729,$B12,Data!$L$2:$L$1729,"Yes")</f>
        <v/>
      </c>
      <c r="E12" s="7">
        <f t="array" ref="E12">_xlfn.STDEV.S(IF((Data!$F$2:$F$1729=$A12)*(Data!$D$2:$D$1729=$B12)*(Data!$L$2:$L$1729="Yes"),Data!$H$2:$H$1729))</f>
        <v/>
      </c>
      <c r="F12" s="7">
        <f t="array" ref="F12">MEDIAN(IF((Data!$F$2:$F$1729=$A12)*(Data!$D$2:$D$1729=$B12)*(Data!$L$2:$L$1729="Yes"),Data!$H$2:$H$1729))</f>
        <v/>
      </c>
      <c r="G12" s="7">
        <f>COUNTIFS(Data!$F$2:$F$1729,$A12,Data!$D$2:$D$1729,$B12,Data!$L$2:$L$1729,"Yes",Data!$H$2:$H$1729,"&gt;0")</f>
        <v/>
      </c>
      <c r="H12" s="7">
        <f>100*G12/C12</f>
        <v/>
      </c>
      <c r="I12" s="7">
        <f>AVERAGEIFS(Data!$I$2:$I$1729,Data!$F$2:$F$1729,$A12,Data!$D$2:$D$1729,$B12,Data!$L$2:$L$1729,"Yes")</f>
        <v/>
      </c>
    </row>
    <row r="13">
      <c r="A13" s="6" t="inlineStr">
        <is>
          <t>Joy</t>
        </is>
      </c>
      <c r="B13" s="6" t="inlineStr">
        <is>
          <t>Bin_06</t>
        </is>
      </c>
      <c r="C13" s="6">
        <f>COUNTIFS(Data!$F$2:$F$1729,$A13,Data!$D$2:$D$1729,$B13,Data!$L$2:$L$1729,"Yes")</f>
        <v/>
      </c>
      <c r="D13" s="7">
        <f>AVERAGEIFS(Data!$H$2:$H$1729,Data!$F$2:$F$1729,$A13,Data!$D$2:$D$1729,$B13,Data!$L$2:$L$1729,"Yes")</f>
        <v/>
      </c>
      <c r="E13" s="7">
        <f t="array" ref="E13">_xlfn.STDEV.S(IF((Data!$F$2:$F$1729=$A13)*(Data!$D$2:$D$1729=$B13)*(Data!$L$2:$L$1729="Yes"),Data!$H$2:$H$1729))</f>
        <v/>
      </c>
      <c r="F13" s="7">
        <f t="array" ref="F13">MEDIAN(IF((Data!$F$2:$F$1729=$A13)*(Data!$D$2:$D$1729=$B13)*(Data!$L$2:$L$1729="Yes"),Data!$H$2:$H$1729))</f>
        <v/>
      </c>
      <c r="G13" s="7">
        <f>COUNTIFS(Data!$F$2:$F$1729,$A13,Data!$D$2:$D$1729,$B13,Data!$L$2:$L$1729,"Yes",Data!$H$2:$H$1729,"&gt;0")</f>
        <v/>
      </c>
      <c r="H13" s="7">
        <f>100*G13/C13</f>
        <v/>
      </c>
      <c r="I13" s="7">
        <f>AVERAGEIFS(Data!$I$2:$I$1729,Data!$F$2:$F$1729,$A13,Data!$D$2:$D$1729,$B13,Data!$L$2:$L$1729,"Yes")</f>
        <v/>
      </c>
    </row>
    <row r="14">
      <c r="A14" s="6" t="inlineStr">
        <is>
          <t>Surprise</t>
        </is>
      </c>
      <c r="B14" s="6" t="inlineStr">
        <is>
          <t>Baseline</t>
        </is>
      </c>
      <c r="C14" s="6">
        <f>COUNTIFS(Data!$F$2:$F$1729,$A14,Data!$D$2:$D$1729,$B14,Data!$L$2:$L$1729,"Yes")</f>
        <v/>
      </c>
      <c r="D14" s="7">
        <f>AVERAGEIFS(Data!$H$2:$H$1729,Data!$F$2:$F$1729,$A14,Data!$D$2:$D$1729,$B14,Data!$L$2:$L$1729,"Yes")</f>
        <v/>
      </c>
      <c r="E14" s="7">
        <f t="array" ref="E14">_xlfn.STDEV.S(IF((Data!$F$2:$F$1729=$A14)*(Data!$D$2:$D$1729=$B14)*(Data!$L$2:$L$1729="Yes"),Data!$H$2:$H$1729))</f>
        <v/>
      </c>
      <c r="F14" s="7">
        <f t="array" ref="F14">MEDIAN(IF((Data!$F$2:$F$1729=$A14)*(Data!$D$2:$D$1729=$B14)*(Data!$L$2:$L$1729="Yes"),Data!$H$2:$H$1729))</f>
        <v/>
      </c>
      <c r="G14" s="7">
        <f>COUNTIFS(Data!$F$2:$F$1729,$A14,Data!$D$2:$D$1729,$B14,Data!$L$2:$L$1729,"Yes",Data!$H$2:$H$1729,"&gt;0")</f>
        <v/>
      </c>
      <c r="H14" s="7">
        <f>100*G14/C14</f>
        <v/>
      </c>
      <c r="I14" s="7">
        <f>AVERAGEIFS(Data!$I$2:$I$1729,Data!$F$2:$F$1729,$A14,Data!$D$2:$D$1729,$B14,Data!$L$2:$L$1729,"Yes")</f>
        <v/>
      </c>
    </row>
    <row r="15">
      <c r="A15" s="6" t="inlineStr">
        <is>
          <t>Surprise</t>
        </is>
      </c>
      <c r="B15" s="6" t="inlineStr">
        <is>
          <t>Commercial</t>
        </is>
      </c>
      <c r="C15" s="6">
        <f>COUNTIFS(Data!$F$2:$F$1729,$A15,Data!$D$2:$D$1729,$B15,Data!$L$2:$L$1729,"Yes")</f>
        <v/>
      </c>
      <c r="D15" s="7">
        <f>AVERAGEIFS(Data!$H$2:$H$1729,Data!$F$2:$F$1729,$A15,Data!$D$2:$D$1729,$B15,Data!$L$2:$L$1729,"Yes")</f>
        <v/>
      </c>
      <c r="E15" s="7">
        <f t="array" ref="E15">_xlfn.STDEV.S(IF((Data!$F$2:$F$1729=$A15)*(Data!$D$2:$D$1729=$B15)*(Data!$L$2:$L$1729="Yes"),Data!$H$2:$H$1729))</f>
        <v/>
      </c>
      <c r="F15" s="7">
        <f t="array" ref="F15">MEDIAN(IF((Data!$F$2:$F$1729=$A15)*(Data!$D$2:$D$1729=$B15)*(Data!$L$2:$L$1729="Yes"),Data!$H$2:$H$1729))</f>
        <v/>
      </c>
      <c r="G15" s="7">
        <f>COUNTIFS(Data!$F$2:$F$1729,$A15,Data!$D$2:$D$1729,$B15,Data!$L$2:$L$1729,"Yes",Data!$H$2:$H$1729,"&gt;0")</f>
        <v/>
      </c>
      <c r="H15" s="7">
        <f>100*G15/C15</f>
        <v/>
      </c>
      <c r="I15" s="7">
        <f>AVERAGEIFS(Data!$I$2:$I$1729,Data!$F$2:$F$1729,$A15,Data!$D$2:$D$1729,$B15,Data!$L$2:$L$1729,"Yes")</f>
        <v/>
      </c>
    </row>
    <row r="16">
      <c r="A16" s="6" t="inlineStr">
        <is>
          <t>Surprise</t>
        </is>
      </c>
      <c r="B16" s="6" t="inlineStr">
        <is>
          <t>Recovery</t>
        </is>
      </c>
      <c r="C16" s="6">
        <f>COUNTIFS(Data!$F$2:$F$1729,$A16,Data!$D$2:$D$1729,$B16,Data!$L$2:$L$1729,"Yes")</f>
        <v/>
      </c>
      <c r="D16" s="7">
        <f>AVERAGEIFS(Data!$H$2:$H$1729,Data!$F$2:$F$1729,$A16,Data!$D$2:$D$1729,$B16,Data!$L$2:$L$1729,"Yes")</f>
        <v/>
      </c>
      <c r="E16" s="7">
        <f t="array" ref="E16">_xlfn.STDEV.S(IF((Data!$F$2:$F$1729=$A16)*(Data!$D$2:$D$1729=$B16)*(Data!$L$2:$L$1729="Yes"),Data!$H$2:$H$1729))</f>
        <v/>
      </c>
      <c r="F16" s="7">
        <f t="array" ref="F16">MEDIAN(IF((Data!$F$2:$F$1729=$A16)*(Data!$D$2:$D$1729=$B16)*(Data!$L$2:$L$1729="Yes"),Data!$H$2:$H$1729))</f>
        <v/>
      </c>
      <c r="G16" s="7">
        <f>COUNTIFS(Data!$F$2:$F$1729,$A16,Data!$D$2:$D$1729,$B16,Data!$L$2:$L$1729,"Yes",Data!$H$2:$H$1729,"&gt;0")</f>
        <v/>
      </c>
      <c r="H16" s="7">
        <f>100*G16/C16</f>
        <v/>
      </c>
      <c r="I16" s="7">
        <f>AVERAGEIFS(Data!$I$2:$I$1729,Data!$F$2:$F$1729,$A16,Data!$D$2:$D$1729,$B16,Data!$L$2:$L$1729,"Yes")</f>
        <v/>
      </c>
    </row>
    <row r="17">
      <c r="A17" s="6" t="inlineStr">
        <is>
          <t>Surprise</t>
        </is>
      </c>
      <c r="B17" s="6" t="inlineStr">
        <is>
          <t>Bin_01</t>
        </is>
      </c>
      <c r="C17" s="6">
        <f>COUNTIFS(Data!$F$2:$F$1729,$A17,Data!$D$2:$D$1729,$B17,Data!$L$2:$L$1729,"Yes")</f>
        <v/>
      </c>
      <c r="D17" s="7">
        <f>AVERAGEIFS(Data!$H$2:$H$1729,Data!$F$2:$F$1729,$A17,Data!$D$2:$D$1729,$B17,Data!$L$2:$L$1729,"Yes")</f>
        <v/>
      </c>
      <c r="E17" s="7">
        <f t="array" ref="E17">_xlfn.STDEV.S(IF((Data!$F$2:$F$1729=$A17)*(Data!$D$2:$D$1729=$B17)*(Data!$L$2:$L$1729="Yes"),Data!$H$2:$H$1729))</f>
        <v/>
      </c>
      <c r="F17" s="7">
        <f t="array" ref="F17">MEDIAN(IF((Data!$F$2:$F$1729=$A17)*(Data!$D$2:$D$1729=$B17)*(Data!$L$2:$L$1729="Yes"),Data!$H$2:$H$1729))</f>
        <v/>
      </c>
      <c r="G17" s="7">
        <f>COUNTIFS(Data!$F$2:$F$1729,$A17,Data!$D$2:$D$1729,$B17,Data!$L$2:$L$1729,"Yes",Data!$H$2:$H$1729,"&gt;0")</f>
        <v/>
      </c>
      <c r="H17" s="7">
        <f>100*G17/C17</f>
        <v/>
      </c>
      <c r="I17" s="7">
        <f>AVERAGEIFS(Data!$I$2:$I$1729,Data!$F$2:$F$1729,$A17,Data!$D$2:$D$1729,$B17,Data!$L$2:$L$1729,"Yes")</f>
        <v/>
      </c>
    </row>
    <row r="18">
      <c r="A18" s="6" t="inlineStr">
        <is>
          <t>Surprise</t>
        </is>
      </c>
      <c r="B18" s="6" t="inlineStr">
        <is>
          <t>Bin_02</t>
        </is>
      </c>
      <c r="C18" s="6">
        <f>COUNTIFS(Data!$F$2:$F$1729,$A18,Data!$D$2:$D$1729,$B18,Data!$L$2:$L$1729,"Yes")</f>
        <v/>
      </c>
      <c r="D18" s="7">
        <f>AVERAGEIFS(Data!$H$2:$H$1729,Data!$F$2:$F$1729,$A18,Data!$D$2:$D$1729,$B18,Data!$L$2:$L$1729,"Yes")</f>
        <v/>
      </c>
      <c r="E18" s="7">
        <f t="array" ref="E18">_xlfn.STDEV.S(IF((Data!$F$2:$F$1729=$A18)*(Data!$D$2:$D$1729=$B18)*(Data!$L$2:$L$1729="Yes"),Data!$H$2:$H$1729))</f>
        <v/>
      </c>
      <c r="F18" s="7">
        <f t="array" ref="F18">MEDIAN(IF((Data!$F$2:$F$1729=$A18)*(Data!$D$2:$D$1729=$B18)*(Data!$L$2:$L$1729="Yes"),Data!$H$2:$H$1729))</f>
        <v/>
      </c>
      <c r="G18" s="7">
        <f>COUNTIFS(Data!$F$2:$F$1729,$A18,Data!$D$2:$D$1729,$B18,Data!$L$2:$L$1729,"Yes",Data!$H$2:$H$1729,"&gt;0")</f>
        <v/>
      </c>
      <c r="H18" s="7">
        <f>100*G18/C18</f>
        <v/>
      </c>
      <c r="I18" s="7">
        <f>AVERAGEIFS(Data!$I$2:$I$1729,Data!$F$2:$F$1729,$A18,Data!$D$2:$D$1729,$B18,Data!$L$2:$L$1729,"Yes")</f>
        <v/>
      </c>
    </row>
    <row r="19">
      <c r="A19" s="6" t="inlineStr">
        <is>
          <t>Surprise</t>
        </is>
      </c>
      <c r="B19" s="6" t="inlineStr">
        <is>
          <t>Bin_03</t>
        </is>
      </c>
      <c r="C19" s="6">
        <f>COUNTIFS(Data!$F$2:$F$1729,$A19,Data!$D$2:$D$1729,$B19,Data!$L$2:$L$1729,"Yes")</f>
        <v/>
      </c>
      <c r="D19" s="7">
        <f>AVERAGEIFS(Data!$H$2:$H$1729,Data!$F$2:$F$1729,$A19,Data!$D$2:$D$1729,$B19,Data!$L$2:$L$1729,"Yes")</f>
        <v/>
      </c>
      <c r="E19" s="7">
        <f t="array" ref="E19">_xlfn.STDEV.S(IF((Data!$F$2:$F$1729=$A19)*(Data!$D$2:$D$1729=$B19)*(Data!$L$2:$L$1729="Yes"),Data!$H$2:$H$1729))</f>
        <v/>
      </c>
      <c r="F19" s="7">
        <f t="array" ref="F19">MEDIAN(IF((Data!$F$2:$F$1729=$A19)*(Data!$D$2:$D$1729=$B19)*(Data!$L$2:$L$1729="Yes"),Data!$H$2:$H$1729))</f>
        <v/>
      </c>
      <c r="G19" s="7">
        <f>COUNTIFS(Data!$F$2:$F$1729,$A19,Data!$D$2:$D$1729,$B19,Data!$L$2:$L$1729,"Yes",Data!$H$2:$H$1729,"&gt;0")</f>
        <v/>
      </c>
      <c r="H19" s="7">
        <f>100*G19/C19</f>
        <v/>
      </c>
      <c r="I19" s="7">
        <f>AVERAGEIFS(Data!$I$2:$I$1729,Data!$F$2:$F$1729,$A19,Data!$D$2:$D$1729,$B19,Data!$L$2:$L$1729,"Yes")</f>
        <v/>
      </c>
    </row>
    <row r="20">
      <c r="A20" s="6" t="inlineStr">
        <is>
          <t>Surprise</t>
        </is>
      </c>
      <c r="B20" s="6" t="inlineStr">
        <is>
          <t>Bin_04</t>
        </is>
      </c>
      <c r="C20" s="6">
        <f>COUNTIFS(Data!$F$2:$F$1729,$A20,Data!$D$2:$D$1729,$B20,Data!$L$2:$L$1729,"Yes")</f>
        <v/>
      </c>
      <c r="D20" s="7">
        <f>AVERAGEIFS(Data!$H$2:$H$1729,Data!$F$2:$F$1729,$A20,Data!$D$2:$D$1729,$B20,Data!$L$2:$L$1729,"Yes")</f>
        <v/>
      </c>
      <c r="E20" s="7">
        <f t="array" ref="E20">_xlfn.STDEV.S(IF((Data!$F$2:$F$1729=$A20)*(Data!$D$2:$D$1729=$B20)*(Data!$L$2:$L$1729="Yes"),Data!$H$2:$H$1729))</f>
        <v/>
      </c>
      <c r="F20" s="7">
        <f t="array" ref="F20">MEDIAN(IF((Data!$F$2:$F$1729=$A20)*(Data!$D$2:$D$1729=$B20)*(Data!$L$2:$L$1729="Yes"),Data!$H$2:$H$1729))</f>
        <v/>
      </c>
      <c r="G20" s="7">
        <f>COUNTIFS(Data!$F$2:$F$1729,$A20,Data!$D$2:$D$1729,$B20,Data!$L$2:$L$1729,"Yes",Data!$H$2:$H$1729,"&gt;0")</f>
        <v/>
      </c>
      <c r="H20" s="7">
        <f>100*G20/C20</f>
        <v/>
      </c>
      <c r="I20" s="7">
        <f>AVERAGEIFS(Data!$I$2:$I$1729,Data!$F$2:$F$1729,$A20,Data!$D$2:$D$1729,$B20,Data!$L$2:$L$1729,"Yes")</f>
        <v/>
      </c>
    </row>
    <row r="21">
      <c r="A21" s="6" t="inlineStr">
        <is>
          <t>Surprise</t>
        </is>
      </c>
      <c r="B21" s="6" t="inlineStr">
        <is>
          <t>Bin_05</t>
        </is>
      </c>
      <c r="C21" s="6">
        <f>COUNTIFS(Data!$F$2:$F$1729,$A21,Data!$D$2:$D$1729,$B21,Data!$L$2:$L$1729,"Yes")</f>
        <v/>
      </c>
      <c r="D21" s="7">
        <f>AVERAGEIFS(Data!$H$2:$H$1729,Data!$F$2:$F$1729,$A21,Data!$D$2:$D$1729,$B21,Data!$L$2:$L$1729,"Yes")</f>
        <v/>
      </c>
      <c r="E21" s="7">
        <f t="array" ref="E21">_xlfn.STDEV.S(IF((Data!$F$2:$F$1729=$A21)*(Data!$D$2:$D$1729=$B21)*(Data!$L$2:$L$1729="Yes"),Data!$H$2:$H$1729))</f>
        <v/>
      </c>
      <c r="F21" s="7">
        <f t="array" ref="F21">MEDIAN(IF((Data!$F$2:$F$1729=$A21)*(Data!$D$2:$D$1729=$B21)*(Data!$L$2:$L$1729="Yes"),Data!$H$2:$H$1729))</f>
        <v/>
      </c>
      <c r="G21" s="7">
        <f>COUNTIFS(Data!$F$2:$F$1729,$A21,Data!$D$2:$D$1729,$B21,Data!$L$2:$L$1729,"Yes",Data!$H$2:$H$1729,"&gt;0")</f>
        <v/>
      </c>
      <c r="H21" s="7">
        <f>100*G21/C21</f>
        <v/>
      </c>
      <c r="I21" s="7">
        <f>AVERAGEIFS(Data!$I$2:$I$1729,Data!$F$2:$F$1729,$A21,Data!$D$2:$D$1729,$B21,Data!$L$2:$L$1729,"Yes")</f>
        <v/>
      </c>
    </row>
    <row r="22">
      <c r="A22" s="6" t="inlineStr">
        <is>
          <t>Surprise</t>
        </is>
      </c>
      <c r="B22" s="6" t="inlineStr">
        <is>
          <t>Bin_06</t>
        </is>
      </c>
      <c r="C22" s="6">
        <f>COUNTIFS(Data!$F$2:$F$1729,$A22,Data!$D$2:$D$1729,$B22,Data!$L$2:$L$1729,"Yes")</f>
        <v/>
      </c>
      <c r="D22" s="7">
        <f>AVERAGEIFS(Data!$H$2:$H$1729,Data!$F$2:$F$1729,$A22,Data!$D$2:$D$1729,$B22,Data!$L$2:$L$1729,"Yes")</f>
        <v/>
      </c>
      <c r="E22" s="7">
        <f t="array" ref="E22">_xlfn.STDEV.S(IF((Data!$F$2:$F$1729=$A22)*(Data!$D$2:$D$1729=$B22)*(Data!$L$2:$L$1729="Yes"),Data!$H$2:$H$1729))</f>
        <v/>
      </c>
      <c r="F22" s="7">
        <f t="array" ref="F22">MEDIAN(IF((Data!$F$2:$F$1729=$A22)*(Data!$D$2:$D$1729=$B22)*(Data!$L$2:$L$1729="Yes"),Data!$H$2:$H$1729))</f>
        <v/>
      </c>
      <c r="G22" s="7">
        <f>COUNTIFS(Data!$F$2:$F$1729,$A22,Data!$D$2:$D$1729,$B22,Data!$L$2:$L$1729,"Yes",Data!$H$2:$H$1729,"&gt;0")</f>
        <v/>
      </c>
      <c r="H22" s="7">
        <f>100*G22/C22</f>
        <v/>
      </c>
      <c r="I22" s="7">
        <f>AVERAGEIFS(Data!$I$2:$I$1729,Data!$F$2:$F$1729,$A22,Data!$D$2:$D$1729,$B22,Data!$L$2:$L$1729,"Yes")</f>
        <v/>
      </c>
    </row>
    <row r="23">
      <c r="A23" s="6" t="inlineStr">
        <is>
          <t>Brow Furrow</t>
        </is>
      </c>
      <c r="B23" s="6" t="inlineStr">
        <is>
          <t>Baseline</t>
        </is>
      </c>
      <c r="C23" s="6">
        <f>COUNTIFS(Data!$F$2:$F$1729,$A23,Data!$D$2:$D$1729,$B23,Data!$L$2:$L$1729,"Yes")</f>
        <v/>
      </c>
      <c r="D23" s="7">
        <f>AVERAGEIFS(Data!$H$2:$H$1729,Data!$F$2:$F$1729,$A23,Data!$D$2:$D$1729,$B23,Data!$L$2:$L$1729,"Yes")</f>
        <v/>
      </c>
      <c r="E23" s="7">
        <f t="array" ref="E23">_xlfn.STDEV.S(IF((Data!$F$2:$F$1729=$A23)*(Data!$D$2:$D$1729=$B23)*(Data!$L$2:$L$1729="Yes"),Data!$H$2:$H$1729))</f>
        <v/>
      </c>
      <c r="F23" s="7">
        <f t="array" ref="F23">MEDIAN(IF((Data!$F$2:$F$1729=$A23)*(Data!$D$2:$D$1729=$B23)*(Data!$L$2:$L$1729="Yes"),Data!$H$2:$H$1729))</f>
        <v/>
      </c>
      <c r="G23" s="7">
        <f>COUNTIFS(Data!$F$2:$F$1729,$A23,Data!$D$2:$D$1729,$B23,Data!$L$2:$L$1729,"Yes",Data!$H$2:$H$1729,"&gt;0")</f>
        <v/>
      </c>
      <c r="H23" s="7">
        <f>100*G23/C23</f>
        <v/>
      </c>
      <c r="I23" s="7">
        <f>AVERAGEIFS(Data!$I$2:$I$1729,Data!$F$2:$F$1729,$A23,Data!$D$2:$D$1729,$B23,Data!$L$2:$L$1729,"Yes")</f>
        <v/>
      </c>
    </row>
    <row r="24">
      <c r="A24" s="6" t="inlineStr">
        <is>
          <t>Brow Furrow</t>
        </is>
      </c>
      <c r="B24" s="6" t="inlineStr">
        <is>
          <t>Commercial</t>
        </is>
      </c>
      <c r="C24" s="6">
        <f>COUNTIFS(Data!$F$2:$F$1729,$A24,Data!$D$2:$D$1729,$B24,Data!$L$2:$L$1729,"Yes")</f>
        <v/>
      </c>
      <c r="D24" s="7">
        <f>AVERAGEIFS(Data!$H$2:$H$1729,Data!$F$2:$F$1729,$A24,Data!$D$2:$D$1729,$B24,Data!$L$2:$L$1729,"Yes")</f>
        <v/>
      </c>
      <c r="E24" s="7">
        <f t="array" ref="E24">_xlfn.STDEV.S(IF((Data!$F$2:$F$1729=$A24)*(Data!$D$2:$D$1729=$B24)*(Data!$L$2:$L$1729="Yes"),Data!$H$2:$H$1729))</f>
        <v/>
      </c>
      <c r="F24" s="7">
        <f t="array" ref="F24">MEDIAN(IF((Data!$F$2:$F$1729=$A24)*(Data!$D$2:$D$1729=$B24)*(Data!$L$2:$L$1729="Yes"),Data!$H$2:$H$1729))</f>
        <v/>
      </c>
      <c r="G24" s="7">
        <f>COUNTIFS(Data!$F$2:$F$1729,$A24,Data!$D$2:$D$1729,$B24,Data!$L$2:$L$1729,"Yes",Data!$H$2:$H$1729,"&gt;0")</f>
        <v/>
      </c>
      <c r="H24" s="7">
        <f>100*G24/C24</f>
        <v/>
      </c>
      <c r="I24" s="7">
        <f>AVERAGEIFS(Data!$I$2:$I$1729,Data!$F$2:$F$1729,$A24,Data!$D$2:$D$1729,$B24,Data!$L$2:$L$1729,"Yes")</f>
        <v/>
      </c>
    </row>
    <row r="25">
      <c r="A25" s="6" t="inlineStr">
        <is>
          <t>Brow Furrow</t>
        </is>
      </c>
      <c r="B25" s="6" t="inlineStr">
        <is>
          <t>Recovery</t>
        </is>
      </c>
      <c r="C25" s="6">
        <f>COUNTIFS(Data!$F$2:$F$1729,$A25,Data!$D$2:$D$1729,$B25,Data!$L$2:$L$1729,"Yes")</f>
        <v/>
      </c>
      <c r="D25" s="7">
        <f>AVERAGEIFS(Data!$H$2:$H$1729,Data!$F$2:$F$1729,$A25,Data!$D$2:$D$1729,$B25,Data!$L$2:$L$1729,"Yes")</f>
        <v/>
      </c>
      <c r="E25" s="7">
        <f t="array" ref="E25">_xlfn.STDEV.S(IF((Data!$F$2:$F$1729=$A25)*(Data!$D$2:$D$1729=$B25)*(Data!$L$2:$L$1729="Yes"),Data!$H$2:$H$1729))</f>
        <v/>
      </c>
      <c r="F25" s="7">
        <f t="array" ref="F25">MEDIAN(IF((Data!$F$2:$F$1729=$A25)*(Data!$D$2:$D$1729=$B25)*(Data!$L$2:$L$1729="Yes"),Data!$H$2:$H$1729))</f>
        <v/>
      </c>
      <c r="G25" s="7">
        <f>COUNTIFS(Data!$F$2:$F$1729,$A25,Data!$D$2:$D$1729,$B25,Data!$L$2:$L$1729,"Yes",Data!$H$2:$H$1729,"&gt;0")</f>
        <v/>
      </c>
      <c r="H25" s="7">
        <f>100*G25/C25</f>
        <v/>
      </c>
      <c r="I25" s="7">
        <f>AVERAGEIFS(Data!$I$2:$I$1729,Data!$F$2:$F$1729,$A25,Data!$D$2:$D$1729,$B25,Data!$L$2:$L$1729,"Yes")</f>
        <v/>
      </c>
    </row>
    <row r="26">
      <c r="A26" s="6" t="inlineStr">
        <is>
          <t>Brow Furrow</t>
        </is>
      </c>
      <c r="B26" s="6" t="inlineStr">
        <is>
          <t>Bin_01</t>
        </is>
      </c>
      <c r="C26" s="6">
        <f>COUNTIFS(Data!$F$2:$F$1729,$A26,Data!$D$2:$D$1729,$B26,Data!$L$2:$L$1729,"Yes")</f>
        <v/>
      </c>
      <c r="D26" s="7">
        <f>AVERAGEIFS(Data!$H$2:$H$1729,Data!$F$2:$F$1729,$A26,Data!$D$2:$D$1729,$B26,Data!$L$2:$L$1729,"Yes")</f>
        <v/>
      </c>
      <c r="E26" s="7">
        <f t="array" ref="E26">_xlfn.STDEV.S(IF((Data!$F$2:$F$1729=$A26)*(Data!$D$2:$D$1729=$B26)*(Data!$L$2:$L$1729="Yes"),Data!$H$2:$H$1729))</f>
        <v/>
      </c>
      <c r="F26" s="7">
        <f t="array" ref="F26">MEDIAN(IF((Data!$F$2:$F$1729=$A26)*(Data!$D$2:$D$1729=$B26)*(Data!$L$2:$L$1729="Yes"),Data!$H$2:$H$1729))</f>
        <v/>
      </c>
      <c r="G26" s="7">
        <f>COUNTIFS(Data!$F$2:$F$1729,$A26,Data!$D$2:$D$1729,$B26,Data!$L$2:$L$1729,"Yes",Data!$H$2:$H$1729,"&gt;0")</f>
        <v/>
      </c>
      <c r="H26" s="7">
        <f>100*G26/C26</f>
        <v/>
      </c>
      <c r="I26" s="7">
        <f>AVERAGEIFS(Data!$I$2:$I$1729,Data!$F$2:$F$1729,$A26,Data!$D$2:$D$1729,$B26,Data!$L$2:$L$1729,"Yes")</f>
        <v/>
      </c>
    </row>
    <row r="27">
      <c r="A27" s="6" t="inlineStr">
        <is>
          <t>Brow Furrow</t>
        </is>
      </c>
      <c r="B27" s="6" t="inlineStr">
        <is>
          <t>Bin_02</t>
        </is>
      </c>
      <c r="C27" s="6">
        <f>COUNTIFS(Data!$F$2:$F$1729,$A27,Data!$D$2:$D$1729,$B27,Data!$L$2:$L$1729,"Yes")</f>
        <v/>
      </c>
      <c r="D27" s="7">
        <f>AVERAGEIFS(Data!$H$2:$H$1729,Data!$F$2:$F$1729,$A27,Data!$D$2:$D$1729,$B27,Data!$L$2:$L$1729,"Yes")</f>
        <v/>
      </c>
      <c r="E27" s="7">
        <f t="array" ref="E27">_xlfn.STDEV.S(IF((Data!$F$2:$F$1729=$A27)*(Data!$D$2:$D$1729=$B27)*(Data!$L$2:$L$1729="Yes"),Data!$H$2:$H$1729))</f>
        <v/>
      </c>
      <c r="F27" s="7">
        <f t="array" ref="F27">MEDIAN(IF((Data!$F$2:$F$1729=$A27)*(Data!$D$2:$D$1729=$B27)*(Data!$L$2:$L$1729="Yes"),Data!$H$2:$H$1729))</f>
        <v/>
      </c>
      <c r="G27" s="7">
        <f>COUNTIFS(Data!$F$2:$F$1729,$A27,Data!$D$2:$D$1729,$B27,Data!$L$2:$L$1729,"Yes",Data!$H$2:$H$1729,"&gt;0")</f>
        <v/>
      </c>
      <c r="H27" s="7">
        <f>100*G27/C27</f>
        <v/>
      </c>
      <c r="I27" s="7">
        <f>AVERAGEIFS(Data!$I$2:$I$1729,Data!$F$2:$F$1729,$A27,Data!$D$2:$D$1729,$B27,Data!$L$2:$L$1729,"Yes")</f>
        <v/>
      </c>
    </row>
    <row r="28">
      <c r="A28" s="6" t="inlineStr">
        <is>
          <t>Brow Furrow</t>
        </is>
      </c>
      <c r="B28" s="6" t="inlineStr">
        <is>
          <t>Bin_03</t>
        </is>
      </c>
      <c r="C28" s="6">
        <f>COUNTIFS(Data!$F$2:$F$1729,$A28,Data!$D$2:$D$1729,$B28,Data!$L$2:$L$1729,"Yes")</f>
        <v/>
      </c>
      <c r="D28" s="7">
        <f>AVERAGEIFS(Data!$H$2:$H$1729,Data!$F$2:$F$1729,$A28,Data!$D$2:$D$1729,$B28,Data!$L$2:$L$1729,"Yes")</f>
        <v/>
      </c>
      <c r="E28" s="7">
        <f t="array" ref="E28">_xlfn.STDEV.S(IF((Data!$F$2:$F$1729=$A28)*(Data!$D$2:$D$1729=$B28)*(Data!$L$2:$L$1729="Yes"),Data!$H$2:$H$1729))</f>
        <v/>
      </c>
      <c r="F28" s="7">
        <f t="array" ref="F28">MEDIAN(IF((Data!$F$2:$F$1729=$A28)*(Data!$D$2:$D$1729=$B28)*(Data!$L$2:$L$1729="Yes"),Data!$H$2:$H$1729))</f>
        <v/>
      </c>
      <c r="G28" s="7">
        <f>COUNTIFS(Data!$F$2:$F$1729,$A28,Data!$D$2:$D$1729,$B28,Data!$L$2:$L$1729,"Yes",Data!$H$2:$H$1729,"&gt;0")</f>
        <v/>
      </c>
      <c r="H28" s="7">
        <f>100*G28/C28</f>
        <v/>
      </c>
      <c r="I28" s="7">
        <f>AVERAGEIFS(Data!$I$2:$I$1729,Data!$F$2:$F$1729,$A28,Data!$D$2:$D$1729,$B28,Data!$L$2:$L$1729,"Yes")</f>
        <v/>
      </c>
    </row>
    <row r="29">
      <c r="A29" s="6" t="inlineStr">
        <is>
          <t>Brow Furrow</t>
        </is>
      </c>
      <c r="B29" s="6" t="inlineStr">
        <is>
          <t>Bin_04</t>
        </is>
      </c>
      <c r="C29" s="6">
        <f>COUNTIFS(Data!$F$2:$F$1729,$A29,Data!$D$2:$D$1729,$B29,Data!$L$2:$L$1729,"Yes")</f>
        <v/>
      </c>
      <c r="D29" s="7">
        <f>AVERAGEIFS(Data!$H$2:$H$1729,Data!$F$2:$F$1729,$A29,Data!$D$2:$D$1729,$B29,Data!$L$2:$L$1729,"Yes")</f>
        <v/>
      </c>
      <c r="E29" s="7">
        <f t="array" ref="E29">_xlfn.STDEV.S(IF((Data!$F$2:$F$1729=$A29)*(Data!$D$2:$D$1729=$B29)*(Data!$L$2:$L$1729="Yes"),Data!$H$2:$H$1729))</f>
        <v/>
      </c>
      <c r="F29" s="7">
        <f t="array" ref="F29">MEDIAN(IF((Data!$F$2:$F$1729=$A29)*(Data!$D$2:$D$1729=$B29)*(Data!$L$2:$L$1729="Yes"),Data!$H$2:$H$1729))</f>
        <v/>
      </c>
      <c r="G29" s="7">
        <f>COUNTIFS(Data!$F$2:$F$1729,$A29,Data!$D$2:$D$1729,$B29,Data!$L$2:$L$1729,"Yes",Data!$H$2:$H$1729,"&gt;0")</f>
        <v/>
      </c>
      <c r="H29" s="7">
        <f>100*G29/C29</f>
        <v/>
      </c>
      <c r="I29" s="7">
        <f>AVERAGEIFS(Data!$I$2:$I$1729,Data!$F$2:$F$1729,$A29,Data!$D$2:$D$1729,$B29,Data!$L$2:$L$1729,"Yes")</f>
        <v/>
      </c>
    </row>
    <row r="30">
      <c r="A30" s="6" t="inlineStr">
        <is>
          <t>Brow Furrow</t>
        </is>
      </c>
      <c r="B30" s="6" t="inlineStr">
        <is>
          <t>Bin_05</t>
        </is>
      </c>
      <c r="C30" s="6">
        <f>COUNTIFS(Data!$F$2:$F$1729,$A30,Data!$D$2:$D$1729,$B30,Data!$L$2:$L$1729,"Yes")</f>
        <v/>
      </c>
      <c r="D30" s="7">
        <f>AVERAGEIFS(Data!$H$2:$H$1729,Data!$F$2:$F$1729,$A30,Data!$D$2:$D$1729,$B30,Data!$L$2:$L$1729,"Yes")</f>
        <v/>
      </c>
      <c r="E30" s="7">
        <f t="array" ref="E30">_xlfn.STDEV.S(IF((Data!$F$2:$F$1729=$A30)*(Data!$D$2:$D$1729=$B30)*(Data!$L$2:$L$1729="Yes"),Data!$H$2:$H$1729))</f>
        <v/>
      </c>
      <c r="F30" s="7">
        <f t="array" ref="F30">MEDIAN(IF((Data!$F$2:$F$1729=$A30)*(Data!$D$2:$D$1729=$B30)*(Data!$L$2:$L$1729="Yes"),Data!$H$2:$H$1729))</f>
        <v/>
      </c>
      <c r="G30" s="7">
        <f>COUNTIFS(Data!$F$2:$F$1729,$A30,Data!$D$2:$D$1729,$B30,Data!$L$2:$L$1729,"Yes",Data!$H$2:$H$1729,"&gt;0")</f>
        <v/>
      </c>
      <c r="H30" s="7">
        <f>100*G30/C30</f>
        <v/>
      </c>
      <c r="I30" s="7">
        <f>AVERAGEIFS(Data!$I$2:$I$1729,Data!$F$2:$F$1729,$A30,Data!$D$2:$D$1729,$B30,Data!$L$2:$L$1729,"Yes")</f>
        <v/>
      </c>
    </row>
    <row r="31">
      <c r="A31" s="6" t="inlineStr">
        <is>
          <t>Brow Furrow</t>
        </is>
      </c>
      <c r="B31" s="6" t="inlineStr">
        <is>
          <t>Bin_06</t>
        </is>
      </c>
      <c r="C31" s="6">
        <f>COUNTIFS(Data!$F$2:$F$1729,$A31,Data!$D$2:$D$1729,$B31,Data!$L$2:$L$1729,"Yes")</f>
        <v/>
      </c>
      <c r="D31" s="7">
        <f>AVERAGEIFS(Data!$H$2:$H$1729,Data!$F$2:$F$1729,$A31,Data!$D$2:$D$1729,$B31,Data!$L$2:$L$1729,"Yes")</f>
        <v/>
      </c>
      <c r="E31" s="7">
        <f t="array" ref="E31">_xlfn.STDEV.S(IF((Data!$F$2:$F$1729=$A31)*(Data!$D$2:$D$1729=$B31)*(Data!$L$2:$L$1729="Yes"),Data!$H$2:$H$1729))</f>
        <v/>
      </c>
      <c r="F31" s="7">
        <f t="array" ref="F31">MEDIAN(IF((Data!$F$2:$F$1729=$A31)*(Data!$D$2:$D$1729=$B31)*(Data!$L$2:$L$1729="Yes"),Data!$H$2:$H$1729))</f>
        <v/>
      </c>
      <c r="G31" s="7">
        <f>COUNTIFS(Data!$F$2:$F$1729,$A31,Data!$D$2:$D$1729,$B31,Data!$L$2:$L$1729,"Yes",Data!$H$2:$H$1729,"&gt;0")</f>
        <v/>
      </c>
      <c r="H31" s="7">
        <f>100*G31/C31</f>
        <v/>
      </c>
      <c r="I31" s="7">
        <f>AVERAGEIFS(Data!$I$2:$I$1729,Data!$F$2:$F$1729,$A31,Data!$D$2:$D$1729,$B31,Data!$L$2:$L$1729,"Yes")</f>
        <v/>
      </c>
    </row>
    <row r="32">
      <c r="A32" s="6" t="inlineStr">
        <is>
          <t>Positive Valence</t>
        </is>
      </c>
      <c r="B32" s="6" t="inlineStr">
        <is>
          <t>Baseline</t>
        </is>
      </c>
      <c r="C32" s="6">
        <f>COUNTIFS(Data!$F$2:$F$1729,$A32,Data!$D$2:$D$1729,$B32,Data!$L$2:$L$1729,"Yes")</f>
        <v/>
      </c>
      <c r="D32" s="7">
        <f>AVERAGEIFS(Data!$H$2:$H$1729,Data!$F$2:$F$1729,$A32,Data!$D$2:$D$1729,$B32,Data!$L$2:$L$1729,"Yes")</f>
        <v/>
      </c>
      <c r="E32" s="7">
        <f t="array" ref="E32">_xlfn.STDEV.S(IF((Data!$F$2:$F$1729=$A32)*(Data!$D$2:$D$1729=$B32)*(Data!$L$2:$L$1729="Yes"),Data!$H$2:$H$1729))</f>
        <v/>
      </c>
      <c r="F32" s="7">
        <f t="array" ref="F32">MEDIAN(IF((Data!$F$2:$F$1729=$A32)*(Data!$D$2:$D$1729=$B32)*(Data!$L$2:$L$1729="Yes"),Data!$H$2:$H$1729))</f>
        <v/>
      </c>
      <c r="G32" s="7">
        <f>COUNTIFS(Data!$F$2:$F$1729,$A32,Data!$D$2:$D$1729,$B32,Data!$L$2:$L$1729,"Yes",Data!$H$2:$H$1729,"&gt;0")</f>
        <v/>
      </c>
      <c r="H32" s="7">
        <f>100*G32/C32</f>
        <v/>
      </c>
      <c r="I32" s="7">
        <f>AVERAGEIFS(Data!$I$2:$I$1729,Data!$F$2:$F$1729,$A32,Data!$D$2:$D$1729,$B32,Data!$L$2:$L$1729,"Yes")</f>
        <v/>
      </c>
    </row>
    <row r="33">
      <c r="A33" s="6" t="inlineStr">
        <is>
          <t>Positive Valence</t>
        </is>
      </c>
      <c r="B33" s="6" t="inlineStr">
        <is>
          <t>Commercial</t>
        </is>
      </c>
      <c r="C33" s="6">
        <f>COUNTIFS(Data!$F$2:$F$1729,$A33,Data!$D$2:$D$1729,$B33,Data!$L$2:$L$1729,"Yes")</f>
        <v/>
      </c>
      <c r="D33" s="7">
        <f>AVERAGEIFS(Data!$H$2:$H$1729,Data!$F$2:$F$1729,$A33,Data!$D$2:$D$1729,$B33,Data!$L$2:$L$1729,"Yes")</f>
        <v/>
      </c>
      <c r="E33" s="7">
        <f t="array" ref="E33">_xlfn.STDEV.S(IF((Data!$F$2:$F$1729=$A33)*(Data!$D$2:$D$1729=$B33)*(Data!$L$2:$L$1729="Yes"),Data!$H$2:$H$1729))</f>
        <v/>
      </c>
      <c r="F33" s="7">
        <f t="array" ref="F33">MEDIAN(IF((Data!$F$2:$F$1729=$A33)*(Data!$D$2:$D$1729=$B33)*(Data!$L$2:$L$1729="Yes"),Data!$H$2:$H$1729))</f>
        <v/>
      </c>
      <c r="G33" s="7">
        <f>COUNTIFS(Data!$F$2:$F$1729,$A33,Data!$D$2:$D$1729,$B33,Data!$L$2:$L$1729,"Yes",Data!$H$2:$H$1729,"&gt;0")</f>
        <v/>
      </c>
      <c r="H33" s="7">
        <f>100*G33/C33</f>
        <v/>
      </c>
      <c r="I33" s="7">
        <f>AVERAGEIFS(Data!$I$2:$I$1729,Data!$F$2:$F$1729,$A33,Data!$D$2:$D$1729,$B33,Data!$L$2:$L$1729,"Yes")</f>
        <v/>
      </c>
    </row>
    <row r="34">
      <c r="A34" s="6" t="inlineStr">
        <is>
          <t>Positive Valence</t>
        </is>
      </c>
      <c r="B34" s="6" t="inlineStr">
        <is>
          <t>Recovery</t>
        </is>
      </c>
      <c r="C34" s="6">
        <f>COUNTIFS(Data!$F$2:$F$1729,$A34,Data!$D$2:$D$1729,$B34,Data!$L$2:$L$1729,"Yes")</f>
        <v/>
      </c>
      <c r="D34" s="7">
        <f>AVERAGEIFS(Data!$H$2:$H$1729,Data!$F$2:$F$1729,$A34,Data!$D$2:$D$1729,$B34,Data!$L$2:$L$1729,"Yes")</f>
        <v/>
      </c>
      <c r="E34" s="7">
        <f t="array" ref="E34">_xlfn.STDEV.S(IF((Data!$F$2:$F$1729=$A34)*(Data!$D$2:$D$1729=$B34)*(Data!$L$2:$L$1729="Yes"),Data!$H$2:$H$1729))</f>
        <v/>
      </c>
      <c r="F34" s="7">
        <f t="array" ref="F34">MEDIAN(IF((Data!$F$2:$F$1729=$A34)*(Data!$D$2:$D$1729=$B34)*(Data!$L$2:$L$1729="Yes"),Data!$H$2:$H$1729))</f>
        <v/>
      </c>
      <c r="G34" s="7">
        <f>COUNTIFS(Data!$F$2:$F$1729,$A34,Data!$D$2:$D$1729,$B34,Data!$L$2:$L$1729,"Yes",Data!$H$2:$H$1729,"&gt;0")</f>
        <v/>
      </c>
      <c r="H34" s="7">
        <f>100*G34/C34</f>
        <v/>
      </c>
      <c r="I34" s="7">
        <f>AVERAGEIFS(Data!$I$2:$I$1729,Data!$F$2:$F$1729,$A34,Data!$D$2:$D$1729,$B34,Data!$L$2:$L$1729,"Yes")</f>
        <v/>
      </c>
    </row>
    <row r="35">
      <c r="A35" s="6" t="inlineStr">
        <is>
          <t>Positive Valence</t>
        </is>
      </c>
      <c r="B35" s="6" t="inlineStr">
        <is>
          <t>Bin_01</t>
        </is>
      </c>
      <c r="C35" s="6">
        <f>COUNTIFS(Data!$F$2:$F$1729,$A35,Data!$D$2:$D$1729,$B35,Data!$L$2:$L$1729,"Yes")</f>
        <v/>
      </c>
      <c r="D35" s="7">
        <f>AVERAGEIFS(Data!$H$2:$H$1729,Data!$F$2:$F$1729,$A35,Data!$D$2:$D$1729,$B35,Data!$L$2:$L$1729,"Yes")</f>
        <v/>
      </c>
      <c r="E35" s="7">
        <f t="array" ref="E35">_xlfn.STDEV.S(IF((Data!$F$2:$F$1729=$A35)*(Data!$D$2:$D$1729=$B35)*(Data!$L$2:$L$1729="Yes"),Data!$H$2:$H$1729))</f>
        <v/>
      </c>
      <c r="F35" s="7">
        <f t="array" ref="F35">MEDIAN(IF((Data!$F$2:$F$1729=$A35)*(Data!$D$2:$D$1729=$B35)*(Data!$L$2:$L$1729="Yes"),Data!$H$2:$H$1729))</f>
        <v/>
      </c>
      <c r="G35" s="7">
        <f>COUNTIFS(Data!$F$2:$F$1729,$A35,Data!$D$2:$D$1729,$B35,Data!$L$2:$L$1729,"Yes",Data!$H$2:$H$1729,"&gt;0")</f>
        <v/>
      </c>
      <c r="H35" s="7">
        <f>100*G35/C35</f>
        <v/>
      </c>
      <c r="I35" s="7">
        <f>AVERAGEIFS(Data!$I$2:$I$1729,Data!$F$2:$F$1729,$A35,Data!$D$2:$D$1729,$B35,Data!$L$2:$L$1729,"Yes")</f>
        <v/>
      </c>
    </row>
    <row r="36">
      <c r="A36" s="6" t="inlineStr">
        <is>
          <t>Positive Valence</t>
        </is>
      </c>
      <c r="B36" s="6" t="inlineStr">
        <is>
          <t>Bin_02</t>
        </is>
      </c>
      <c r="C36" s="6">
        <f>COUNTIFS(Data!$F$2:$F$1729,$A36,Data!$D$2:$D$1729,$B36,Data!$L$2:$L$1729,"Yes")</f>
        <v/>
      </c>
      <c r="D36" s="7">
        <f>AVERAGEIFS(Data!$H$2:$H$1729,Data!$F$2:$F$1729,$A36,Data!$D$2:$D$1729,$B36,Data!$L$2:$L$1729,"Yes")</f>
        <v/>
      </c>
      <c r="E36" s="7">
        <f t="array" ref="E36">_xlfn.STDEV.S(IF((Data!$F$2:$F$1729=$A36)*(Data!$D$2:$D$1729=$B36)*(Data!$L$2:$L$1729="Yes"),Data!$H$2:$H$1729))</f>
        <v/>
      </c>
      <c r="F36" s="7">
        <f t="array" ref="F36">MEDIAN(IF((Data!$F$2:$F$1729=$A36)*(Data!$D$2:$D$1729=$B36)*(Data!$L$2:$L$1729="Yes"),Data!$H$2:$H$1729))</f>
        <v/>
      </c>
      <c r="G36" s="7">
        <f>COUNTIFS(Data!$F$2:$F$1729,$A36,Data!$D$2:$D$1729,$B36,Data!$L$2:$L$1729,"Yes",Data!$H$2:$H$1729,"&gt;0")</f>
        <v/>
      </c>
      <c r="H36" s="7">
        <f>100*G36/C36</f>
        <v/>
      </c>
      <c r="I36" s="7">
        <f>AVERAGEIFS(Data!$I$2:$I$1729,Data!$F$2:$F$1729,$A36,Data!$D$2:$D$1729,$B36,Data!$L$2:$L$1729,"Yes")</f>
        <v/>
      </c>
    </row>
    <row r="37">
      <c r="A37" s="6" t="inlineStr">
        <is>
          <t>Positive Valence</t>
        </is>
      </c>
      <c r="B37" s="6" t="inlineStr">
        <is>
          <t>Bin_03</t>
        </is>
      </c>
      <c r="C37" s="6">
        <f>COUNTIFS(Data!$F$2:$F$1729,$A37,Data!$D$2:$D$1729,$B37,Data!$L$2:$L$1729,"Yes")</f>
        <v/>
      </c>
      <c r="D37" s="7">
        <f>AVERAGEIFS(Data!$H$2:$H$1729,Data!$F$2:$F$1729,$A37,Data!$D$2:$D$1729,$B37,Data!$L$2:$L$1729,"Yes")</f>
        <v/>
      </c>
      <c r="E37" s="7">
        <f t="array" ref="E37">_xlfn.STDEV.S(IF((Data!$F$2:$F$1729=$A37)*(Data!$D$2:$D$1729=$B37)*(Data!$L$2:$L$1729="Yes"),Data!$H$2:$H$1729))</f>
        <v/>
      </c>
      <c r="F37" s="7">
        <f t="array" ref="F37">MEDIAN(IF((Data!$F$2:$F$1729=$A37)*(Data!$D$2:$D$1729=$B37)*(Data!$L$2:$L$1729="Yes"),Data!$H$2:$H$1729))</f>
        <v/>
      </c>
      <c r="G37" s="7">
        <f>COUNTIFS(Data!$F$2:$F$1729,$A37,Data!$D$2:$D$1729,$B37,Data!$L$2:$L$1729,"Yes",Data!$H$2:$H$1729,"&gt;0")</f>
        <v/>
      </c>
      <c r="H37" s="7">
        <f>100*G37/C37</f>
        <v/>
      </c>
      <c r="I37" s="7">
        <f>AVERAGEIFS(Data!$I$2:$I$1729,Data!$F$2:$F$1729,$A37,Data!$D$2:$D$1729,$B37,Data!$L$2:$L$1729,"Yes")</f>
        <v/>
      </c>
    </row>
    <row r="38">
      <c r="A38" s="6" t="inlineStr">
        <is>
          <t>Positive Valence</t>
        </is>
      </c>
      <c r="B38" s="6" t="inlineStr">
        <is>
          <t>Bin_04</t>
        </is>
      </c>
      <c r="C38" s="6">
        <f>COUNTIFS(Data!$F$2:$F$1729,$A38,Data!$D$2:$D$1729,$B38,Data!$L$2:$L$1729,"Yes")</f>
        <v/>
      </c>
      <c r="D38" s="7">
        <f>AVERAGEIFS(Data!$H$2:$H$1729,Data!$F$2:$F$1729,$A38,Data!$D$2:$D$1729,$B38,Data!$L$2:$L$1729,"Yes")</f>
        <v/>
      </c>
      <c r="E38" s="7">
        <f t="array" ref="E38">_xlfn.STDEV.S(IF((Data!$F$2:$F$1729=$A38)*(Data!$D$2:$D$1729=$B38)*(Data!$L$2:$L$1729="Yes"),Data!$H$2:$H$1729))</f>
        <v/>
      </c>
      <c r="F38" s="7">
        <f t="array" ref="F38">MEDIAN(IF((Data!$F$2:$F$1729=$A38)*(Data!$D$2:$D$1729=$B38)*(Data!$L$2:$L$1729="Yes"),Data!$H$2:$H$1729))</f>
        <v/>
      </c>
      <c r="G38" s="7">
        <f>COUNTIFS(Data!$F$2:$F$1729,$A38,Data!$D$2:$D$1729,$B38,Data!$L$2:$L$1729,"Yes",Data!$H$2:$H$1729,"&gt;0")</f>
        <v/>
      </c>
      <c r="H38" s="7">
        <f>100*G38/C38</f>
        <v/>
      </c>
      <c r="I38" s="7">
        <f>AVERAGEIFS(Data!$I$2:$I$1729,Data!$F$2:$F$1729,$A38,Data!$D$2:$D$1729,$B38,Data!$L$2:$L$1729,"Yes")</f>
        <v/>
      </c>
    </row>
    <row r="39">
      <c r="A39" s="6" t="inlineStr">
        <is>
          <t>Positive Valence</t>
        </is>
      </c>
      <c r="B39" s="6" t="inlineStr">
        <is>
          <t>Bin_05</t>
        </is>
      </c>
      <c r="C39" s="6">
        <f>COUNTIFS(Data!$F$2:$F$1729,$A39,Data!$D$2:$D$1729,$B39,Data!$L$2:$L$1729,"Yes")</f>
        <v/>
      </c>
      <c r="D39" s="7">
        <f>AVERAGEIFS(Data!$H$2:$H$1729,Data!$F$2:$F$1729,$A39,Data!$D$2:$D$1729,$B39,Data!$L$2:$L$1729,"Yes")</f>
        <v/>
      </c>
      <c r="E39" s="7">
        <f t="array" ref="E39">_xlfn.STDEV.S(IF((Data!$F$2:$F$1729=$A39)*(Data!$D$2:$D$1729=$B39)*(Data!$L$2:$L$1729="Yes"),Data!$H$2:$H$1729))</f>
        <v/>
      </c>
      <c r="F39" s="7">
        <f t="array" ref="F39">MEDIAN(IF((Data!$F$2:$F$1729=$A39)*(Data!$D$2:$D$1729=$B39)*(Data!$L$2:$L$1729="Yes"),Data!$H$2:$H$1729))</f>
        <v/>
      </c>
      <c r="G39" s="7">
        <f>COUNTIFS(Data!$F$2:$F$1729,$A39,Data!$D$2:$D$1729,$B39,Data!$L$2:$L$1729,"Yes",Data!$H$2:$H$1729,"&gt;0")</f>
        <v/>
      </c>
      <c r="H39" s="7">
        <f>100*G39/C39</f>
        <v/>
      </c>
      <c r="I39" s="7">
        <f>AVERAGEIFS(Data!$I$2:$I$1729,Data!$F$2:$F$1729,$A39,Data!$D$2:$D$1729,$B39,Data!$L$2:$L$1729,"Yes")</f>
        <v/>
      </c>
    </row>
    <row r="40">
      <c r="A40" s="6" t="inlineStr">
        <is>
          <t>Positive Valence</t>
        </is>
      </c>
      <c r="B40" s="6" t="inlineStr">
        <is>
          <t>Bin_06</t>
        </is>
      </c>
      <c r="C40" s="6">
        <f>COUNTIFS(Data!$F$2:$F$1729,$A40,Data!$D$2:$D$1729,$B40,Data!$L$2:$L$1729,"Yes")</f>
        <v/>
      </c>
      <c r="D40" s="7">
        <f>AVERAGEIFS(Data!$H$2:$H$1729,Data!$F$2:$F$1729,$A40,Data!$D$2:$D$1729,$B40,Data!$L$2:$L$1729,"Yes")</f>
        <v/>
      </c>
      <c r="E40" s="7">
        <f t="array" ref="E40">_xlfn.STDEV.S(IF((Data!$F$2:$F$1729=$A40)*(Data!$D$2:$D$1729=$B40)*(Data!$L$2:$L$1729="Yes"),Data!$H$2:$H$1729))</f>
        <v/>
      </c>
      <c r="F40" s="7">
        <f t="array" ref="F40">MEDIAN(IF((Data!$F$2:$F$1729=$A40)*(Data!$D$2:$D$1729=$B40)*(Data!$L$2:$L$1729="Yes"),Data!$H$2:$H$1729))</f>
        <v/>
      </c>
      <c r="G40" s="7">
        <f>COUNTIFS(Data!$F$2:$F$1729,$A40,Data!$D$2:$D$1729,$B40,Data!$L$2:$L$1729,"Yes",Data!$H$2:$H$1729,"&gt;0")</f>
        <v/>
      </c>
      <c r="H40" s="7">
        <f>100*G40/C40</f>
        <v/>
      </c>
      <c r="I40" s="7">
        <f>AVERAGEIFS(Data!$I$2:$I$1729,Data!$F$2:$F$1729,$A40,Data!$D$2:$D$1729,$B40,Data!$L$2:$L$1729,"Yes")</f>
        <v/>
      </c>
    </row>
    <row r="41">
      <c r="A41" s="6" t="inlineStr">
        <is>
          <t>Negative Valence</t>
        </is>
      </c>
      <c r="B41" s="6" t="inlineStr">
        <is>
          <t>Baseline</t>
        </is>
      </c>
      <c r="C41" s="6">
        <f>COUNTIFS(Data!$F$2:$F$1729,$A41,Data!$D$2:$D$1729,$B41,Data!$L$2:$L$1729,"Yes")</f>
        <v/>
      </c>
      <c r="D41" s="7">
        <f>AVERAGEIFS(Data!$H$2:$H$1729,Data!$F$2:$F$1729,$A41,Data!$D$2:$D$1729,$B41,Data!$L$2:$L$1729,"Yes")</f>
        <v/>
      </c>
      <c r="E41" s="7">
        <f t="array" ref="E41">_xlfn.STDEV.S(IF((Data!$F$2:$F$1729=$A41)*(Data!$D$2:$D$1729=$B41)*(Data!$L$2:$L$1729="Yes"),Data!$H$2:$H$1729))</f>
        <v/>
      </c>
      <c r="F41" s="7">
        <f t="array" ref="F41">MEDIAN(IF((Data!$F$2:$F$1729=$A41)*(Data!$D$2:$D$1729=$B41)*(Data!$L$2:$L$1729="Yes"),Data!$H$2:$H$1729))</f>
        <v/>
      </c>
      <c r="G41" s="7">
        <f>COUNTIFS(Data!$F$2:$F$1729,$A41,Data!$D$2:$D$1729,$B41,Data!$L$2:$L$1729,"Yes",Data!$H$2:$H$1729,"&gt;0")</f>
        <v/>
      </c>
      <c r="H41" s="7">
        <f>100*G41/C41</f>
        <v/>
      </c>
      <c r="I41" s="7">
        <f>AVERAGEIFS(Data!$I$2:$I$1729,Data!$F$2:$F$1729,$A41,Data!$D$2:$D$1729,$B41,Data!$L$2:$L$1729,"Yes")</f>
        <v/>
      </c>
    </row>
    <row r="42">
      <c r="A42" s="6" t="inlineStr">
        <is>
          <t>Negative Valence</t>
        </is>
      </c>
      <c r="B42" s="6" t="inlineStr">
        <is>
          <t>Commercial</t>
        </is>
      </c>
      <c r="C42" s="6">
        <f>COUNTIFS(Data!$F$2:$F$1729,$A42,Data!$D$2:$D$1729,$B42,Data!$L$2:$L$1729,"Yes")</f>
        <v/>
      </c>
      <c r="D42" s="7">
        <f>AVERAGEIFS(Data!$H$2:$H$1729,Data!$F$2:$F$1729,$A42,Data!$D$2:$D$1729,$B42,Data!$L$2:$L$1729,"Yes")</f>
        <v/>
      </c>
      <c r="E42" s="7">
        <f t="array" ref="E42">_xlfn.STDEV.S(IF((Data!$F$2:$F$1729=$A42)*(Data!$D$2:$D$1729=$B42)*(Data!$L$2:$L$1729="Yes"),Data!$H$2:$H$1729))</f>
        <v/>
      </c>
      <c r="F42" s="7">
        <f t="array" ref="F42">MEDIAN(IF((Data!$F$2:$F$1729=$A42)*(Data!$D$2:$D$1729=$B42)*(Data!$L$2:$L$1729="Yes"),Data!$H$2:$H$1729))</f>
        <v/>
      </c>
      <c r="G42" s="7">
        <f>COUNTIFS(Data!$F$2:$F$1729,$A42,Data!$D$2:$D$1729,$B42,Data!$L$2:$L$1729,"Yes",Data!$H$2:$H$1729,"&gt;0")</f>
        <v/>
      </c>
      <c r="H42" s="7">
        <f>100*G42/C42</f>
        <v/>
      </c>
      <c r="I42" s="7">
        <f>AVERAGEIFS(Data!$I$2:$I$1729,Data!$F$2:$F$1729,$A42,Data!$D$2:$D$1729,$B42,Data!$L$2:$L$1729,"Yes")</f>
        <v/>
      </c>
    </row>
    <row r="43">
      <c r="A43" s="6" t="inlineStr">
        <is>
          <t>Negative Valence</t>
        </is>
      </c>
      <c r="B43" s="6" t="inlineStr">
        <is>
          <t>Recovery</t>
        </is>
      </c>
      <c r="C43" s="6">
        <f>COUNTIFS(Data!$F$2:$F$1729,$A43,Data!$D$2:$D$1729,$B43,Data!$L$2:$L$1729,"Yes")</f>
        <v/>
      </c>
      <c r="D43" s="7">
        <f>AVERAGEIFS(Data!$H$2:$H$1729,Data!$F$2:$F$1729,$A43,Data!$D$2:$D$1729,$B43,Data!$L$2:$L$1729,"Yes")</f>
        <v/>
      </c>
      <c r="E43" s="7">
        <f t="array" ref="E43">_xlfn.STDEV.S(IF((Data!$F$2:$F$1729=$A43)*(Data!$D$2:$D$1729=$B43)*(Data!$L$2:$L$1729="Yes"),Data!$H$2:$H$1729))</f>
        <v/>
      </c>
      <c r="F43" s="7">
        <f t="array" ref="F43">MEDIAN(IF((Data!$F$2:$F$1729=$A43)*(Data!$D$2:$D$1729=$B43)*(Data!$L$2:$L$1729="Yes"),Data!$H$2:$H$1729))</f>
        <v/>
      </c>
      <c r="G43" s="7">
        <f>COUNTIFS(Data!$F$2:$F$1729,$A43,Data!$D$2:$D$1729,$B43,Data!$L$2:$L$1729,"Yes",Data!$H$2:$H$1729,"&gt;0")</f>
        <v/>
      </c>
      <c r="H43" s="7">
        <f>100*G43/C43</f>
        <v/>
      </c>
      <c r="I43" s="7">
        <f>AVERAGEIFS(Data!$I$2:$I$1729,Data!$F$2:$F$1729,$A43,Data!$D$2:$D$1729,$B43,Data!$L$2:$L$1729,"Yes")</f>
        <v/>
      </c>
    </row>
    <row r="44">
      <c r="A44" s="6" t="inlineStr">
        <is>
          <t>Negative Valence</t>
        </is>
      </c>
      <c r="B44" s="6" t="inlineStr">
        <is>
          <t>Bin_01</t>
        </is>
      </c>
      <c r="C44" s="6">
        <f>COUNTIFS(Data!$F$2:$F$1729,$A44,Data!$D$2:$D$1729,$B44,Data!$L$2:$L$1729,"Yes")</f>
        <v/>
      </c>
      <c r="D44" s="7">
        <f>AVERAGEIFS(Data!$H$2:$H$1729,Data!$F$2:$F$1729,$A44,Data!$D$2:$D$1729,$B44,Data!$L$2:$L$1729,"Yes")</f>
        <v/>
      </c>
      <c r="E44" s="7">
        <f t="array" ref="E44">_xlfn.STDEV.S(IF((Data!$F$2:$F$1729=$A44)*(Data!$D$2:$D$1729=$B44)*(Data!$L$2:$L$1729="Yes"),Data!$H$2:$H$1729))</f>
        <v/>
      </c>
      <c r="F44" s="7">
        <f t="array" ref="F44">MEDIAN(IF((Data!$F$2:$F$1729=$A44)*(Data!$D$2:$D$1729=$B44)*(Data!$L$2:$L$1729="Yes"),Data!$H$2:$H$1729))</f>
        <v/>
      </c>
      <c r="G44" s="7">
        <f>COUNTIFS(Data!$F$2:$F$1729,$A44,Data!$D$2:$D$1729,$B44,Data!$L$2:$L$1729,"Yes",Data!$H$2:$H$1729,"&gt;0")</f>
        <v/>
      </c>
      <c r="H44" s="7">
        <f>100*G44/C44</f>
        <v/>
      </c>
      <c r="I44" s="7">
        <f>AVERAGEIFS(Data!$I$2:$I$1729,Data!$F$2:$F$1729,$A44,Data!$D$2:$D$1729,$B44,Data!$L$2:$L$1729,"Yes")</f>
        <v/>
      </c>
    </row>
    <row r="45">
      <c r="A45" s="6" t="inlineStr">
        <is>
          <t>Negative Valence</t>
        </is>
      </c>
      <c r="B45" s="6" t="inlineStr">
        <is>
          <t>Bin_02</t>
        </is>
      </c>
      <c r="C45" s="6">
        <f>COUNTIFS(Data!$F$2:$F$1729,$A45,Data!$D$2:$D$1729,$B45,Data!$L$2:$L$1729,"Yes")</f>
        <v/>
      </c>
      <c r="D45" s="7">
        <f>AVERAGEIFS(Data!$H$2:$H$1729,Data!$F$2:$F$1729,$A45,Data!$D$2:$D$1729,$B45,Data!$L$2:$L$1729,"Yes")</f>
        <v/>
      </c>
      <c r="E45" s="7">
        <f t="array" ref="E45">_xlfn.STDEV.S(IF((Data!$F$2:$F$1729=$A45)*(Data!$D$2:$D$1729=$B45)*(Data!$L$2:$L$1729="Yes"),Data!$H$2:$H$1729))</f>
        <v/>
      </c>
      <c r="F45" s="7">
        <f t="array" ref="F45">MEDIAN(IF((Data!$F$2:$F$1729=$A45)*(Data!$D$2:$D$1729=$B45)*(Data!$L$2:$L$1729="Yes"),Data!$H$2:$H$1729))</f>
        <v/>
      </c>
      <c r="G45" s="7">
        <f>COUNTIFS(Data!$F$2:$F$1729,$A45,Data!$D$2:$D$1729,$B45,Data!$L$2:$L$1729,"Yes",Data!$H$2:$H$1729,"&gt;0")</f>
        <v/>
      </c>
      <c r="H45" s="7">
        <f>100*G45/C45</f>
        <v/>
      </c>
      <c r="I45" s="7">
        <f>AVERAGEIFS(Data!$I$2:$I$1729,Data!$F$2:$F$1729,$A45,Data!$D$2:$D$1729,$B45,Data!$L$2:$L$1729,"Yes")</f>
        <v/>
      </c>
    </row>
    <row r="46">
      <c r="A46" s="6" t="inlineStr">
        <is>
          <t>Negative Valence</t>
        </is>
      </c>
      <c r="B46" s="6" t="inlineStr">
        <is>
          <t>Bin_03</t>
        </is>
      </c>
      <c r="C46" s="6">
        <f>COUNTIFS(Data!$F$2:$F$1729,$A46,Data!$D$2:$D$1729,$B46,Data!$L$2:$L$1729,"Yes")</f>
        <v/>
      </c>
      <c r="D46" s="7">
        <f>AVERAGEIFS(Data!$H$2:$H$1729,Data!$F$2:$F$1729,$A46,Data!$D$2:$D$1729,$B46,Data!$L$2:$L$1729,"Yes")</f>
        <v/>
      </c>
      <c r="E46" s="7">
        <f t="array" ref="E46">_xlfn.STDEV.S(IF((Data!$F$2:$F$1729=$A46)*(Data!$D$2:$D$1729=$B46)*(Data!$L$2:$L$1729="Yes"),Data!$H$2:$H$1729))</f>
        <v/>
      </c>
      <c r="F46" s="7">
        <f t="array" ref="F46">MEDIAN(IF((Data!$F$2:$F$1729=$A46)*(Data!$D$2:$D$1729=$B46)*(Data!$L$2:$L$1729="Yes"),Data!$H$2:$H$1729))</f>
        <v/>
      </c>
      <c r="G46" s="7">
        <f>COUNTIFS(Data!$F$2:$F$1729,$A46,Data!$D$2:$D$1729,$B46,Data!$L$2:$L$1729,"Yes",Data!$H$2:$H$1729,"&gt;0")</f>
        <v/>
      </c>
      <c r="H46" s="7">
        <f>100*G46/C46</f>
        <v/>
      </c>
      <c r="I46" s="7">
        <f>AVERAGEIFS(Data!$I$2:$I$1729,Data!$F$2:$F$1729,$A46,Data!$D$2:$D$1729,$B46,Data!$L$2:$L$1729,"Yes")</f>
        <v/>
      </c>
    </row>
    <row r="47">
      <c r="A47" s="6" t="inlineStr">
        <is>
          <t>Negative Valence</t>
        </is>
      </c>
      <c r="B47" s="6" t="inlineStr">
        <is>
          <t>Bin_04</t>
        </is>
      </c>
      <c r="C47" s="6">
        <f>COUNTIFS(Data!$F$2:$F$1729,$A47,Data!$D$2:$D$1729,$B47,Data!$L$2:$L$1729,"Yes")</f>
        <v/>
      </c>
      <c r="D47" s="7">
        <f>AVERAGEIFS(Data!$H$2:$H$1729,Data!$F$2:$F$1729,$A47,Data!$D$2:$D$1729,$B47,Data!$L$2:$L$1729,"Yes")</f>
        <v/>
      </c>
      <c r="E47" s="7">
        <f t="array" ref="E47">_xlfn.STDEV.S(IF((Data!$F$2:$F$1729=$A47)*(Data!$D$2:$D$1729=$B47)*(Data!$L$2:$L$1729="Yes"),Data!$H$2:$H$1729))</f>
        <v/>
      </c>
      <c r="F47" s="7">
        <f t="array" ref="F47">MEDIAN(IF((Data!$F$2:$F$1729=$A47)*(Data!$D$2:$D$1729=$B47)*(Data!$L$2:$L$1729="Yes"),Data!$H$2:$H$1729))</f>
        <v/>
      </c>
      <c r="G47" s="7">
        <f>COUNTIFS(Data!$F$2:$F$1729,$A47,Data!$D$2:$D$1729,$B47,Data!$L$2:$L$1729,"Yes",Data!$H$2:$H$1729,"&gt;0")</f>
        <v/>
      </c>
      <c r="H47" s="7">
        <f>100*G47/C47</f>
        <v/>
      </c>
      <c r="I47" s="7">
        <f>AVERAGEIFS(Data!$I$2:$I$1729,Data!$F$2:$F$1729,$A47,Data!$D$2:$D$1729,$B47,Data!$L$2:$L$1729,"Yes")</f>
        <v/>
      </c>
    </row>
    <row r="48">
      <c r="A48" s="6" t="inlineStr">
        <is>
          <t>Negative Valence</t>
        </is>
      </c>
      <c r="B48" s="6" t="inlineStr">
        <is>
          <t>Bin_05</t>
        </is>
      </c>
      <c r="C48" s="6">
        <f>COUNTIFS(Data!$F$2:$F$1729,$A48,Data!$D$2:$D$1729,$B48,Data!$L$2:$L$1729,"Yes")</f>
        <v/>
      </c>
      <c r="D48" s="7">
        <f>AVERAGEIFS(Data!$H$2:$H$1729,Data!$F$2:$F$1729,$A48,Data!$D$2:$D$1729,$B48,Data!$L$2:$L$1729,"Yes")</f>
        <v/>
      </c>
      <c r="E48" s="7">
        <f t="array" ref="E48">_xlfn.STDEV.S(IF((Data!$F$2:$F$1729=$A48)*(Data!$D$2:$D$1729=$B48)*(Data!$L$2:$L$1729="Yes"),Data!$H$2:$H$1729))</f>
        <v/>
      </c>
      <c r="F48" s="7">
        <f t="array" ref="F48">MEDIAN(IF((Data!$F$2:$F$1729=$A48)*(Data!$D$2:$D$1729=$B48)*(Data!$L$2:$L$1729="Yes"),Data!$H$2:$H$1729))</f>
        <v/>
      </c>
      <c r="G48" s="7">
        <f>COUNTIFS(Data!$F$2:$F$1729,$A48,Data!$D$2:$D$1729,$B48,Data!$L$2:$L$1729,"Yes",Data!$H$2:$H$1729,"&gt;0")</f>
        <v/>
      </c>
      <c r="H48" s="7">
        <f>100*G48/C48</f>
        <v/>
      </c>
      <c r="I48" s="7">
        <f>AVERAGEIFS(Data!$I$2:$I$1729,Data!$F$2:$F$1729,$A48,Data!$D$2:$D$1729,$B48,Data!$L$2:$L$1729,"Yes")</f>
        <v/>
      </c>
    </row>
    <row r="49">
      <c r="A49" s="6" t="inlineStr">
        <is>
          <t>Negative Valence</t>
        </is>
      </c>
      <c r="B49" s="6" t="inlineStr">
        <is>
          <t>Bin_06</t>
        </is>
      </c>
      <c r="C49" s="6">
        <f>COUNTIFS(Data!$F$2:$F$1729,$A49,Data!$D$2:$D$1729,$B49,Data!$L$2:$L$1729,"Yes")</f>
        <v/>
      </c>
      <c r="D49" s="7">
        <f>AVERAGEIFS(Data!$H$2:$H$1729,Data!$F$2:$F$1729,$A49,Data!$D$2:$D$1729,$B49,Data!$L$2:$L$1729,"Yes")</f>
        <v/>
      </c>
      <c r="E49" s="7">
        <f t="array" ref="E49">_xlfn.STDEV.S(IF((Data!$F$2:$F$1729=$A49)*(Data!$D$2:$D$1729=$B49)*(Data!$L$2:$L$1729="Yes"),Data!$H$2:$H$1729))</f>
        <v/>
      </c>
      <c r="F49" s="7">
        <f t="array" ref="F49">MEDIAN(IF((Data!$F$2:$F$1729=$A49)*(Data!$D$2:$D$1729=$B49)*(Data!$L$2:$L$1729="Yes"),Data!$H$2:$H$1729))</f>
        <v/>
      </c>
      <c r="G49" s="7">
        <f>COUNTIFS(Data!$F$2:$F$1729,$A49,Data!$D$2:$D$1729,$B49,Data!$L$2:$L$1729,"Yes",Data!$H$2:$H$1729,"&gt;0")</f>
        <v/>
      </c>
      <c r="H49" s="7">
        <f>100*G49/C49</f>
        <v/>
      </c>
      <c r="I49" s="7">
        <f>AVERAGEIFS(Data!$I$2:$I$1729,Data!$F$2:$F$1729,$A49,Data!$D$2:$D$1729,$B49,Data!$L$2:$L$1729,"Yes")</f>
        <v/>
      </c>
    </row>
    <row r="50"/>
    <row r="51">
      <c r="A51" s="8" t="inlineStr">
        <is>
          <t>Engagement: raw mean score (0 to 100), kept respondents. Not thresholded.</t>
        </is>
      </c>
    </row>
    <row r="52">
      <c r="A52" s="2" t="inlineStr">
        <is>
          <t>Expression</t>
        </is>
      </c>
      <c r="B52" s="2" t="inlineStr">
        <is>
          <t>Interval</t>
        </is>
      </c>
      <c r="C52" s="2" t="inlineStr">
        <is>
          <t>n</t>
        </is>
      </c>
      <c r="D52" s="2" t="inlineStr">
        <is>
          <t>Mean raw score</t>
        </is>
      </c>
      <c r="E52" s="2" t="inlineStr">
        <is>
          <t>SD</t>
        </is>
      </c>
      <c r="F52" s="2" t="inlineStr">
        <is>
          <t>Median</t>
        </is>
      </c>
    </row>
    <row r="53">
      <c r="A53" s="6" t="inlineStr">
        <is>
          <t>Engagement</t>
        </is>
      </c>
      <c r="B53" s="6" t="inlineStr">
        <is>
          <t>Baseline</t>
        </is>
      </c>
      <c r="C53" s="6">
        <f>COUNTIFS(Data!$F$2:$F$1729,$A53,Data!$D$2:$D$1729,$B53,Data!$L$2:$L$1729,"Yes",Data!$J$2:$J$1729,"&gt;=0")</f>
        <v/>
      </c>
      <c r="D53" s="7">
        <f>AVERAGEIFS(Data!$J$2:$J$1729,Data!$F$2:$F$1729,$A53,Data!$D$2:$D$1729,$B53,Data!$L$2:$L$1729,"Yes")</f>
        <v/>
      </c>
      <c r="E53" s="7">
        <f t="array" ref="E53">_xlfn.STDEV.S(IF((Data!$F$2:$F$1729=$A53)*(Data!$D$2:$D$1729=$B53)*(Data!$L$2:$L$1729="Yes"),Data!$J$2:$J$1729))</f>
        <v/>
      </c>
      <c r="F53" s="7">
        <f t="array" ref="F53">MEDIAN(IF((Data!$F$2:$F$1729=$A53)*(Data!$D$2:$D$1729=$B53)*(Data!$L$2:$L$1729="Yes"),Data!$J$2:$J$1729))</f>
        <v/>
      </c>
    </row>
    <row r="54">
      <c r="A54" s="6" t="inlineStr">
        <is>
          <t>Engagement</t>
        </is>
      </c>
      <c r="B54" s="6" t="inlineStr">
        <is>
          <t>Commercial</t>
        </is>
      </c>
      <c r="C54" s="6">
        <f>COUNTIFS(Data!$F$2:$F$1729,$A54,Data!$D$2:$D$1729,$B54,Data!$L$2:$L$1729,"Yes",Data!$J$2:$J$1729,"&gt;=0")</f>
        <v/>
      </c>
      <c r="D54" s="7">
        <f>AVERAGEIFS(Data!$J$2:$J$1729,Data!$F$2:$F$1729,$A54,Data!$D$2:$D$1729,$B54,Data!$L$2:$L$1729,"Yes")</f>
        <v/>
      </c>
      <c r="E54" s="7">
        <f t="array" ref="E54">_xlfn.STDEV.S(IF((Data!$F$2:$F$1729=$A54)*(Data!$D$2:$D$1729=$B54)*(Data!$L$2:$L$1729="Yes"),Data!$J$2:$J$1729))</f>
        <v/>
      </c>
      <c r="F54" s="7">
        <f t="array" ref="F54">MEDIAN(IF((Data!$F$2:$F$1729=$A54)*(Data!$D$2:$D$1729=$B54)*(Data!$L$2:$L$1729="Yes"),Data!$J$2:$J$1729))</f>
        <v/>
      </c>
    </row>
    <row r="55">
      <c r="A55" s="6" t="inlineStr">
        <is>
          <t>Engagement</t>
        </is>
      </c>
      <c r="B55" s="6" t="inlineStr">
        <is>
          <t>Recovery</t>
        </is>
      </c>
      <c r="C55" s="6">
        <f>COUNTIFS(Data!$F$2:$F$1729,$A55,Data!$D$2:$D$1729,$B55,Data!$L$2:$L$1729,"Yes",Data!$J$2:$J$1729,"&gt;=0")</f>
        <v/>
      </c>
      <c r="D55" s="7">
        <f>AVERAGEIFS(Data!$J$2:$J$1729,Data!$F$2:$F$1729,$A55,Data!$D$2:$D$1729,$B55,Data!$L$2:$L$1729,"Yes")</f>
        <v/>
      </c>
      <c r="E55" s="7">
        <f t="array" ref="E55">_xlfn.STDEV.S(IF((Data!$F$2:$F$1729=$A55)*(Data!$D$2:$D$1729=$B55)*(Data!$L$2:$L$1729="Yes"),Data!$J$2:$J$1729))</f>
        <v/>
      </c>
      <c r="F55" s="7">
        <f t="array" ref="F55">MEDIAN(IF((Data!$F$2:$F$1729=$A55)*(Data!$D$2:$D$1729=$B55)*(Data!$L$2:$L$1729="Yes"),Data!$J$2:$J$1729))</f>
        <v/>
      </c>
    </row>
    <row r="56">
      <c r="A56" s="6" t="inlineStr">
        <is>
          <t>Engagement</t>
        </is>
      </c>
      <c r="B56" s="6" t="inlineStr">
        <is>
          <t>Bin_01</t>
        </is>
      </c>
      <c r="C56" s="6">
        <f>COUNTIFS(Data!$F$2:$F$1729,$A56,Data!$D$2:$D$1729,$B56,Data!$L$2:$L$1729,"Yes",Data!$J$2:$J$1729,"&gt;=0")</f>
        <v/>
      </c>
      <c r="D56" s="7">
        <f>AVERAGEIFS(Data!$J$2:$J$1729,Data!$F$2:$F$1729,$A56,Data!$D$2:$D$1729,$B56,Data!$L$2:$L$1729,"Yes")</f>
        <v/>
      </c>
      <c r="E56" s="7">
        <f t="array" ref="E56">_xlfn.STDEV.S(IF((Data!$F$2:$F$1729=$A56)*(Data!$D$2:$D$1729=$B56)*(Data!$L$2:$L$1729="Yes"),Data!$J$2:$J$1729))</f>
        <v/>
      </c>
      <c r="F56" s="7">
        <f t="array" ref="F56">MEDIAN(IF((Data!$F$2:$F$1729=$A56)*(Data!$D$2:$D$1729=$B56)*(Data!$L$2:$L$1729="Yes"),Data!$J$2:$J$1729))</f>
        <v/>
      </c>
    </row>
    <row r="57">
      <c r="A57" s="6" t="inlineStr">
        <is>
          <t>Engagement</t>
        </is>
      </c>
      <c r="B57" s="6" t="inlineStr">
        <is>
          <t>Bin_02</t>
        </is>
      </c>
      <c r="C57" s="6">
        <f>COUNTIFS(Data!$F$2:$F$1729,$A57,Data!$D$2:$D$1729,$B57,Data!$L$2:$L$1729,"Yes",Data!$J$2:$J$1729,"&gt;=0")</f>
        <v/>
      </c>
      <c r="D57" s="7">
        <f>AVERAGEIFS(Data!$J$2:$J$1729,Data!$F$2:$F$1729,$A57,Data!$D$2:$D$1729,$B57,Data!$L$2:$L$1729,"Yes")</f>
        <v/>
      </c>
      <c r="E57" s="7">
        <f t="array" ref="E57">_xlfn.STDEV.S(IF((Data!$F$2:$F$1729=$A57)*(Data!$D$2:$D$1729=$B57)*(Data!$L$2:$L$1729="Yes"),Data!$J$2:$J$1729))</f>
        <v/>
      </c>
      <c r="F57" s="7">
        <f t="array" ref="F57">MEDIAN(IF((Data!$F$2:$F$1729=$A57)*(Data!$D$2:$D$1729=$B57)*(Data!$L$2:$L$1729="Yes"),Data!$J$2:$J$1729))</f>
        <v/>
      </c>
    </row>
    <row r="58">
      <c r="A58" s="6" t="inlineStr">
        <is>
          <t>Engagement</t>
        </is>
      </c>
      <c r="B58" s="6" t="inlineStr">
        <is>
          <t>Bin_03</t>
        </is>
      </c>
      <c r="C58" s="6">
        <f>COUNTIFS(Data!$F$2:$F$1729,$A58,Data!$D$2:$D$1729,$B58,Data!$L$2:$L$1729,"Yes",Data!$J$2:$J$1729,"&gt;=0")</f>
        <v/>
      </c>
      <c r="D58" s="7">
        <f>AVERAGEIFS(Data!$J$2:$J$1729,Data!$F$2:$F$1729,$A58,Data!$D$2:$D$1729,$B58,Data!$L$2:$L$1729,"Yes")</f>
        <v/>
      </c>
      <c r="E58" s="7">
        <f t="array" ref="E58">_xlfn.STDEV.S(IF((Data!$F$2:$F$1729=$A58)*(Data!$D$2:$D$1729=$B58)*(Data!$L$2:$L$1729="Yes"),Data!$J$2:$J$1729))</f>
        <v/>
      </c>
      <c r="F58" s="7">
        <f t="array" ref="F58">MEDIAN(IF((Data!$F$2:$F$1729=$A58)*(Data!$D$2:$D$1729=$B58)*(Data!$L$2:$L$1729="Yes"),Data!$J$2:$J$1729))</f>
        <v/>
      </c>
    </row>
    <row r="59">
      <c r="A59" s="6" t="inlineStr">
        <is>
          <t>Engagement</t>
        </is>
      </c>
      <c r="B59" s="6" t="inlineStr">
        <is>
          <t>Bin_04</t>
        </is>
      </c>
      <c r="C59" s="6">
        <f>COUNTIFS(Data!$F$2:$F$1729,$A59,Data!$D$2:$D$1729,$B59,Data!$L$2:$L$1729,"Yes",Data!$J$2:$J$1729,"&gt;=0")</f>
        <v/>
      </c>
      <c r="D59" s="7">
        <f>AVERAGEIFS(Data!$J$2:$J$1729,Data!$F$2:$F$1729,$A59,Data!$D$2:$D$1729,$B59,Data!$L$2:$L$1729,"Yes")</f>
        <v/>
      </c>
      <c r="E59" s="7">
        <f t="array" ref="E59">_xlfn.STDEV.S(IF((Data!$F$2:$F$1729=$A59)*(Data!$D$2:$D$1729=$B59)*(Data!$L$2:$L$1729="Yes"),Data!$J$2:$J$1729))</f>
        <v/>
      </c>
      <c r="F59" s="7">
        <f t="array" ref="F59">MEDIAN(IF((Data!$F$2:$F$1729=$A59)*(Data!$D$2:$D$1729=$B59)*(Data!$L$2:$L$1729="Yes"),Data!$J$2:$J$1729))</f>
        <v/>
      </c>
    </row>
    <row r="60">
      <c r="A60" s="6" t="inlineStr">
        <is>
          <t>Engagement</t>
        </is>
      </c>
      <c r="B60" s="6" t="inlineStr">
        <is>
          <t>Bin_05</t>
        </is>
      </c>
      <c r="C60" s="6">
        <f>COUNTIFS(Data!$F$2:$F$1729,$A60,Data!$D$2:$D$1729,$B60,Data!$L$2:$L$1729,"Yes",Data!$J$2:$J$1729,"&gt;=0")</f>
        <v/>
      </c>
      <c r="D60" s="7">
        <f>AVERAGEIFS(Data!$J$2:$J$1729,Data!$F$2:$F$1729,$A60,Data!$D$2:$D$1729,$B60,Data!$L$2:$L$1729,"Yes")</f>
        <v/>
      </c>
      <c r="E60" s="7">
        <f t="array" ref="E60">_xlfn.STDEV.S(IF((Data!$F$2:$F$1729=$A60)*(Data!$D$2:$D$1729=$B60)*(Data!$L$2:$L$1729="Yes"),Data!$J$2:$J$1729))</f>
        <v/>
      </c>
      <c r="F60" s="7">
        <f t="array" ref="F60">MEDIAN(IF((Data!$F$2:$F$1729=$A60)*(Data!$D$2:$D$1729=$B60)*(Data!$L$2:$L$1729="Yes"),Data!$J$2:$J$1729))</f>
        <v/>
      </c>
    </row>
    <row r="61">
      <c r="A61" s="6" t="inlineStr">
        <is>
          <t>Engagement</t>
        </is>
      </c>
      <c r="B61" s="6" t="inlineStr">
        <is>
          <t>Bin_06</t>
        </is>
      </c>
      <c r="C61" s="6">
        <f>COUNTIFS(Data!$F$2:$F$1729,$A61,Data!$D$2:$D$1729,$B61,Data!$L$2:$L$1729,"Yes",Data!$J$2:$J$1729,"&gt;=0")</f>
        <v/>
      </c>
      <c r="D61" s="7">
        <f>AVERAGEIFS(Data!$J$2:$J$1729,Data!$F$2:$F$1729,$A61,Data!$D$2:$D$1729,$B61,Data!$L$2:$L$1729,"Yes")</f>
        <v/>
      </c>
      <c r="E61" s="7">
        <f t="array" ref="E61">_xlfn.STDEV.S(IF((Data!$F$2:$F$1729=$A61)*(Data!$D$2:$D$1729=$B61)*(Data!$L$2:$L$1729="Yes"),Data!$J$2:$J$1729))</f>
        <v/>
      </c>
      <c r="F61" s="7">
        <f t="array" ref="F61">MEDIAN(IF((Data!$F$2:$F$1729=$A61)*(Data!$D$2:$D$1729=$B61)*(Data!$L$2:$L$1729="Yes"),Data!$J$2:$J$1729))</f>
        <v/>
      </c>
    </row>
    <row r="62"/>
    <row r="63">
      <c r="A63" s="5" t="inlineStr">
        <is>
          <t>Array formulas (SD and Median columns): Excel 365 evaluates them with Enter; Excel 2019 or older needs Ctrl+Shift+Enter after editing.</t>
        </is>
      </c>
    </row>
    <row r="66">
      <c r="A66" s="8" t="inlineStr">
        <is>
          <t>Chart table: mean Joy Percent of time present by interval</t>
        </is>
      </c>
    </row>
    <row r="67">
      <c r="A67" t="inlineStr">
        <is>
          <t>Interval</t>
        </is>
      </c>
      <c r="B67" t="inlineStr">
        <is>
          <t>Mean Joy (%)</t>
        </is>
      </c>
    </row>
    <row r="68">
      <c r="A68" t="inlineStr">
        <is>
          <t>Baseline</t>
        </is>
      </c>
      <c r="B68" s="9">
        <f>D5</f>
        <v/>
      </c>
    </row>
    <row r="69">
      <c r="A69" t="inlineStr">
        <is>
          <t>Commercial</t>
        </is>
      </c>
      <c r="B69" s="9">
        <f>D6</f>
        <v/>
      </c>
    </row>
    <row r="70">
      <c r="A70" t="inlineStr">
        <is>
          <t>Recovery</t>
        </is>
      </c>
      <c r="B70" s="9">
        <f>D7</f>
        <v/>
      </c>
    </row>
    <row r="71">
      <c r="A71" t="inlineStr">
        <is>
          <t>Bin_01</t>
        </is>
      </c>
      <c r="B71" s="9">
        <f>D8</f>
        <v/>
      </c>
    </row>
    <row r="72">
      <c r="A72" t="inlineStr">
        <is>
          <t>Bin_02</t>
        </is>
      </c>
      <c r="B72" s="9">
        <f>D9</f>
        <v/>
      </c>
    </row>
    <row r="73">
      <c r="A73" t="inlineStr">
        <is>
          <t>Bin_03</t>
        </is>
      </c>
      <c r="B73" s="9">
        <f>D10</f>
        <v/>
      </c>
    </row>
    <row r="74">
      <c r="A74" t="inlineStr">
        <is>
          <t>Bin_04</t>
        </is>
      </c>
      <c r="B74" s="9">
        <f>D11</f>
        <v/>
      </c>
    </row>
    <row r="75">
      <c r="A75" t="inlineStr">
        <is>
          <t>Bin_05</t>
        </is>
      </c>
      <c r="B75" s="9">
        <f>D12</f>
        <v/>
      </c>
    </row>
    <row r="76">
      <c r="A76" t="inlineStr">
        <is>
          <t>Bin_06</t>
        </is>
      </c>
      <c r="B76" s="9">
        <f>D13</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cols>
    <col width="17" customWidth="1" min="1" max="1"/>
    <col width="12" customWidth="1" min="2" max="2"/>
    <col width="14" customWidth="1" min="3" max="3"/>
    <col width="16" customWidth="1" min="4" max="4"/>
    <col width="22" customWidth="1" min="5" max="5"/>
    <col width="14" customWidth="1" min="6" max="6"/>
    <col width="20" customWidth="1" min="7" max="7"/>
    <col width="12" customWidth="1" min="8" max="8"/>
    <col width="12" customWidth="1" min="9" max="9"/>
    <col width="3" customWidth="1" min="10" max="10"/>
    <col width="62" customWidth="1" min="11" max="11"/>
    <col width="12" customWidth="1" min="12" max="12"/>
    <col width="76" customWidth="1" min="13" max="13"/>
    <col width="60" customWidth="1" min="14" max="14"/>
  </cols>
  <sheetData>
    <row r="1">
      <c r="A1" s="4" t="inlineStr">
        <is>
          <t>H1. Joy Percent of time present, Commercial versus Baseline, kept respondents. SIMULATED data.</t>
        </is>
      </c>
    </row>
    <row r="2">
      <c r="A2" s="5" t="inlineStr">
        <is>
          <t>One row per kept respondent. Columns C and D pull the two values from the Data sheet with SUMIFS (each respondent has exactly one Joy row per interval). Difference is Commercial minus Baseline, rounded to 2 decimals so tied differences tie.</t>
        </is>
      </c>
    </row>
    <row r="4" ht="48" customHeight="1">
      <c r="A4" s="2" t="inlineStr">
        <is>
          <t>Respondent Name</t>
        </is>
      </c>
      <c r="B4" s="2" t="inlineStr">
        <is>
          <t>Data quality (%)</t>
        </is>
      </c>
      <c r="C4" s="2" t="inlineStr">
        <is>
          <t>Baseline Joy (%)</t>
        </is>
      </c>
      <c r="D4" s="2" t="inlineStr">
        <is>
          <t>Commercial Joy (%)</t>
        </is>
      </c>
      <c r="E4" s="2" t="inlineStr">
        <is>
          <t>Difference (Commercial minus Baseline)</t>
        </is>
      </c>
      <c r="F4" s="2" t="inlineStr">
        <is>
          <t>Absolute difference</t>
        </is>
      </c>
      <c r="G4" s="2" t="inlineStr">
        <is>
          <t>Rank of absolute difference (zeros left out)</t>
        </is>
      </c>
      <c r="H4" s="2" t="inlineStr">
        <is>
          <t>Sign of difference</t>
        </is>
      </c>
      <c r="I4" s="2" t="inlineStr">
        <is>
          <t>Tie term (c^2 - 1)</t>
        </is>
      </c>
      <c r="K4" s="10" t="inlineStr">
        <is>
          <t>Statistic</t>
        </is>
      </c>
      <c r="L4" s="10" t="inlineStr">
        <is>
          <t>Value</t>
        </is>
      </c>
      <c r="M4" s="10" t="inlineStr">
        <is>
          <t>Formula shown</t>
        </is>
      </c>
      <c r="N4" s="10" t="inlineStr">
        <is>
          <t>Note</t>
        </is>
      </c>
    </row>
    <row r="5">
      <c r="A5" s="6" t="inlineStr">
        <is>
          <t>V01</t>
        </is>
      </c>
      <c r="B5" s="6">
        <f>INDEX(Data!$K$2:$K$1729,MATCH($A5,Data!$B$2:$B$1729,0))</f>
        <v/>
      </c>
      <c r="C5" s="7">
        <f>SUMIFS(Data!$H$2:$H$1729,Data!$B$2:$B$1729,$A5,Data!$F$2:$F$1729,"Joy",Data!$D$2:$D$1729,"Baseline")</f>
        <v/>
      </c>
      <c r="D5" s="7">
        <f>SUMIFS(Data!$H$2:$H$1729,Data!$B$2:$B$1729,$A5,Data!$F$2:$F$1729,"Joy",Data!$D$2:$D$1729,"Commercial")</f>
        <v/>
      </c>
      <c r="E5" s="7">
        <f>ROUND(D5-C5,2)</f>
        <v/>
      </c>
      <c r="F5" s="7">
        <f>ABS(E5)</f>
        <v/>
      </c>
      <c r="G5" s="6">
        <f>IF(E5=0,"",_xlfn.RANK.AVG(F5,$F$5:$F$34,1)-COUNTIF($E$5:$E$34,0))</f>
        <v/>
      </c>
      <c r="H5" s="6">
        <f>SIGN(E5)</f>
        <v/>
      </c>
      <c r="I5" s="6">
        <f>IF(E5=0,0,COUNTIF($F$5:$F$34,F5)^2-1)</f>
        <v/>
      </c>
      <c r="K5" s="11" t="inlineStr">
        <is>
          <t>Paired t test and d_z: Joy Percent of time present</t>
        </is>
      </c>
    </row>
    <row r="6">
      <c r="A6" s="6" t="inlineStr">
        <is>
          <t>V02</t>
        </is>
      </c>
      <c r="B6" s="6">
        <f>INDEX(Data!$K$2:$K$1729,MATCH($A6,Data!$B$2:$B$1729,0))</f>
        <v/>
      </c>
      <c r="C6" s="7">
        <f>SUMIFS(Data!$H$2:$H$1729,Data!$B$2:$B$1729,$A6,Data!$F$2:$F$1729,"Joy",Data!$D$2:$D$1729,"Baseline")</f>
        <v/>
      </c>
      <c r="D6" s="7">
        <f>SUMIFS(Data!$H$2:$H$1729,Data!$B$2:$B$1729,$A6,Data!$F$2:$F$1729,"Joy",Data!$D$2:$D$1729,"Commercial")</f>
        <v/>
      </c>
      <c r="E6" s="7">
        <f>ROUND(D6-C6,2)</f>
        <v/>
      </c>
      <c r="F6" s="7">
        <f>ABS(E6)</f>
        <v/>
      </c>
      <c r="G6" s="6">
        <f>IF(E6=0,"",_xlfn.RANK.AVG(F6,$F$5:$F$34,1)-COUNTIF($E$5:$E$34,0))</f>
        <v/>
      </c>
      <c r="H6" s="6">
        <f>SIGN(E6)</f>
        <v/>
      </c>
      <c r="I6" s="6">
        <f>IF(E6=0,0,COUNTIF($F$5:$F$34,F6)^2-1)</f>
        <v/>
      </c>
      <c r="K6" t="inlineStr">
        <is>
          <t>Baseline mean (%)</t>
        </is>
      </c>
      <c r="L6" s="12">
        <f>AVERAGE(C5:C34)</f>
        <v/>
      </c>
      <c r="M6" s="13" t="inlineStr">
        <is>
          <t>=AVERAGE(C5:C34)</t>
        </is>
      </c>
      <c r="N6" s="5" t="inlineStr">
        <is>
          <t>AVERAGE of the Baseline column</t>
        </is>
      </c>
    </row>
    <row r="7">
      <c r="A7" s="6" t="inlineStr">
        <is>
          <t>V03</t>
        </is>
      </c>
      <c r="B7" s="6">
        <f>INDEX(Data!$K$2:$K$1729,MATCH($A7,Data!$B$2:$B$1729,0))</f>
        <v/>
      </c>
      <c r="C7" s="7">
        <f>SUMIFS(Data!$H$2:$H$1729,Data!$B$2:$B$1729,$A7,Data!$F$2:$F$1729,"Joy",Data!$D$2:$D$1729,"Baseline")</f>
        <v/>
      </c>
      <c r="D7" s="7">
        <f>SUMIFS(Data!$H$2:$H$1729,Data!$B$2:$B$1729,$A7,Data!$F$2:$F$1729,"Joy",Data!$D$2:$D$1729,"Commercial")</f>
        <v/>
      </c>
      <c r="E7" s="7">
        <f>ROUND(D7-C7,2)</f>
        <v/>
      </c>
      <c r="F7" s="7">
        <f>ABS(E7)</f>
        <v/>
      </c>
      <c r="G7" s="6">
        <f>IF(E7=0,"",_xlfn.RANK.AVG(F7,$F$5:$F$34,1)-COUNTIF($E$5:$E$34,0))</f>
        <v/>
      </c>
      <c r="H7" s="6">
        <f>SIGN(E7)</f>
        <v/>
      </c>
      <c r="I7" s="6">
        <f>IF(E7=0,0,COUNTIF($F$5:$F$34,F7)^2-1)</f>
        <v/>
      </c>
      <c r="K7" t="inlineStr">
        <is>
          <t>Baseline SD (%)</t>
        </is>
      </c>
      <c r="L7" s="12">
        <f>_xlfn.STDEV.S(C5:C34)</f>
        <v/>
      </c>
      <c r="M7" s="13" t="inlineStr">
        <is>
          <t>=STDEV.S(C5:C34)</t>
        </is>
      </c>
      <c r="N7" s="5" t="inlineStr">
        <is>
          <t>STDEV.S = sample standard deviation</t>
        </is>
      </c>
    </row>
    <row r="8">
      <c r="A8" s="6" t="inlineStr">
        <is>
          <t>V04</t>
        </is>
      </c>
      <c r="B8" s="6">
        <f>INDEX(Data!$K$2:$K$1729,MATCH($A8,Data!$B$2:$B$1729,0))</f>
        <v/>
      </c>
      <c r="C8" s="7">
        <f>SUMIFS(Data!$H$2:$H$1729,Data!$B$2:$B$1729,$A8,Data!$F$2:$F$1729,"Joy",Data!$D$2:$D$1729,"Baseline")</f>
        <v/>
      </c>
      <c r="D8" s="7">
        <f>SUMIFS(Data!$H$2:$H$1729,Data!$B$2:$B$1729,$A8,Data!$F$2:$F$1729,"Joy",Data!$D$2:$D$1729,"Commercial")</f>
        <v/>
      </c>
      <c r="E8" s="7">
        <f>ROUND(D8-C8,2)</f>
        <v/>
      </c>
      <c r="F8" s="7">
        <f>ABS(E8)</f>
        <v/>
      </c>
      <c r="G8" s="6">
        <f>IF(E8=0,"",_xlfn.RANK.AVG(F8,$F$5:$F$34,1)-COUNTIF($E$5:$E$34,0))</f>
        <v/>
      </c>
      <c r="H8" s="6">
        <f>SIGN(E8)</f>
        <v/>
      </c>
      <c r="I8" s="6">
        <f>IF(E8=0,0,COUNTIF($F$5:$F$34,F8)^2-1)</f>
        <v/>
      </c>
      <c r="K8" t="inlineStr">
        <is>
          <t>Commercial mean (%)</t>
        </is>
      </c>
      <c r="L8" s="12">
        <f>AVERAGE(D5:D34)</f>
        <v/>
      </c>
      <c r="M8" s="13" t="inlineStr">
        <is>
          <t>=AVERAGE(D5:D34)</t>
        </is>
      </c>
    </row>
    <row r="9">
      <c r="A9" s="6" t="inlineStr">
        <is>
          <t>V05</t>
        </is>
      </c>
      <c r="B9" s="6">
        <f>INDEX(Data!$K$2:$K$1729,MATCH($A9,Data!$B$2:$B$1729,0))</f>
        <v/>
      </c>
      <c r="C9" s="7">
        <f>SUMIFS(Data!$H$2:$H$1729,Data!$B$2:$B$1729,$A9,Data!$F$2:$F$1729,"Joy",Data!$D$2:$D$1729,"Baseline")</f>
        <v/>
      </c>
      <c r="D9" s="7">
        <f>SUMIFS(Data!$H$2:$H$1729,Data!$B$2:$B$1729,$A9,Data!$F$2:$F$1729,"Joy",Data!$D$2:$D$1729,"Commercial")</f>
        <v/>
      </c>
      <c r="E9" s="7">
        <f>ROUND(D9-C9,2)</f>
        <v/>
      </c>
      <c r="F9" s="7">
        <f>ABS(E9)</f>
        <v/>
      </c>
      <c r="G9" s="6">
        <f>IF(E9=0,"",_xlfn.RANK.AVG(F9,$F$5:$F$34,1)-COUNTIF($E$5:$E$34,0))</f>
        <v/>
      </c>
      <c r="H9" s="6">
        <f>SIGN(E9)</f>
        <v/>
      </c>
      <c r="I9" s="6">
        <f>IF(E9=0,0,COUNTIF($F$5:$F$34,F9)^2-1)</f>
        <v/>
      </c>
      <c r="K9" t="inlineStr">
        <is>
          <t>Commercial SD (%)</t>
        </is>
      </c>
      <c r="L9" s="12">
        <f>_xlfn.STDEV.S(D5:D34)</f>
        <v/>
      </c>
      <c r="M9" s="13" t="inlineStr">
        <is>
          <t>=STDEV.S(D5:D34)</t>
        </is>
      </c>
    </row>
    <row r="10">
      <c r="A10" s="6" t="inlineStr">
        <is>
          <t>V06</t>
        </is>
      </c>
      <c r="B10" s="6">
        <f>INDEX(Data!$K$2:$K$1729,MATCH($A10,Data!$B$2:$B$1729,0))</f>
        <v/>
      </c>
      <c r="C10" s="7">
        <f>SUMIFS(Data!$H$2:$H$1729,Data!$B$2:$B$1729,$A10,Data!$F$2:$F$1729,"Joy",Data!$D$2:$D$1729,"Baseline")</f>
        <v/>
      </c>
      <c r="D10" s="7">
        <f>SUMIFS(Data!$H$2:$H$1729,Data!$B$2:$B$1729,$A10,Data!$F$2:$F$1729,"Joy",Data!$D$2:$D$1729,"Commercial")</f>
        <v/>
      </c>
      <c r="E10" s="7">
        <f>ROUND(D10-C10,2)</f>
        <v/>
      </c>
      <c r="F10" s="7">
        <f>ABS(E10)</f>
        <v/>
      </c>
      <c r="G10" s="6">
        <f>IF(E10=0,"",_xlfn.RANK.AVG(F10,$F$5:$F$34,1)-COUNTIF($E$5:$E$34,0))</f>
        <v/>
      </c>
      <c r="H10" s="6">
        <f>SIGN(E10)</f>
        <v/>
      </c>
      <c r="I10" s="6">
        <f>IF(E10=0,0,COUNTIF($F$5:$F$34,F10)^2-1)</f>
        <v/>
      </c>
      <c r="K10" t="inlineStr">
        <is>
          <t>n pairs</t>
        </is>
      </c>
      <c r="L10" s="14">
        <f>COUNT(E5:E34)</f>
        <v/>
      </c>
      <c r="M10" s="13" t="inlineStr">
        <is>
          <t>=COUNT(E5:E34)</t>
        </is>
      </c>
      <c r="N10" s="5" t="inlineStr">
        <is>
          <t>COUNT of the difference column; must equal the check row below</t>
        </is>
      </c>
    </row>
    <row r="11">
      <c r="A11" s="6" t="inlineStr">
        <is>
          <t>V08</t>
        </is>
      </c>
      <c r="B11" s="6">
        <f>INDEX(Data!$K$2:$K$1729,MATCH($A11,Data!$B$2:$B$1729,0))</f>
        <v/>
      </c>
      <c r="C11" s="7">
        <f>SUMIFS(Data!$H$2:$H$1729,Data!$B$2:$B$1729,$A11,Data!$F$2:$F$1729,"Joy",Data!$D$2:$D$1729,"Baseline")</f>
        <v/>
      </c>
      <c r="D11" s="7">
        <f>SUMIFS(Data!$H$2:$H$1729,Data!$B$2:$B$1729,$A11,Data!$F$2:$F$1729,"Joy",Data!$D$2:$D$1729,"Commercial")</f>
        <v/>
      </c>
      <c r="E11" s="7">
        <f>ROUND(D11-C11,2)</f>
        <v/>
      </c>
      <c r="F11" s="7">
        <f>ABS(E11)</f>
        <v/>
      </c>
      <c r="G11" s="6">
        <f>IF(E11=0,"",_xlfn.RANK.AVG(F11,$F$5:$F$34,1)-COUNTIF($E$5:$E$34,0))</f>
        <v/>
      </c>
      <c r="H11" s="6">
        <f>SIGN(E11)</f>
        <v/>
      </c>
      <c r="I11" s="6">
        <f>IF(E11=0,0,COUNTIF($F$5:$F$34,F11)^2-1)</f>
        <v/>
      </c>
      <c r="K11" t="inlineStr">
        <is>
          <t>Mean difference, Commercial minus Baseline (%)</t>
        </is>
      </c>
      <c r="L11" s="12">
        <f>AVERAGE(E5:E34)</f>
        <v/>
      </c>
      <c r="M11" s="13" t="inlineStr">
        <is>
          <t>=AVERAGE(E5:E34)</t>
        </is>
      </c>
    </row>
    <row r="12">
      <c r="A12" s="6" t="inlineStr">
        <is>
          <t>V09</t>
        </is>
      </c>
      <c r="B12" s="6">
        <f>INDEX(Data!$K$2:$K$1729,MATCH($A12,Data!$B$2:$B$1729,0))</f>
        <v/>
      </c>
      <c r="C12" s="7">
        <f>SUMIFS(Data!$H$2:$H$1729,Data!$B$2:$B$1729,$A12,Data!$F$2:$F$1729,"Joy",Data!$D$2:$D$1729,"Baseline")</f>
        <v/>
      </c>
      <c r="D12" s="7">
        <f>SUMIFS(Data!$H$2:$H$1729,Data!$B$2:$B$1729,$A12,Data!$F$2:$F$1729,"Joy",Data!$D$2:$D$1729,"Commercial")</f>
        <v/>
      </c>
      <c r="E12" s="7">
        <f>ROUND(D12-C12,2)</f>
        <v/>
      </c>
      <c r="F12" s="7">
        <f>ABS(E12)</f>
        <v/>
      </c>
      <c r="G12" s="6">
        <f>IF(E12=0,"",_xlfn.RANK.AVG(F12,$F$5:$F$34,1)-COUNTIF($E$5:$E$34,0))</f>
        <v/>
      </c>
      <c r="H12" s="6">
        <f>SIGN(E12)</f>
        <v/>
      </c>
      <c r="I12" s="6">
        <f>IF(E12=0,0,COUNTIF($F$5:$F$34,F12)^2-1)</f>
        <v/>
      </c>
      <c r="K12" t="inlineStr">
        <is>
          <t>SD of the differences (%)</t>
        </is>
      </c>
      <c r="L12" s="12">
        <f>_xlfn.STDEV.S(E5:E34)</f>
        <v/>
      </c>
      <c r="M12" s="13" t="inlineStr">
        <is>
          <t>=STDEV.S(E5:E34)</t>
        </is>
      </c>
      <c r="N12" s="5" t="inlineStr">
        <is>
          <t>the SD that matters in a paired test</t>
        </is>
      </c>
    </row>
    <row r="13">
      <c r="A13" s="6" t="inlineStr">
        <is>
          <t>V10</t>
        </is>
      </c>
      <c r="B13" s="6">
        <f>INDEX(Data!$K$2:$K$1729,MATCH($A13,Data!$B$2:$B$1729,0))</f>
        <v/>
      </c>
      <c r="C13" s="7">
        <f>SUMIFS(Data!$H$2:$H$1729,Data!$B$2:$B$1729,$A13,Data!$F$2:$F$1729,"Joy",Data!$D$2:$D$1729,"Baseline")</f>
        <v/>
      </c>
      <c r="D13" s="7">
        <f>SUMIFS(Data!$H$2:$H$1729,Data!$B$2:$B$1729,$A13,Data!$F$2:$F$1729,"Joy",Data!$D$2:$D$1729,"Commercial")</f>
        <v/>
      </c>
      <c r="E13" s="7">
        <f>ROUND(D13-C13,2)</f>
        <v/>
      </c>
      <c r="F13" s="7">
        <f>ABS(E13)</f>
        <v/>
      </c>
      <c r="G13" s="6">
        <f>IF(E13=0,"",_xlfn.RANK.AVG(F13,$F$5:$F$34,1)-COUNTIF($E$5:$E$34,0))</f>
        <v/>
      </c>
      <c r="H13" s="6">
        <f>SIGN(E13)</f>
        <v/>
      </c>
      <c r="I13" s="6">
        <f>IF(E13=0,0,COUNTIF($F$5:$F$34,F13)^2-1)</f>
        <v/>
      </c>
      <c r="K13" t="inlineStr">
        <is>
          <t>SE of the mean difference</t>
        </is>
      </c>
      <c r="L13" s="12">
        <f>L12/SQRT(L10)</f>
        <v/>
      </c>
      <c r="M13" s="13" t="inlineStr">
        <is>
          <t>=L12/SQRT(L10)</t>
        </is>
      </c>
      <c r="N13" s="5" t="inlineStr">
        <is>
          <t>SD of differences / sqrt(n)</t>
        </is>
      </c>
    </row>
    <row r="14">
      <c r="A14" s="6" t="inlineStr">
        <is>
          <t>V11</t>
        </is>
      </c>
      <c r="B14" s="6">
        <f>INDEX(Data!$K$2:$K$1729,MATCH($A14,Data!$B$2:$B$1729,0))</f>
        <v/>
      </c>
      <c r="C14" s="7">
        <f>SUMIFS(Data!$H$2:$H$1729,Data!$B$2:$B$1729,$A14,Data!$F$2:$F$1729,"Joy",Data!$D$2:$D$1729,"Baseline")</f>
        <v/>
      </c>
      <c r="D14" s="7">
        <f>SUMIFS(Data!$H$2:$H$1729,Data!$B$2:$B$1729,$A14,Data!$F$2:$F$1729,"Joy",Data!$D$2:$D$1729,"Commercial")</f>
        <v/>
      </c>
      <c r="E14" s="7">
        <f>ROUND(D14-C14,2)</f>
        <v/>
      </c>
      <c r="F14" s="7">
        <f>ABS(E14)</f>
        <v/>
      </c>
      <c r="G14" s="6">
        <f>IF(E14=0,"",_xlfn.RANK.AVG(F14,$F$5:$F$34,1)-COUNTIF($E$5:$E$34,0))</f>
        <v/>
      </c>
      <c r="H14" s="6">
        <f>SIGN(E14)</f>
        <v/>
      </c>
      <c r="I14" s="6">
        <f>IF(E14=0,0,COUNTIF($F$5:$F$34,F14)^2-1)</f>
        <v/>
      </c>
      <c r="K14" t="inlineStr">
        <is>
          <t>Paired t</t>
        </is>
      </c>
      <c r="L14" s="12">
        <f>L11/L13</f>
        <v/>
      </c>
      <c r="M14" s="13" t="inlineStr">
        <is>
          <t>=L11/L13</t>
        </is>
      </c>
      <c r="N14" s="5" t="inlineStr">
        <is>
          <t>t = mean difference / SE</t>
        </is>
      </c>
    </row>
    <row r="15">
      <c r="A15" s="6" t="inlineStr">
        <is>
          <t>V12</t>
        </is>
      </c>
      <c r="B15" s="6">
        <f>INDEX(Data!$K$2:$K$1729,MATCH($A15,Data!$B$2:$B$1729,0))</f>
        <v/>
      </c>
      <c r="C15" s="7">
        <f>SUMIFS(Data!$H$2:$H$1729,Data!$B$2:$B$1729,$A15,Data!$F$2:$F$1729,"Joy",Data!$D$2:$D$1729,"Baseline")</f>
        <v/>
      </c>
      <c r="D15" s="7">
        <f>SUMIFS(Data!$H$2:$H$1729,Data!$B$2:$B$1729,$A15,Data!$F$2:$F$1729,"Joy",Data!$D$2:$D$1729,"Commercial")</f>
        <v/>
      </c>
      <c r="E15" s="7">
        <f>ROUND(D15-C15,2)</f>
        <v/>
      </c>
      <c r="F15" s="7">
        <f>ABS(E15)</f>
        <v/>
      </c>
      <c r="G15" s="6">
        <f>IF(E15=0,"",_xlfn.RANK.AVG(F15,$F$5:$F$34,1)-COUNTIF($E$5:$E$34,0))</f>
        <v/>
      </c>
      <c r="H15" s="6">
        <f>SIGN(E15)</f>
        <v/>
      </c>
      <c r="I15" s="6">
        <f>IF(E15=0,0,COUNTIF($F$5:$F$34,F15)^2-1)</f>
        <v/>
      </c>
      <c r="K15" t="inlineStr">
        <is>
          <t>df</t>
        </is>
      </c>
      <c r="L15" s="14">
        <f>L10-1</f>
        <v/>
      </c>
      <c r="M15" s="13" t="inlineStr">
        <is>
          <t>=L10-1</t>
        </is>
      </c>
      <c r="N15" s="5" t="inlineStr">
        <is>
          <t>n pairs minus 1</t>
        </is>
      </c>
    </row>
    <row r="16">
      <c r="A16" s="6" t="inlineStr">
        <is>
          <t>V13</t>
        </is>
      </c>
      <c r="B16" s="6">
        <f>INDEX(Data!$K$2:$K$1729,MATCH($A16,Data!$B$2:$B$1729,0))</f>
        <v/>
      </c>
      <c r="C16" s="7">
        <f>SUMIFS(Data!$H$2:$H$1729,Data!$B$2:$B$1729,$A16,Data!$F$2:$F$1729,"Joy",Data!$D$2:$D$1729,"Baseline")</f>
        <v/>
      </c>
      <c r="D16" s="7">
        <f>SUMIFS(Data!$H$2:$H$1729,Data!$B$2:$B$1729,$A16,Data!$F$2:$F$1729,"Joy",Data!$D$2:$D$1729,"Commercial")</f>
        <v/>
      </c>
      <c r="E16" s="7">
        <f>ROUND(D16-C16,2)</f>
        <v/>
      </c>
      <c r="F16" s="7">
        <f>ABS(E16)</f>
        <v/>
      </c>
      <c r="G16" s="6">
        <f>IF(E16=0,"",_xlfn.RANK.AVG(F16,$F$5:$F$34,1)-COUNTIF($E$5:$E$34,0))</f>
        <v/>
      </c>
      <c r="H16" s="6">
        <f>SIGN(E16)</f>
        <v/>
      </c>
      <c r="I16" s="6">
        <f>IF(E16=0,0,COUNTIF($F$5:$F$34,F16)^2-1)</f>
        <v/>
      </c>
      <c r="K16" t="inlineStr">
        <is>
          <t>p, two tailed (T.TEST type 1)</t>
        </is>
      </c>
      <c r="L16" s="15">
        <f>_xlfn.T.TEST(C5:C34,D5:D34,2,1)</f>
        <v/>
      </c>
      <c r="M16" s="13" t="inlineStr">
        <is>
          <t>=T.TEST(C5:C34,D5:D34,2,1)</t>
        </is>
      </c>
      <c r="N16" s="5" t="inlineStr">
        <is>
          <t>tails = 2, type = 1 means paired</t>
        </is>
      </c>
    </row>
    <row r="17">
      <c r="A17" s="6" t="inlineStr">
        <is>
          <t>V14</t>
        </is>
      </c>
      <c r="B17" s="6">
        <f>INDEX(Data!$K$2:$K$1729,MATCH($A17,Data!$B$2:$B$1729,0))</f>
        <v/>
      </c>
      <c r="C17" s="7">
        <f>SUMIFS(Data!$H$2:$H$1729,Data!$B$2:$B$1729,$A17,Data!$F$2:$F$1729,"Joy",Data!$D$2:$D$1729,"Baseline")</f>
        <v/>
      </c>
      <c r="D17" s="7">
        <f>SUMIFS(Data!$H$2:$H$1729,Data!$B$2:$B$1729,$A17,Data!$F$2:$F$1729,"Joy",Data!$D$2:$D$1729,"Commercial")</f>
        <v/>
      </c>
      <c r="E17" s="7">
        <f>ROUND(D17-C17,2)</f>
        <v/>
      </c>
      <c r="F17" s="7">
        <f>ABS(E17)</f>
        <v/>
      </c>
      <c r="G17" s="6">
        <f>IF(E17=0,"",_xlfn.RANK.AVG(F17,$F$5:$F$34,1)-COUNTIF($E$5:$E$34,0))</f>
        <v/>
      </c>
      <c r="H17" s="6">
        <f>SIGN(E17)</f>
        <v/>
      </c>
      <c r="I17" s="6">
        <f>IF(E17=0,0,COUNTIF($F$5:$F$34,F17)^2-1)</f>
        <v/>
      </c>
      <c r="K17" t="inlineStr">
        <is>
          <t>p from the hand computed t</t>
        </is>
      </c>
      <c r="L17" s="15">
        <f>_xlfn.T.DIST.2T(ABS(L14),L15)</f>
        <v/>
      </c>
      <c r="M17" s="13" t="inlineStr">
        <is>
          <t>=T.DIST.2T(ABS(L14),L15)</t>
        </is>
      </c>
      <c r="N17" s="5" t="inlineStr">
        <is>
          <t>should match the T.TEST cell</t>
        </is>
      </c>
    </row>
    <row r="18">
      <c r="A18" s="6" t="inlineStr">
        <is>
          <t>V15</t>
        </is>
      </c>
      <c r="B18" s="6">
        <f>INDEX(Data!$K$2:$K$1729,MATCH($A18,Data!$B$2:$B$1729,0))</f>
        <v/>
      </c>
      <c r="C18" s="7">
        <f>SUMIFS(Data!$H$2:$H$1729,Data!$B$2:$B$1729,$A18,Data!$F$2:$F$1729,"Joy",Data!$D$2:$D$1729,"Baseline")</f>
        <v/>
      </c>
      <c r="D18" s="7">
        <f>SUMIFS(Data!$H$2:$H$1729,Data!$B$2:$B$1729,$A18,Data!$F$2:$F$1729,"Joy",Data!$D$2:$D$1729,"Commercial")</f>
        <v/>
      </c>
      <c r="E18" s="7">
        <f>ROUND(D18-C18,2)</f>
        <v/>
      </c>
      <c r="F18" s="7">
        <f>ABS(E18)</f>
        <v/>
      </c>
      <c r="G18" s="6">
        <f>IF(E18=0,"",_xlfn.RANK.AVG(F18,$F$5:$F$34,1)-COUNTIF($E$5:$E$34,0))</f>
        <v/>
      </c>
      <c r="H18" s="6">
        <f>SIGN(E18)</f>
        <v/>
      </c>
      <c r="I18" s="6">
        <f>IF(E18=0,0,COUNTIF($F$5:$F$34,F18)^2-1)</f>
        <v/>
      </c>
      <c r="K18" t="inlineStr">
        <is>
          <t>Critical t (95%)</t>
        </is>
      </c>
      <c r="L18" s="12">
        <f>_xlfn.T.INV.2T(0.05,L15)</f>
        <v/>
      </c>
      <c r="M18" s="13" t="inlineStr">
        <is>
          <t>=T.INV.2T(0.05,L15)</t>
        </is>
      </c>
      <c r="N18" s="5" t="inlineStr">
        <is>
          <t>two tailed, alpha = .05</t>
        </is>
      </c>
    </row>
    <row r="19">
      <c r="A19" s="6" t="inlineStr">
        <is>
          <t>V16</t>
        </is>
      </c>
      <c r="B19" s="6">
        <f>INDEX(Data!$K$2:$K$1729,MATCH($A19,Data!$B$2:$B$1729,0))</f>
        <v/>
      </c>
      <c r="C19" s="7">
        <f>SUMIFS(Data!$H$2:$H$1729,Data!$B$2:$B$1729,$A19,Data!$F$2:$F$1729,"Joy",Data!$D$2:$D$1729,"Baseline")</f>
        <v/>
      </c>
      <c r="D19" s="7">
        <f>SUMIFS(Data!$H$2:$H$1729,Data!$B$2:$B$1729,$A19,Data!$F$2:$F$1729,"Joy",Data!$D$2:$D$1729,"Commercial")</f>
        <v/>
      </c>
      <c r="E19" s="7">
        <f>ROUND(D19-C19,2)</f>
        <v/>
      </c>
      <c r="F19" s="7">
        <f>ABS(E19)</f>
        <v/>
      </c>
      <c r="G19" s="6">
        <f>IF(E19=0,"",_xlfn.RANK.AVG(F19,$F$5:$F$34,1)-COUNTIF($E$5:$E$34,0))</f>
        <v/>
      </c>
      <c r="H19" s="6">
        <f>SIGN(E19)</f>
        <v/>
      </c>
      <c r="I19" s="6">
        <f>IF(E19=0,0,COUNTIF($F$5:$F$34,F19)^2-1)</f>
        <v/>
      </c>
      <c r="K19" t="inlineStr">
        <is>
          <t>Mean difference 95% CI lower</t>
        </is>
      </c>
      <c r="L19" s="12">
        <f>L11-L18*L13</f>
        <v/>
      </c>
      <c r="M19" s="13" t="inlineStr">
        <is>
          <t>=L11-L18*L13</t>
        </is>
      </c>
    </row>
    <row r="20">
      <c r="A20" s="6" t="inlineStr">
        <is>
          <t>V17</t>
        </is>
      </c>
      <c r="B20" s="6">
        <f>INDEX(Data!$K$2:$K$1729,MATCH($A20,Data!$B$2:$B$1729,0))</f>
        <v/>
      </c>
      <c r="C20" s="7">
        <f>SUMIFS(Data!$H$2:$H$1729,Data!$B$2:$B$1729,$A20,Data!$F$2:$F$1729,"Joy",Data!$D$2:$D$1729,"Baseline")</f>
        <v/>
      </c>
      <c r="D20" s="7">
        <f>SUMIFS(Data!$H$2:$H$1729,Data!$B$2:$B$1729,$A20,Data!$F$2:$F$1729,"Joy",Data!$D$2:$D$1729,"Commercial")</f>
        <v/>
      </c>
      <c r="E20" s="7">
        <f>ROUND(D20-C20,2)</f>
        <v/>
      </c>
      <c r="F20" s="7">
        <f>ABS(E20)</f>
        <v/>
      </c>
      <c r="G20" s="6">
        <f>IF(E20=0,"",_xlfn.RANK.AVG(F20,$F$5:$F$34,1)-COUNTIF($E$5:$E$34,0))</f>
        <v/>
      </c>
      <c r="H20" s="6">
        <f>SIGN(E20)</f>
        <v/>
      </c>
      <c r="I20" s="6">
        <f>IF(E20=0,0,COUNTIF($F$5:$F$34,F20)^2-1)</f>
        <v/>
      </c>
      <c r="K20" t="inlineStr">
        <is>
          <t>Mean difference 95% CI upper</t>
        </is>
      </c>
      <c r="L20" s="12">
        <f>L11+L18*L13</f>
        <v/>
      </c>
      <c r="M20" s="13" t="inlineStr">
        <is>
          <t>=L11+L18*L13</t>
        </is>
      </c>
    </row>
    <row r="21">
      <c r="A21" s="6" t="inlineStr">
        <is>
          <t>V18</t>
        </is>
      </c>
      <c r="B21" s="6">
        <f>INDEX(Data!$K$2:$K$1729,MATCH($A21,Data!$B$2:$B$1729,0))</f>
        <v/>
      </c>
      <c r="C21" s="7">
        <f>SUMIFS(Data!$H$2:$H$1729,Data!$B$2:$B$1729,$A21,Data!$F$2:$F$1729,"Joy",Data!$D$2:$D$1729,"Baseline")</f>
        <v/>
      </c>
      <c r="D21" s="7">
        <f>SUMIFS(Data!$H$2:$H$1729,Data!$B$2:$B$1729,$A21,Data!$F$2:$F$1729,"Joy",Data!$D$2:$D$1729,"Commercial")</f>
        <v/>
      </c>
      <c r="E21" s="7">
        <f>ROUND(D21-C21,2)</f>
        <v/>
      </c>
      <c r="F21" s="7">
        <f>ABS(E21)</f>
        <v/>
      </c>
      <c r="G21" s="6">
        <f>IF(E21=0,"",_xlfn.RANK.AVG(F21,$F$5:$F$34,1)-COUNTIF($E$5:$E$34,0))</f>
        <v/>
      </c>
      <c r="H21" s="6">
        <f>SIGN(E21)</f>
        <v/>
      </c>
      <c r="I21" s="6">
        <f>IF(E21=0,0,COUNTIF($F$5:$F$34,F21)^2-1)</f>
        <v/>
      </c>
      <c r="K21" t="inlineStr">
        <is>
          <t>Cohen's d_z</t>
        </is>
      </c>
      <c r="L21" s="12">
        <f>L11/L12</f>
        <v/>
      </c>
      <c r="M21" s="13" t="inlineStr">
        <is>
          <t>=L11/L12</t>
        </is>
      </c>
      <c r="N21" s="5" t="inlineStr">
        <is>
          <t>d_z = mean difference / SD of differences</t>
        </is>
      </c>
    </row>
    <row r="22">
      <c r="A22" s="6" t="inlineStr">
        <is>
          <t>V20</t>
        </is>
      </c>
      <c r="B22" s="6">
        <f>INDEX(Data!$K$2:$K$1729,MATCH($A22,Data!$B$2:$B$1729,0))</f>
        <v/>
      </c>
      <c r="C22" s="7">
        <f>SUMIFS(Data!$H$2:$H$1729,Data!$B$2:$B$1729,$A22,Data!$F$2:$F$1729,"Joy",Data!$D$2:$D$1729,"Baseline")</f>
        <v/>
      </c>
      <c r="D22" s="7">
        <f>SUMIFS(Data!$H$2:$H$1729,Data!$B$2:$B$1729,$A22,Data!$F$2:$F$1729,"Joy",Data!$D$2:$D$1729,"Commercial")</f>
        <v/>
      </c>
      <c r="E22" s="7">
        <f>ROUND(D22-C22,2)</f>
        <v/>
      </c>
      <c r="F22" s="7">
        <f>ABS(E22)</f>
        <v/>
      </c>
      <c r="G22" s="6">
        <f>IF(E22=0,"",_xlfn.RANK.AVG(F22,$F$5:$F$34,1)-COUNTIF($E$5:$E$34,0))</f>
        <v/>
      </c>
      <c r="H22" s="6">
        <f>SIGN(E22)</f>
        <v/>
      </c>
      <c r="I22" s="6">
        <f>IF(E22=0,0,COUNTIF($F$5:$F$34,F22)^2-1)</f>
        <v/>
      </c>
      <c r="K22" t="inlineStr">
        <is>
          <t>SE of d_z (approximation)</t>
        </is>
      </c>
      <c r="L22" s="12">
        <f>SQRT(1/L10+L21^2/(2*L10))</f>
        <v/>
      </c>
      <c r="M22" s="13" t="inlineStr">
        <is>
          <t>=SQRT(1/L10+L21^2/(2*L10))</t>
        </is>
      </c>
      <c r="N22" s="5" t="inlineStr">
        <is>
          <t>sqrt(1/n + d_z^2 / (2 n))</t>
        </is>
      </c>
    </row>
    <row r="23">
      <c r="A23" s="6" t="inlineStr">
        <is>
          <t>V21</t>
        </is>
      </c>
      <c r="B23" s="6">
        <f>INDEX(Data!$K$2:$K$1729,MATCH($A23,Data!$B$2:$B$1729,0))</f>
        <v/>
      </c>
      <c r="C23" s="7">
        <f>SUMIFS(Data!$H$2:$H$1729,Data!$B$2:$B$1729,$A23,Data!$F$2:$F$1729,"Joy",Data!$D$2:$D$1729,"Baseline")</f>
        <v/>
      </c>
      <c r="D23" s="7">
        <f>SUMIFS(Data!$H$2:$H$1729,Data!$B$2:$B$1729,$A23,Data!$F$2:$F$1729,"Joy",Data!$D$2:$D$1729,"Commercial")</f>
        <v/>
      </c>
      <c r="E23" s="7">
        <f>ROUND(D23-C23,2)</f>
        <v/>
      </c>
      <c r="F23" s="7">
        <f>ABS(E23)</f>
        <v/>
      </c>
      <c r="G23" s="6">
        <f>IF(E23=0,"",_xlfn.RANK.AVG(F23,$F$5:$F$34,1)-COUNTIF($E$5:$E$34,0))</f>
        <v/>
      </c>
      <c r="H23" s="6">
        <f>SIGN(E23)</f>
        <v/>
      </c>
      <c r="I23" s="6">
        <f>IF(E23=0,0,COUNTIF($F$5:$F$34,F23)^2-1)</f>
        <v/>
      </c>
      <c r="K23" t="inlineStr">
        <is>
          <t>d_z 95% CI lower</t>
        </is>
      </c>
      <c r="L23" s="12">
        <f>L21-1.96*L22</f>
        <v/>
      </c>
      <c r="M23" s="13" t="inlineStr">
        <is>
          <t>=L21-1.96*L22</t>
        </is>
      </c>
      <c r="N23" s="5" t="inlineStr">
        <is>
          <t>large sample approximation; R uses the noncentral t interval</t>
        </is>
      </c>
    </row>
    <row r="24">
      <c r="A24" s="6" t="inlineStr">
        <is>
          <t>V22</t>
        </is>
      </c>
      <c r="B24" s="6">
        <f>INDEX(Data!$K$2:$K$1729,MATCH($A24,Data!$B$2:$B$1729,0))</f>
        <v/>
      </c>
      <c r="C24" s="7">
        <f>SUMIFS(Data!$H$2:$H$1729,Data!$B$2:$B$1729,$A24,Data!$F$2:$F$1729,"Joy",Data!$D$2:$D$1729,"Baseline")</f>
        <v/>
      </c>
      <c r="D24" s="7">
        <f>SUMIFS(Data!$H$2:$H$1729,Data!$B$2:$B$1729,$A24,Data!$F$2:$F$1729,"Joy",Data!$D$2:$D$1729,"Commercial")</f>
        <v/>
      </c>
      <c r="E24" s="7">
        <f>ROUND(D24-C24,2)</f>
        <v/>
      </c>
      <c r="F24" s="7">
        <f>ABS(E24)</f>
        <v/>
      </c>
      <c r="G24" s="6">
        <f>IF(E24=0,"",_xlfn.RANK.AVG(F24,$F$5:$F$34,1)-COUNTIF($E$5:$E$34,0))</f>
        <v/>
      </c>
      <c r="H24" s="6">
        <f>SIGN(E24)</f>
        <v/>
      </c>
      <c r="I24" s="6">
        <f>IF(E24=0,0,COUNTIF($F$5:$F$34,F24)^2-1)</f>
        <v/>
      </c>
      <c r="K24" t="inlineStr">
        <is>
          <t>d_z 95% CI upper</t>
        </is>
      </c>
      <c r="L24" s="12">
        <f>L21+1.96*L22</f>
        <v/>
      </c>
      <c r="M24" s="13" t="inlineStr">
        <is>
          <t>=L21+1.96*L22</t>
        </is>
      </c>
    </row>
    <row r="25">
      <c r="A25" s="6" t="inlineStr">
        <is>
          <t>V23</t>
        </is>
      </c>
      <c r="B25" s="6">
        <f>INDEX(Data!$K$2:$K$1729,MATCH($A25,Data!$B$2:$B$1729,0))</f>
        <v/>
      </c>
      <c r="C25" s="7">
        <f>SUMIFS(Data!$H$2:$H$1729,Data!$B$2:$B$1729,$A25,Data!$F$2:$F$1729,"Joy",Data!$D$2:$D$1729,"Baseline")</f>
        <v/>
      </c>
      <c r="D25" s="7">
        <f>SUMIFS(Data!$H$2:$H$1729,Data!$B$2:$B$1729,$A25,Data!$F$2:$F$1729,"Joy",Data!$D$2:$D$1729,"Commercial")</f>
        <v/>
      </c>
      <c r="E25" s="7">
        <f>ROUND(D25-C25,2)</f>
        <v/>
      </c>
      <c r="F25" s="7">
        <f>ABS(E25)</f>
        <v/>
      </c>
      <c r="G25" s="6">
        <f>IF(E25=0,"",_xlfn.RANK.AVG(F25,$F$5:$F$34,1)-COUNTIF($E$5:$E$34,0))</f>
        <v/>
      </c>
      <c r="H25" s="6">
        <f>SIGN(E25)</f>
        <v/>
      </c>
      <c r="I25" s="6">
        <f>IF(E25=0,0,COUNTIF($F$5:$F$34,F25)^2-1)</f>
        <v/>
      </c>
      <c r="K25" t="inlineStr">
        <is>
          <t>Correlation of the two columns</t>
        </is>
      </c>
      <c r="L25" s="12">
        <f>CORREL(C5:C34,D5:D34)</f>
        <v/>
      </c>
      <c r="M25" s="13" t="inlineStr">
        <is>
          <t>=CORREL(C5:C34,D5:D34)</t>
        </is>
      </c>
      <c r="N25" s="5" t="inlineStr">
        <is>
          <t>within respondent correlation</t>
        </is>
      </c>
    </row>
    <row r="26">
      <c r="A26" s="6" t="inlineStr">
        <is>
          <t>V24</t>
        </is>
      </c>
      <c r="B26" s="6">
        <f>INDEX(Data!$K$2:$K$1729,MATCH($A26,Data!$B$2:$B$1729,0))</f>
        <v/>
      </c>
      <c r="C26" s="7">
        <f>SUMIFS(Data!$H$2:$H$1729,Data!$B$2:$B$1729,$A26,Data!$F$2:$F$1729,"Joy",Data!$D$2:$D$1729,"Baseline")</f>
        <v/>
      </c>
      <c r="D26" s="7">
        <f>SUMIFS(Data!$H$2:$H$1729,Data!$B$2:$B$1729,$A26,Data!$F$2:$F$1729,"Joy",Data!$D$2:$D$1729,"Commercial")</f>
        <v/>
      </c>
      <c r="E26" s="7">
        <f>ROUND(D26-C26,2)</f>
        <v/>
      </c>
      <c r="F26" s="7">
        <f>ABS(E26)</f>
        <v/>
      </c>
      <c r="G26" s="6">
        <f>IF(E26=0,"",_xlfn.RANK.AVG(F26,$F$5:$F$34,1)-COUNTIF($E$5:$E$34,0))</f>
        <v/>
      </c>
      <c r="H26" s="6">
        <f>SIGN(E26)</f>
        <v/>
      </c>
      <c r="I26" s="6">
        <f>IF(E26=0,0,COUNTIF($F$5:$F$34,F26)^2-1)</f>
        <v/>
      </c>
    </row>
    <row r="27">
      <c r="A27" s="6" t="inlineStr">
        <is>
          <t>V25</t>
        </is>
      </c>
      <c r="B27" s="6">
        <f>INDEX(Data!$K$2:$K$1729,MATCH($A27,Data!$B$2:$B$1729,0))</f>
        <v/>
      </c>
      <c r="C27" s="7">
        <f>SUMIFS(Data!$H$2:$H$1729,Data!$B$2:$B$1729,$A27,Data!$F$2:$F$1729,"Joy",Data!$D$2:$D$1729,"Baseline")</f>
        <v/>
      </c>
      <c r="D27" s="7">
        <f>SUMIFS(Data!$H$2:$H$1729,Data!$B$2:$B$1729,$A27,Data!$F$2:$F$1729,"Joy",Data!$D$2:$D$1729,"Commercial")</f>
        <v/>
      </c>
      <c r="E27" s="7">
        <f>ROUND(D27-C27,2)</f>
        <v/>
      </c>
      <c r="F27" s="7">
        <f>ABS(E27)</f>
        <v/>
      </c>
      <c r="G27" s="6">
        <f>IF(E27=0,"",_xlfn.RANK.AVG(F27,$F$5:$F$34,1)-COUNTIF($E$5:$E$34,0))</f>
        <v/>
      </c>
      <c r="H27" s="6">
        <f>SIGN(E27)</f>
        <v/>
      </c>
      <c r="I27" s="6">
        <f>IF(E27=0,0,COUNTIF($F$5:$F$34,F27)^2-1)</f>
        <v/>
      </c>
      <c r="K27" s="11" t="inlineStr">
        <is>
          <t>Viewers with any Joy present (Percent of time present above 0)</t>
        </is>
      </c>
    </row>
    <row r="28">
      <c r="A28" s="6" t="inlineStr">
        <is>
          <t>V26</t>
        </is>
      </c>
      <c r="B28" s="6">
        <f>INDEX(Data!$K$2:$K$1729,MATCH($A28,Data!$B$2:$B$1729,0))</f>
        <v/>
      </c>
      <c r="C28" s="7">
        <f>SUMIFS(Data!$H$2:$H$1729,Data!$B$2:$B$1729,$A28,Data!$F$2:$F$1729,"Joy",Data!$D$2:$D$1729,"Baseline")</f>
        <v/>
      </c>
      <c r="D28" s="7">
        <f>SUMIFS(Data!$H$2:$H$1729,Data!$B$2:$B$1729,$A28,Data!$F$2:$F$1729,"Joy",Data!$D$2:$D$1729,"Commercial")</f>
        <v/>
      </c>
      <c r="E28" s="7">
        <f>ROUND(D28-C28,2)</f>
        <v/>
      </c>
      <c r="F28" s="7">
        <f>ABS(E28)</f>
        <v/>
      </c>
      <c r="G28" s="6">
        <f>IF(E28=0,"",_xlfn.RANK.AVG(F28,$F$5:$F$34,1)-COUNTIF($E$5:$E$34,0))</f>
        <v/>
      </c>
      <c r="H28" s="6">
        <f>SIGN(E28)</f>
        <v/>
      </c>
      <c r="I28" s="6">
        <f>IF(E28=0,0,COUNTIF($F$5:$F$34,F28)^2-1)</f>
        <v/>
      </c>
      <c r="K28" t="inlineStr">
        <is>
          <t>Viewers with Joy, Baseline</t>
        </is>
      </c>
      <c r="L28" s="14">
        <f>COUNTIF(C5:C34,"&gt;0")</f>
        <v/>
      </c>
      <c r="M28" s="13" t="inlineStr">
        <is>
          <t>=COUNTIF(C5:C34,"&gt;0")</t>
        </is>
      </c>
      <c r="N28" s="5" t="inlineStr">
        <is>
          <t>COUNTIF counts the numbers above 0</t>
        </is>
      </c>
    </row>
    <row r="29">
      <c r="A29" s="6" t="inlineStr">
        <is>
          <t>V27</t>
        </is>
      </c>
      <c r="B29" s="6">
        <f>INDEX(Data!$K$2:$K$1729,MATCH($A29,Data!$B$2:$B$1729,0))</f>
        <v/>
      </c>
      <c r="C29" s="7">
        <f>SUMIFS(Data!$H$2:$H$1729,Data!$B$2:$B$1729,$A29,Data!$F$2:$F$1729,"Joy",Data!$D$2:$D$1729,"Baseline")</f>
        <v/>
      </c>
      <c r="D29" s="7">
        <f>SUMIFS(Data!$H$2:$H$1729,Data!$B$2:$B$1729,$A29,Data!$F$2:$F$1729,"Joy",Data!$D$2:$D$1729,"Commercial")</f>
        <v/>
      </c>
      <c r="E29" s="7">
        <f>ROUND(D29-C29,2)</f>
        <v/>
      </c>
      <c r="F29" s="7">
        <f>ABS(E29)</f>
        <v/>
      </c>
      <c r="G29" s="6">
        <f>IF(E29=0,"",_xlfn.RANK.AVG(F29,$F$5:$F$34,1)-COUNTIF($E$5:$E$34,0))</f>
        <v/>
      </c>
      <c r="H29" s="6">
        <f>SIGN(E29)</f>
        <v/>
      </c>
      <c r="I29" s="6">
        <f>IF(E29=0,0,COUNTIF($F$5:$F$34,F29)^2-1)</f>
        <v/>
      </c>
      <c r="K29" t="inlineStr">
        <is>
          <t>Viewers with Joy, Commercial</t>
        </is>
      </c>
      <c r="L29" s="14">
        <f>COUNTIF(D5:D34,"&gt;0")</f>
        <v/>
      </c>
      <c r="M29" s="13" t="inlineStr">
        <is>
          <t>=COUNTIF(D5:D34,"&gt;0")</t>
        </is>
      </c>
    </row>
    <row r="30">
      <c r="A30" s="6" t="inlineStr">
        <is>
          <t>V28</t>
        </is>
      </c>
      <c r="B30" s="6">
        <f>INDEX(Data!$K$2:$K$1729,MATCH($A30,Data!$B$2:$B$1729,0))</f>
        <v/>
      </c>
      <c r="C30" s="7">
        <f>SUMIFS(Data!$H$2:$H$1729,Data!$B$2:$B$1729,$A30,Data!$F$2:$F$1729,"Joy",Data!$D$2:$D$1729,"Baseline")</f>
        <v/>
      </c>
      <c r="D30" s="7">
        <f>SUMIFS(Data!$H$2:$H$1729,Data!$B$2:$B$1729,$A30,Data!$F$2:$F$1729,"Joy",Data!$D$2:$D$1729,"Commercial")</f>
        <v/>
      </c>
      <c r="E30" s="7">
        <f>ROUND(D30-C30,2)</f>
        <v/>
      </c>
      <c r="F30" s="7">
        <f>ABS(E30)</f>
        <v/>
      </c>
      <c r="G30" s="6">
        <f>IF(E30=0,"",_xlfn.RANK.AVG(F30,$F$5:$F$34,1)-COUNTIF($E$5:$E$34,0))</f>
        <v/>
      </c>
      <c r="H30" s="6">
        <f>SIGN(E30)</f>
        <v/>
      </c>
      <c r="I30" s="6">
        <f>IF(E30=0,0,COUNTIF($F$5:$F$34,F30)^2-1)</f>
        <v/>
      </c>
      <c r="K30" t="inlineStr">
        <is>
          <t>Percent of viewers with Joy, Baseline</t>
        </is>
      </c>
      <c r="L30" s="9">
        <f>100*L28/L10</f>
        <v/>
      </c>
      <c r="M30" s="13" t="inlineStr">
        <is>
          <t>=100*L28/L10</t>
        </is>
      </c>
    </row>
    <row r="31">
      <c r="A31" s="6" t="inlineStr">
        <is>
          <t>V29</t>
        </is>
      </c>
      <c r="B31" s="6">
        <f>INDEX(Data!$K$2:$K$1729,MATCH($A31,Data!$B$2:$B$1729,0))</f>
        <v/>
      </c>
      <c r="C31" s="7">
        <f>SUMIFS(Data!$H$2:$H$1729,Data!$B$2:$B$1729,$A31,Data!$F$2:$F$1729,"Joy",Data!$D$2:$D$1729,"Baseline")</f>
        <v/>
      </c>
      <c r="D31" s="7">
        <f>SUMIFS(Data!$H$2:$H$1729,Data!$B$2:$B$1729,$A31,Data!$F$2:$F$1729,"Joy",Data!$D$2:$D$1729,"Commercial")</f>
        <v/>
      </c>
      <c r="E31" s="7">
        <f>ROUND(D31-C31,2)</f>
        <v/>
      </c>
      <c r="F31" s="7">
        <f>ABS(E31)</f>
        <v/>
      </c>
      <c r="G31" s="6">
        <f>IF(E31=0,"",_xlfn.RANK.AVG(F31,$F$5:$F$34,1)-COUNTIF($E$5:$E$34,0))</f>
        <v/>
      </c>
      <c r="H31" s="6">
        <f>SIGN(E31)</f>
        <v/>
      </c>
      <c r="I31" s="6">
        <f>IF(E31=0,0,COUNTIF($F$5:$F$34,F31)^2-1)</f>
        <v/>
      </c>
      <c r="K31" t="inlineStr">
        <is>
          <t>Percent of viewers with Joy, Commercial</t>
        </is>
      </c>
      <c r="L31" s="9">
        <f>100*L29/L10</f>
        <v/>
      </c>
      <c r="M31" s="13" t="inlineStr">
        <is>
          <t>=100*L29/L10</t>
        </is>
      </c>
    </row>
    <row r="32">
      <c r="A32" s="6" t="inlineStr">
        <is>
          <t>V30</t>
        </is>
      </c>
      <c r="B32" s="6">
        <f>INDEX(Data!$K$2:$K$1729,MATCH($A32,Data!$B$2:$B$1729,0))</f>
        <v/>
      </c>
      <c r="C32" s="7">
        <f>SUMIFS(Data!$H$2:$H$1729,Data!$B$2:$B$1729,$A32,Data!$F$2:$F$1729,"Joy",Data!$D$2:$D$1729,"Baseline")</f>
        <v/>
      </c>
      <c r="D32" s="7">
        <f>SUMIFS(Data!$H$2:$H$1729,Data!$B$2:$B$1729,$A32,Data!$F$2:$F$1729,"Joy",Data!$D$2:$D$1729,"Commercial")</f>
        <v/>
      </c>
      <c r="E32" s="7">
        <f>ROUND(D32-C32,2)</f>
        <v/>
      </c>
      <c r="F32" s="7">
        <f>ABS(E32)</f>
        <v/>
      </c>
      <c r="G32" s="6">
        <f>IF(E32=0,"",_xlfn.RANK.AVG(F32,$F$5:$F$34,1)-COUNTIF($E$5:$E$34,0))</f>
        <v/>
      </c>
      <c r="H32" s="6">
        <f>SIGN(E32)</f>
        <v/>
      </c>
      <c r="I32" s="6">
        <f>IF(E32=0,0,COUNTIF($F$5:$F$34,F32)^2-1)</f>
        <v/>
      </c>
      <c r="K32" t="inlineStr">
        <is>
          <t>Joy at Baseline only (Joy at Baseline, none in the Commercial)</t>
        </is>
      </c>
      <c r="L32" s="14">
        <f>SUMPRODUCT((C5:C34&gt;0)*(D5:D34=0))</f>
        <v/>
      </c>
      <c r="M32" s="13" t="inlineStr">
        <is>
          <t>=SUMPRODUCT((C5:C34&gt;0)*(D5:D34=0))</t>
        </is>
      </c>
      <c r="N32" s="5" t="inlineStr">
        <is>
          <t>discordant pair type 1</t>
        </is>
      </c>
    </row>
    <row r="33">
      <c r="A33" s="6" t="inlineStr">
        <is>
          <t>V31</t>
        </is>
      </c>
      <c r="B33" s="6">
        <f>INDEX(Data!$K$2:$K$1729,MATCH($A33,Data!$B$2:$B$1729,0))</f>
        <v/>
      </c>
      <c r="C33" s="7">
        <f>SUMIFS(Data!$H$2:$H$1729,Data!$B$2:$B$1729,$A33,Data!$F$2:$F$1729,"Joy",Data!$D$2:$D$1729,"Baseline")</f>
        <v/>
      </c>
      <c r="D33" s="7">
        <f>SUMIFS(Data!$H$2:$H$1729,Data!$B$2:$B$1729,$A33,Data!$F$2:$F$1729,"Joy",Data!$D$2:$D$1729,"Commercial")</f>
        <v/>
      </c>
      <c r="E33" s="7">
        <f>ROUND(D33-C33,2)</f>
        <v/>
      </c>
      <c r="F33" s="7">
        <f>ABS(E33)</f>
        <v/>
      </c>
      <c r="G33" s="6">
        <f>IF(E33=0,"",_xlfn.RANK.AVG(F33,$F$5:$F$34,1)-COUNTIF($E$5:$E$34,0))</f>
        <v/>
      </c>
      <c r="H33" s="6">
        <f>SIGN(E33)</f>
        <v/>
      </c>
      <c r="I33" s="6">
        <f>IF(E33=0,0,COUNTIF($F$5:$F$34,F33)^2-1)</f>
        <v/>
      </c>
      <c r="K33" t="inlineStr">
        <is>
          <t>Joy in the Commercial only</t>
        </is>
      </c>
      <c r="L33" s="14">
        <f>SUMPRODUCT((C5:C34=0)*(D5:D34&gt;0))</f>
        <v/>
      </c>
      <c r="M33" s="13" t="inlineStr">
        <is>
          <t>=SUMPRODUCT((C5:C34=0)*(D5:D34&gt;0))</t>
        </is>
      </c>
      <c r="N33" s="5" t="inlineStr">
        <is>
          <t>discordant pair type 2</t>
        </is>
      </c>
    </row>
    <row r="34">
      <c r="A34" s="6" t="inlineStr">
        <is>
          <t>V32</t>
        </is>
      </c>
      <c r="B34" s="6">
        <f>INDEX(Data!$K$2:$K$1729,MATCH($A34,Data!$B$2:$B$1729,0))</f>
        <v/>
      </c>
      <c r="C34" s="7">
        <f>SUMIFS(Data!$H$2:$H$1729,Data!$B$2:$B$1729,$A34,Data!$F$2:$F$1729,"Joy",Data!$D$2:$D$1729,"Baseline")</f>
        <v/>
      </c>
      <c r="D34" s="7">
        <f>SUMIFS(Data!$H$2:$H$1729,Data!$B$2:$B$1729,$A34,Data!$F$2:$F$1729,"Joy",Data!$D$2:$D$1729,"Commercial")</f>
        <v/>
      </c>
      <c r="E34" s="7">
        <f>ROUND(D34-C34,2)</f>
        <v/>
      </c>
      <c r="F34" s="7">
        <f>ABS(E34)</f>
        <v/>
      </c>
      <c r="G34" s="6">
        <f>IF(E34=0,"",_xlfn.RANK.AVG(F34,$F$5:$F$34,1)-COUNTIF($E$5:$E$34,0))</f>
        <v/>
      </c>
      <c r="H34" s="6">
        <f>SIGN(E34)</f>
        <v/>
      </c>
      <c r="I34" s="6">
        <f>IF(E34=0,0,COUNTIF($F$5:$F$34,F34)^2-1)</f>
        <v/>
      </c>
      <c r="K34" t="inlineStr">
        <is>
          <t>Exact McNemar p, two tailed</t>
        </is>
      </c>
      <c r="L34" s="15">
        <f>MIN(1,2*_xlfn.BINOM.DIST(MIN(L32,L33),L32+L33,0.5,TRUE))</f>
        <v/>
      </c>
      <c r="M34" s="13" t="inlineStr">
        <is>
          <t>=MIN(1,2*BINOM.DIST(MIN(L32,L33),L32+L33,0.5,TRUE))</t>
        </is>
      </c>
      <c r="N34" s="5" t="inlineStr">
        <is>
          <t>binomial test of the discordant pairs</t>
        </is>
      </c>
    </row>
    <row r="36">
      <c r="K36" s="11" t="inlineStr">
        <is>
          <t>Wilcoxon signed rank test by hand (normal approximation with tie and continuity correction, as in R)</t>
        </is>
      </c>
    </row>
    <row r="37">
      <c r="K37" t="inlineStr">
        <is>
          <t>Differences above 0 (count)</t>
        </is>
      </c>
      <c r="L37" s="14">
        <f>COUNTIF(E5:E34,"&gt;0")</f>
        <v/>
      </c>
      <c r="M37" s="13" t="inlineStr">
        <is>
          <t>=COUNTIF(E5:E34,"&gt;0")</t>
        </is>
      </c>
    </row>
    <row r="38">
      <c r="K38" t="inlineStr">
        <is>
          <t>Differences below 0 (count)</t>
        </is>
      </c>
      <c r="L38" s="14">
        <f>COUNTIF(E5:E34,"&lt;0")</f>
        <v/>
      </c>
      <c r="M38" s="13" t="inlineStr">
        <is>
          <t>=COUNTIF(E5:E34,"&lt;0")</t>
        </is>
      </c>
    </row>
    <row r="39">
      <c r="K39" t="inlineStr">
        <is>
          <t>Differences equal to 0 (count)</t>
        </is>
      </c>
      <c r="L39" s="14">
        <f>COUNTIF(E5:E34,0)</f>
        <v/>
      </c>
      <c r="M39" s="13" t="inlineStr">
        <is>
          <t>=COUNTIF(E5:E34,0)</t>
        </is>
      </c>
      <c r="N39" s="5" t="inlineStr">
        <is>
          <t>zero differences are dropped</t>
        </is>
      </c>
    </row>
    <row r="40">
      <c r="K40" t="inlineStr">
        <is>
          <t>Nonzero differences</t>
        </is>
      </c>
      <c r="L40" s="14">
        <f>L37+L38</f>
        <v/>
      </c>
      <c r="M40" s="13" t="inlineStr">
        <is>
          <t>=L37+L38</t>
        </is>
      </c>
    </row>
    <row r="41">
      <c r="K41" t="inlineStr">
        <is>
          <t>V = sum of ranks of positive differences</t>
        </is>
      </c>
      <c r="L41" s="9">
        <f>SUMIFS(G5:G34,H5:H34,1)</f>
        <v/>
      </c>
      <c r="M41" s="13" t="inlineStr">
        <is>
          <t>=SUMIFS(G5:G34,H5:H34,1)</t>
        </is>
      </c>
      <c r="N41" s="5" t="inlineStr">
        <is>
          <t>this is the V that R prints</t>
        </is>
      </c>
    </row>
    <row r="42">
      <c r="K42" t="inlineStr">
        <is>
          <t>Sum of ranks of negative differences</t>
        </is>
      </c>
      <c r="L42" s="9">
        <f>SUMIFS(G5:G34,H5:H34,-1)</f>
        <v/>
      </c>
      <c r="M42" s="13" t="inlineStr">
        <is>
          <t>=SUMIFS(G5:G34,H5:H34,-1)</t>
        </is>
      </c>
    </row>
    <row r="43">
      <c r="K43" t="inlineStr">
        <is>
          <t>V plus negative rank sum minus n(n+1)/2</t>
        </is>
      </c>
      <c r="L43" s="9">
        <f>L41+L42-L40*(L40+1)/2</f>
        <v/>
      </c>
      <c r="M43" s="13" t="inlineStr">
        <is>
          <t>=L41+L42-L40*(L40+1)/2</t>
        </is>
      </c>
      <c r="N43" s="5" t="inlineStr">
        <is>
          <t>must be 0</t>
        </is>
      </c>
    </row>
    <row r="44">
      <c r="K44" t="inlineStr">
        <is>
          <t>Expected V under H0</t>
        </is>
      </c>
      <c r="L44" s="16">
        <f>L40*(L40+1)/4</f>
        <v/>
      </c>
      <c r="M44" s="13" t="inlineStr">
        <is>
          <t>=L40*(L40+1)/4</t>
        </is>
      </c>
    </row>
    <row r="45">
      <c r="K45" t="inlineStr">
        <is>
          <t>Sum of (t^3 - t) over tie groups</t>
        </is>
      </c>
      <c r="L45" s="14">
        <f>SUM(I5:I34)</f>
        <v/>
      </c>
      <c r="M45" s="13" t="inlineStr">
        <is>
          <t>=SUM(I5:I34)</t>
        </is>
      </c>
      <c r="N45" s="5" t="inlineStr">
        <is>
          <t>from the tie term column</t>
        </is>
      </c>
    </row>
    <row r="46">
      <c r="K46" t="inlineStr">
        <is>
          <t>SD of V under H0</t>
        </is>
      </c>
      <c r="L46" s="12">
        <f>SQRT(L40*(L40+1)*(2*L40+1)/24-L45/48)</f>
        <v/>
      </c>
      <c r="M46" s="13" t="inlineStr">
        <is>
          <t>=SQRT(L40*(L40+1)*(2*L40+1)/24-L45/48)</t>
        </is>
      </c>
      <c r="N46" s="5" t="inlineStr">
        <is>
          <t>includes the tie correction</t>
        </is>
      </c>
    </row>
    <row r="47">
      <c r="K47" t="inlineStr">
        <is>
          <t>z with continuity correction</t>
        </is>
      </c>
      <c r="L47" s="12">
        <f>(L41-L44-0.5*SIGN(L41-L44))/L46</f>
        <v/>
      </c>
      <c r="M47" s="13" t="inlineStr">
        <is>
          <t>=(L41-L44-0.5*SIGN(L41-L44))/L46</t>
        </is>
      </c>
    </row>
    <row r="48">
      <c r="K48" t="inlineStr">
        <is>
          <t>Wilcoxon p, two tailed</t>
        </is>
      </c>
      <c r="L48" s="15">
        <f>2*(1-_xlfn.NORM.S.DIST(ABS(L47),TRUE))</f>
        <v/>
      </c>
      <c r="M48" s="13" t="inlineStr">
        <is>
          <t>=2*(1-NORM.S.DIST(ABS(L47),TRUE))</t>
        </is>
      </c>
      <c r="N48" s="5" t="inlineStr">
        <is>
          <t>matches wilcox.test(exact = FALSE)</t>
        </is>
      </c>
    </row>
    <row r="49">
      <c r="K49" t="inlineStr">
        <is>
          <t>Matched pairs rank biserial correlation</t>
        </is>
      </c>
      <c r="L49" s="12">
        <f>(L41-L42)/(L41+L42)</f>
        <v/>
      </c>
      <c r="M49" s="13" t="inlineStr">
        <is>
          <t>=(L41-L42)/(L41+L42)</t>
        </is>
      </c>
      <c r="N49" s="5" t="inlineStr">
        <is>
          <t>(positive ranks - negative ranks) / all ranks</t>
        </is>
      </c>
    </row>
    <row r="50">
      <c r="K50" t="inlineStr">
        <is>
          <t>Sign test p, two tailed</t>
        </is>
      </c>
      <c r="L50" s="15">
        <f>MIN(1,2*_xlfn.BINOM.DIST(MIN(L37,L38),L37+L38,0.5,TRUE))</f>
        <v/>
      </c>
      <c r="M50" s="13" t="inlineStr">
        <is>
          <t>=MIN(1,2*BINOM.DIST(MIN(L37,L38),L37+L38,0.5,TRUE))</t>
        </is>
      </c>
      <c r="N50" s="5" t="inlineStr">
        <is>
          <t>ignores the size of the differences</t>
        </is>
      </c>
    </row>
    <row r="52">
      <c r="K52" s="11" t="inlineStr">
        <is>
          <t>Checks</t>
        </is>
      </c>
    </row>
    <row r="53">
      <c r="K53" t="inlineStr">
        <is>
          <t>Kept respondents with a Joy Baseline row in Data</t>
        </is>
      </c>
      <c r="L53" s="14">
        <f>COUNTIFS(Data!$F$2:$F$1729,"Joy",Data!$D$2:$D$1729,"Baseline",Data!$L$2:$L$1729,"Yes")</f>
        <v/>
      </c>
      <c r="M53" s="13" t="inlineStr">
        <is>
          <t>=COUNTIFS(Data!$F$2:$F$1729,"Joy",Data!$D$2:$D$1729,"Baseline",Data!$L$2:$L$1729,"Yes")</t>
        </is>
      </c>
      <c r="N53" s="5" t="inlineStr">
        <is>
          <t>must equal n pairs; if not, the roster in column A is out of date</t>
        </is>
      </c>
    </row>
    <row r="54">
      <c r="K54" t="inlineStr">
        <is>
          <t>Smallest Data quality in column B</t>
        </is>
      </c>
      <c r="L54" s="9">
        <f>MIN(B5:B34)</f>
        <v/>
      </c>
      <c r="M54" s="13" t="inlineStr">
        <is>
          <t>=MIN(B5:B34)</t>
        </is>
      </c>
      <c r="N54" s="5" t="inlineStr">
        <is>
          <t>must be at least 80</t>
        </is>
      </c>
    </row>
    <row r="57">
      <c r="K57" s="8" t="inlineStr">
        <is>
          <t>Chart table: mean Joy percent with 95% CI half width</t>
        </is>
      </c>
    </row>
    <row r="58">
      <c r="K58" t="inlineStr">
        <is>
          <t>Interval</t>
        </is>
      </c>
      <c r="L58" t="inlineStr">
        <is>
          <t>Mean Joy (%)</t>
        </is>
      </c>
      <c r="M58" t="inlineStr">
        <is>
          <t>CI half width</t>
        </is>
      </c>
    </row>
    <row r="59">
      <c r="K59" t="inlineStr">
        <is>
          <t>Baseline</t>
        </is>
      </c>
      <c r="L59" s="16">
        <f>L6</f>
        <v/>
      </c>
      <c r="M59" s="16">
        <f>_xlfn.CONFIDENCE.T(0.05,L7,L10)</f>
        <v/>
      </c>
    </row>
    <row r="60">
      <c r="K60" t="inlineStr">
        <is>
          <t>Commercial</t>
        </is>
      </c>
      <c r="L60" s="16">
        <f>L8</f>
        <v/>
      </c>
      <c r="M60" s="16">
        <f>_xlfn.CONFIDENCE.T(0.05,L9,L10)</f>
        <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U44"/>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3" customWidth="1" min="8" max="8"/>
    <col width="14"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3" customWidth="1" min="17" max="17"/>
    <col width="70" customWidth="1" min="18" max="18"/>
    <col width="12" customWidth="1" min="19" max="19"/>
    <col width="70" customWidth="1" min="20" max="20"/>
    <col width="70" customWidth="1" min="21" max="21"/>
  </cols>
  <sheetData>
    <row r="1">
      <c r="A1" s="4" t="inlineStr">
        <is>
          <t>H2. Joy Percent of time present across the six 10 s bins, kept respondents. SIMULATED data.</t>
        </is>
      </c>
    </row>
    <row r="2">
      <c r="A2" s="5" t="inlineStr">
        <is>
          <t>Columns B to G pull each respondent's Joy value for the bin with SUMIFS. The rows under the roster give the proportion of viewers with Joy present (COUNTIFS on Data), the mean, and the Friedman rank sums. The block on the right tests the bin factor.</t>
        </is>
      </c>
    </row>
    <row r="4" ht="32" customHeight="1">
      <c r="A4" s="2" t="inlineStr">
        <is>
          <t>Respondent Name</t>
        </is>
      </c>
      <c r="B4" s="2" t="inlineStr">
        <is>
          <t>Bin_01</t>
        </is>
      </c>
      <c r="C4" s="2" t="inlineStr">
        <is>
          <t>Bin_02</t>
        </is>
      </c>
      <c r="D4" s="2" t="inlineStr">
        <is>
          <t>Bin_03</t>
        </is>
      </c>
      <c r="E4" s="2" t="inlineStr">
        <is>
          <t>Bin_04</t>
        </is>
      </c>
      <c r="F4" s="2" t="inlineStr">
        <is>
          <t>Bin_05</t>
        </is>
      </c>
      <c r="G4" s="2" t="inlineStr">
        <is>
          <t>Bin_06</t>
        </is>
      </c>
      <c r="H4" s="2" t="inlineStr">
        <is>
          <t>Commercial Joy (%)</t>
        </is>
      </c>
      <c r="I4" s="2" t="inlineStr">
        <is>
          <t>Respondent mean over the bins</t>
        </is>
      </c>
      <c r="J4" s="2" t="inlineStr">
        <is>
          <t>Rank Bin_01</t>
        </is>
      </c>
      <c r="K4" s="2" t="inlineStr">
        <is>
          <t>Rank Bin_02</t>
        </is>
      </c>
      <c r="L4" s="2" t="inlineStr">
        <is>
          <t>Rank Bin_03</t>
        </is>
      </c>
      <c r="M4" s="2" t="inlineStr">
        <is>
          <t>Rank Bin_04</t>
        </is>
      </c>
      <c r="N4" s="2" t="inlineStr">
        <is>
          <t>Rank Bin_05</t>
        </is>
      </c>
      <c r="O4" s="2" t="inlineStr">
        <is>
          <t>Rank Bin_06</t>
        </is>
      </c>
      <c r="P4" s="2" t="inlineStr">
        <is>
          <t>Tie term</t>
        </is>
      </c>
      <c r="R4" s="10" t="inlineStr">
        <is>
          <t>Statistic</t>
        </is>
      </c>
      <c r="S4" s="10" t="inlineStr">
        <is>
          <t>Value</t>
        </is>
      </c>
      <c r="T4" s="10" t="inlineStr">
        <is>
          <t>Formula shown</t>
        </is>
      </c>
      <c r="U4" s="10" t="inlineStr">
        <is>
          <t>Note</t>
        </is>
      </c>
    </row>
    <row r="5">
      <c r="A5" s="6" t="inlineStr">
        <is>
          <t>V01</t>
        </is>
      </c>
      <c r="B5" s="7">
        <f>SUMIFS(Data!$H$2:$H$1729,Data!$B$2:$B$1729,$A5,Data!$F$2:$F$1729,"Joy",Data!$D$2:$D$1729,B$4)</f>
        <v/>
      </c>
      <c r="C5" s="7">
        <f>SUMIFS(Data!$H$2:$H$1729,Data!$B$2:$B$1729,$A5,Data!$F$2:$F$1729,"Joy",Data!$D$2:$D$1729,C$4)</f>
        <v/>
      </c>
      <c r="D5" s="7">
        <f>SUMIFS(Data!$H$2:$H$1729,Data!$B$2:$B$1729,$A5,Data!$F$2:$F$1729,"Joy",Data!$D$2:$D$1729,D$4)</f>
        <v/>
      </c>
      <c r="E5" s="7">
        <f>SUMIFS(Data!$H$2:$H$1729,Data!$B$2:$B$1729,$A5,Data!$F$2:$F$1729,"Joy",Data!$D$2:$D$1729,E$4)</f>
        <v/>
      </c>
      <c r="F5" s="7">
        <f>SUMIFS(Data!$H$2:$H$1729,Data!$B$2:$B$1729,$A5,Data!$F$2:$F$1729,"Joy",Data!$D$2:$D$1729,F$4)</f>
        <v/>
      </c>
      <c r="G5" s="7">
        <f>SUMIFS(Data!$H$2:$H$1729,Data!$B$2:$B$1729,$A5,Data!$F$2:$F$1729,"Joy",Data!$D$2:$D$1729,G$4)</f>
        <v/>
      </c>
      <c r="H5" s="7">
        <f>SUMIFS(Data!$H$2:$H$1729,Data!$B$2:$B$1729,$A5,Data!$F$2:$F$1729,"Joy",Data!$D$2:$D$1729,"Commercial")</f>
        <v/>
      </c>
      <c r="I5" s="7">
        <f>AVERAGE(B5:G5)</f>
        <v/>
      </c>
      <c r="J5" s="17">
        <f>_xlfn.RANK.AVG(B5,$B5:$G5,1)</f>
        <v/>
      </c>
      <c r="K5" s="17">
        <f>_xlfn.RANK.AVG(C5,$B5:$G5,1)</f>
        <v/>
      </c>
      <c r="L5" s="17">
        <f>_xlfn.RANK.AVG(D5,$B5:$G5,1)</f>
        <v/>
      </c>
      <c r="M5" s="17">
        <f>_xlfn.RANK.AVG(E5,$B5:$G5,1)</f>
        <v/>
      </c>
      <c r="N5" s="17">
        <f>_xlfn.RANK.AVG(F5,$B5:$G5,1)</f>
        <v/>
      </c>
      <c r="O5" s="17">
        <f>_xlfn.RANK.AVG(G5,$B5:$G5,1)</f>
        <v/>
      </c>
      <c r="P5" s="6">
        <f>SUMPRODUCT(COUNTIF($B5:$G5,$B5:$G5)^2-1)</f>
        <v/>
      </c>
      <c r="R5" s="11" t="inlineStr">
        <is>
          <t>Repeated measures ANOVA by hand (its F equals the mixed model F test for this balanced design)</t>
        </is>
      </c>
    </row>
    <row r="6">
      <c r="A6" s="6" t="inlineStr">
        <is>
          <t>V02</t>
        </is>
      </c>
      <c r="B6" s="7">
        <f>SUMIFS(Data!$H$2:$H$1729,Data!$B$2:$B$1729,$A6,Data!$F$2:$F$1729,"Joy",Data!$D$2:$D$1729,B$4)</f>
        <v/>
      </c>
      <c r="C6" s="7">
        <f>SUMIFS(Data!$H$2:$H$1729,Data!$B$2:$B$1729,$A6,Data!$F$2:$F$1729,"Joy",Data!$D$2:$D$1729,C$4)</f>
        <v/>
      </c>
      <c r="D6" s="7">
        <f>SUMIFS(Data!$H$2:$H$1729,Data!$B$2:$B$1729,$A6,Data!$F$2:$F$1729,"Joy",Data!$D$2:$D$1729,D$4)</f>
        <v/>
      </c>
      <c r="E6" s="7">
        <f>SUMIFS(Data!$H$2:$H$1729,Data!$B$2:$B$1729,$A6,Data!$F$2:$F$1729,"Joy",Data!$D$2:$D$1729,E$4)</f>
        <v/>
      </c>
      <c r="F6" s="7">
        <f>SUMIFS(Data!$H$2:$H$1729,Data!$B$2:$B$1729,$A6,Data!$F$2:$F$1729,"Joy",Data!$D$2:$D$1729,F$4)</f>
        <v/>
      </c>
      <c r="G6" s="7">
        <f>SUMIFS(Data!$H$2:$H$1729,Data!$B$2:$B$1729,$A6,Data!$F$2:$F$1729,"Joy",Data!$D$2:$D$1729,G$4)</f>
        <v/>
      </c>
      <c r="H6" s="7">
        <f>SUMIFS(Data!$H$2:$H$1729,Data!$B$2:$B$1729,$A6,Data!$F$2:$F$1729,"Joy",Data!$D$2:$D$1729,"Commercial")</f>
        <v/>
      </c>
      <c r="I6" s="7">
        <f>AVERAGE(B6:G6)</f>
        <v/>
      </c>
      <c r="J6" s="17">
        <f>_xlfn.RANK.AVG(B6,$B6:$G6,1)</f>
        <v/>
      </c>
      <c r="K6" s="17">
        <f>_xlfn.RANK.AVG(C6,$B6:$G6,1)</f>
        <v/>
      </c>
      <c r="L6" s="17">
        <f>_xlfn.RANK.AVG(D6,$B6:$G6,1)</f>
        <v/>
      </c>
      <c r="M6" s="17">
        <f>_xlfn.RANK.AVG(E6,$B6:$G6,1)</f>
        <v/>
      </c>
      <c r="N6" s="17">
        <f>_xlfn.RANK.AVG(F6,$B6:$G6,1)</f>
        <v/>
      </c>
      <c r="O6" s="17">
        <f>_xlfn.RANK.AVG(G6,$B6:$G6,1)</f>
        <v/>
      </c>
      <c r="P6" s="6">
        <f>SUMPRODUCT(COUNTIF($B6:$G6,$B6:$G6)^2-1)</f>
        <v/>
      </c>
      <c r="R6" t="inlineStr">
        <is>
          <t>Respondents (n)</t>
        </is>
      </c>
      <c r="S6" s="14">
        <f>COUNT(I5:I34)</f>
        <v/>
      </c>
      <c r="T6" s="13" t="inlineStr">
        <is>
          <t>=COUNT(I5:I34)</t>
        </is>
      </c>
    </row>
    <row r="7">
      <c r="A7" s="6" t="inlineStr">
        <is>
          <t>V03</t>
        </is>
      </c>
      <c r="B7" s="7">
        <f>SUMIFS(Data!$H$2:$H$1729,Data!$B$2:$B$1729,$A7,Data!$F$2:$F$1729,"Joy",Data!$D$2:$D$1729,B$4)</f>
        <v/>
      </c>
      <c r="C7" s="7">
        <f>SUMIFS(Data!$H$2:$H$1729,Data!$B$2:$B$1729,$A7,Data!$F$2:$F$1729,"Joy",Data!$D$2:$D$1729,C$4)</f>
        <v/>
      </c>
      <c r="D7" s="7">
        <f>SUMIFS(Data!$H$2:$H$1729,Data!$B$2:$B$1729,$A7,Data!$F$2:$F$1729,"Joy",Data!$D$2:$D$1729,D$4)</f>
        <v/>
      </c>
      <c r="E7" s="7">
        <f>SUMIFS(Data!$H$2:$H$1729,Data!$B$2:$B$1729,$A7,Data!$F$2:$F$1729,"Joy",Data!$D$2:$D$1729,E$4)</f>
        <v/>
      </c>
      <c r="F7" s="7">
        <f>SUMIFS(Data!$H$2:$H$1729,Data!$B$2:$B$1729,$A7,Data!$F$2:$F$1729,"Joy",Data!$D$2:$D$1729,F$4)</f>
        <v/>
      </c>
      <c r="G7" s="7">
        <f>SUMIFS(Data!$H$2:$H$1729,Data!$B$2:$B$1729,$A7,Data!$F$2:$F$1729,"Joy",Data!$D$2:$D$1729,G$4)</f>
        <v/>
      </c>
      <c r="H7" s="7">
        <f>SUMIFS(Data!$H$2:$H$1729,Data!$B$2:$B$1729,$A7,Data!$F$2:$F$1729,"Joy",Data!$D$2:$D$1729,"Commercial")</f>
        <v/>
      </c>
      <c r="I7" s="7">
        <f>AVERAGE(B7:G7)</f>
        <v/>
      </c>
      <c r="J7" s="17">
        <f>_xlfn.RANK.AVG(B7,$B7:$G7,1)</f>
        <v/>
      </c>
      <c r="K7" s="17">
        <f>_xlfn.RANK.AVG(C7,$B7:$G7,1)</f>
        <v/>
      </c>
      <c r="L7" s="17">
        <f>_xlfn.RANK.AVG(D7,$B7:$G7,1)</f>
        <v/>
      </c>
      <c r="M7" s="17">
        <f>_xlfn.RANK.AVG(E7,$B7:$G7,1)</f>
        <v/>
      </c>
      <c r="N7" s="17">
        <f>_xlfn.RANK.AVG(F7,$B7:$G7,1)</f>
        <v/>
      </c>
      <c r="O7" s="17">
        <f>_xlfn.RANK.AVG(G7,$B7:$G7,1)</f>
        <v/>
      </c>
      <c r="P7" s="6">
        <f>SUMPRODUCT(COUNTIF($B7:$G7,$B7:$G7)^2-1)</f>
        <v/>
      </c>
      <c r="R7" t="inlineStr">
        <is>
          <t>Bins (k)</t>
        </is>
      </c>
      <c r="S7" s="14">
        <f>COUNTA(B4:G4)</f>
        <v/>
      </c>
      <c r="T7" s="13" t="inlineStr">
        <is>
          <t>=COUNTA(B4:G4)</t>
        </is>
      </c>
    </row>
    <row r="8">
      <c r="A8" s="6" t="inlineStr">
        <is>
          <t>V04</t>
        </is>
      </c>
      <c r="B8" s="7">
        <f>SUMIFS(Data!$H$2:$H$1729,Data!$B$2:$B$1729,$A8,Data!$F$2:$F$1729,"Joy",Data!$D$2:$D$1729,B$4)</f>
        <v/>
      </c>
      <c r="C8" s="7">
        <f>SUMIFS(Data!$H$2:$H$1729,Data!$B$2:$B$1729,$A8,Data!$F$2:$F$1729,"Joy",Data!$D$2:$D$1729,C$4)</f>
        <v/>
      </c>
      <c r="D8" s="7">
        <f>SUMIFS(Data!$H$2:$H$1729,Data!$B$2:$B$1729,$A8,Data!$F$2:$F$1729,"Joy",Data!$D$2:$D$1729,D$4)</f>
        <v/>
      </c>
      <c r="E8" s="7">
        <f>SUMIFS(Data!$H$2:$H$1729,Data!$B$2:$B$1729,$A8,Data!$F$2:$F$1729,"Joy",Data!$D$2:$D$1729,E$4)</f>
        <v/>
      </c>
      <c r="F8" s="7">
        <f>SUMIFS(Data!$H$2:$H$1729,Data!$B$2:$B$1729,$A8,Data!$F$2:$F$1729,"Joy",Data!$D$2:$D$1729,F$4)</f>
        <v/>
      </c>
      <c r="G8" s="7">
        <f>SUMIFS(Data!$H$2:$H$1729,Data!$B$2:$B$1729,$A8,Data!$F$2:$F$1729,"Joy",Data!$D$2:$D$1729,G$4)</f>
        <v/>
      </c>
      <c r="H8" s="7">
        <f>SUMIFS(Data!$H$2:$H$1729,Data!$B$2:$B$1729,$A8,Data!$F$2:$F$1729,"Joy",Data!$D$2:$D$1729,"Commercial")</f>
        <v/>
      </c>
      <c r="I8" s="7">
        <f>AVERAGE(B8:G8)</f>
        <v/>
      </c>
      <c r="J8" s="17">
        <f>_xlfn.RANK.AVG(B8,$B8:$G8,1)</f>
        <v/>
      </c>
      <c r="K8" s="17">
        <f>_xlfn.RANK.AVG(C8,$B8:$G8,1)</f>
        <v/>
      </c>
      <c r="L8" s="17">
        <f>_xlfn.RANK.AVG(D8,$B8:$G8,1)</f>
        <v/>
      </c>
      <c r="M8" s="17">
        <f>_xlfn.RANK.AVG(E8,$B8:$G8,1)</f>
        <v/>
      </c>
      <c r="N8" s="17">
        <f>_xlfn.RANK.AVG(F8,$B8:$G8,1)</f>
        <v/>
      </c>
      <c r="O8" s="17">
        <f>_xlfn.RANK.AVG(G8,$B8:$G8,1)</f>
        <v/>
      </c>
      <c r="P8" s="6">
        <f>SUMPRODUCT(COUNTIF($B8:$G8,$B8:$G8)^2-1)</f>
        <v/>
      </c>
      <c r="R8" t="inlineStr">
        <is>
          <t>Grand mean Joy (%)</t>
        </is>
      </c>
      <c r="S8" s="12">
        <f>AVERAGE(B5:G34)</f>
        <v/>
      </c>
      <c r="T8" s="13" t="inlineStr">
        <is>
          <t>=AVERAGE(B5:G34)</t>
        </is>
      </c>
    </row>
    <row r="9">
      <c r="A9" s="6" t="inlineStr">
        <is>
          <t>V05</t>
        </is>
      </c>
      <c r="B9" s="7">
        <f>SUMIFS(Data!$H$2:$H$1729,Data!$B$2:$B$1729,$A9,Data!$F$2:$F$1729,"Joy",Data!$D$2:$D$1729,B$4)</f>
        <v/>
      </c>
      <c r="C9" s="7">
        <f>SUMIFS(Data!$H$2:$H$1729,Data!$B$2:$B$1729,$A9,Data!$F$2:$F$1729,"Joy",Data!$D$2:$D$1729,C$4)</f>
        <v/>
      </c>
      <c r="D9" s="7">
        <f>SUMIFS(Data!$H$2:$H$1729,Data!$B$2:$B$1729,$A9,Data!$F$2:$F$1729,"Joy",Data!$D$2:$D$1729,D$4)</f>
        <v/>
      </c>
      <c r="E9" s="7">
        <f>SUMIFS(Data!$H$2:$H$1729,Data!$B$2:$B$1729,$A9,Data!$F$2:$F$1729,"Joy",Data!$D$2:$D$1729,E$4)</f>
        <v/>
      </c>
      <c r="F9" s="7">
        <f>SUMIFS(Data!$H$2:$H$1729,Data!$B$2:$B$1729,$A9,Data!$F$2:$F$1729,"Joy",Data!$D$2:$D$1729,F$4)</f>
        <v/>
      </c>
      <c r="G9" s="7">
        <f>SUMIFS(Data!$H$2:$H$1729,Data!$B$2:$B$1729,$A9,Data!$F$2:$F$1729,"Joy",Data!$D$2:$D$1729,G$4)</f>
        <v/>
      </c>
      <c r="H9" s="7">
        <f>SUMIFS(Data!$H$2:$H$1729,Data!$B$2:$B$1729,$A9,Data!$F$2:$F$1729,"Joy",Data!$D$2:$D$1729,"Commercial")</f>
        <v/>
      </c>
      <c r="I9" s="7">
        <f>AVERAGE(B9:G9)</f>
        <v/>
      </c>
      <c r="J9" s="17">
        <f>_xlfn.RANK.AVG(B9,$B9:$G9,1)</f>
        <v/>
      </c>
      <c r="K9" s="17">
        <f>_xlfn.RANK.AVG(C9,$B9:$G9,1)</f>
        <v/>
      </c>
      <c r="L9" s="17">
        <f>_xlfn.RANK.AVG(D9,$B9:$G9,1)</f>
        <v/>
      </c>
      <c r="M9" s="17">
        <f>_xlfn.RANK.AVG(E9,$B9:$G9,1)</f>
        <v/>
      </c>
      <c r="N9" s="17">
        <f>_xlfn.RANK.AVG(F9,$B9:$G9,1)</f>
        <v/>
      </c>
      <c r="O9" s="17">
        <f>_xlfn.RANK.AVG(G9,$B9:$G9,1)</f>
        <v/>
      </c>
      <c r="P9" s="6">
        <f>SUMPRODUCT(COUNTIF($B9:$G9,$B9:$G9)^2-1)</f>
        <v/>
      </c>
      <c r="R9" t="inlineStr">
        <is>
          <t>SS total</t>
        </is>
      </c>
      <c r="S9" s="16">
        <f>DEVSQ(B5:G34)</f>
        <v/>
      </c>
      <c r="T9" s="13" t="inlineStr">
        <is>
          <t>=DEVSQ(B5:G34)</t>
        </is>
      </c>
      <c r="U9" s="5" t="inlineStr">
        <is>
          <t>sum of squared deviations from the grand mean</t>
        </is>
      </c>
    </row>
    <row r="10">
      <c r="A10" s="6" t="inlineStr">
        <is>
          <t>V06</t>
        </is>
      </c>
      <c r="B10" s="7">
        <f>SUMIFS(Data!$H$2:$H$1729,Data!$B$2:$B$1729,$A10,Data!$F$2:$F$1729,"Joy",Data!$D$2:$D$1729,B$4)</f>
        <v/>
      </c>
      <c r="C10" s="7">
        <f>SUMIFS(Data!$H$2:$H$1729,Data!$B$2:$B$1729,$A10,Data!$F$2:$F$1729,"Joy",Data!$D$2:$D$1729,C$4)</f>
        <v/>
      </c>
      <c r="D10" s="7">
        <f>SUMIFS(Data!$H$2:$H$1729,Data!$B$2:$B$1729,$A10,Data!$F$2:$F$1729,"Joy",Data!$D$2:$D$1729,D$4)</f>
        <v/>
      </c>
      <c r="E10" s="7">
        <f>SUMIFS(Data!$H$2:$H$1729,Data!$B$2:$B$1729,$A10,Data!$F$2:$F$1729,"Joy",Data!$D$2:$D$1729,E$4)</f>
        <v/>
      </c>
      <c r="F10" s="7">
        <f>SUMIFS(Data!$H$2:$H$1729,Data!$B$2:$B$1729,$A10,Data!$F$2:$F$1729,"Joy",Data!$D$2:$D$1729,F$4)</f>
        <v/>
      </c>
      <c r="G10" s="7">
        <f>SUMIFS(Data!$H$2:$H$1729,Data!$B$2:$B$1729,$A10,Data!$F$2:$F$1729,"Joy",Data!$D$2:$D$1729,G$4)</f>
        <v/>
      </c>
      <c r="H10" s="7">
        <f>SUMIFS(Data!$H$2:$H$1729,Data!$B$2:$B$1729,$A10,Data!$F$2:$F$1729,"Joy",Data!$D$2:$D$1729,"Commercial")</f>
        <v/>
      </c>
      <c r="I10" s="7">
        <f>AVERAGE(B10:G10)</f>
        <v/>
      </c>
      <c r="J10" s="17">
        <f>_xlfn.RANK.AVG(B10,$B10:$G10,1)</f>
        <v/>
      </c>
      <c r="K10" s="17">
        <f>_xlfn.RANK.AVG(C10,$B10:$G10,1)</f>
        <v/>
      </c>
      <c r="L10" s="17">
        <f>_xlfn.RANK.AVG(D10,$B10:$G10,1)</f>
        <v/>
      </c>
      <c r="M10" s="17">
        <f>_xlfn.RANK.AVG(E10,$B10:$G10,1)</f>
        <v/>
      </c>
      <c r="N10" s="17">
        <f>_xlfn.RANK.AVG(F10,$B10:$G10,1)</f>
        <v/>
      </c>
      <c r="O10" s="17">
        <f>_xlfn.RANK.AVG(G10,$B10:$G10,1)</f>
        <v/>
      </c>
      <c r="P10" s="6">
        <f>SUMPRODUCT(COUNTIF($B10:$G10,$B10:$G10)^2-1)</f>
        <v/>
      </c>
      <c r="R10" t="inlineStr">
        <is>
          <t>SS bins</t>
        </is>
      </c>
      <c r="S10" s="16">
        <f>S6*DEVSQ(B41:G41)</f>
        <v/>
      </c>
      <c r="T10" s="13" t="inlineStr">
        <is>
          <t>=S6*DEVSQ(B41:G41)</t>
        </is>
      </c>
      <c r="U10" s="5" t="inlineStr">
        <is>
          <t>n x squared deviations of the six bin means</t>
        </is>
      </c>
    </row>
    <row r="11">
      <c r="A11" s="6" t="inlineStr">
        <is>
          <t>V08</t>
        </is>
      </c>
      <c r="B11" s="7">
        <f>SUMIFS(Data!$H$2:$H$1729,Data!$B$2:$B$1729,$A11,Data!$F$2:$F$1729,"Joy",Data!$D$2:$D$1729,B$4)</f>
        <v/>
      </c>
      <c r="C11" s="7">
        <f>SUMIFS(Data!$H$2:$H$1729,Data!$B$2:$B$1729,$A11,Data!$F$2:$F$1729,"Joy",Data!$D$2:$D$1729,C$4)</f>
        <v/>
      </c>
      <c r="D11" s="7">
        <f>SUMIFS(Data!$H$2:$H$1729,Data!$B$2:$B$1729,$A11,Data!$F$2:$F$1729,"Joy",Data!$D$2:$D$1729,D$4)</f>
        <v/>
      </c>
      <c r="E11" s="7">
        <f>SUMIFS(Data!$H$2:$H$1729,Data!$B$2:$B$1729,$A11,Data!$F$2:$F$1729,"Joy",Data!$D$2:$D$1729,E$4)</f>
        <v/>
      </c>
      <c r="F11" s="7">
        <f>SUMIFS(Data!$H$2:$H$1729,Data!$B$2:$B$1729,$A11,Data!$F$2:$F$1729,"Joy",Data!$D$2:$D$1729,F$4)</f>
        <v/>
      </c>
      <c r="G11" s="7">
        <f>SUMIFS(Data!$H$2:$H$1729,Data!$B$2:$B$1729,$A11,Data!$F$2:$F$1729,"Joy",Data!$D$2:$D$1729,G$4)</f>
        <v/>
      </c>
      <c r="H11" s="7">
        <f>SUMIFS(Data!$H$2:$H$1729,Data!$B$2:$B$1729,$A11,Data!$F$2:$F$1729,"Joy",Data!$D$2:$D$1729,"Commercial")</f>
        <v/>
      </c>
      <c r="I11" s="7">
        <f>AVERAGE(B11:G11)</f>
        <v/>
      </c>
      <c r="J11" s="17">
        <f>_xlfn.RANK.AVG(B11,$B11:$G11,1)</f>
        <v/>
      </c>
      <c r="K11" s="17">
        <f>_xlfn.RANK.AVG(C11,$B11:$G11,1)</f>
        <v/>
      </c>
      <c r="L11" s="17">
        <f>_xlfn.RANK.AVG(D11,$B11:$G11,1)</f>
        <v/>
      </c>
      <c r="M11" s="17">
        <f>_xlfn.RANK.AVG(E11,$B11:$G11,1)</f>
        <v/>
      </c>
      <c r="N11" s="17">
        <f>_xlfn.RANK.AVG(F11,$B11:$G11,1)</f>
        <v/>
      </c>
      <c r="O11" s="17">
        <f>_xlfn.RANK.AVG(G11,$B11:$G11,1)</f>
        <v/>
      </c>
      <c r="P11" s="6">
        <f>SUMPRODUCT(COUNTIF($B11:$G11,$B11:$G11)^2-1)</f>
        <v/>
      </c>
      <c r="R11" t="inlineStr">
        <is>
          <t>SS respondents</t>
        </is>
      </c>
      <c r="S11" s="16">
        <f>S7*DEVSQ(I5:I34)</f>
        <v/>
      </c>
      <c r="T11" s="13" t="inlineStr">
        <is>
          <t>=S7*DEVSQ(I5:I34)</t>
        </is>
      </c>
      <c r="U11" s="5" t="inlineStr">
        <is>
          <t>k x squared deviations of the respondent means</t>
        </is>
      </c>
    </row>
    <row r="12">
      <c r="A12" s="6" t="inlineStr">
        <is>
          <t>V09</t>
        </is>
      </c>
      <c r="B12" s="7">
        <f>SUMIFS(Data!$H$2:$H$1729,Data!$B$2:$B$1729,$A12,Data!$F$2:$F$1729,"Joy",Data!$D$2:$D$1729,B$4)</f>
        <v/>
      </c>
      <c r="C12" s="7">
        <f>SUMIFS(Data!$H$2:$H$1729,Data!$B$2:$B$1729,$A12,Data!$F$2:$F$1729,"Joy",Data!$D$2:$D$1729,C$4)</f>
        <v/>
      </c>
      <c r="D12" s="7">
        <f>SUMIFS(Data!$H$2:$H$1729,Data!$B$2:$B$1729,$A12,Data!$F$2:$F$1729,"Joy",Data!$D$2:$D$1729,D$4)</f>
        <v/>
      </c>
      <c r="E12" s="7">
        <f>SUMIFS(Data!$H$2:$H$1729,Data!$B$2:$B$1729,$A12,Data!$F$2:$F$1729,"Joy",Data!$D$2:$D$1729,E$4)</f>
        <v/>
      </c>
      <c r="F12" s="7">
        <f>SUMIFS(Data!$H$2:$H$1729,Data!$B$2:$B$1729,$A12,Data!$F$2:$F$1729,"Joy",Data!$D$2:$D$1729,F$4)</f>
        <v/>
      </c>
      <c r="G12" s="7">
        <f>SUMIFS(Data!$H$2:$H$1729,Data!$B$2:$B$1729,$A12,Data!$F$2:$F$1729,"Joy",Data!$D$2:$D$1729,G$4)</f>
        <v/>
      </c>
      <c r="H12" s="7">
        <f>SUMIFS(Data!$H$2:$H$1729,Data!$B$2:$B$1729,$A12,Data!$F$2:$F$1729,"Joy",Data!$D$2:$D$1729,"Commercial")</f>
        <v/>
      </c>
      <c r="I12" s="7">
        <f>AVERAGE(B12:G12)</f>
        <v/>
      </c>
      <c r="J12" s="17">
        <f>_xlfn.RANK.AVG(B12,$B12:$G12,1)</f>
        <v/>
      </c>
      <c r="K12" s="17">
        <f>_xlfn.RANK.AVG(C12,$B12:$G12,1)</f>
        <v/>
      </c>
      <c r="L12" s="17">
        <f>_xlfn.RANK.AVG(D12,$B12:$G12,1)</f>
        <v/>
      </c>
      <c r="M12" s="17">
        <f>_xlfn.RANK.AVG(E12,$B12:$G12,1)</f>
        <v/>
      </c>
      <c r="N12" s="17">
        <f>_xlfn.RANK.AVG(F12,$B12:$G12,1)</f>
        <v/>
      </c>
      <c r="O12" s="17">
        <f>_xlfn.RANK.AVG(G12,$B12:$G12,1)</f>
        <v/>
      </c>
      <c r="P12" s="6">
        <f>SUMPRODUCT(COUNTIF($B12:$G12,$B12:$G12)^2-1)</f>
        <v/>
      </c>
      <c r="R12" t="inlineStr">
        <is>
          <t>SS error</t>
        </is>
      </c>
      <c r="S12" s="16">
        <f>S9-S10-S11</f>
        <v/>
      </c>
      <c r="T12" s="13" t="inlineStr">
        <is>
          <t>=S9-S10-S11</t>
        </is>
      </c>
    </row>
    <row r="13">
      <c r="A13" s="6" t="inlineStr">
        <is>
          <t>V10</t>
        </is>
      </c>
      <c r="B13" s="7">
        <f>SUMIFS(Data!$H$2:$H$1729,Data!$B$2:$B$1729,$A13,Data!$F$2:$F$1729,"Joy",Data!$D$2:$D$1729,B$4)</f>
        <v/>
      </c>
      <c r="C13" s="7">
        <f>SUMIFS(Data!$H$2:$H$1729,Data!$B$2:$B$1729,$A13,Data!$F$2:$F$1729,"Joy",Data!$D$2:$D$1729,C$4)</f>
        <v/>
      </c>
      <c r="D13" s="7">
        <f>SUMIFS(Data!$H$2:$H$1729,Data!$B$2:$B$1729,$A13,Data!$F$2:$F$1729,"Joy",Data!$D$2:$D$1729,D$4)</f>
        <v/>
      </c>
      <c r="E13" s="7">
        <f>SUMIFS(Data!$H$2:$H$1729,Data!$B$2:$B$1729,$A13,Data!$F$2:$F$1729,"Joy",Data!$D$2:$D$1729,E$4)</f>
        <v/>
      </c>
      <c r="F13" s="7">
        <f>SUMIFS(Data!$H$2:$H$1729,Data!$B$2:$B$1729,$A13,Data!$F$2:$F$1729,"Joy",Data!$D$2:$D$1729,F$4)</f>
        <v/>
      </c>
      <c r="G13" s="7">
        <f>SUMIFS(Data!$H$2:$H$1729,Data!$B$2:$B$1729,$A13,Data!$F$2:$F$1729,"Joy",Data!$D$2:$D$1729,G$4)</f>
        <v/>
      </c>
      <c r="H13" s="7">
        <f>SUMIFS(Data!$H$2:$H$1729,Data!$B$2:$B$1729,$A13,Data!$F$2:$F$1729,"Joy",Data!$D$2:$D$1729,"Commercial")</f>
        <v/>
      </c>
      <c r="I13" s="7">
        <f>AVERAGE(B13:G13)</f>
        <v/>
      </c>
      <c r="J13" s="17">
        <f>_xlfn.RANK.AVG(B13,$B13:$G13,1)</f>
        <v/>
      </c>
      <c r="K13" s="17">
        <f>_xlfn.RANK.AVG(C13,$B13:$G13,1)</f>
        <v/>
      </c>
      <c r="L13" s="17">
        <f>_xlfn.RANK.AVG(D13,$B13:$G13,1)</f>
        <v/>
      </c>
      <c r="M13" s="17">
        <f>_xlfn.RANK.AVG(E13,$B13:$G13,1)</f>
        <v/>
      </c>
      <c r="N13" s="17">
        <f>_xlfn.RANK.AVG(F13,$B13:$G13,1)</f>
        <v/>
      </c>
      <c r="O13" s="17">
        <f>_xlfn.RANK.AVG(G13,$B13:$G13,1)</f>
        <v/>
      </c>
      <c r="P13" s="6">
        <f>SUMPRODUCT(COUNTIF($B13:$G13,$B13:$G13)^2-1)</f>
        <v/>
      </c>
      <c r="R13" t="inlineStr">
        <is>
          <t>df bins</t>
        </is>
      </c>
      <c r="S13" s="14">
        <f>S7-1</f>
        <v/>
      </c>
      <c r="T13" s="13" t="inlineStr">
        <is>
          <t>=S7-1</t>
        </is>
      </c>
    </row>
    <row r="14">
      <c r="A14" s="6" t="inlineStr">
        <is>
          <t>V11</t>
        </is>
      </c>
      <c r="B14" s="7">
        <f>SUMIFS(Data!$H$2:$H$1729,Data!$B$2:$B$1729,$A14,Data!$F$2:$F$1729,"Joy",Data!$D$2:$D$1729,B$4)</f>
        <v/>
      </c>
      <c r="C14" s="7">
        <f>SUMIFS(Data!$H$2:$H$1729,Data!$B$2:$B$1729,$A14,Data!$F$2:$F$1729,"Joy",Data!$D$2:$D$1729,C$4)</f>
        <v/>
      </c>
      <c r="D14" s="7">
        <f>SUMIFS(Data!$H$2:$H$1729,Data!$B$2:$B$1729,$A14,Data!$F$2:$F$1729,"Joy",Data!$D$2:$D$1729,D$4)</f>
        <v/>
      </c>
      <c r="E14" s="7">
        <f>SUMIFS(Data!$H$2:$H$1729,Data!$B$2:$B$1729,$A14,Data!$F$2:$F$1729,"Joy",Data!$D$2:$D$1729,E$4)</f>
        <v/>
      </c>
      <c r="F14" s="7">
        <f>SUMIFS(Data!$H$2:$H$1729,Data!$B$2:$B$1729,$A14,Data!$F$2:$F$1729,"Joy",Data!$D$2:$D$1729,F$4)</f>
        <v/>
      </c>
      <c r="G14" s="7">
        <f>SUMIFS(Data!$H$2:$H$1729,Data!$B$2:$B$1729,$A14,Data!$F$2:$F$1729,"Joy",Data!$D$2:$D$1729,G$4)</f>
        <v/>
      </c>
      <c r="H14" s="7">
        <f>SUMIFS(Data!$H$2:$H$1729,Data!$B$2:$B$1729,$A14,Data!$F$2:$F$1729,"Joy",Data!$D$2:$D$1729,"Commercial")</f>
        <v/>
      </c>
      <c r="I14" s="7">
        <f>AVERAGE(B14:G14)</f>
        <v/>
      </c>
      <c r="J14" s="17">
        <f>_xlfn.RANK.AVG(B14,$B14:$G14,1)</f>
        <v/>
      </c>
      <c r="K14" s="17">
        <f>_xlfn.RANK.AVG(C14,$B14:$G14,1)</f>
        <v/>
      </c>
      <c r="L14" s="17">
        <f>_xlfn.RANK.AVG(D14,$B14:$G14,1)</f>
        <v/>
      </c>
      <c r="M14" s="17">
        <f>_xlfn.RANK.AVG(E14,$B14:$G14,1)</f>
        <v/>
      </c>
      <c r="N14" s="17">
        <f>_xlfn.RANK.AVG(F14,$B14:$G14,1)</f>
        <v/>
      </c>
      <c r="O14" s="17">
        <f>_xlfn.RANK.AVG(G14,$B14:$G14,1)</f>
        <v/>
      </c>
      <c r="P14" s="6">
        <f>SUMPRODUCT(COUNTIF($B14:$G14,$B14:$G14)^2-1)</f>
        <v/>
      </c>
      <c r="R14" t="inlineStr">
        <is>
          <t>df error</t>
        </is>
      </c>
      <c r="S14" s="14">
        <f>(S6-1)*(S7-1)</f>
        <v/>
      </c>
      <c r="T14" s="13" t="inlineStr">
        <is>
          <t>=(S6-1)*(S7-1)</t>
        </is>
      </c>
      <c r="U14" s="5" t="inlineStr">
        <is>
          <t>equals the Satterthwaite df of the mixed model here</t>
        </is>
      </c>
    </row>
    <row r="15">
      <c r="A15" s="6" t="inlineStr">
        <is>
          <t>V12</t>
        </is>
      </c>
      <c r="B15" s="7">
        <f>SUMIFS(Data!$H$2:$H$1729,Data!$B$2:$B$1729,$A15,Data!$F$2:$F$1729,"Joy",Data!$D$2:$D$1729,B$4)</f>
        <v/>
      </c>
      <c r="C15" s="7">
        <f>SUMIFS(Data!$H$2:$H$1729,Data!$B$2:$B$1729,$A15,Data!$F$2:$F$1729,"Joy",Data!$D$2:$D$1729,C$4)</f>
        <v/>
      </c>
      <c r="D15" s="7">
        <f>SUMIFS(Data!$H$2:$H$1729,Data!$B$2:$B$1729,$A15,Data!$F$2:$F$1729,"Joy",Data!$D$2:$D$1729,D$4)</f>
        <v/>
      </c>
      <c r="E15" s="7">
        <f>SUMIFS(Data!$H$2:$H$1729,Data!$B$2:$B$1729,$A15,Data!$F$2:$F$1729,"Joy",Data!$D$2:$D$1729,E$4)</f>
        <v/>
      </c>
      <c r="F15" s="7">
        <f>SUMIFS(Data!$H$2:$H$1729,Data!$B$2:$B$1729,$A15,Data!$F$2:$F$1729,"Joy",Data!$D$2:$D$1729,F$4)</f>
        <v/>
      </c>
      <c r="G15" s="7">
        <f>SUMIFS(Data!$H$2:$H$1729,Data!$B$2:$B$1729,$A15,Data!$F$2:$F$1729,"Joy",Data!$D$2:$D$1729,G$4)</f>
        <v/>
      </c>
      <c r="H15" s="7">
        <f>SUMIFS(Data!$H$2:$H$1729,Data!$B$2:$B$1729,$A15,Data!$F$2:$F$1729,"Joy",Data!$D$2:$D$1729,"Commercial")</f>
        <v/>
      </c>
      <c r="I15" s="7">
        <f>AVERAGE(B15:G15)</f>
        <v/>
      </c>
      <c r="J15" s="17">
        <f>_xlfn.RANK.AVG(B15,$B15:$G15,1)</f>
        <v/>
      </c>
      <c r="K15" s="17">
        <f>_xlfn.RANK.AVG(C15,$B15:$G15,1)</f>
        <v/>
      </c>
      <c r="L15" s="17">
        <f>_xlfn.RANK.AVG(D15,$B15:$G15,1)</f>
        <v/>
      </c>
      <c r="M15" s="17">
        <f>_xlfn.RANK.AVG(E15,$B15:$G15,1)</f>
        <v/>
      </c>
      <c r="N15" s="17">
        <f>_xlfn.RANK.AVG(F15,$B15:$G15,1)</f>
        <v/>
      </c>
      <c r="O15" s="17">
        <f>_xlfn.RANK.AVG(G15,$B15:$G15,1)</f>
        <v/>
      </c>
      <c r="P15" s="6">
        <f>SUMPRODUCT(COUNTIF($B15:$G15,$B15:$G15)^2-1)</f>
        <v/>
      </c>
      <c r="R15" t="inlineStr">
        <is>
          <t>MS bins</t>
        </is>
      </c>
      <c r="S15" s="12">
        <f>S10/S13</f>
        <v/>
      </c>
      <c r="T15" s="13" t="inlineStr">
        <is>
          <t>=S10/S13</t>
        </is>
      </c>
    </row>
    <row r="16">
      <c r="A16" s="6" t="inlineStr">
        <is>
          <t>V13</t>
        </is>
      </c>
      <c r="B16" s="7">
        <f>SUMIFS(Data!$H$2:$H$1729,Data!$B$2:$B$1729,$A16,Data!$F$2:$F$1729,"Joy",Data!$D$2:$D$1729,B$4)</f>
        <v/>
      </c>
      <c r="C16" s="7">
        <f>SUMIFS(Data!$H$2:$H$1729,Data!$B$2:$B$1729,$A16,Data!$F$2:$F$1729,"Joy",Data!$D$2:$D$1729,C$4)</f>
        <v/>
      </c>
      <c r="D16" s="7">
        <f>SUMIFS(Data!$H$2:$H$1729,Data!$B$2:$B$1729,$A16,Data!$F$2:$F$1729,"Joy",Data!$D$2:$D$1729,D$4)</f>
        <v/>
      </c>
      <c r="E16" s="7">
        <f>SUMIFS(Data!$H$2:$H$1729,Data!$B$2:$B$1729,$A16,Data!$F$2:$F$1729,"Joy",Data!$D$2:$D$1729,E$4)</f>
        <v/>
      </c>
      <c r="F16" s="7">
        <f>SUMIFS(Data!$H$2:$H$1729,Data!$B$2:$B$1729,$A16,Data!$F$2:$F$1729,"Joy",Data!$D$2:$D$1729,F$4)</f>
        <v/>
      </c>
      <c r="G16" s="7">
        <f>SUMIFS(Data!$H$2:$H$1729,Data!$B$2:$B$1729,$A16,Data!$F$2:$F$1729,"Joy",Data!$D$2:$D$1729,G$4)</f>
        <v/>
      </c>
      <c r="H16" s="7">
        <f>SUMIFS(Data!$H$2:$H$1729,Data!$B$2:$B$1729,$A16,Data!$F$2:$F$1729,"Joy",Data!$D$2:$D$1729,"Commercial")</f>
        <v/>
      </c>
      <c r="I16" s="7">
        <f>AVERAGE(B16:G16)</f>
        <v/>
      </c>
      <c r="J16" s="17">
        <f>_xlfn.RANK.AVG(B16,$B16:$G16,1)</f>
        <v/>
      </c>
      <c r="K16" s="17">
        <f>_xlfn.RANK.AVG(C16,$B16:$G16,1)</f>
        <v/>
      </c>
      <c r="L16" s="17">
        <f>_xlfn.RANK.AVG(D16,$B16:$G16,1)</f>
        <v/>
      </c>
      <c r="M16" s="17">
        <f>_xlfn.RANK.AVG(E16,$B16:$G16,1)</f>
        <v/>
      </c>
      <c r="N16" s="17">
        <f>_xlfn.RANK.AVG(F16,$B16:$G16,1)</f>
        <v/>
      </c>
      <c r="O16" s="17">
        <f>_xlfn.RANK.AVG(G16,$B16:$G16,1)</f>
        <v/>
      </c>
      <c r="P16" s="6">
        <f>SUMPRODUCT(COUNTIF($B16:$G16,$B16:$G16)^2-1)</f>
        <v/>
      </c>
      <c r="R16" t="inlineStr">
        <is>
          <t>MS error</t>
        </is>
      </c>
      <c r="S16" s="12">
        <f>S12/S14</f>
        <v/>
      </c>
      <c r="T16" s="13" t="inlineStr">
        <is>
          <t>=S12/S14</t>
        </is>
      </c>
      <c r="U16" s="5" t="inlineStr">
        <is>
          <t>equals the residual variance of the mixed model</t>
        </is>
      </c>
    </row>
    <row r="17">
      <c r="A17" s="6" t="inlineStr">
        <is>
          <t>V14</t>
        </is>
      </c>
      <c r="B17" s="7">
        <f>SUMIFS(Data!$H$2:$H$1729,Data!$B$2:$B$1729,$A17,Data!$F$2:$F$1729,"Joy",Data!$D$2:$D$1729,B$4)</f>
        <v/>
      </c>
      <c r="C17" s="7">
        <f>SUMIFS(Data!$H$2:$H$1729,Data!$B$2:$B$1729,$A17,Data!$F$2:$F$1729,"Joy",Data!$D$2:$D$1729,C$4)</f>
        <v/>
      </c>
      <c r="D17" s="7">
        <f>SUMIFS(Data!$H$2:$H$1729,Data!$B$2:$B$1729,$A17,Data!$F$2:$F$1729,"Joy",Data!$D$2:$D$1729,D$4)</f>
        <v/>
      </c>
      <c r="E17" s="7">
        <f>SUMIFS(Data!$H$2:$H$1729,Data!$B$2:$B$1729,$A17,Data!$F$2:$F$1729,"Joy",Data!$D$2:$D$1729,E$4)</f>
        <v/>
      </c>
      <c r="F17" s="7">
        <f>SUMIFS(Data!$H$2:$H$1729,Data!$B$2:$B$1729,$A17,Data!$F$2:$F$1729,"Joy",Data!$D$2:$D$1729,F$4)</f>
        <v/>
      </c>
      <c r="G17" s="7">
        <f>SUMIFS(Data!$H$2:$H$1729,Data!$B$2:$B$1729,$A17,Data!$F$2:$F$1729,"Joy",Data!$D$2:$D$1729,G$4)</f>
        <v/>
      </c>
      <c r="H17" s="7">
        <f>SUMIFS(Data!$H$2:$H$1729,Data!$B$2:$B$1729,$A17,Data!$F$2:$F$1729,"Joy",Data!$D$2:$D$1729,"Commercial")</f>
        <v/>
      </c>
      <c r="I17" s="7">
        <f>AVERAGE(B17:G17)</f>
        <v/>
      </c>
      <c r="J17" s="17">
        <f>_xlfn.RANK.AVG(B17,$B17:$G17,1)</f>
        <v/>
      </c>
      <c r="K17" s="17">
        <f>_xlfn.RANK.AVG(C17,$B17:$G17,1)</f>
        <v/>
      </c>
      <c r="L17" s="17">
        <f>_xlfn.RANK.AVG(D17,$B17:$G17,1)</f>
        <v/>
      </c>
      <c r="M17" s="17">
        <f>_xlfn.RANK.AVG(E17,$B17:$G17,1)</f>
        <v/>
      </c>
      <c r="N17" s="17">
        <f>_xlfn.RANK.AVG(F17,$B17:$G17,1)</f>
        <v/>
      </c>
      <c r="O17" s="17">
        <f>_xlfn.RANK.AVG(G17,$B17:$G17,1)</f>
        <v/>
      </c>
      <c r="P17" s="6">
        <f>SUMPRODUCT(COUNTIF($B17:$G17,$B17:$G17)^2-1)</f>
        <v/>
      </c>
      <c r="R17" t="inlineStr">
        <is>
          <t>F</t>
        </is>
      </c>
      <c r="S17" s="12">
        <f>S15/S16</f>
        <v/>
      </c>
      <c r="T17" s="13" t="inlineStr">
        <is>
          <t>=S15/S16</t>
        </is>
      </c>
    </row>
    <row r="18">
      <c r="A18" s="6" t="inlineStr">
        <is>
          <t>V15</t>
        </is>
      </c>
      <c r="B18" s="7">
        <f>SUMIFS(Data!$H$2:$H$1729,Data!$B$2:$B$1729,$A18,Data!$F$2:$F$1729,"Joy",Data!$D$2:$D$1729,B$4)</f>
        <v/>
      </c>
      <c r="C18" s="7">
        <f>SUMIFS(Data!$H$2:$H$1729,Data!$B$2:$B$1729,$A18,Data!$F$2:$F$1729,"Joy",Data!$D$2:$D$1729,C$4)</f>
        <v/>
      </c>
      <c r="D18" s="7">
        <f>SUMIFS(Data!$H$2:$H$1729,Data!$B$2:$B$1729,$A18,Data!$F$2:$F$1729,"Joy",Data!$D$2:$D$1729,D$4)</f>
        <v/>
      </c>
      <c r="E18" s="7">
        <f>SUMIFS(Data!$H$2:$H$1729,Data!$B$2:$B$1729,$A18,Data!$F$2:$F$1729,"Joy",Data!$D$2:$D$1729,E$4)</f>
        <v/>
      </c>
      <c r="F18" s="7">
        <f>SUMIFS(Data!$H$2:$H$1729,Data!$B$2:$B$1729,$A18,Data!$F$2:$F$1729,"Joy",Data!$D$2:$D$1729,F$4)</f>
        <v/>
      </c>
      <c r="G18" s="7">
        <f>SUMIFS(Data!$H$2:$H$1729,Data!$B$2:$B$1729,$A18,Data!$F$2:$F$1729,"Joy",Data!$D$2:$D$1729,G$4)</f>
        <v/>
      </c>
      <c r="H18" s="7">
        <f>SUMIFS(Data!$H$2:$H$1729,Data!$B$2:$B$1729,$A18,Data!$F$2:$F$1729,"Joy",Data!$D$2:$D$1729,"Commercial")</f>
        <v/>
      </c>
      <c r="I18" s="7">
        <f>AVERAGE(B18:G18)</f>
        <v/>
      </c>
      <c r="J18" s="17">
        <f>_xlfn.RANK.AVG(B18,$B18:$G18,1)</f>
        <v/>
      </c>
      <c r="K18" s="17">
        <f>_xlfn.RANK.AVG(C18,$B18:$G18,1)</f>
        <v/>
      </c>
      <c r="L18" s="17">
        <f>_xlfn.RANK.AVG(D18,$B18:$G18,1)</f>
        <v/>
      </c>
      <c r="M18" s="17">
        <f>_xlfn.RANK.AVG(E18,$B18:$G18,1)</f>
        <v/>
      </c>
      <c r="N18" s="17">
        <f>_xlfn.RANK.AVG(F18,$B18:$G18,1)</f>
        <v/>
      </c>
      <c r="O18" s="17">
        <f>_xlfn.RANK.AVG(G18,$B18:$G18,1)</f>
        <v/>
      </c>
      <c r="P18" s="6">
        <f>SUMPRODUCT(COUNTIF($B18:$G18,$B18:$G18)^2-1)</f>
        <v/>
      </c>
      <c r="R18" t="inlineStr">
        <is>
          <t>p (F.DIST.RT)</t>
        </is>
      </c>
      <c r="S18" s="15">
        <f>_xlfn.F.DIST.RT(S17,S13,S14)</f>
        <v/>
      </c>
      <c r="T18" s="13" t="inlineStr">
        <is>
          <t>=F.DIST.RT(S17,S13,S14)</t>
        </is>
      </c>
    </row>
    <row r="19">
      <c r="A19" s="6" t="inlineStr">
        <is>
          <t>V16</t>
        </is>
      </c>
      <c r="B19" s="7">
        <f>SUMIFS(Data!$H$2:$H$1729,Data!$B$2:$B$1729,$A19,Data!$F$2:$F$1729,"Joy",Data!$D$2:$D$1729,B$4)</f>
        <v/>
      </c>
      <c r="C19" s="7">
        <f>SUMIFS(Data!$H$2:$H$1729,Data!$B$2:$B$1729,$A19,Data!$F$2:$F$1729,"Joy",Data!$D$2:$D$1729,C$4)</f>
        <v/>
      </c>
      <c r="D19" s="7">
        <f>SUMIFS(Data!$H$2:$H$1729,Data!$B$2:$B$1729,$A19,Data!$F$2:$F$1729,"Joy",Data!$D$2:$D$1729,D$4)</f>
        <v/>
      </c>
      <c r="E19" s="7">
        <f>SUMIFS(Data!$H$2:$H$1729,Data!$B$2:$B$1729,$A19,Data!$F$2:$F$1729,"Joy",Data!$D$2:$D$1729,E$4)</f>
        <v/>
      </c>
      <c r="F19" s="7">
        <f>SUMIFS(Data!$H$2:$H$1729,Data!$B$2:$B$1729,$A19,Data!$F$2:$F$1729,"Joy",Data!$D$2:$D$1729,F$4)</f>
        <v/>
      </c>
      <c r="G19" s="7">
        <f>SUMIFS(Data!$H$2:$H$1729,Data!$B$2:$B$1729,$A19,Data!$F$2:$F$1729,"Joy",Data!$D$2:$D$1729,G$4)</f>
        <v/>
      </c>
      <c r="H19" s="7">
        <f>SUMIFS(Data!$H$2:$H$1729,Data!$B$2:$B$1729,$A19,Data!$F$2:$F$1729,"Joy",Data!$D$2:$D$1729,"Commercial")</f>
        <v/>
      </c>
      <c r="I19" s="7">
        <f>AVERAGE(B19:G19)</f>
        <v/>
      </c>
      <c r="J19" s="17">
        <f>_xlfn.RANK.AVG(B19,$B19:$G19,1)</f>
        <v/>
      </c>
      <c r="K19" s="17">
        <f>_xlfn.RANK.AVG(C19,$B19:$G19,1)</f>
        <v/>
      </c>
      <c r="L19" s="17">
        <f>_xlfn.RANK.AVG(D19,$B19:$G19,1)</f>
        <v/>
      </c>
      <c r="M19" s="17">
        <f>_xlfn.RANK.AVG(E19,$B19:$G19,1)</f>
        <v/>
      </c>
      <c r="N19" s="17">
        <f>_xlfn.RANK.AVG(F19,$B19:$G19,1)</f>
        <v/>
      </c>
      <c r="O19" s="17">
        <f>_xlfn.RANK.AVG(G19,$B19:$G19,1)</f>
        <v/>
      </c>
      <c r="P19" s="6">
        <f>SUMPRODUCT(COUNTIF($B19:$G19,$B19:$G19)^2-1)</f>
        <v/>
      </c>
      <c r="R19" t="inlineStr">
        <is>
          <t>Respondent variance (ANOVA estimate)</t>
        </is>
      </c>
      <c r="S19" s="12">
        <f>(((S11)/(S6-1))-S16)/S7</f>
        <v/>
      </c>
      <c r="T19" s="13" t="inlineStr">
        <is>
          <t>=(((S11)/(S6-1))-S16)/S7</t>
        </is>
      </c>
      <c r="U19" s="5" t="inlineStr">
        <is>
          <t>equals the random intercept variance of the model</t>
        </is>
      </c>
    </row>
    <row r="20">
      <c r="A20" s="6" t="inlineStr">
        <is>
          <t>V17</t>
        </is>
      </c>
      <c r="B20" s="7">
        <f>SUMIFS(Data!$H$2:$H$1729,Data!$B$2:$B$1729,$A20,Data!$F$2:$F$1729,"Joy",Data!$D$2:$D$1729,B$4)</f>
        <v/>
      </c>
      <c r="C20" s="7">
        <f>SUMIFS(Data!$H$2:$H$1729,Data!$B$2:$B$1729,$A20,Data!$F$2:$F$1729,"Joy",Data!$D$2:$D$1729,C$4)</f>
        <v/>
      </c>
      <c r="D20" s="7">
        <f>SUMIFS(Data!$H$2:$H$1729,Data!$B$2:$B$1729,$A20,Data!$F$2:$F$1729,"Joy",Data!$D$2:$D$1729,D$4)</f>
        <v/>
      </c>
      <c r="E20" s="7">
        <f>SUMIFS(Data!$H$2:$H$1729,Data!$B$2:$B$1729,$A20,Data!$F$2:$F$1729,"Joy",Data!$D$2:$D$1729,E$4)</f>
        <v/>
      </c>
      <c r="F20" s="7">
        <f>SUMIFS(Data!$H$2:$H$1729,Data!$B$2:$B$1729,$A20,Data!$F$2:$F$1729,"Joy",Data!$D$2:$D$1729,F$4)</f>
        <v/>
      </c>
      <c r="G20" s="7">
        <f>SUMIFS(Data!$H$2:$H$1729,Data!$B$2:$B$1729,$A20,Data!$F$2:$F$1729,"Joy",Data!$D$2:$D$1729,G$4)</f>
        <v/>
      </c>
      <c r="H20" s="7">
        <f>SUMIFS(Data!$H$2:$H$1729,Data!$B$2:$B$1729,$A20,Data!$F$2:$F$1729,"Joy",Data!$D$2:$D$1729,"Commercial")</f>
        <v/>
      </c>
      <c r="I20" s="7">
        <f>AVERAGE(B20:G20)</f>
        <v/>
      </c>
      <c r="J20" s="17">
        <f>_xlfn.RANK.AVG(B20,$B20:$G20,1)</f>
        <v/>
      </c>
      <c r="K20" s="17">
        <f>_xlfn.RANK.AVG(C20,$B20:$G20,1)</f>
        <v/>
      </c>
      <c r="L20" s="17">
        <f>_xlfn.RANK.AVG(D20,$B20:$G20,1)</f>
        <v/>
      </c>
      <c r="M20" s="17">
        <f>_xlfn.RANK.AVG(E20,$B20:$G20,1)</f>
        <v/>
      </c>
      <c r="N20" s="17">
        <f>_xlfn.RANK.AVG(F20,$B20:$G20,1)</f>
        <v/>
      </c>
      <c r="O20" s="17">
        <f>_xlfn.RANK.AVG(G20,$B20:$G20,1)</f>
        <v/>
      </c>
      <c r="P20" s="6">
        <f>SUMPRODUCT(COUNTIF($B20:$G20,$B20:$G20)^2-1)</f>
        <v/>
      </c>
      <c r="R20" t="inlineStr">
        <is>
          <t>ICC (adjusted)</t>
        </is>
      </c>
      <c r="S20" s="12">
        <f>S19/(S19+S16)</f>
        <v/>
      </c>
      <c r="T20" s="13" t="inlineStr">
        <is>
          <t>=S19/(S19+S16)</t>
        </is>
      </c>
      <c r="U20" s="5" t="inlineStr">
        <is>
          <t>share of the remaining variance that lies between viewers</t>
        </is>
      </c>
    </row>
    <row r="21">
      <c r="A21" s="6" t="inlineStr">
        <is>
          <t>V18</t>
        </is>
      </c>
      <c r="B21" s="7">
        <f>SUMIFS(Data!$H$2:$H$1729,Data!$B$2:$B$1729,$A21,Data!$F$2:$F$1729,"Joy",Data!$D$2:$D$1729,B$4)</f>
        <v/>
      </c>
      <c r="C21" s="7">
        <f>SUMIFS(Data!$H$2:$H$1729,Data!$B$2:$B$1729,$A21,Data!$F$2:$F$1729,"Joy",Data!$D$2:$D$1729,C$4)</f>
        <v/>
      </c>
      <c r="D21" s="7">
        <f>SUMIFS(Data!$H$2:$H$1729,Data!$B$2:$B$1729,$A21,Data!$F$2:$F$1729,"Joy",Data!$D$2:$D$1729,D$4)</f>
        <v/>
      </c>
      <c r="E21" s="7">
        <f>SUMIFS(Data!$H$2:$H$1729,Data!$B$2:$B$1729,$A21,Data!$F$2:$F$1729,"Joy",Data!$D$2:$D$1729,E$4)</f>
        <v/>
      </c>
      <c r="F21" s="7">
        <f>SUMIFS(Data!$H$2:$H$1729,Data!$B$2:$B$1729,$A21,Data!$F$2:$F$1729,"Joy",Data!$D$2:$D$1729,F$4)</f>
        <v/>
      </c>
      <c r="G21" s="7">
        <f>SUMIFS(Data!$H$2:$H$1729,Data!$B$2:$B$1729,$A21,Data!$F$2:$F$1729,"Joy",Data!$D$2:$D$1729,G$4)</f>
        <v/>
      </c>
      <c r="H21" s="7">
        <f>SUMIFS(Data!$H$2:$H$1729,Data!$B$2:$B$1729,$A21,Data!$F$2:$F$1729,"Joy",Data!$D$2:$D$1729,"Commercial")</f>
        <v/>
      </c>
      <c r="I21" s="7">
        <f>AVERAGE(B21:G21)</f>
        <v/>
      </c>
      <c r="J21" s="17">
        <f>_xlfn.RANK.AVG(B21,$B21:$G21,1)</f>
        <v/>
      </c>
      <c r="K21" s="17">
        <f>_xlfn.RANK.AVG(C21,$B21:$G21,1)</f>
        <v/>
      </c>
      <c r="L21" s="17">
        <f>_xlfn.RANK.AVG(D21,$B21:$G21,1)</f>
        <v/>
      </c>
      <c r="M21" s="17">
        <f>_xlfn.RANK.AVG(E21,$B21:$G21,1)</f>
        <v/>
      </c>
      <c r="N21" s="17">
        <f>_xlfn.RANK.AVG(F21,$B21:$G21,1)</f>
        <v/>
      </c>
      <c r="O21" s="17">
        <f>_xlfn.RANK.AVG(G21,$B21:$G21,1)</f>
        <v/>
      </c>
      <c r="P21" s="6">
        <f>SUMPRODUCT(COUNTIF($B21:$G21,$B21:$G21)^2-1)</f>
        <v/>
      </c>
    </row>
    <row r="22">
      <c r="A22" s="6" t="inlineStr">
        <is>
          <t>V20</t>
        </is>
      </c>
      <c r="B22" s="7">
        <f>SUMIFS(Data!$H$2:$H$1729,Data!$B$2:$B$1729,$A22,Data!$F$2:$F$1729,"Joy",Data!$D$2:$D$1729,B$4)</f>
        <v/>
      </c>
      <c r="C22" s="7">
        <f>SUMIFS(Data!$H$2:$H$1729,Data!$B$2:$B$1729,$A22,Data!$F$2:$F$1729,"Joy",Data!$D$2:$D$1729,C$4)</f>
        <v/>
      </c>
      <c r="D22" s="7">
        <f>SUMIFS(Data!$H$2:$H$1729,Data!$B$2:$B$1729,$A22,Data!$F$2:$F$1729,"Joy",Data!$D$2:$D$1729,D$4)</f>
        <v/>
      </c>
      <c r="E22" s="7">
        <f>SUMIFS(Data!$H$2:$H$1729,Data!$B$2:$B$1729,$A22,Data!$F$2:$F$1729,"Joy",Data!$D$2:$D$1729,E$4)</f>
        <v/>
      </c>
      <c r="F22" s="7">
        <f>SUMIFS(Data!$H$2:$H$1729,Data!$B$2:$B$1729,$A22,Data!$F$2:$F$1729,"Joy",Data!$D$2:$D$1729,F$4)</f>
        <v/>
      </c>
      <c r="G22" s="7">
        <f>SUMIFS(Data!$H$2:$H$1729,Data!$B$2:$B$1729,$A22,Data!$F$2:$F$1729,"Joy",Data!$D$2:$D$1729,G$4)</f>
        <v/>
      </c>
      <c r="H22" s="7">
        <f>SUMIFS(Data!$H$2:$H$1729,Data!$B$2:$B$1729,$A22,Data!$F$2:$F$1729,"Joy",Data!$D$2:$D$1729,"Commercial")</f>
        <v/>
      </c>
      <c r="I22" s="7">
        <f>AVERAGE(B22:G22)</f>
        <v/>
      </c>
      <c r="J22" s="17">
        <f>_xlfn.RANK.AVG(B22,$B22:$G22,1)</f>
        <v/>
      </c>
      <c r="K22" s="17">
        <f>_xlfn.RANK.AVG(C22,$B22:$G22,1)</f>
        <v/>
      </c>
      <c r="L22" s="17">
        <f>_xlfn.RANK.AVG(D22,$B22:$G22,1)</f>
        <v/>
      </c>
      <c r="M22" s="17">
        <f>_xlfn.RANK.AVG(E22,$B22:$G22,1)</f>
        <v/>
      </c>
      <c r="N22" s="17">
        <f>_xlfn.RANK.AVG(F22,$B22:$G22,1)</f>
        <v/>
      </c>
      <c r="O22" s="17">
        <f>_xlfn.RANK.AVG(G22,$B22:$G22,1)</f>
        <v/>
      </c>
      <c r="P22" s="6">
        <f>SUMPRODUCT(COUNTIF($B22:$G22,$B22:$G22)^2-1)</f>
        <v/>
      </c>
      <c r="R22" s="11" t="inlineStr">
        <is>
          <t>Friedman test by hand (nonparametric check, ties corrected as in R)</t>
        </is>
      </c>
    </row>
    <row r="23">
      <c r="A23" s="6" t="inlineStr">
        <is>
          <t>V21</t>
        </is>
      </c>
      <c r="B23" s="7">
        <f>SUMIFS(Data!$H$2:$H$1729,Data!$B$2:$B$1729,$A23,Data!$F$2:$F$1729,"Joy",Data!$D$2:$D$1729,B$4)</f>
        <v/>
      </c>
      <c r="C23" s="7">
        <f>SUMIFS(Data!$H$2:$H$1729,Data!$B$2:$B$1729,$A23,Data!$F$2:$F$1729,"Joy",Data!$D$2:$D$1729,C$4)</f>
        <v/>
      </c>
      <c r="D23" s="7">
        <f>SUMIFS(Data!$H$2:$H$1729,Data!$B$2:$B$1729,$A23,Data!$F$2:$F$1729,"Joy",Data!$D$2:$D$1729,D$4)</f>
        <v/>
      </c>
      <c r="E23" s="7">
        <f>SUMIFS(Data!$H$2:$H$1729,Data!$B$2:$B$1729,$A23,Data!$F$2:$F$1729,"Joy",Data!$D$2:$D$1729,E$4)</f>
        <v/>
      </c>
      <c r="F23" s="7">
        <f>SUMIFS(Data!$H$2:$H$1729,Data!$B$2:$B$1729,$A23,Data!$F$2:$F$1729,"Joy",Data!$D$2:$D$1729,F$4)</f>
        <v/>
      </c>
      <c r="G23" s="7">
        <f>SUMIFS(Data!$H$2:$H$1729,Data!$B$2:$B$1729,$A23,Data!$F$2:$F$1729,"Joy",Data!$D$2:$D$1729,G$4)</f>
        <v/>
      </c>
      <c r="H23" s="7">
        <f>SUMIFS(Data!$H$2:$H$1729,Data!$B$2:$B$1729,$A23,Data!$F$2:$F$1729,"Joy",Data!$D$2:$D$1729,"Commercial")</f>
        <v/>
      </c>
      <c r="I23" s="7">
        <f>AVERAGE(B23:G23)</f>
        <v/>
      </c>
      <c r="J23" s="17">
        <f>_xlfn.RANK.AVG(B23,$B23:$G23,1)</f>
        <v/>
      </c>
      <c r="K23" s="17">
        <f>_xlfn.RANK.AVG(C23,$B23:$G23,1)</f>
        <v/>
      </c>
      <c r="L23" s="17">
        <f>_xlfn.RANK.AVG(D23,$B23:$G23,1)</f>
        <v/>
      </c>
      <c r="M23" s="17">
        <f>_xlfn.RANK.AVG(E23,$B23:$G23,1)</f>
        <v/>
      </c>
      <c r="N23" s="17">
        <f>_xlfn.RANK.AVG(F23,$B23:$G23,1)</f>
        <v/>
      </c>
      <c r="O23" s="17">
        <f>_xlfn.RANK.AVG(G23,$B23:$G23,1)</f>
        <v/>
      </c>
      <c r="P23" s="6">
        <f>SUMPRODUCT(COUNTIF($B23:$G23,$B23:$G23)^2-1)</f>
        <v/>
      </c>
      <c r="R23" t="inlineStr">
        <is>
          <t>12 x sum of squared deviations of the rank sums</t>
        </is>
      </c>
      <c r="S23" s="16">
        <f>12*SUMPRODUCT((B44:G44-S6*(S7+1)/2)^2)</f>
        <v/>
      </c>
      <c r="T23" s="13" t="inlineStr">
        <is>
          <t>=12*SUMPRODUCT((B44:G44-S6*(S7+1)/2)^2)</t>
        </is>
      </c>
      <c r="U23" s="5" t="inlineStr">
        <is>
          <t>rank sums are in the Friedman rank sum row</t>
        </is>
      </c>
    </row>
    <row r="24">
      <c r="A24" s="6" t="inlineStr">
        <is>
          <t>V22</t>
        </is>
      </c>
      <c r="B24" s="7">
        <f>SUMIFS(Data!$H$2:$H$1729,Data!$B$2:$B$1729,$A24,Data!$F$2:$F$1729,"Joy",Data!$D$2:$D$1729,B$4)</f>
        <v/>
      </c>
      <c r="C24" s="7">
        <f>SUMIFS(Data!$H$2:$H$1729,Data!$B$2:$B$1729,$A24,Data!$F$2:$F$1729,"Joy",Data!$D$2:$D$1729,C$4)</f>
        <v/>
      </c>
      <c r="D24" s="7">
        <f>SUMIFS(Data!$H$2:$H$1729,Data!$B$2:$B$1729,$A24,Data!$F$2:$F$1729,"Joy",Data!$D$2:$D$1729,D$4)</f>
        <v/>
      </c>
      <c r="E24" s="7">
        <f>SUMIFS(Data!$H$2:$H$1729,Data!$B$2:$B$1729,$A24,Data!$F$2:$F$1729,"Joy",Data!$D$2:$D$1729,E$4)</f>
        <v/>
      </c>
      <c r="F24" s="7">
        <f>SUMIFS(Data!$H$2:$H$1729,Data!$B$2:$B$1729,$A24,Data!$F$2:$F$1729,"Joy",Data!$D$2:$D$1729,F$4)</f>
        <v/>
      </c>
      <c r="G24" s="7">
        <f>SUMIFS(Data!$H$2:$H$1729,Data!$B$2:$B$1729,$A24,Data!$F$2:$F$1729,"Joy",Data!$D$2:$D$1729,G$4)</f>
        <v/>
      </c>
      <c r="H24" s="7">
        <f>SUMIFS(Data!$H$2:$H$1729,Data!$B$2:$B$1729,$A24,Data!$F$2:$F$1729,"Joy",Data!$D$2:$D$1729,"Commercial")</f>
        <v/>
      </c>
      <c r="I24" s="7">
        <f>AVERAGE(B24:G24)</f>
        <v/>
      </c>
      <c r="J24" s="17">
        <f>_xlfn.RANK.AVG(B24,$B24:$G24,1)</f>
        <v/>
      </c>
      <c r="K24" s="17">
        <f>_xlfn.RANK.AVG(C24,$B24:$G24,1)</f>
        <v/>
      </c>
      <c r="L24" s="17">
        <f>_xlfn.RANK.AVG(D24,$B24:$G24,1)</f>
        <v/>
      </c>
      <c r="M24" s="17">
        <f>_xlfn.RANK.AVG(E24,$B24:$G24,1)</f>
        <v/>
      </c>
      <c r="N24" s="17">
        <f>_xlfn.RANK.AVG(F24,$B24:$G24,1)</f>
        <v/>
      </c>
      <c r="O24" s="17">
        <f>_xlfn.RANK.AVG(G24,$B24:$G24,1)</f>
        <v/>
      </c>
      <c r="P24" s="6">
        <f>SUMPRODUCT(COUNTIF($B24:$G24,$B24:$G24)^2-1)</f>
        <v/>
      </c>
      <c r="R24" t="inlineStr">
        <is>
          <t>Denominator with tie correction</t>
        </is>
      </c>
      <c r="S24" s="16">
        <f>S6*S7*(S7+1)-SUM(P5:P34)/(S7-1)</f>
        <v/>
      </c>
      <c r="T24" s="13" t="inlineStr">
        <is>
          <t>=S6*S7*(S7+1)-SUM(P5:P34)/(S7-1)</t>
        </is>
      </c>
      <c r="U24" s="5" t="inlineStr">
        <is>
          <t>n k (k + 1) minus the tie sum / (k - 1)</t>
        </is>
      </c>
    </row>
    <row r="25">
      <c r="A25" s="6" t="inlineStr">
        <is>
          <t>V23</t>
        </is>
      </c>
      <c r="B25" s="7">
        <f>SUMIFS(Data!$H$2:$H$1729,Data!$B$2:$B$1729,$A25,Data!$F$2:$F$1729,"Joy",Data!$D$2:$D$1729,B$4)</f>
        <v/>
      </c>
      <c r="C25" s="7">
        <f>SUMIFS(Data!$H$2:$H$1729,Data!$B$2:$B$1729,$A25,Data!$F$2:$F$1729,"Joy",Data!$D$2:$D$1729,C$4)</f>
        <v/>
      </c>
      <c r="D25" s="7">
        <f>SUMIFS(Data!$H$2:$H$1729,Data!$B$2:$B$1729,$A25,Data!$F$2:$F$1729,"Joy",Data!$D$2:$D$1729,D$4)</f>
        <v/>
      </c>
      <c r="E25" s="7">
        <f>SUMIFS(Data!$H$2:$H$1729,Data!$B$2:$B$1729,$A25,Data!$F$2:$F$1729,"Joy",Data!$D$2:$D$1729,E$4)</f>
        <v/>
      </c>
      <c r="F25" s="7">
        <f>SUMIFS(Data!$H$2:$H$1729,Data!$B$2:$B$1729,$A25,Data!$F$2:$F$1729,"Joy",Data!$D$2:$D$1729,F$4)</f>
        <v/>
      </c>
      <c r="G25" s="7">
        <f>SUMIFS(Data!$H$2:$H$1729,Data!$B$2:$B$1729,$A25,Data!$F$2:$F$1729,"Joy",Data!$D$2:$D$1729,G$4)</f>
        <v/>
      </c>
      <c r="H25" s="7">
        <f>SUMIFS(Data!$H$2:$H$1729,Data!$B$2:$B$1729,$A25,Data!$F$2:$F$1729,"Joy",Data!$D$2:$D$1729,"Commercial")</f>
        <v/>
      </c>
      <c r="I25" s="7">
        <f>AVERAGE(B25:G25)</f>
        <v/>
      </c>
      <c r="J25" s="17">
        <f>_xlfn.RANK.AVG(B25,$B25:$G25,1)</f>
        <v/>
      </c>
      <c r="K25" s="17">
        <f>_xlfn.RANK.AVG(C25,$B25:$G25,1)</f>
        <v/>
      </c>
      <c r="L25" s="17">
        <f>_xlfn.RANK.AVG(D25,$B25:$G25,1)</f>
        <v/>
      </c>
      <c r="M25" s="17">
        <f>_xlfn.RANK.AVG(E25,$B25:$G25,1)</f>
        <v/>
      </c>
      <c r="N25" s="17">
        <f>_xlfn.RANK.AVG(F25,$B25:$G25,1)</f>
        <v/>
      </c>
      <c r="O25" s="17">
        <f>_xlfn.RANK.AVG(G25,$B25:$G25,1)</f>
        <v/>
      </c>
      <c r="P25" s="6">
        <f>SUMPRODUCT(COUNTIF($B25:$G25,$B25:$G25)^2-1)</f>
        <v/>
      </c>
      <c r="R25" t="inlineStr">
        <is>
          <t>Friedman chi-squared</t>
        </is>
      </c>
      <c r="S25" s="12">
        <f>S23/S24</f>
        <v/>
      </c>
      <c r="T25" s="13" t="inlineStr">
        <is>
          <t>=S23/S24</t>
        </is>
      </c>
    </row>
    <row r="26">
      <c r="A26" s="6" t="inlineStr">
        <is>
          <t>V24</t>
        </is>
      </c>
      <c r="B26" s="7">
        <f>SUMIFS(Data!$H$2:$H$1729,Data!$B$2:$B$1729,$A26,Data!$F$2:$F$1729,"Joy",Data!$D$2:$D$1729,B$4)</f>
        <v/>
      </c>
      <c r="C26" s="7">
        <f>SUMIFS(Data!$H$2:$H$1729,Data!$B$2:$B$1729,$A26,Data!$F$2:$F$1729,"Joy",Data!$D$2:$D$1729,C$4)</f>
        <v/>
      </c>
      <c r="D26" s="7">
        <f>SUMIFS(Data!$H$2:$H$1729,Data!$B$2:$B$1729,$A26,Data!$F$2:$F$1729,"Joy",Data!$D$2:$D$1729,D$4)</f>
        <v/>
      </c>
      <c r="E26" s="7">
        <f>SUMIFS(Data!$H$2:$H$1729,Data!$B$2:$B$1729,$A26,Data!$F$2:$F$1729,"Joy",Data!$D$2:$D$1729,E$4)</f>
        <v/>
      </c>
      <c r="F26" s="7">
        <f>SUMIFS(Data!$H$2:$H$1729,Data!$B$2:$B$1729,$A26,Data!$F$2:$F$1729,"Joy",Data!$D$2:$D$1729,F$4)</f>
        <v/>
      </c>
      <c r="G26" s="7">
        <f>SUMIFS(Data!$H$2:$H$1729,Data!$B$2:$B$1729,$A26,Data!$F$2:$F$1729,"Joy",Data!$D$2:$D$1729,G$4)</f>
        <v/>
      </c>
      <c r="H26" s="7">
        <f>SUMIFS(Data!$H$2:$H$1729,Data!$B$2:$B$1729,$A26,Data!$F$2:$F$1729,"Joy",Data!$D$2:$D$1729,"Commercial")</f>
        <v/>
      </c>
      <c r="I26" s="7">
        <f>AVERAGE(B26:G26)</f>
        <v/>
      </c>
      <c r="J26" s="17">
        <f>_xlfn.RANK.AVG(B26,$B26:$G26,1)</f>
        <v/>
      </c>
      <c r="K26" s="17">
        <f>_xlfn.RANK.AVG(C26,$B26:$G26,1)</f>
        <v/>
      </c>
      <c r="L26" s="17">
        <f>_xlfn.RANK.AVG(D26,$B26:$G26,1)</f>
        <v/>
      </c>
      <c r="M26" s="17">
        <f>_xlfn.RANK.AVG(E26,$B26:$G26,1)</f>
        <v/>
      </c>
      <c r="N26" s="17">
        <f>_xlfn.RANK.AVG(F26,$B26:$G26,1)</f>
        <v/>
      </c>
      <c r="O26" s="17">
        <f>_xlfn.RANK.AVG(G26,$B26:$G26,1)</f>
        <v/>
      </c>
      <c r="P26" s="6">
        <f>SUMPRODUCT(COUNTIF($B26:$G26,$B26:$G26)^2-1)</f>
        <v/>
      </c>
      <c r="R26" t="inlineStr">
        <is>
          <t>p (CHISQ.DIST.RT)</t>
        </is>
      </c>
      <c r="S26" s="15">
        <f>_xlfn.CHISQ.DIST.RT(S25,S7-1)</f>
        <v/>
      </c>
      <c r="T26" s="13" t="inlineStr">
        <is>
          <t>=CHISQ.DIST.RT(S25,S7-1)</t>
        </is>
      </c>
    </row>
    <row r="27">
      <c r="A27" s="6" t="inlineStr">
        <is>
          <t>V25</t>
        </is>
      </c>
      <c r="B27" s="7">
        <f>SUMIFS(Data!$H$2:$H$1729,Data!$B$2:$B$1729,$A27,Data!$F$2:$F$1729,"Joy",Data!$D$2:$D$1729,B$4)</f>
        <v/>
      </c>
      <c r="C27" s="7">
        <f>SUMIFS(Data!$H$2:$H$1729,Data!$B$2:$B$1729,$A27,Data!$F$2:$F$1729,"Joy",Data!$D$2:$D$1729,C$4)</f>
        <v/>
      </c>
      <c r="D27" s="7">
        <f>SUMIFS(Data!$H$2:$H$1729,Data!$B$2:$B$1729,$A27,Data!$F$2:$F$1729,"Joy",Data!$D$2:$D$1729,D$4)</f>
        <v/>
      </c>
      <c r="E27" s="7">
        <f>SUMIFS(Data!$H$2:$H$1729,Data!$B$2:$B$1729,$A27,Data!$F$2:$F$1729,"Joy",Data!$D$2:$D$1729,E$4)</f>
        <v/>
      </c>
      <c r="F27" s="7">
        <f>SUMIFS(Data!$H$2:$H$1729,Data!$B$2:$B$1729,$A27,Data!$F$2:$F$1729,"Joy",Data!$D$2:$D$1729,F$4)</f>
        <v/>
      </c>
      <c r="G27" s="7">
        <f>SUMIFS(Data!$H$2:$H$1729,Data!$B$2:$B$1729,$A27,Data!$F$2:$F$1729,"Joy",Data!$D$2:$D$1729,G$4)</f>
        <v/>
      </c>
      <c r="H27" s="7">
        <f>SUMIFS(Data!$H$2:$H$1729,Data!$B$2:$B$1729,$A27,Data!$F$2:$F$1729,"Joy",Data!$D$2:$D$1729,"Commercial")</f>
        <v/>
      </c>
      <c r="I27" s="7">
        <f>AVERAGE(B27:G27)</f>
        <v/>
      </c>
      <c r="J27" s="17">
        <f>_xlfn.RANK.AVG(B27,$B27:$G27,1)</f>
        <v/>
      </c>
      <c r="K27" s="17">
        <f>_xlfn.RANK.AVG(C27,$B27:$G27,1)</f>
        <v/>
      </c>
      <c r="L27" s="17">
        <f>_xlfn.RANK.AVG(D27,$B27:$G27,1)</f>
        <v/>
      </c>
      <c r="M27" s="17">
        <f>_xlfn.RANK.AVG(E27,$B27:$G27,1)</f>
        <v/>
      </c>
      <c r="N27" s="17">
        <f>_xlfn.RANK.AVG(F27,$B27:$G27,1)</f>
        <v/>
      </c>
      <c r="O27" s="17">
        <f>_xlfn.RANK.AVG(G27,$B27:$G27,1)</f>
        <v/>
      </c>
      <c r="P27" s="6">
        <f>SUMPRODUCT(COUNTIF($B27:$G27,$B27:$G27)^2-1)</f>
        <v/>
      </c>
      <c r="R27" t="inlineStr">
        <is>
          <t>Kendall's W</t>
        </is>
      </c>
      <c r="S27" s="12">
        <f>S25/(S6*(S7-1))</f>
        <v/>
      </c>
      <c r="T27" s="13" t="inlineStr">
        <is>
          <t>=S25/(S6*(S7-1))</t>
        </is>
      </c>
      <c r="U27" s="5" t="inlineStr">
        <is>
          <t>effect size for the Friedman test: chi-squared / (n (k - 1))</t>
        </is>
      </c>
    </row>
    <row r="28">
      <c r="A28" s="6" t="inlineStr">
        <is>
          <t>V26</t>
        </is>
      </c>
      <c r="B28" s="7">
        <f>SUMIFS(Data!$H$2:$H$1729,Data!$B$2:$B$1729,$A28,Data!$F$2:$F$1729,"Joy",Data!$D$2:$D$1729,B$4)</f>
        <v/>
      </c>
      <c r="C28" s="7">
        <f>SUMIFS(Data!$H$2:$H$1729,Data!$B$2:$B$1729,$A28,Data!$F$2:$F$1729,"Joy",Data!$D$2:$D$1729,C$4)</f>
        <v/>
      </c>
      <c r="D28" s="7">
        <f>SUMIFS(Data!$H$2:$H$1729,Data!$B$2:$B$1729,$A28,Data!$F$2:$F$1729,"Joy",Data!$D$2:$D$1729,D$4)</f>
        <v/>
      </c>
      <c r="E28" s="7">
        <f>SUMIFS(Data!$H$2:$H$1729,Data!$B$2:$B$1729,$A28,Data!$F$2:$F$1729,"Joy",Data!$D$2:$D$1729,E$4)</f>
        <v/>
      </c>
      <c r="F28" s="7">
        <f>SUMIFS(Data!$H$2:$H$1729,Data!$B$2:$B$1729,$A28,Data!$F$2:$F$1729,"Joy",Data!$D$2:$D$1729,F$4)</f>
        <v/>
      </c>
      <c r="G28" s="7">
        <f>SUMIFS(Data!$H$2:$H$1729,Data!$B$2:$B$1729,$A28,Data!$F$2:$F$1729,"Joy",Data!$D$2:$D$1729,G$4)</f>
        <v/>
      </c>
      <c r="H28" s="7">
        <f>SUMIFS(Data!$H$2:$H$1729,Data!$B$2:$B$1729,$A28,Data!$F$2:$F$1729,"Joy",Data!$D$2:$D$1729,"Commercial")</f>
        <v/>
      </c>
      <c r="I28" s="7">
        <f>AVERAGE(B28:G28)</f>
        <v/>
      </c>
      <c r="J28" s="17">
        <f>_xlfn.RANK.AVG(B28,$B28:$G28,1)</f>
        <v/>
      </c>
      <c r="K28" s="17">
        <f>_xlfn.RANK.AVG(C28,$B28:$G28,1)</f>
        <v/>
      </c>
      <c r="L28" s="17">
        <f>_xlfn.RANK.AVG(D28,$B28:$G28,1)</f>
        <v/>
      </c>
      <c r="M28" s="17">
        <f>_xlfn.RANK.AVG(E28,$B28:$G28,1)</f>
        <v/>
      </c>
      <c r="N28" s="17">
        <f>_xlfn.RANK.AVG(F28,$B28:$G28,1)</f>
        <v/>
      </c>
      <c r="O28" s="17">
        <f>_xlfn.RANK.AVG(G28,$B28:$G28,1)</f>
        <v/>
      </c>
      <c r="P28" s="6">
        <f>SUMPRODUCT(COUNTIF($B28:$G28,$B28:$G28)^2-1)</f>
        <v/>
      </c>
    </row>
    <row r="29">
      <c r="A29" s="6" t="inlineStr">
        <is>
          <t>V27</t>
        </is>
      </c>
      <c r="B29" s="7">
        <f>SUMIFS(Data!$H$2:$H$1729,Data!$B$2:$B$1729,$A29,Data!$F$2:$F$1729,"Joy",Data!$D$2:$D$1729,B$4)</f>
        <v/>
      </c>
      <c r="C29" s="7">
        <f>SUMIFS(Data!$H$2:$H$1729,Data!$B$2:$B$1729,$A29,Data!$F$2:$F$1729,"Joy",Data!$D$2:$D$1729,C$4)</f>
        <v/>
      </c>
      <c r="D29" s="7">
        <f>SUMIFS(Data!$H$2:$H$1729,Data!$B$2:$B$1729,$A29,Data!$F$2:$F$1729,"Joy",Data!$D$2:$D$1729,D$4)</f>
        <v/>
      </c>
      <c r="E29" s="7">
        <f>SUMIFS(Data!$H$2:$H$1729,Data!$B$2:$B$1729,$A29,Data!$F$2:$F$1729,"Joy",Data!$D$2:$D$1729,E$4)</f>
        <v/>
      </c>
      <c r="F29" s="7">
        <f>SUMIFS(Data!$H$2:$H$1729,Data!$B$2:$B$1729,$A29,Data!$F$2:$F$1729,"Joy",Data!$D$2:$D$1729,F$4)</f>
        <v/>
      </c>
      <c r="G29" s="7">
        <f>SUMIFS(Data!$H$2:$H$1729,Data!$B$2:$B$1729,$A29,Data!$F$2:$F$1729,"Joy",Data!$D$2:$D$1729,G$4)</f>
        <v/>
      </c>
      <c r="H29" s="7">
        <f>SUMIFS(Data!$H$2:$H$1729,Data!$B$2:$B$1729,$A29,Data!$F$2:$F$1729,"Joy",Data!$D$2:$D$1729,"Commercial")</f>
        <v/>
      </c>
      <c r="I29" s="7">
        <f>AVERAGE(B29:G29)</f>
        <v/>
      </c>
      <c r="J29" s="17">
        <f>_xlfn.RANK.AVG(B29,$B29:$G29,1)</f>
        <v/>
      </c>
      <c r="K29" s="17">
        <f>_xlfn.RANK.AVG(C29,$B29:$G29,1)</f>
        <v/>
      </c>
      <c r="L29" s="17">
        <f>_xlfn.RANK.AVG(D29,$B29:$G29,1)</f>
        <v/>
      </c>
      <c r="M29" s="17">
        <f>_xlfn.RANK.AVG(E29,$B29:$G29,1)</f>
        <v/>
      </c>
      <c r="N29" s="17">
        <f>_xlfn.RANK.AVG(F29,$B29:$G29,1)</f>
        <v/>
      </c>
      <c r="O29" s="17">
        <f>_xlfn.RANK.AVG(G29,$B29:$G29,1)</f>
        <v/>
      </c>
      <c r="P29" s="6">
        <f>SUMPRODUCT(COUNTIF($B29:$G29,$B29:$G29)^2-1)</f>
        <v/>
      </c>
      <c r="R29" s="11" t="inlineStr">
        <is>
          <t>Contrasts: a late bin against the mean of Bin_01 to Bin_04 (no multiplicity adjustment here)</t>
        </is>
      </c>
    </row>
    <row r="30">
      <c r="A30" s="6" t="inlineStr">
        <is>
          <t>V28</t>
        </is>
      </c>
      <c r="B30" s="7">
        <f>SUMIFS(Data!$H$2:$H$1729,Data!$B$2:$B$1729,$A30,Data!$F$2:$F$1729,"Joy",Data!$D$2:$D$1729,B$4)</f>
        <v/>
      </c>
      <c r="C30" s="7">
        <f>SUMIFS(Data!$H$2:$H$1729,Data!$B$2:$B$1729,$A30,Data!$F$2:$F$1729,"Joy",Data!$D$2:$D$1729,C$4)</f>
        <v/>
      </c>
      <c r="D30" s="7">
        <f>SUMIFS(Data!$H$2:$H$1729,Data!$B$2:$B$1729,$A30,Data!$F$2:$F$1729,"Joy",Data!$D$2:$D$1729,D$4)</f>
        <v/>
      </c>
      <c r="E30" s="7">
        <f>SUMIFS(Data!$H$2:$H$1729,Data!$B$2:$B$1729,$A30,Data!$F$2:$F$1729,"Joy",Data!$D$2:$D$1729,E$4)</f>
        <v/>
      </c>
      <c r="F30" s="7">
        <f>SUMIFS(Data!$H$2:$H$1729,Data!$B$2:$B$1729,$A30,Data!$F$2:$F$1729,"Joy",Data!$D$2:$D$1729,F$4)</f>
        <v/>
      </c>
      <c r="G30" s="7">
        <f>SUMIFS(Data!$H$2:$H$1729,Data!$B$2:$B$1729,$A30,Data!$F$2:$F$1729,"Joy",Data!$D$2:$D$1729,G$4)</f>
        <v/>
      </c>
      <c r="H30" s="7">
        <f>SUMIFS(Data!$H$2:$H$1729,Data!$B$2:$B$1729,$A30,Data!$F$2:$F$1729,"Joy",Data!$D$2:$D$1729,"Commercial")</f>
        <v/>
      </c>
      <c r="I30" s="7">
        <f>AVERAGE(B30:G30)</f>
        <v/>
      </c>
      <c r="J30" s="17">
        <f>_xlfn.RANK.AVG(B30,$B30:$G30,1)</f>
        <v/>
      </c>
      <c r="K30" s="17">
        <f>_xlfn.RANK.AVG(C30,$B30:$G30,1)</f>
        <v/>
      </c>
      <c r="L30" s="17">
        <f>_xlfn.RANK.AVG(D30,$B30:$G30,1)</f>
        <v/>
      </c>
      <c r="M30" s="17">
        <f>_xlfn.RANK.AVG(E30,$B30:$G30,1)</f>
        <v/>
      </c>
      <c r="N30" s="17">
        <f>_xlfn.RANK.AVG(F30,$B30:$G30,1)</f>
        <v/>
      </c>
      <c r="O30" s="17">
        <f>_xlfn.RANK.AVG(G30,$B30:$G30,1)</f>
        <v/>
      </c>
      <c r="P30" s="6">
        <f>SUMPRODUCT(COUNTIF($B30:$G30,$B30:$G30)^2-1)</f>
        <v/>
      </c>
      <c r="R30" t="inlineStr">
        <is>
          <t>Bin_05 minus mean(Bin_01..Bin_04) (percentage points)</t>
        </is>
      </c>
      <c r="S30" s="12">
        <f>F41-AVERAGE(B41:E41)</f>
        <v/>
      </c>
      <c r="T30" s="13" t="inlineStr">
        <is>
          <t>=F41-AVERAGE(B41:E41)</t>
        </is>
      </c>
      <c r="U30" s="5" t="inlineStr">
        <is>
          <t>difference of the bin means</t>
        </is>
      </c>
    </row>
    <row r="31">
      <c r="A31" s="6" t="inlineStr">
        <is>
          <t>V29</t>
        </is>
      </c>
      <c r="B31" s="7">
        <f>SUMIFS(Data!$H$2:$H$1729,Data!$B$2:$B$1729,$A31,Data!$F$2:$F$1729,"Joy",Data!$D$2:$D$1729,B$4)</f>
        <v/>
      </c>
      <c r="C31" s="7">
        <f>SUMIFS(Data!$H$2:$H$1729,Data!$B$2:$B$1729,$A31,Data!$F$2:$F$1729,"Joy",Data!$D$2:$D$1729,C$4)</f>
        <v/>
      </c>
      <c r="D31" s="7">
        <f>SUMIFS(Data!$H$2:$H$1729,Data!$B$2:$B$1729,$A31,Data!$F$2:$F$1729,"Joy",Data!$D$2:$D$1729,D$4)</f>
        <v/>
      </c>
      <c r="E31" s="7">
        <f>SUMIFS(Data!$H$2:$H$1729,Data!$B$2:$B$1729,$A31,Data!$F$2:$F$1729,"Joy",Data!$D$2:$D$1729,E$4)</f>
        <v/>
      </c>
      <c r="F31" s="7">
        <f>SUMIFS(Data!$H$2:$H$1729,Data!$B$2:$B$1729,$A31,Data!$F$2:$F$1729,"Joy",Data!$D$2:$D$1729,F$4)</f>
        <v/>
      </c>
      <c r="G31" s="7">
        <f>SUMIFS(Data!$H$2:$H$1729,Data!$B$2:$B$1729,$A31,Data!$F$2:$F$1729,"Joy",Data!$D$2:$D$1729,G$4)</f>
        <v/>
      </c>
      <c r="H31" s="7">
        <f>SUMIFS(Data!$H$2:$H$1729,Data!$B$2:$B$1729,$A31,Data!$F$2:$F$1729,"Joy",Data!$D$2:$D$1729,"Commercial")</f>
        <v/>
      </c>
      <c r="I31" s="7">
        <f>AVERAGE(B31:G31)</f>
        <v/>
      </c>
      <c r="J31" s="17">
        <f>_xlfn.RANK.AVG(B31,$B31:$G31,1)</f>
        <v/>
      </c>
      <c r="K31" s="17">
        <f>_xlfn.RANK.AVG(C31,$B31:$G31,1)</f>
        <v/>
      </c>
      <c r="L31" s="17">
        <f>_xlfn.RANK.AVG(D31,$B31:$G31,1)</f>
        <v/>
      </c>
      <c r="M31" s="17">
        <f>_xlfn.RANK.AVG(E31,$B31:$G31,1)</f>
        <v/>
      </c>
      <c r="N31" s="17">
        <f>_xlfn.RANK.AVG(F31,$B31:$G31,1)</f>
        <v/>
      </c>
      <c r="O31" s="17">
        <f>_xlfn.RANK.AVG(G31,$B31:$G31,1)</f>
        <v/>
      </c>
      <c r="P31" s="6">
        <f>SUMPRODUCT(COUNTIF($B31:$G31,$B31:$G31)^2-1)</f>
        <v/>
      </c>
      <c r="R31" t="inlineStr">
        <is>
          <t>SE of the contrast</t>
        </is>
      </c>
      <c r="S31" s="12">
        <f>SQRT(S16*1.25/S6)</f>
        <v/>
      </c>
      <c r="T31" s="13" t="inlineStr">
        <is>
          <t>=SQRT(S16*1.25/S6)</t>
        </is>
      </c>
      <c r="U31" s="5" t="inlineStr">
        <is>
          <t>sqrt(MS error x sum of squared weights / n); the weights are 1 and four of -1/4, sum of squares 1.25</t>
        </is>
      </c>
    </row>
    <row r="32">
      <c r="A32" s="6" t="inlineStr">
        <is>
          <t>V30</t>
        </is>
      </c>
      <c r="B32" s="7">
        <f>SUMIFS(Data!$H$2:$H$1729,Data!$B$2:$B$1729,$A32,Data!$F$2:$F$1729,"Joy",Data!$D$2:$D$1729,B$4)</f>
        <v/>
      </c>
      <c r="C32" s="7">
        <f>SUMIFS(Data!$H$2:$H$1729,Data!$B$2:$B$1729,$A32,Data!$F$2:$F$1729,"Joy",Data!$D$2:$D$1729,C$4)</f>
        <v/>
      </c>
      <c r="D32" s="7">
        <f>SUMIFS(Data!$H$2:$H$1729,Data!$B$2:$B$1729,$A32,Data!$F$2:$F$1729,"Joy",Data!$D$2:$D$1729,D$4)</f>
        <v/>
      </c>
      <c r="E32" s="7">
        <f>SUMIFS(Data!$H$2:$H$1729,Data!$B$2:$B$1729,$A32,Data!$F$2:$F$1729,"Joy",Data!$D$2:$D$1729,E$4)</f>
        <v/>
      </c>
      <c r="F32" s="7">
        <f>SUMIFS(Data!$H$2:$H$1729,Data!$B$2:$B$1729,$A32,Data!$F$2:$F$1729,"Joy",Data!$D$2:$D$1729,F$4)</f>
        <v/>
      </c>
      <c r="G32" s="7">
        <f>SUMIFS(Data!$H$2:$H$1729,Data!$B$2:$B$1729,$A32,Data!$F$2:$F$1729,"Joy",Data!$D$2:$D$1729,G$4)</f>
        <v/>
      </c>
      <c r="H32" s="7">
        <f>SUMIFS(Data!$H$2:$H$1729,Data!$B$2:$B$1729,$A32,Data!$F$2:$F$1729,"Joy",Data!$D$2:$D$1729,"Commercial")</f>
        <v/>
      </c>
      <c r="I32" s="7">
        <f>AVERAGE(B32:G32)</f>
        <v/>
      </c>
      <c r="J32" s="17">
        <f>_xlfn.RANK.AVG(B32,$B32:$G32,1)</f>
        <v/>
      </c>
      <c r="K32" s="17">
        <f>_xlfn.RANK.AVG(C32,$B32:$G32,1)</f>
        <v/>
      </c>
      <c r="L32" s="17">
        <f>_xlfn.RANK.AVG(D32,$B32:$G32,1)</f>
        <v/>
      </c>
      <c r="M32" s="17">
        <f>_xlfn.RANK.AVG(E32,$B32:$G32,1)</f>
        <v/>
      </c>
      <c r="N32" s="17">
        <f>_xlfn.RANK.AVG(F32,$B32:$G32,1)</f>
        <v/>
      </c>
      <c r="O32" s="17">
        <f>_xlfn.RANK.AVG(G32,$B32:$G32,1)</f>
        <v/>
      </c>
      <c r="P32" s="6">
        <f>SUMPRODUCT(COUNTIF($B32:$G32,$B32:$G32)^2-1)</f>
        <v/>
      </c>
      <c r="R32" t="inlineStr">
        <is>
          <t>t</t>
        </is>
      </c>
      <c r="S32" s="12">
        <f>S30/S31</f>
        <v/>
      </c>
      <c r="T32" s="13" t="inlineStr">
        <is>
          <t>=S30/S31</t>
        </is>
      </c>
    </row>
    <row r="33">
      <c r="A33" s="6" t="inlineStr">
        <is>
          <t>V31</t>
        </is>
      </c>
      <c r="B33" s="7">
        <f>SUMIFS(Data!$H$2:$H$1729,Data!$B$2:$B$1729,$A33,Data!$F$2:$F$1729,"Joy",Data!$D$2:$D$1729,B$4)</f>
        <v/>
      </c>
      <c r="C33" s="7">
        <f>SUMIFS(Data!$H$2:$H$1729,Data!$B$2:$B$1729,$A33,Data!$F$2:$F$1729,"Joy",Data!$D$2:$D$1729,C$4)</f>
        <v/>
      </c>
      <c r="D33" s="7">
        <f>SUMIFS(Data!$H$2:$H$1729,Data!$B$2:$B$1729,$A33,Data!$F$2:$F$1729,"Joy",Data!$D$2:$D$1729,D$4)</f>
        <v/>
      </c>
      <c r="E33" s="7">
        <f>SUMIFS(Data!$H$2:$H$1729,Data!$B$2:$B$1729,$A33,Data!$F$2:$F$1729,"Joy",Data!$D$2:$D$1729,E$4)</f>
        <v/>
      </c>
      <c r="F33" s="7">
        <f>SUMIFS(Data!$H$2:$H$1729,Data!$B$2:$B$1729,$A33,Data!$F$2:$F$1729,"Joy",Data!$D$2:$D$1729,F$4)</f>
        <v/>
      </c>
      <c r="G33" s="7">
        <f>SUMIFS(Data!$H$2:$H$1729,Data!$B$2:$B$1729,$A33,Data!$F$2:$F$1729,"Joy",Data!$D$2:$D$1729,G$4)</f>
        <v/>
      </c>
      <c r="H33" s="7">
        <f>SUMIFS(Data!$H$2:$H$1729,Data!$B$2:$B$1729,$A33,Data!$F$2:$F$1729,"Joy",Data!$D$2:$D$1729,"Commercial")</f>
        <v/>
      </c>
      <c r="I33" s="7">
        <f>AVERAGE(B33:G33)</f>
        <v/>
      </c>
      <c r="J33" s="17">
        <f>_xlfn.RANK.AVG(B33,$B33:$G33,1)</f>
        <v/>
      </c>
      <c r="K33" s="17">
        <f>_xlfn.RANK.AVG(C33,$B33:$G33,1)</f>
        <v/>
      </c>
      <c r="L33" s="17">
        <f>_xlfn.RANK.AVG(D33,$B33:$G33,1)</f>
        <v/>
      </c>
      <c r="M33" s="17">
        <f>_xlfn.RANK.AVG(E33,$B33:$G33,1)</f>
        <v/>
      </c>
      <c r="N33" s="17">
        <f>_xlfn.RANK.AVG(F33,$B33:$G33,1)</f>
        <v/>
      </c>
      <c r="O33" s="17">
        <f>_xlfn.RANK.AVG(G33,$B33:$G33,1)</f>
        <v/>
      </c>
      <c r="P33" s="6">
        <f>SUMPRODUCT(COUNTIF($B33:$G33,$B33:$G33)^2-1)</f>
        <v/>
      </c>
      <c r="R33" t="inlineStr">
        <is>
          <t>p, two tailed</t>
        </is>
      </c>
      <c r="S33" s="15">
        <f>_xlfn.T.DIST.2T(ABS(S32),S14)</f>
        <v/>
      </c>
      <c r="T33" s="13" t="inlineStr">
        <is>
          <t>=T.DIST.2T(ABS(S32),S14)</t>
        </is>
      </c>
    </row>
    <row r="34">
      <c r="A34" s="6" t="inlineStr">
        <is>
          <t>V32</t>
        </is>
      </c>
      <c r="B34" s="7">
        <f>SUMIFS(Data!$H$2:$H$1729,Data!$B$2:$B$1729,$A34,Data!$F$2:$F$1729,"Joy",Data!$D$2:$D$1729,B$4)</f>
        <v/>
      </c>
      <c r="C34" s="7">
        <f>SUMIFS(Data!$H$2:$H$1729,Data!$B$2:$B$1729,$A34,Data!$F$2:$F$1729,"Joy",Data!$D$2:$D$1729,C$4)</f>
        <v/>
      </c>
      <c r="D34" s="7">
        <f>SUMIFS(Data!$H$2:$H$1729,Data!$B$2:$B$1729,$A34,Data!$F$2:$F$1729,"Joy",Data!$D$2:$D$1729,D$4)</f>
        <v/>
      </c>
      <c r="E34" s="7">
        <f>SUMIFS(Data!$H$2:$H$1729,Data!$B$2:$B$1729,$A34,Data!$F$2:$F$1729,"Joy",Data!$D$2:$D$1729,E$4)</f>
        <v/>
      </c>
      <c r="F34" s="7">
        <f>SUMIFS(Data!$H$2:$H$1729,Data!$B$2:$B$1729,$A34,Data!$F$2:$F$1729,"Joy",Data!$D$2:$D$1729,F$4)</f>
        <v/>
      </c>
      <c r="G34" s="7">
        <f>SUMIFS(Data!$H$2:$H$1729,Data!$B$2:$B$1729,$A34,Data!$F$2:$F$1729,"Joy",Data!$D$2:$D$1729,G$4)</f>
        <v/>
      </c>
      <c r="H34" s="7">
        <f>SUMIFS(Data!$H$2:$H$1729,Data!$B$2:$B$1729,$A34,Data!$F$2:$F$1729,"Joy",Data!$D$2:$D$1729,"Commercial")</f>
        <v/>
      </c>
      <c r="I34" s="7">
        <f>AVERAGE(B34:G34)</f>
        <v/>
      </c>
      <c r="J34" s="17">
        <f>_xlfn.RANK.AVG(B34,$B34:$G34,1)</f>
        <v/>
      </c>
      <c r="K34" s="17">
        <f>_xlfn.RANK.AVG(C34,$B34:$G34,1)</f>
        <v/>
      </c>
      <c r="L34" s="17">
        <f>_xlfn.RANK.AVG(D34,$B34:$G34,1)</f>
        <v/>
      </c>
      <c r="M34" s="17">
        <f>_xlfn.RANK.AVG(E34,$B34:$G34,1)</f>
        <v/>
      </c>
      <c r="N34" s="17">
        <f>_xlfn.RANK.AVG(F34,$B34:$G34,1)</f>
        <v/>
      </c>
      <c r="O34" s="17">
        <f>_xlfn.RANK.AVG(G34,$B34:$G34,1)</f>
        <v/>
      </c>
      <c r="P34" s="6">
        <f>SUMPRODUCT(COUNTIF($B34:$G34,$B34:$G34)^2-1)</f>
        <v/>
      </c>
      <c r="R34" t="inlineStr">
        <is>
          <t>Bin_06 minus mean(Bin_01..Bin_04) (percentage points)</t>
        </is>
      </c>
      <c r="S34" s="12">
        <f>G41-AVERAGE(B41:E41)</f>
        <v/>
      </c>
      <c r="T34" s="13" t="inlineStr">
        <is>
          <t>=G41-AVERAGE(B41:E41)</t>
        </is>
      </c>
    </row>
    <row r="35">
      <c r="R35" t="inlineStr">
        <is>
          <t>SE of the contrast</t>
        </is>
      </c>
      <c r="S35" s="12">
        <f>SQRT(S16*1.25/S6)</f>
        <v/>
      </c>
      <c r="T35" s="13" t="inlineStr">
        <is>
          <t>=SQRT(S16*1.25/S6)</t>
        </is>
      </c>
    </row>
    <row r="36">
      <c r="R36" t="inlineStr">
        <is>
          <t>t</t>
        </is>
      </c>
      <c r="S36" s="12">
        <f>S34/S35</f>
        <v/>
      </c>
      <c r="T36" s="13" t="inlineStr">
        <is>
          <t>=S34/S35</t>
        </is>
      </c>
    </row>
    <row r="37">
      <c r="A37" s="8" t="inlineStr">
        <is>
          <t>Viewers (n)</t>
        </is>
      </c>
      <c r="B37" s="18">
        <f>COUNTIFS(Data!$F$2:$F$1729,"Joy",Data!$D$2:$D$1729,B$4,Data!$L$2:$L$1729,"Yes")</f>
        <v/>
      </c>
      <c r="C37" s="18">
        <f>COUNTIFS(Data!$F$2:$F$1729,"Joy",Data!$D$2:$D$1729,C$4,Data!$L$2:$L$1729,"Yes")</f>
        <v/>
      </c>
      <c r="D37" s="18">
        <f>COUNTIFS(Data!$F$2:$F$1729,"Joy",Data!$D$2:$D$1729,D$4,Data!$L$2:$L$1729,"Yes")</f>
        <v/>
      </c>
      <c r="E37" s="18">
        <f>COUNTIFS(Data!$F$2:$F$1729,"Joy",Data!$D$2:$D$1729,E$4,Data!$L$2:$L$1729,"Yes")</f>
        <v/>
      </c>
      <c r="F37" s="18">
        <f>COUNTIFS(Data!$F$2:$F$1729,"Joy",Data!$D$2:$D$1729,F$4,Data!$L$2:$L$1729,"Yes")</f>
        <v/>
      </c>
      <c r="G37" s="18">
        <f>COUNTIFS(Data!$F$2:$F$1729,"Joy",Data!$D$2:$D$1729,G$4,Data!$L$2:$L$1729,"Yes")</f>
        <v/>
      </c>
      <c r="R37" t="inlineStr">
        <is>
          <t>p, two tailed</t>
        </is>
      </c>
      <c r="S37" s="15">
        <f>_xlfn.T.DIST.2T(ABS(S36),S14)</f>
        <v/>
      </c>
      <c r="T37" s="13" t="inlineStr">
        <is>
          <t>=T.DIST.2T(ABS(S36),S14)</t>
        </is>
      </c>
    </row>
    <row r="38">
      <c r="A38" s="8" t="inlineStr">
        <is>
          <t>Viewers with Joy present</t>
        </is>
      </c>
      <c r="B38" s="18">
        <f>COUNTIFS(Data!$F$2:$F$1729,"Joy",Data!$D$2:$D$1729,B$4,Data!$L$2:$L$1729,"Yes",Data!$H$2:$H$1729,"&gt;0")</f>
        <v/>
      </c>
      <c r="C38" s="18">
        <f>COUNTIFS(Data!$F$2:$F$1729,"Joy",Data!$D$2:$D$1729,C$4,Data!$L$2:$L$1729,"Yes",Data!$H$2:$H$1729,"&gt;0")</f>
        <v/>
      </c>
      <c r="D38" s="18">
        <f>COUNTIFS(Data!$F$2:$F$1729,"Joy",Data!$D$2:$D$1729,D$4,Data!$L$2:$L$1729,"Yes",Data!$H$2:$H$1729,"&gt;0")</f>
        <v/>
      </c>
      <c r="E38" s="18">
        <f>COUNTIFS(Data!$F$2:$F$1729,"Joy",Data!$D$2:$D$1729,E$4,Data!$L$2:$L$1729,"Yes",Data!$H$2:$H$1729,"&gt;0")</f>
        <v/>
      </c>
      <c r="F38" s="18">
        <f>COUNTIFS(Data!$F$2:$F$1729,"Joy",Data!$D$2:$D$1729,F$4,Data!$L$2:$L$1729,"Yes",Data!$H$2:$H$1729,"&gt;0")</f>
        <v/>
      </c>
      <c r="G38" s="18">
        <f>COUNTIFS(Data!$F$2:$F$1729,"Joy",Data!$D$2:$D$1729,G$4,Data!$L$2:$L$1729,"Yes",Data!$H$2:$H$1729,"&gt;0")</f>
        <v/>
      </c>
    </row>
    <row r="39">
      <c r="A39" s="8" t="inlineStr">
        <is>
          <t>Proportion with Joy present</t>
        </is>
      </c>
      <c r="B39" s="19">
        <f>B38/B37</f>
        <v/>
      </c>
      <c r="C39" s="19">
        <f>C38/C37</f>
        <v/>
      </c>
      <c r="D39" s="19">
        <f>D38/D37</f>
        <v/>
      </c>
      <c r="E39" s="19">
        <f>E38/E37</f>
        <v/>
      </c>
      <c r="F39" s="19">
        <f>F38/F37</f>
        <v/>
      </c>
      <c r="G39" s="19">
        <f>G38/G37</f>
        <v/>
      </c>
      <c r="R39" s="11" t="inlineStr">
        <is>
          <t>Checks</t>
        </is>
      </c>
    </row>
    <row r="40">
      <c r="A40" s="8" t="inlineStr">
        <is>
          <t>Percent of viewers with Joy present</t>
        </is>
      </c>
      <c r="B40" s="17">
        <f>100*B39</f>
        <v/>
      </c>
      <c r="C40" s="17">
        <f>100*C39</f>
        <v/>
      </c>
      <c r="D40" s="17">
        <f>100*D39</f>
        <v/>
      </c>
      <c r="E40" s="17">
        <f>100*E39</f>
        <v/>
      </c>
      <c r="F40" s="17">
        <f>100*F39</f>
        <v/>
      </c>
      <c r="G40" s="17">
        <f>100*G39</f>
        <v/>
      </c>
      <c r="R40" t="inlineStr">
        <is>
          <t>Largest gap between Commercial Joy and the mean of the six bins (percentage points)</t>
        </is>
      </c>
      <c r="S40" s="12">
        <f>SUMPRODUCT(MAX(ABS(H5:H34-I5:I34)))</f>
        <v/>
      </c>
      <c r="T40" s="13" t="inlineStr">
        <is>
          <t>=SUMPRODUCT(MAX(ABS(H5:H34-I5:I34)))</t>
        </is>
      </c>
      <c r="U40" s="5" t="inlineStr">
        <is>
          <t>the bins tile the commercial; any gap is rounding only</t>
        </is>
      </c>
    </row>
    <row r="41">
      <c r="A41" s="8" t="inlineStr">
        <is>
          <t>Mean Joy (%)</t>
        </is>
      </c>
      <c r="B41" s="7">
        <f>AVERAGE(B5:B34)</f>
        <v/>
      </c>
      <c r="C41" s="7">
        <f>AVERAGE(C5:C34)</f>
        <v/>
      </c>
      <c r="D41" s="7">
        <f>AVERAGE(D5:D34)</f>
        <v/>
      </c>
      <c r="E41" s="7">
        <f>AVERAGE(E5:E34)</f>
        <v/>
      </c>
      <c r="F41" s="7">
        <f>AVERAGE(F5:F34)</f>
        <v/>
      </c>
      <c r="G41" s="7">
        <f>AVERAGE(G5:G34)</f>
        <v/>
      </c>
      <c r="R41" t="inlineStr">
        <is>
          <t>Rank sums add up to n k (k + 1) / 2</t>
        </is>
      </c>
      <c r="S41" s="9">
        <f>SUM(B44:G44)-S6*S7*(S7+1)/2</f>
        <v/>
      </c>
      <c r="T41" s="13" t="inlineStr">
        <is>
          <t>=SUM(B44:G44)-S6*S7*(S7+1)/2</t>
        </is>
      </c>
      <c r="U41" s="5" t="inlineStr">
        <is>
          <t>must be 0</t>
        </is>
      </c>
    </row>
    <row r="42">
      <c r="A42" s="8" t="inlineStr">
        <is>
          <t>SD (%)</t>
        </is>
      </c>
      <c r="B42" s="7">
        <f>_xlfn.STDEV.S(B5:B34)</f>
        <v/>
      </c>
      <c r="C42" s="7">
        <f>_xlfn.STDEV.S(C5:C34)</f>
        <v/>
      </c>
      <c r="D42" s="7">
        <f>_xlfn.STDEV.S(D5:D34)</f>
        <v/>
      </c>
      <c r="E42" s="7">
        <f>_xlfn.STDEV.S(E5:E34)</f>
        <v/>
      </c>
      <c r="F42" s="7">
        <f>_xlfn.STDEV.S(F5:F34)</f>
        <v/>
      </c>
      <c r="G42" s="7">
        <f>_xlfn.STDEV.S(G5:G34)</f>
        <v/>
      </c>
    </row>
    <row r="43">
      <c r="A43" s="8" t="inlineStr">
        <is>
          <t>95% CI half width</t>
        </is>
      </c>
      <c r="B43" s="7">
        <f>_xlfn.CONFIDENCE.T(0.05,B42,B37)</f>
        <v/>
      </c>
      <c r="C43" s="7">
        <f>_xlfn.CONFIDENCE.T(0.05,C42,C37)</f>
        <v/>
      </c>
      <c r="D43" s="7">
        <f>_xlfn.CONFIDENCE.T(0.05,D42,D37)</f>
        <v/>
      </c>
      <c r="E43" s="7">
        <f>_xlfn.CONFIDENCE.T(0.05,E42,E37)</f>
        <v/>
      </c>
      <c r="F43" s="7">
        <f>_xlfn.CONFIDENCE.T(0.05,F42,F37)</f>
        <v/>
      </c>
      <c r="G43" s="7">
        <f>_xlfn.CONFIDENCE.T(0.05,G42,G37)</f>
        <v/>
      </c>
    </row>
    <row r="44">
      <c r="A44" s="8" t="inlineStr">
        <is>
          <t>Friedman rank sum</t>
        </is>
      </c>
      <c r="B44" s="17">
        <f>SUM(J5:J34)</f>
        <v/>
      </c>
      <c r="C44" s="17">
        <f>SUM(K5:K34)</f>
        <v/>
      </c>
      <c r="D44" s="17">
        <f>SUM(L5:L34)</f>
        <v/>
      </c>
      <c r="E44" s="17">
        <f>SUM(M5:M34)</f>
        <v/>
      </c>
      <c r="F44" s="17">
        <f>SUM(N5:N34)</f>
        <v/>
      </c>
      <c r="G44" s="17">
        <f>SUM(O5:O34)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17" customWidth="1" min="1" max="1"/>
    <col width="9" customWidth="1" min="2" max="2"/>
    <col width="7" customWidth="1" min="3" max="3"/>
    <col width="14" customWidth="1" min="4" max="4"/>
    <col width="16" customWidth="1" min="5" max="5"/>
    <col width="14" customWidth="1" min="6" max="6"/>
    <col width="8" customWidth="1" min="7" max="7"/>
    <col width="20" customWidth="1" min="8" max="8"/>
    <col width="14" customWidth="1" min="9" max="9"/>
    <col width="16" customWidth="1" min="10" max="10"/>
    <col width="3" customWidth="1" min="11" max="11"/>
    <col width="56" customWidth="1" min="12" max="12"/>
    <col width="12" customWidth="1" min="13" max="13"/>
    <col width="80" customWidth="1" min="14" max="14"/>
    <col width="60" customWidth="1" min="15" max="15"/>
  </cols>
  <sheetData>
    <row r="1">
      <c r="A1" s="4" t="inlineStr">
        <is>
          <t>H3. Positive Valence Percent of time present (Commercial) and Ad_liking_1to7. SIMULATED data.</t>
        </is>
      </c>
    </row>
    <row r="3" ht="48" customHeight="1">
      <c r="A3" s="2" t="inlineStr">
        <is>
          <t>Respondent Name</t>
        </is>
      </c>
      <c r="B3" s="2" t="inlineStr">
        <is>
          <t>Gender</t>
        </is>
      </c>
      <c r="C3" s="2" t="inlineStr">
        <is>
          <t>Age</t>
        </is>
      </c>
      <c r="D3" s="2" t="inlineStr">
        <is>
          <t>Ad_liking_1to7</t>
        </is>
      </c>
      <c r="E3" s="2" t="inlineStr">
        <is>
          <t>Brand_attitude_1to7</t>
        </is>
      </c>
      <c r="F3" s="2" t="inlineStr">
        <is>
          <t>Would_share_Yes_No</t>
        </is>
      </c>
      <c r="G3" s="2" t="inlineStr">
        <is>
          <t>Keep</t>
        </is>
      </c>
      <c r="H3" s="2" t="inlineStr">
        <is>
          <t>Positive Valence during the Commercial (%)</t>
        </is>
      </c>
      <c r="I3" s="2" t="inlineStr">
        <is>
          <t>Rank of Ad_liking_1to7</t>
        </is>
      </c>
      <c r="J3" s="2" t="inlineStr">
        <is>
          <t>Rank of Positive Valence (%)</t>
        </is>
      </c>
      <c r="L3" s="10" t="inlineStr">
        <is>
          <t>Statistic</t>
        </is>
      </c>
      <c r="M3" s="10" t="inlineStr">
        <is>
          <t>Value</t>
        </is>
      </c>
      <c r="N3" s="10" t="inlineStr">
        <is>
          <t>Formula shown</t>
        </is>
      </c>
      <c r="O3" s="10" t="inlineStr">
        <is>
          <t>Note</t>
        </is>
      </c>
    </row>
    <row r="4">
      <c r="A4" t="inlineStr">
        <is>
          <t>V01</t>
        </is>
      </c>
      <c r="B4" t="inlineStr">
        <is>
          <t>F</t>
        </is>
      </c>
      <c r="C4" t="n">
        <v>31</v>
      </c>
      <c r="D4" t="n">
        <v>5</v>
      </c>
      <c r="E4" t="n">
        <v>6</v>
      </c>
      <c r="F4" t="inlineStr">
        <is>
          <t>Yes</t>
        </is>
      </c>
      <c r="G4">
        <f>IF(INDEX(Data!$K$2:$K$1729,MATCH($A4,Data!$B$2:$B$1729,0))&gt;=80,"Yes","No")</f>
        <v/>
      </c>
      <c r="H4" s="16">
        <f>SUMIFS(Data!$H$2:$H$1729,Data!$B$2:$B$1729,$A4,Data!$F$2:$F$1729,"Positive Valence",Data!$D$2:$D$1729,"Commercial")</f>
        <v/>
      </c>
      <c r="I4">
        <f>_xlfn.RANK.AVG(D4,$D$4:$D$33,1)</f>
        <v/>
      </c>
      <c r="J4">
        <f>_xlfn.RANK.AVG(H4,$H$4:$H$33,1)</f>
        <v/>
      </c>
      <c r="L4" s="11" t="inlineStr">
        <is>
          <t>Descriptives (kept respondents)</t>
        </is>
      </c>
    </row>
    <row r="5">
      <c r="A5" t="inlineStr">
        <is>
          <t>V02</t>
        </is>
      </c>
      <c r="B5" t="inlineStr">
        <is>
          <t>M</t>
        </is>
      </c>
      <c r="C5" t="n">
        <v>25</v>
      </c>
      <c r="D5" t="n">
        <v>3</v>
      </c>
      <c r="E5" t="n">
        <v>2</v>
      </c>
      <c r="F5" t="inlineStr">
        <is>
          <t>No</t>
        </is>
      </c>
      <c r="G5">
        <f>IF(INDEX(Data!$K$2:$K$1729,MATCH($A5,Data!$B$2:$B$1729,0))&gt;=80,"Yes","No")</f>
        <v/>
      </c>
      <c r="H5" s="16">
        <f>SUMIFS(Data!$H$2:$H$1729,Data!$B$2:$B$1729,$A5,Data!$F$2:$F$1729,"Positive Valence",Data!$D$2:$D$1729,"Commercial")</f>
        <v/>
      </c>
      <c r="I5">
        <f>_xlfn.RANK.AVG(D5,$D$4:$D$33,1)</f>
        <v/>
      </c>
      <c r="J5">
        <f>_xlfn.RANK.AVG(H5,$H$4:$H$33,1)</f>
        <v/>
      </c>
      <c r="L5" t="inlineStr">
        <is>
          <t>n (kept respondents)</t>
        </is>
      </c>
      <c r="M5" s="14">
        <f>COUNT(H4:H33)</f>
        <v/>
      </c>
      <c r="N5" s="13" t="inlineStr">
        <is>
          <t>=COUNT(H4:H33)</t>
        </is>
      </c>
    </row>
    <row r="6">
      <c r="A6" t="inlineStr">
        <is>
          <t>V03</t>
        </is>
      </c>
      <c r="B6" t="inlineStr">
        <is>
          <t>F</t>
        </is>
      </c>
      <c r="C6" t="n">
        <v>32</v>
      </c>
      <c r="D6" t="n">
        <v>7</v>
      </c>
      <c r="E6" t="n">
        <v>7</v>
      </c>
      <c r="F6" t="inlineStr">
        <is>
          <t>Yes</t>
        </is>
      </c>
      <c r="G6">
        <f>IF(INDEX(Data!$K$2:$K$1729,MATCH($A6,Data!$B$2:$B$1729,0))&gt;=80,"Yes","No")</f>
        <v/>
      </c>
      <c r="H6" s="16">
        <f>SUMIFS(Data!$H$2:$H$1729,Data!$B$2:$B$1729,$A6,Data!$F$2:$F$1729,"Positive Valence",Data!$D$2:$D$1729,"Commercial")</f>
        <v/>
      </c>
      <c r="I6">
        <f>_xlfn.RANK.AVG(D6,$D$4:$D$33,1)</f>
        <v/>
      </c>
      <c r="J6">
        <f>_xlfn.RANK.AVG(H6,$H$4:$H$33,1)</f>
        <v/>
      </c>
      <c r="L6" t="inlineStr">
        <is>
          <t>Positive Valence mean (%)</t>
        </is>
      </c>
      <c r="M6" s="12">
        <f>AVERAGE(H4:H33)</f>
        <v/>
      </c>
      <c r="N6" s="13" t="inlineStr">
        <is>
          <t>=AVERAGE(H4:H33)</t>
        </is>
      </c>
    </row>
    <row r="7">
      <c r="A7" t="inlineStr">
        <is>
          <t>V04</t>
        </is>
      </c>
      <c r="B7" t="inlineStr">
        <is>
          <t>F</t>
        </is>
      </c>
      <c r="C7" t="n">
        <v>25</v>
      </c>
      <c r="D7" t="n">
        <v>5</v>
      </c>
      <c r="E7" t="n">
        <v>5</v>
      </c>
      <c r="F7" t="inlineStr">
        <is>
          <t>No</t>
        </is>
      </c>
      <c r="G7">
        <f>IF(INDEX(Data!$K$2:$K$1729,MATCH($A7,Data!$B$2:$B$1729,0))&gt;=80,"Yes","No")</f>
        <v/>
      </c>
      <c r="H7" s="16">
        <f>SUMIFS(Data!$H$2:$H$1729,Data!$B$2:$B$1729,$A7,Data!$F$2:$F$1729,"Positive Valence",Data!$D$2:$D$1729,"Commercial")</f>
        <v/>
      </c>
      <c r="I7">
        <f>_xlfn.RANK.AVG(D7,$D$4:$D$33,1)</f>
        <v/>
      </c>
      <c r="J7">
        <f>_xlfn.RANK.AVG(H7,$H$4:$H$33,1)</f>
        <v/>
      </c>
      <c r="L7" t="inlineStr">
        <is>
          <t>Positive Valence SD (%)</t>
        </is>
      </c>
      <c r="M7" s="12">
        <f>_xlfn.STDEV.S(H4:H33)</f>
        <v/>
      </c>
      <c r="N7" s="13" t="inlineStr">
        <is>
          <t>=STDEV.S(H4:H33)</t>
        </is>
      </c>
    </row>
    <row r="8">
      <c r="A8" t="inlineStr">
        <is>
          <t>V05</t>
        </is>
      </c>
      <c r="B8" t="inlineStr">
        <is>
          <t>F</t>
        </is>
      </c>
      <c r="C8" t="n">
        <v>25</v>
      </c>
      <c r="D8" t="n">
        <v>5</v>
      </c>
      <c r="E8" t="n">
        <v>5</v>
      </c>
      <c r="F8" t="inlineStr">
        <is>
          <t>No</t>
        </is>
      </c>
      <c r="G8">
        <f>IF(INDEX(Data!$K$2:$K$1729,MATCH($A8,Data!$B$2:$B$1729,0))&gt;=80,"Yes","No")</f>
        <v/>
      </c>
      <c r="H8" s="16">
        <f>SUMIFS(Data!$H$2:$H$1729,Data!$B$2:$B$1729,$A8,Data!$F$2:$F$1729,"Positive Valence",Data!$D$2:$D$1729,"Commercial")</f>
        <v/>
      </c>
      <c r="I8">
        <f>_xlfn.RANK.AVG(D8,$D$4:$D$33,1)</f>
        <v/>
      </c>
      <c r="J8">
        <f>_xlfn.RANK.AVG(H8,$H$4:$H$33,1)</f>
        <v/>
      </c>
      <c r="L8" t="inlineStr">
        <is>
          <t>Ad_liking_1to7 mean</t>
        </is>
      </c>
      <c r="M8" s="12">
        <f>AVERAGE(D4:D33)</f>
        <v/>
      </c>
      <c r="N8" s="13" t="inlineStr">
        <is>
          <t>=AVERAGE(D4:D33)</t>
        </is>
      </c>
    </row>
    <row r="9">
      <c r="A9" t="inlineStr">
        <is>
          <t>V06</t>
        </is>
      </c>
      <c r="B9" t="inlineStr">
        <is>
          <t>F</t>
        </is>
      </c>
      <c r="C9" t="n">
        <v>25</v>
      </c>
      <c r="D9" t="n">
        <v>4</v>
      </c>
      <c r="E9" t="n">
        <v>5</v>
      </c>
      <c r="F9" t="inlineStr">
        <is>
          <t>No</t>
        </is>
      </c>
      <c r="G9">
        <f>IF(INDEX(Data!$K$2:$K$1729,MATCH($A9,Data!$B$2:$B$1729,0))&gt;=80,"Yes","No")</f>
        <v/>
      </c>
      <c r="H9" s="16">
        <f>SUMIFS(Data!$H$2:$H$1729,Data!$B$2:$B$1729,$A9,Data!$F$2:$F$1729,"Positive Valence",Data!$D$2:$D$1729,"Commercial")</f>
        <v/>
      </c>
      <c r="I9">
        <f>_xlfn.RANK.AVG(D9,$D$4:$D$33,1)</f>
        <v/>
      </c>
      <c r="J9">
        <f>_xlfn.RANK.AVG(H9,$H$4:$H$33,1)</f>
        <v/>
      </c>
      <c r="L9" t="inlineStr">
        <is>
          <t>Ad_liking_1to7 SD</t>
        </is>
      </c>
      <c r="M9" s="12">
        <f>_xlfn.STDEV.S(D4:D33)</f>
        <v/>
      </c>
      <c r="N9" s="13" t="inlineStr">
        <is>
          <t>=STDEV.S(D4:D33)</t>
        </is>
      </c>
    </row>
    <row r="10">
      <c r="A10" t="inlineStr">
        <is>
          <t>V08</t>
        </is>
      </c>
      <c r="B10" t="inlineStr">
        <is>
          <t>M</t>
        </is>
      </c>
      <c r="C10" t="n">
        <v>21</v>
      </c>
      <c r="D10" t="n">
        <v>5</v>
      </c>
      <c r="E10" t="n">
        <v>4</v>
      </c>
      <c r="F10" t="inlineStr">
        <is>
          <t>No</t>
        </is>
      </c>
      <c r="G10">
        <f>IF(INDEX(Data!$K$2:$K$1729,MATCH($A10,Data!$B$2:$B$1729,0))&gt;=80,"Yes","No")</f>
        <v/>
      </c>
      <c r="H10" s="16">
        <f>SUMIFS(Data!$H$2:$H$1729,Data!$B$2:$B$1729,$A10,Data!$F$2:$F$1729,"Positive Valence",Data!$D$2:$D$1729,"Commercial")</f>
        <v/>
      </c>
      <c r="I10">
        <f>_xlfn.RANK.AVG(D10,$D$4:$D$33,1)</f>
        <v/>
      </c>
      <c r="J10">
        <f>_xlfn.RANK.AVG(H10,$H$4:$H$33,1)</f>
        <v/>
      </c>
    </row>
    <row r="11">
      <c r="A11" t="inlineStr">
        <is>
          <t>V09</t>
        </is>
      </c>
      <c r="B11" t="inlineStr">
        <is>
          <t>M</t>
        </is>
      </c>
      <c r="C11" t="n">
        <v>21</v>
      </c>
      <c r="D11" t="n">
        <v>5</v>
      </c>
      <c r="E11" t="n">
        <v>5</v>
      </c>
      <c r="F11" t="inlineStr">
        <is>
          <t>Yes</t>
        </is>
      </c>
      <c r="G11">
        <f>IF(INDEX(Data!$K$2:$K$1729,MATCH($A11,Data!$B$2:$B$1729,0))&gt;=80,"Yes","No")</f>
        <v/>
      </c>
      <c r="H11" s="16">
        <f>SUMIFS(Data!$H$2:$H$1729,Data!$B$2:$B$1729,$A11,Data!$F$2:$F$1729,"Positive Valence",Data!$D$2:$D$1729,"Commercial")</f>
        <v/>
      </c>
      <c r="I11">
        <f>_xlfn.RANK.AVG(D11,$D$4:$D$33,1)</f>
        <v/>
      </c>
      <c r="J11">
        <f>_xlfn.RANK.AVG(H11,$H$4:$H$33,1)</f>
        <v/>
      </c>
      <c r="L11" s="11" t="inlineStr">
        <is>
          <t>Pearson correlation</t>
        </is>
      </c>
    </row>
    <row r="12">
      <c r="A12" t="inlineStr">
        <is>
          <t>V10</t>
        </is>
      </c>
      <c r="B12" t="inlineStr">
        <is>
          <t>M</t>
        </is>
      </c>
      <c r="C12" t="n">
        <v>29</v>
      </c>
      <c r="D12" t="n">
        <v>5</v>
      </c>
      <c r="E12" t="n">
        <v>2</v>
      </c>
      <c r="F12" t="inlineStr">
        <is>
          <t>Yes</t>
        </is>
      </c>
      <c r="G12">
        <f>IF(INDEX(Data!$K$2:$K$1729,MATCH($A12,Data!$B$2:$B$1729,0))&gt;=80,"Yes","No")</f>
        <v/>
      </c>
      <c r="H12" s="16">
        <f>SUMIFS(Data!$H$2:$H$1729,Data!$B$2:$B$1729,$A12,Data!$F$2:$F$1729,"Positive Valence",Data!$D$2:$D$1729,"Commercial")</f>
        <v/>
      </c>
      <c r="I12">
        <f>_xlfn.RANK.AVG(D12,$D$4:$D$33,1)</f>
        <v/>
      </c>
      <c r="J12">
        <f>_xlfn.RANK.AVG(H12,$H$4:$H$33,1)</f>
        <v/>
      </c>
      <c r="L12" t="inlineStr">
        <is>
          <t>Pearson r (CORREL)</t>
        </is>
      </c>
      <c r="M12" s="12">
        <f>CORREL(H4:H33,D4:D33)</f>
        <v/>
      </c>
      <c r="N12" s="13" t="inlineStr">
        <is>
          <t>=CORREL(H4:H33,D4:D33)</t>
        </is>
      </c>
      <c r="O12" s="5" t="inlineStr">
        <is>
          <t>Pearson r of the two columns</t>
        </is>
      </c>
    </row>
    <row r="13">
      <c r="A13" t="inlineStr">
        <is>
          <t>V11</t>
        </is>
      </c>
      <c r="B13" t="inlineStr">
        <is>
          <t>F</t>
        </is>
      </c>
      <c r="C13" t="n">
        <v>22</v>
      </c>
      <c r="D13" t="n">
        <v>4</v>
      </c>
      <c r="E13" t="n">
        <v>5</v>
      </c>
      <c r="F13" t="inlineStr">
        <is>
          <t>No</t>
        </is>
      </c>
      <c r="G13">
        <f>IF(INDEX(Data!$K$2:$K$1729,MATCH($A13,Data!$B$2:$B$1729,0))&gt;=80,"Yes","No")</f>
        <v/>
      </c>
      <c r="H13" s="16">
        <f>SUMIFS(Data!$H$2:$H$1729,Data!$B$2:$B$1729,$A13,Data!$F$2:$F$1729,"Positive Valence",Data!$D$2:$D$1729,"Commercial")</f>
        <v/>
      </c>
      <c r="I13">
        <f>_xlfn.RANK.AVG(D13,$D$4:$D$33,1)</f>
        <v/>
      </c>
      <c r="J13">
        <f>_xlfn.RANK.AVG(H13,$H$4:$H$33,1)</f>
        <v/>
      </c>
      <c r="L13" t="inlineStr">
        <is>
          <t>t for r</t>
        </is>
      </c>
      <c r="M13" s="12">
        <f>M12*SQRT((M5-2)/(1-M12^2))</f>
        <v/>
      </c>
      <c r="N13" s="13" t="inlineStr">
        <is>
          <t>=M12*SQRT((M5-2)/(1-M12^2))</t>
        </is>
      </c>
      <c r="O13" s="5" t="inlineStr">
        <is>
          <t>t = r sqrt((n - 2) / (1 - r^2))</t>
        </is>
      </c>
    </row>
    <row r="14">
      <c r="A14" t="inlineStr">
        <is>
          <t>V12</t>
        </is>
      </c>
      <c r="B14" t="inlineStr">
        <is>
          <t>M</t>
        </is>
      </c>
      <c r="C14" t="n">
        <v>32</v>
      </c>
      <c r="D14" t="n">
        <v>5</v>
      </c>
      <c r="E14" t="n">
        <v>6</v>
      </c>
      <c r="F14" t="inlineStr">
        <is>
          <t>No</t>
        </is>
      </c>
      <c r="G14">
        <f>IF(INDEX(Data!$K$2:$K$1729,MATCH($A14,Data!$B$2:$B$1729,0))&gt;=80,"Yes","No")</f>
        <v/>
      </c>
      <c r="H14" s="16">
        <f>SUMIFS(Data!$H$2:$H$1729,Data!$B$2:$B$1729,$A14,Data!$F$2:$F$1729,"Positive Valence",Data!$D$2:$D$1729,"Commercial")</f>
        <v/>
      </c>
      <c r="I14">
        <f>_xlfn.RANK.AVG(D14,$D$4:$D$33,1)</f>
        <v/>
      </c>
      <c r="J14">
        <f>_xlfn.RANK.AVG(H14,$H$4:$H$33,1)</f>
        <v/>
      </c>
      <c r="L14" t="inlineStr">
        <is>
          <t>df</t>
        </is>
      </c>
      <c r="M14" s="14">
        <f>M5-2</f>
        <v/>
      </c>
      <c r="N14" s="13" t="inlineStr">
        <is>
          <t>=M5-2</t>
        </is>
      </c>
    </row>
    <row r="15">
      <c r="A15" t="inlineStr">
        <is>
          <t>V13</t>
        </is>
      </c>
      <c r="B15" t="inlineStr">
        <is>
          <t>F</t>
        </is>
      </c>
      <c r="C15" t="n">
        <v>27</v>
      </c>
      <c r="D15" t="n">
        <v>4</v>
      </c>
      <c r="E15" t="n">
        <v>6</v>
      </c>
      <c r="F15" t="inlineStr">
        <is>
          <t>No</t>
        </is>
      </c>
      <c r="G15">
        <f>IF(INDEX(Data!$K$2:$K$1729,MATCH($A15,Data!$B$2:$B$1729,0))&gt;=80,"Yes","No")</f>
        <v/>
      </c>
      <c r="H15" s="16">
        <f>SUMIFS(Data!$H$2:$H$1729,Data!$B$2:$B$1729,$A15,Data!$F$2:$F$1729,"Positive Valence",Data!$D$2:$D$1729,"Commercial")</f>
        <v/>
      </c>
      <c r="I15">
        <f>_xlfn.RANK.AVG(D15,$D$4:$D$33,1)</f>
        <v/>
      </c>
      <c r="J15">
        <f>_xlfn.RANK.AVG(H15,$H$4:$H$33,1)</f>
        <v/>
      </c>
      <c r="L15" t="inlineStr">
        <is>
          <t>p, two tailed</t>
        </is>
      </c>
      <c r="M15" s="15">
        <f>_xlfn.T.DIST.2T(ABS(M13),M14)</f>
        <v/>
      </c>
      <c r="N15" s="13" t="inlineStr">
        <is>
          <t>=T.DIST.2T(ABS(M13),M14)</t>
        </is>
      </c>
    </row>
    <row r="16">
      <c r="A16" t="inlineStr">
        <is>
          <t>V14</t>
        </is>
      </c>
      <c r="B16" t="inlineStr">
        <is>
          <t>M</t>
        </is>
      </c>
      <c r="C16" t="n">
        <v>19</v>
      </c>
      <c r="D16" t="n">
        <v>6</v>
      </c>
      <c r="E16" t="n">
        <v>6</v>
      </c>
      <c r="F16" t="inlineStr">
        <is>
          <t>Yes</t>
        </is>
      </c>
      <c r="G16">
        <f>IF(INDEX(Data!$K$2:$K$1729,MATCH($A16,Data!$B$2:$B$1729,0))&gt;=80,"Yes","No")</f>
        <v/>
      </c>
      <c r="H16" s="16">
        <f>SUMIFS(Data!$H$2:$H$1729,Data!$B$2:$B$1729,$A16,Data!$F$2:$F$1729,"Positive Valence",Data!$D$2:$D$1729,"Commercial")</f>
        <v/>
      </c>
      <c r="I16">
        <f>_xlfn.RANK.AVG(D16,$D$4:$D$33,1)</f>
        <v/>
      </c>
      <c r="J16">
        <f>_xlfn.RANK.AVG(H16,$H$4:$H$33,1)</f>
        <v/>
      </c>
      <c r="L16" t="inlineStr">
        <is>
          <t>r 95% CI lower (Fisher z)</t>
        </is>
      </c>
      <c r="M16" s="12">
        <f>TANH(ATANH(M12)-_xlfn.NORM.S.INV(0.975)/SQRT(M5-3))</f>
        <v/>
      </c>
      <c r="N16" s="13" t="inlineStr">
        <is>
          <t>=TANH(ATANH(M12)-NORM.S.INV(0.975)/SQRT(M5-3))</t>
        </is>
      </c>
    </row>
    <row r="17">
      <c r="A17" t="inlineStr">
        <is>
          <t>V15</t>
        </is>
      </c>
      <c r="B17" t="inlineStr">
        <is>
          <t>F</t>
        </is>
      </c>
      <c r="C17" t="n">
        <v>27</v>
      </c>
      <c r="D17" t="n">
        <v>7</v>
      </c>
      <c r="E17" t="n">
        <v>7</v>
      </c>
      <c r="F17" t="inlineStr">
        <is>
          <t>Yes</t>
        </is>
      </c>
      <c r="G17">
        <f>IF(INDEX(Data!$K$2:$K$1729,MATCH($A17,Data!$B$2:$B$1729,0))&gt;=80,"Yes","No")</f>
        <v/>
      </c>
      <c r="H17" s="16">
        <f>SUMIFS(Data!$H$2:$H$1729,Data!$B$2:$B$1729,$A17,Data!$F$2:$F$1729,"Positive Valence",Data!$D$2:$D$1729,"Commercial")</f>
        <v/>
      </c>
      <c r="I17">
        <f>_xlfn.RANK.AVG(D17,$D$4:$D$33,1)</f>
        <v/>
      </c>
      <c r="J17">
        <f>_xlfn.RANK.AVG(H17,$H$4:$H$33,1)</f>
        <v/>
      </c>
      <c r="L17" t="inlineStr">
        <is>
          <t>r 95% CI upper (Fisher z)</t>
        </is>
      </c>
      <c r="M17" s="12">
        <f>TANH(ATANH(M12)+_xlfn.NORM.S.INV(0.975)/SQRT(M5-3))</f>
        <v/>
      </c>
      <c r="N17" s="13" t="inlineStr">
        <is>
          <t>=TANH(ATANH(M12)+NORM.S.INV(0.975)/SQRT(M5-3))</t>
        </is>
      </c>
    </row>
    <row r="18">
      <c r="A18" t="inlineStr">
        <is>
          <t>V16</t>
        </is>
      </c>
      <c r="B18" t="inlineStr">
        <is>
          <t>F</t>
        </is>
      </c>
      <c r="C18" t="n">
        <v>34</v>
      </c>
      <c r="D18" t="n">
        <v>6</v>
      </c>
      <c r="E18" t="n">
        <v>6</v>
      </c>
      <c r="F18" t="inlineStr">
        <is>
          <t>Yes</t>
        </is>
      </c>
      <c r="G18">
        <f>IF(INDEX(Data!$K$2:$K$1729,MATCH($A18,Data!$B$2:$B$1729,0))&gt;=80,"Yes","No")</f>
        <v/>
      </c>
      <c r="H18" s="16">
        <f>SUMIFS(Data!$H$2:$H$1729,Data!$B$2:$B$1729,$A18,Data!$F$2:$F$1729,"Positive Valence",Data!$D$2:$D$1729,"Commercial")</f>
        <v/>
      </c>
      <c r="I18">
        <f>_xlfn.RANK.AVG(D18,$D$4:$D$33,1)</f>
        <v/>
      </c>
      <c r="J18">
        <f>_xlfn.RANK.AVG(H18,$H$4:$H$33,1)</f>
        <v/>
      </c>
      <c r="L18" t="inlineStr">
        <is>
          <t>Least squares slope (percentage points per liking point)</t>
        </is>
      </c>
      <c r="M18" s="12">
        <f>SLOPE(H4:H33,D4:D33)</f>
        <v/>
      </c>
      <c r="N18" s="13" t="inlineStr">
        <is>
          <t>=SLOPE(H4:H33,D4:D33)</t>
        </is>
      </c>
    </row>
    <row r="19">
      <c r="A19" t="inlineStr">
        <is>
          <t>V17</t>
        </is>
      </c>
      <c r="B19" t="inlineStr">
        <is>
          <t>F</t>
        </is>
      </c>
      <c r="C19" t="n">
        <v>34</v>
      </c>
      <c r="D19" t="n">
        <v>2</v>
      </c>
      <c r="E19" t="n">
        <v>3</v>
      </c>
      <c r="F19" t="inlineStr">
        <is>
          <t>No</t>
        </is>
      </c>
      <c r="G19">
        <f>IF(INDEX(Data!$K$2:$K$1729,MATCH($A19,Data!$B$2:$B$1729,0))&gt;=80,"Yes","No")</f>
        <v/>
      </c>
      <c r="H19" s="16">
        <f>SUMIFS(Data!$H$2:$H$1729,Data!$B$2:$B$1729,$A19,Data!$F$2:$F$1729,"Positive Valence",Data!$D$2:$D$1729,"Commercial")</f>
        <v/>
      </c>
      <c r="I19">
        <f>_xlfn.RANK.AVG(D19,$D$4:$D$33,1)</f>
        <v/>
      </c>
      <c r="J19">
        <f>_xlfn.RANK.AVG(H19,$H$4:$H$33,1)</f>
        <v/>
      </c>
      <c r="L19" t="inlineStr">
        <is>
          <t>Least squares intercept (%)</t>
        </is>
      </c>
      <c r="M19" s="12">
        <f>INTERCEPT(H4:H33,D4:D33)</f>
        <v/>
      </c>
      <c r="N19" s="13" t="inlineStr">
        <is>
          <t>=INTERCEPT(H4:H33,D4:D33)</t>
        </is>
      </c>
    </row>
    <row r="20">
      <c r="A20" t="inlineStr">
        <is>
          <t>V18</t>
        </is>
      </c>
      <c r="B20" t="inlineStr">
        <is>
          <t>M</t>
        </is>
      </c>
      <c r="C20" t="n">
        <v>26</v>
      </c>
      <c r="D20" t="n">
        <v>5</v>
      </c>
      <c r="E20" t="n">
        <v>6</v>
      </c>
      <c r="F20" t="inlineStr">
        <is>
          <t>No</t>
        </is>
      </c>
      <c r="G20">
        <f>IF(INDEX(Data!$K$2:$K$1729,MATCH($A20,Data!$B$2:$B$1729,0))&gt;=80,"Yes","No")</f>
        <v/>
      </c>
      <c r="H20" s="16">
        <f>SUMIFS(Data!$H$2:$H$1729,Data!$B$2:$B$1729,$A20,Data!$F$2:$F$1729,"Positive Valence",Data!$D$2:$D$1729,"Commercial")</f>
        <v/>
      </c>
      <c r="I20">
        <f>_xlfn.RANK.AVG(D20,$D$4:$D$33,1)</f>
        <v/>
      </c>
      <c r="J20">
        <f>_xlfn.RANK.AVG(H20,$H$4:$H$33,1)</f>
        <v/>
      </c>
      <c r="L20" t="inlineStr">
        <is>
          <t>R squared</t>
        </is>
      </c>
      <c r="M20" s="12">
        <f>RSQ(H4:H33,D4:D33)</f>
        <v/>
      </c>
      <c r="N20" s="13" t="inlineStr">
        <is>
          <t>=RSQ(H4:H33,D4:D33)</t>
        </is>
      </c>
    </row>
    <row r="21">
      <c r="A21" t="inlineStr">
        <is>
          <t>V20</t>
        </is>
      </c>
      <c r="B21" t="inlineStr">
        <is>
          <t>M</t>
        </is>
      </c>
      <c r="C21" t="n">
        <v>24</v>
      </c>
      <c r="D21" t="n">
        <v>6</v>
      </c>
      <c r="E21" t="n">
        <v>3</v>
      </c>
      <c r="F21" t="inlineStr">
        <is>
          <t>Yes</t>
        </is>
      </c>
      <c r="G21">
        <f>IF(INDEX(Data!$K$2:$K$1729,MATCH($A21,Data!$B$2:$B$1729,0))&gt;=80,"Yes","No")</f>
        <v/>
      </c>
      <c r="H21" s="16">
        <f>SUMIFS(Data!$H$2:$H$1729,Data!$B$2:$B$1729,$A21,Data!$F$2:$F$1729,"Positive Valence",Data!$D$2:$D$1729,"Commercial")</f>
        <v/>
      </c>
      <c r="I21">
        <f>_xlfn.RANK.AVG(D21,$D$4:$D$33,1)</f>
        <v/>
      </c>
      <c r="J21">
        <f>_xlfn.RANK.AVG(H21,$H$4:$H$33,1)</f>
        <v/>
      </c>
    </row>
    <row r="22">
      <c r="A22" t="inlineStr">
        <is>
          <t>V21</t>
        </is>
      </c>
      <c r="B22" t="inlineStr">
        <is>
          <t>F</t>
        </is>
      </c>
      <c r="C22" t="n">
        <v>21</v>
      </c>
      <c r="D22" t="n">
        <v>7</v>
      </c>
      <c r="E22" t="n">
        <v>6</v>
      </c>
      <c r="F22" t="inlineStr">
        <is>
          <t>Yes</t>
        </is>
      </c>
      <c r="G22">
        <f>IF(INDEX(Data!$K$2:$K$1729,MATCH($A22,Data!$B$2:$B$1729,0))&gt;=80,"Yes","No")</f>
        <v/>
      </c>
      <c r="H22" s="16">
        <f>SUMIFS(Data!$H$2:$H$1729,Data!$B$2:$B$1729,$A22,Data!$F$2:$F$1729,"Positive Valence",Data!$D$2:$D$1729,"Commercial")</f>
        <v/>
      </c>
      <c r="I22">
        <f>_xlfn.RANK.AVG(D22,$D$4:$D$33,1)</f>
        <v/>
      </c>
      <c r="J22">
        <f>_xlfn.RANK.AVG(H22,$H$4:$H$33,1)</f>
        <v/>
      </c>
      <c r="L22" s="11" t="inlineStr">
        <is>
          <t>Spearman correlation (Pearson r of the average ranks)</t>
        </is>
      </c>
    </row>
    <row r="23">
      <c r="A23" t="inlineStr">
        <is>
          <t>V22</t>
        </is>
      </c>
      <c r="B23" t="inlineStr">
        <is>
          <t>F</t>
        </is>
      </c>
      <c r="C23" t="n">
        <v>45</v>
      </c>
      <c r="D23" t="n">
        <v>4</v>
      </c>
      <c r="E23" t="n">
        <v>5</v>
      </c>
      <c r="F23" t="inlineStr">
        <is>
          <t>No</t>
        </is>
      </c>
      <c r="G23">
        <f>IF(INDEX(Data!$K$2:$K$1729,MATCH($A23,Data!$B$2:$B$1729,0))&gt;=80,"Yes","No")</f>
        <v/>
      </c>
      <c r="H23" s="16">
        <f>SUMIFS(Data!$H$2:$H$1729,Data!$B$2:$B$1729,$A23,Data!$F$2:$F$1729,"Positive Valence",Data!$D$2:$D$1729,"Commercial")</f>
        <v/>
      </c>
      <c r="I23">
        <f>_xlfn.RANK.AVG(D23,$D$4:$D$33,1)</f>
        <v/>
      </c>
      <c r="J23">
        <f>_xlfn.RANK.AVG(H23,$H$4:$H$33,1)</f>
        <v/>
      </c>
      <c r="L23" t="inlineStr">
        <is>
          <t>Spearman rho</t>
        </is>
      </c>
      <c r="M23" s="12">
        <f>CORREL(I4:I33,J4:J33)</f>
        <v/>
      </c>
      <c r="N23" s="13" t="inlineStr">
        <is>
          <t>=CORREL(I4:I33,J4:J33)</t>
        </is>
      </c>
      <c r="O23" s="5" t="inlineStr">
        <is>
          <t>RANK.AVG gives tied values the average rank, as R does</t>
        </is>
      </c>
    </row>
    <row r="24">
      <c r="A24" t="inlineStr">
        <is>
          <t>V23</t>
        </is>
      </c>
      <c r="B24" t="inlineStr">
        <is>
          <t>F</t>
        </is>
      </c>
      <c r="C24" t="n">
        <v>34</v>
      </c>
      <c r="D24" t="n">
        <v>7</v>
      </c>
      <c r="E24" t="n">
        <v>6</v>
      </c>
      <c r="F24" t="inlineStr">
        <is>
          <t>Yes</t>
        </is>
      </c>
      <c r="G24">
        <f>IF(INDEX(Data!$K$2:$K$1729,MATCH($A24,Data!$B$2:$B$1729,0))&gt;=80,"Yes","No")</f>
        <v/>
      </c>
      <c r="H24" s="16">
        <f>SUMIFS(Data!$H$2:$H$1729,Data!$B$2:$B$1729,$A24,Data!$F$2:$F$1729,"Positive Valence",Data!$D$2:$D$1729,"Commercial")</f>
        <v/>
      </c>
      <c r="I24">
        <f>_xlfn.RANK.AVG(D24,$D$4:$D$33,1)</f>
        <v/>
      </c>
      <c r="J24">
        <f>_xlfn.RANK.AVG(H24,$H$4:$H$33,1)</f>
        <v/>
      </c>
      <c r="L24" t="inlineStr">
        <is>
          <t>t for rho</t>
        </is>
      </c>
      <c r="M24" s="12">
        <f>M23*SQRT((M5-2)/(1-M23^2))</f>
        <v/>
      </c>
      <c r="N24" s="13" t="inlineStr">
        <is>
          <t>=M23*SQRT((M5-2)/(1-M23^2))</t>
        </is>
      </c>
      <c r="O24" s="5" t="inlineStr">
        <is>
          <t>the t approximation that R uses when there are ties</t>
        </is>
      </c>
    </row>
    <row r="25">
      <c r="A25" t="inlineStr">
        <is>
          <t>V24</t>
        </is>
      </c>
      <c r="B25" t="inlineStr">
        <is>
          <t>M</t>
        </is>
      </c>
      <c r="C25" t="n">
        <v>29</v>
      </c>
      <c r="D25" t="n">
        <v>5</v>
      </c>
      <c r="E25" t="n">
        <v>5</v>
      </c>
      <c r="F25" t="inlineStr">
        <is>
          <t>Yes</t>
        </is>
      </c>
      <c r="G25">
        <f>IF(INDEX(Data!$K$2:$K$1729,MATCH($A25,Data!$B$2:$B$1729,0))&gt;=80,"Yes","No")</f>
        <v/>
      </c>
      <c r="H25" s="16">
        <f>SUMIFS(Data!$H$2:$H$1729,Data!$B$2:$B$1729,$A25,Data!$F$2:$F$1729,"Positive Valence",Data!$D$2:$D$1729,"Commercial")</f>
        <v/>
      </c>
      <c r="I25">
        <f>_xlfn.RANK.AVG(D25,$D$4:$D$33,1)</f>
        <v/>
      </c>
      <c r="J25">
        <f>_xlfn.RANK.AVG(H25,$H$4:$H$33,1)</f>
        <v/>
      </c>
      <c r="L25" t="inlineStr">
        <is>
          <t>p, two tailed</t>
        </is>
      </c>
      <c r="M25" s="15">
        <f>_xlfn.T.DIST.2T(ABS(M24),M5-2)</f>
        <v/>
      </c>
      <c r="N25" s="13" t="inlineStr">
        <is>
          <t>=T.DIST.2T(ABS(M24),M5-2)</t>
        </is>
      </c>
    </row>
    <row r="26">
      <c r="A26" t="inlineStr">
        <is>
          <t>V25</t>
        </is>
      </c>
      <c r="B26" t="inlineStr">
        <is>
          <t>F</t>
        </is>
      </c>
      <c r="C26" t="n">
        <v>28</v>
      </c>
      <c r="D26" t="n">
        <v>4</v>
      </c>
      <c r="E26" t="n">
        <v>3</v>
      </c>
      <c r="F26" t="inlineStr">
        <is>
          <t>No</t>
        </is>
      </c>
      <c r="G26">
        <f>IF(INDEX(Data!$K$2:$K$1729,MATCH($A26,Data!$B$2:$B$1729,0))&gt;=80,"Yes","No")</f>
        <v/>
      </c>
      <c r="H26" s="16">
        <f>SUMIFS(Data!$H$2:$H$1729,Data!$B$2:$B$1729,$A26,Data!$F$2:$F$1729,"Positive Valence",Data!$D$2:$D$1729,"Commercial")</f>
        <v/>
      </c>
      <c r="I26">
        <f>_xlfn.RANK.AVG(D26,$D$4:$D$33,1)</f>
        <v/>
      </c>
      <c r="J26">
        <f>_xlfn.RANK.AVG(H26,$H$4:$H$33,1)</f>
        <v/>
      </c>
      <c r="L26" t="inlineStr">
        <is>
          <t>rho 95% CI lower (Bonett and Wright)</t>
        </is>
      </c>
      <c r="M26" s="12">
        <f>TANH(ATANH(M23)-_xlfn.NORM.S.INV(0.975)*SQRT((1+M23^2/2)/(M5-3)))</f>
        <v/>
      </c>
      <c r="N26" s="13" t="inlineStr">
        <is>
          <t>=TANH(ATANH(M23)-NORM.S.INV(0.975)*SQRT((1+M23^2/2)/(M5-3)))</t>
        </is>
      </c>
    </row>
    <row r="27">
      <c r="A27" t="inlineStr">
        <is>
          <t>V26</t>
        </is>
      </c>
      <c r="B27" t="inlineStr">
        <is>
          <t>M</t>
        </is>
      </c>
      <c r="C27" t="n">
        <v>25</v>
      </c>
      <c r="D27" t="n">
        <v>5</v>
      </c>
      <c r="E27" t="n">
        <v>4</v>
      </c>
      <c r="F27" t="inlineStr">
        <is>
          <t>No</t>
        </is>
      </c>
      <c r="G27">
        <f>IF(INDEX(Data!$K$2:$K$1729,MATCH($A27,Data!$B$2:$B$1729,0))&gt;=80,"Yes","No")</f>
        <v/>
      </c>
      <c r="H27" s="16">
        <f>SUMIFS(Data!$H$2:$H$1729,Data!$B$2:$B$1729,$A27,Data!$F$2:$F$1729,"Positive Valence",Data!$D$2:$D$1729,"Commercial")</f>
        <v/>
      </c>
      <c r="I27">
        <f>_xlfn.RANK.AVG(D27,$D$4:$D$33,1)</f>
        <v/>
      </c>
      <c r="J27">
        <f>_xlfn.RANK.AVG(H27,$H$4:$H$33,1)</f>
        <v/>
      </c>
      <c r="L27" t="inlineStr">
        <is>
          <t>rho 95% CI upper (Bonett and Wright)</t>
        </is>
      </c>
      <c r="M27" s="12">
        <f>TANH(ATANH(M23)+_xlfn.NORM.S.INV(0.975)*SQRT((1+M23^2/2)/(M5-3)))</f>
        <v/>
      </c>
      <c r="N27" s="13" t="inlineStr">
        <is>
          <t>=TANH(ATANH(M23)+NORM.S.INV(0.975)*SQRT((1+M23^2/2)/(M5-3)))</t>
        </is>
      </c>
    </row>
    <row r="28">
      <c r="A28" t="inlineStr">
        <is>
          <t>V27</t>
        </is>
      </c>
      <c r="B28" t="inlineStr">
        <is>
          <t>M</t>
        </is>
      </c>
      <c r="C28" t="n">
        <v>24</v>
      </c>
      <c r="D28" t="n">
        <v>7</v>
      </c>
      <c r="E28" t="n">
        <v>5</v>
      </c>
      <c r="F28" t="inlineStr">
        <is>
          <t>Yes</t>
        </is>
      </c>
      <c r="G28">
        <f>IF(INDEX(Data!$K$2:$K$1729,MATCH($A28,Data!$B$2:$B$1729,0))&gt;=80,"Yes","No")</f>
        <v/>
      </c>
      <c r="H28" s="16">
        <f>SUMIFS(Data!$H$2:$H$1729,Data!$B$2:$B$1729,$A28,Data!$F$2:$F$1729,"Positive Valence",Data!$D$2:$D$1729,"Commercial")</f>
        <v/>
      </c>
      <c r="I28">
        <f>_xlfn.RANK.AVG(D28,$D$4:$D$33,1)</f>
        <v/>
      </c>
      <c r="J28">
        <f>_xlfn.RANK.AVG(H28,$H$4:$H$33,1)</f>
        <v/>
      </c>
    </row>
    <row r="29">
      <c r="A29" t="inlineStr">
        <is>
          <t>V28</t>
        </is>
      </c>
      <c r="B29" t="inlineStr">
        <is>
          <t>F</t>
        </is>
      </c>
      <c r="C29" t="n">
        <v>31</v>
      </c>
      <c r="D29" t="n">
        <v>5</v>
      </c>
      <c r="E29" t="n">
        <v>5</v>
      </c>
      <c r="F29" t="inlineStr">
        <is>
          <t>No</t>
        </is>
      </c>
      <c r="G29">
        <f>IF(INDEX(Data!$K$2:$K$1729,MATCH($A29,Data!$B$2:$B$1729,0))&gt;=80,"Yes","No")</f>
        <v/>
      </c>
      <c r="H29" s="16">
        <f>SUMIFS(Data!$H$2:$H$1729,Data!$B$2:$B$1729,$A29,Data!$F$2:$F$1729,"Positive Valence",Data!$D$2:$D$1729,"Commercial")</f>
        <v/>
      </c>
      <c r="I29">
        <f>_xlfn.RANK.AVG(D29,$D$4:$D$33,1)</f>
        <v/>
      </c>
      <c r="J29">
        <f>_xlfn.RANK.AVG(H29,$H$4:$H$33,1)</f>
        <v/>
      </c>
      <c r="L29" s="11" t="inlineStr">
        <is>
          <t>Checks</t>
        </is>
      </c>
    </row>
    <row r="30">
      <c r="A30" t="inlineStr">
        <is>
          <t>V29</t>
        </is>
      </c>
      <c r="B30" t="inlineStr">
        <is>
          <t>F</t>
        </is>
      </c>
      <c r="C30" t="n">
        <v>30</v>
      </c>
      <c r="D30" t="n">
        <v>7</v>
      </c>
      <c r="E30" t="n">
        <v>7</v>
      </c>
      <c r="F30" t="inlineStr">
        <is>
          <t>Yes</t>
        </is>
      </c>
      <c r="G30">
        <f>IF(INDEX(Data!$K$2:$K$1729,MATCH($A30,Data!$B$2:$B$1729,0))&gt;=80,"Yes","No")</f>
        <v/>
      </c>
      <c r="H30" s="16">
        <f>SUMIFS(Data!$H$2:$H$1729,Data!$B$2:$B$1729,$A30,Data!$F$2:$F$1729,"Positive Valence",Data!$D$2:$D$1729,"Commercial")</f>
        <v/>
      </c>
      <c r="I30">
        <f>_xlfn.RANK.AVG(D30,$D$4:$D$33,1)</f>
        <v/>
      </c>
      <c r="J30">
        <f>_xlfn.RANK.AVG(H30,$H$4:$H$33,1)</f>
        <v/>
      </c>
      <c r="L30" t="inlineStr">
        <is>
          <t>Kept respondents in the Keep column</t>
        </is>
      </c>
      <c r="M30" s="14">
        <f>COUNTIF(G4:G35,"Yes")</f>
        <v/>
      </c>
      <c r="N30" s="13" t="inlineStr">
        <is>
          <t>=COUNTIF(G4:G35,"Yes")</t>
        </is>
      </c>
      <c r="O30" s="5" t="inlineStr">
        <is>
          <t>must equal n</t>
        </is>
      </c>
    </row>
    <row r="31">
      <c r="A31" t="inlineStr">
        <is>
          <t>V30</t>
        </is>
      </c>
      <c r="B31" t="inlineStr">
        <is>
          <t>M</t>
        </is>
      </c>
      <c r="C31" t="n">
        <v>24</v>
      </c>
      <c r="D31" t="n">
        <v>3</v>
      </c>
      <c r="E31" t="n">
        <v>2</v>
      </c>
      <c r="F31" t="inlineStr">
        <is>
          <t>No</t>
        </is>
      </c>
      <c r="G31">
        <f>IF(INDEX(Data!$K$2:$K$1729,MATCH($A31,Data!$B$2:$B$1729,0))&gt;=80,"Yes","No")</f>
        <v/>
      </c>
      <c r="H31" s="16">
        <f>SUMIFS(Data!$H$2:$H$1729,Data!$B$2:$B$1729,$A31,Data!$F$2:$F$1729,"Positive Valence",Data!$D$2:$D$1729,"Commercial")</f>
        <v/>
      </c>
      <c r="I31">
        <f>_xlfn.RANK.AVG(D31,$D$4:$D$33,1)</f>
        <v/>
      </c>
      <c r="J31">
        <f>_xlfn.RANK.AVG(H31,$H$4:$H$33,1)</f>
        <v/>
      </c>
      <c r="L31" t="inlineStr">
        <is>
          <t>Rows listed in the roster flagged Yes</t>
        </is>
      </c>
      <c r="M31" s="14">
        <f>COUNTIF(G4:G33,"Yes")</f>
        <v/>
      </c>
      <c r="N31" s="13" t="inlineStr">
        <is>
          <t>=COUNTIF(G4:G33,"Yes")</t>
        </is>
      </c>
      <c r="O31" s="5" t="inlineStr">
        <is>
          <t>must equal n; the excluded rows sit below the roster</t>
        </is>
      </c>
    </row>
    <row r="32">
      <c r="A32" t="inlineStr">
        <is>
          <t>V31</t>
        </is>
      </c>
      <c r="B32" t="inlineStr">
        <is>
          <t>M</t>
        </is>
      </c>
      <c r="C32" t="n">
        <v>29</v>
      </c>
      <c r="D32" t="n">
        <v>6</v>
      </c>
      <c r="E32" t="n">
        <v>5</v>
      </c>
      <c r="F32" t="inlineStr">
        <is>
          <t>Yes</t>
        </is>
      </c>
      <c r="G32">
        <f>IF(INDEX(Data!$K$2:$K$1729,MATCH($A32,Data!$B$2:$B$1729,0))&gt;=80,"Yes","No")</f>
        <v/>
      </c>
      <c r="H32" s="16">
        <f>SUMIFS(Data!$H$2:$H$1729,Data!$B$2:$B$1729,$A32,Data!$F$2:$F$1729,"Positive Valence",Data!$D$2:$D$1729,"Commercial")</f>
        <v/>
      </c>
      <c r="I32">
        <f>_xlfn.RANK.AVG(D32,$D$4:$D$33,1)</f>
        <v/>
      </c>
      <c r="J32">
        <f>_xlfn.RANK.AVG(H32,$H$4:$H$33,1)</f>
        <v/>
      </c>
    </row>
    <row r="33">
      <c r="A33" t="inlineStr">
        <is>
          <t>V32</t>
        </is>
      </c>
      <c r="B33" t="inlineStr">
        <is>
          <t>F</t>
        </is>
      </c>
      <c r="C33" t="n">
        <v>23</v>
      </c>
      <c r="D33" t="n">
        <v>6</v>
      </c>
      <c r="E33" t="n">
        <v>5</v>
      </c>
      <c r="F33" t="inlineStr">
        <is>
          <t>Yes</t>
        </is>
      </c>
      <c r="G33">
        <f>IF(INDEX(Data!$K$2:$K$1729,MATCH($A33,Data!$B$2:$B$1729,0))&gt;=80,"Yes","No")</f>
        <v/>
      </c>
      <c r="H33" s="16">
        <f>SUMIFS(Data!$H$2:$H$1729,Data!$B$2:$B$1729,$A33,Data!$F$2:$F$1729,"Positive Valence",Data!$D$2:$D$1729,"Commercial")</f>
        <v/>
      </c>
      <c r="I33">
        <f>_xlfn.RANK.AVG(D33,$D$4:$D$33,1)</f>
        <v/>
      </c>
      <c r="J33">
        <f>_xlfn.RANK.AVG(H33,$H$4:$H$33,1)</f>
        <v/>
      </c>
    </row>
    <row r="34">
      <c r="A34" t="inlineStr">
        <is>
          <t>V07</t>
        </is>
      </c>
      <c r="B34" t="inlineStr">
        <is>
          <t>F</t>
        </is>
      </c>
      <c r="C34" t="n">
        <v>25</v>
      </c>
      <c r="D34" t="n">
        <v>4</v>
      </c>
      <c r="E34" t="n">
        <v>4</v>
      </c>
      <c r="F34" t="inlineStr">
        <is>
          <t>No</t>
        </is>
      </c>
      <c r="G34">
        <f>IF(INDEX(Data!$K$2:$K$1729,MATCH($A34,Data!$B$2:$B$1729,0))&gt;=80,"Yes","No")</f>
        <v/>
      </c>
      <c r="H34" s="16">
        <f>SUMIFS(Data!$H$2:$H$1729,Data!$B$2:$B$1729,$A34,Data!$F$2:$F$1729,"Positive Valence",Data!$D$2:$D$1729,"Commercial")</f>
        <v/>
      </c>
    </row>
    <row r="35">
      <c r="A35" t="inlineStr">
        <is>
          <t>V19</t>
        </is>
      </c>
      <c r="B35" t="inlineStr">
        <is>
          <t>M</t>
        </is>
      </c>
      <c r="C35" t="n">
        <v>30</v>
      </c>
      <c r="D35" t="n">
        <v>6</v>
      </c>
      <c r="E35" t="n">
        <v>4</v>
      </c>
      <c r="F35" t="inlineStr">
        <is>
          <t>No</t>
        </is>
      </c>
      <c r="G35">
        <f>IF(INDEX(Data!$K$2:$K$1729,MATCH($A35,Data!$B$2:$B$1729,0))&gt;=80,"Yes","No")</f>
        <v/>
      </c>
      <c r="H35" s="16">
        <f>SUMIFS(Data!$H$2:$H$1729,Data!$B$2:$B$1729,$A35,Data!$F$2:$F$1729,"Positive Valence",Data!$D$2:$D$1729,"Commercial")</f>
        <v/>
      </c>
    </row>
    <row r="37">
      <c r="A37" s="5" t="inlineStr">
        <is>
          <t>Rows 4 to 33 are the 30 kept respondents; the excluded respondents (V07, V19) are listed last (rows 34 to 35) and left out of every test range and rank range.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70"/>
  <sheetViews>
    <sheetView workbookViewId="0">
      <selection activeCell="A1" sqref="A1"/>
    </sheetView>
  </sheetViews>
  <sheetFormatPr baseColWidth="8" defaultRowHeight="15"/>
  <cols>
    <col width="62" customWidth="1" min="1" max="1"/>
    <col width="20" customWidth="1" min="2" max="2"/>
    <col width="20" customWidth="1" min="3" max="3"/>
    <col width="20" customWidth="1" min="4" max="4"/>
    <col width="20" customWidth="1" min="5" max="5"/>
    <col width="20" customWidth="1" min="6" max="6"/>
    <col width="34" customWidth="1" min="7" max="7"/>
    <col width="11" customWidth="1" min="8" max="8"/>
    <col width="13" customWidth="1" min="9" max="9"/>
    <col width="15" customWidth="1" min="10" max="10"/>
    <col width="13" customWidth="1" min="11" max="11"/>
    <col width="16" customWidth="1" min="12" max="12"/>
    <col width="14" customWidth="1" min="13" max="13"/>
  </cols>
  <sheetData>
    <row r="1">
      <c r="A1" s="4" t="inlineStr">
        <is>
          <t>Live Excel results next to the values analysis.R produced (SIMULATED data). Status is OK when they agree within the tolerance.</t>
        </is>
      </c>
    </row>
    <row r="2"/>
    <row r="3">
      <c r="A3" s="2" t="inlineStr">
        <is>
          <t>Quantity</t>
        </is>
      </c>
      <c r="B3" s="2" t="inlineStr">
        <is>
          <t>Excel (live formula)</t>
        </is>
      </c>
      <c r="C3" s="2" t="inlineStr">
        <is>
          <t>analysis.R</t>
        </is>
      </c>
      <c r="D3" s="2" t="inlineStr">
        <is>
          <t>Difference</t>
        </is>
      </c>
      <c r="E3" s="2" t="inlineStr">
        <is>
          <t>Tolerance</t>
        </is>
      </c>
      <c r="F3" s="2" t="inlineStr">
        <is>
          <t>Status</t>
        </is>
      </c>
    </row>
    <row r="4">
      <c r="A4" t="inlineStr">
        <is>
          <t>H1 Joy: mean Baseline (%)</t>
        </is>
      </c>
      <c r="B4" s="15">
        <f>'H1'!L6</f>
        <v/>
      </c>
      <c r="C4" s="15" t="n">
        <v>1.606</v>
      </c>
      <c r="D4" s="15">
        <f>B4-C4</f>
        <v/>
      </c>
      <c r="E4" s="15" t="n">
        <v>0.0001</v>
      </c>
      <c r="F4">
        <f>IF(ABS(D4)&lt;=E4,"OK","CHECK")</f>
        <v/>
      </c>
    </row>
    <row r="5">
      <c r="A5" t="inlineStr">
        <is>
          <t>H1 Joy: mean Commercial (%)</t>
        </is>
      </c>
      <c r="B5" s="15">
        <f>'H1'!L8</f>
        <v/>
      </c>
      <c r="C5" s="15" t="n">
        <v>10.365333</v>
      </c>
      <c r="D5" s="15">
        <f>B5-C5</f>
        <v/>
      </c>
      <c r="E5" s="15" t="n">
        <v>0.0001</v>
      </c>
      <c r="F5">
        <f>IF(ABS(D5)&lt;=E5,"OK","CHECK")</f>
        <v/>
      </c>
    </row>
    <row r="6">
      <c r="A6" t="inlineStr">
        <is>
          <t>H1 Joy: n pairs</t>
        </is>
      </c>
      <c r="B6" s="15">
        <f>'H1'!L10</f>
        <v/>
      </c>
      <c r="C6" s="15" t="n">
        <v>30</v>
      </c>
      <c r="D6" s="15">
        <f>B6-C6</f>
        <v/>
      </c>
      <c r="E6" s="15" t="n">
        <v>1e-09</v>
      </c>
      <c r="F6">
        <f>IF(ABS(D6)&lt;=E6,"OK","CHECK")</f>
        <v/>
      </c>
    </row>
    <row r="7">
      <c r="A7" t="inlineStr">
        <is>
          <t>H1 Joy: mean difference</t>
        </is>
      </c>
      <c r="B7" s="15">
        <f>'H1'!L11</f>
        <v/>
      </c>
      <c r="C7" s="15" t="n">
        <v>8.759333</v>
      </c>
      <c r="D7" s="15">
        <f>B7-C7</f>
        <v/>
      </c>
      <c r="E7" s="15" t="n">
        <v>0.0001</v>
      </c>
      <c r="F7">
        <f>IF(ABS(D7)&lt;=E7,"OK","CHECK")</f>
        <v/>
      </c>
    </row>
    <row r="8">
      <c r="A8" t="inlineStr">
        <is>
          <t>H1 Joy: mean difference CI lower</t>
        </is>
      </c>
      <c r="B8" s="15">
        <f>'H1'!L19</f>
        <v/>
      </c>
      <c r="C8" s="15" t="n">
        <v>4.339579</v>
      </c>
      <c r="D8" s="15">
        <f>B8-C8</f>
        <v/>
      </c>
      <c r="E8" s="15" t="n">
        <v>0.0001</v>
      </c>
      <c r="F8">
        <f>IF(ABS(D8)&lt;=E8,"OK","CHECK")</f>
        <v/>
      </c>
    </row>
    <row r="9">
      <c r="A9" t="inlineStr">
        <is>
          <t>H1 Joy: mean difference CI upper</t>
        </is>
      </c>
      <c r="B9" s="15">
        <f>'H1'!L20</f>
        <v/>
      </c>
      <c r="C9" s="15" t="n">
        <v>13.179087</v>
      </c>
      <c r="D9" s="15">
        <f>B9-C9</f>
        <v/>
      </c>
      <c r="E9" s="15" t="n">
        <v>0.0001</v>
      </c>
      <c r="F9">
        <f>IF(ABS(D9)&lt;=E9,"OK","CHECK")</f>
        <v/>
      </c>
    </row>
    <row r="10">
      <c r="A10" t="inlineStr">
        <is>
          <t>H1 Joy: paired t</t>
        </is>
      </c>
      <c r="B10" s="15">
        <f>'H1'!L14</f>
        <v/>
      </c>
      <c r="C10" s="15" t="n">
        <v>4.053359</v>
      </c>
      <c r="D10" s="15">
        <f>B10-C10</f>
        <v/>
      </c>
      <c r="E10" s="15" t="n">
        <v>0.0001</v>
      </c>
      <c r="F10">
        <f>IF(ABS(D10)&lt;=E10,"OK","CHECK")</f>
        <v/>
      </c>
    </row>
    <row r="11">
      <c r="A11" t="inlineStr">
        <is>
          <t>H1 Joy: df</t>
        </is>
      </c>
      <c r="B11" s="15">
        <f>'H1'!L15</f>
        <v/>
      </c>
      <c r="C11" s="15" t="n">
        <v>29</v>
      </c>
      <c r="D11" s="15">
        <f>B11-C11</f>
        <v/>
      </c>
      <c r="E11" s="15" t="n">
        <v>1e-09</v>
      </c>
      <c r="F11">
        <f>IF(ABS(D11)&lt;=E11,"OK","CHECK")</f>
        <v/>
      </c>
    </row>
    <row r="12">
      <c r="A12" t="inlineStr">
        <is>
          <t>H1 Joy: p (T.TEST type 1)</t>
        </is>
      </c>
      <c r="B12" s="15">
        <f>'H1'!L16</f>
        <v/>
      </c>
      <c r="C12" s="15" t="n">
        <v>0.000346</v>
      </c>
      <c r="D12" s="15">
        <f>B12-C12</f>
        <v/>
      </c>
      <c r="E12" s="15" t="n">
        <v>1.74e-07</v>
      </c>
      <c r="F12">
        <f>IF(ABS(D12)&lt;=E12,"OK","CHECK")</f>
        <v/>
      </c>
    </row>
    <row r="13">
      <c r="A13" t="inlineStr">
        <is>
          <t>H1 Joy: Cohen's d_z</t>
        </is>
      </c>
      <c r="B13" s="15">
        <f>'H1'!L21</f>
        <v/>
      </c>
      <c r="C13" s="15" t="n">
        <v>0.740039</v>
      </c>
      <c r="D13" s="15">
        <f>B13-C13</f>
        <v/>
      </c>
      <c r="E13" s="15" t="n">
        <v>0.0001</v>
      </c>
      <c r="F13">
        <f>IF(ABS(D13)&lt;=E13,"OK","CHECK")</f>
        <v/>
      </c>
    </row>
    <row r="14">
      <c r="A14" t="inlineStr">
        <is>
          <t>H1 Joy: d_z CI lower (method differs)</t>
        </is>
      </c>
      <c r="B14" s="15">
        <f>'H1'!L23</f>
        <v/>
      </c>
      <c r="C14" s="15" t="n">
        <v>0.330068</v>
      </c>
      <c r="D14" s="15">
        <f>B14-C14</f>
        <v/>
      </c>
      <c r="E14" s="15" t="n">
        <v>0.1</v>
      </c>
      <c r="F14">
        <f>IF(ABS(D14)&lt;=E14,"OK","CHECK")</f>
        <v/>
      </c>
      <c r="G14" s="5" t="inlineStr">
        <is>
          <t>Excel: large sample approximation; R: noncentral t</t>
        </is>
      </c>
    </row>
    <row r="15">
      <c r="A15" t="inlineStr">
        <is>
          <t>H1 Joy: d_z CI upper (method differs)</t>
        </is>
      </c>
      <c r="B15" s="15">
        <f>'H1'!L24</f>
        <v/>
      </c>
      <c r="C15" s="15" t="n">
        <v>1.140004</v>
      </c>
      <c r="D15" s="15">
        <f>B15-C15</f>
        <v/>
      </c>
      <c r="E15" s="15" t="n">
        <v>0.1</v>
      </c>
      <c r="F15">
        <f>IF(ABS(D15)&lt;=E15,"OK","CHECK")</f>
        <v/>
      </c>
      <c r="G15" s="5" t="inlineStr">
        <is>
          <t>Excel: large sample approximation; R: noncentral t</t>
        </is>
      </c>
    </row>
    <row r="16">
      <c r="A16" t="inlineStr">
        <is>
          <t>H1 Joy: viewers with Joy, Baseline</t>
        </is>
      </c>
      <c r="B16" s="15">
        <f>'H1'!L28</f>
        <v/>
      </c>
      <c r="C16" s="15" t="n">
        <v>8</v>
      </c>
      <c r="D16" s="15">
        <f>B16-C16</f>
        <v/>
      </c>
      <c r="E16" s="15" t="n">
        <v>1e-09</v>
      </c>
      <c r="F16">
        <f>IF(ABS(D16)&lt;=E16,"OK","CHECK")</f>
        <v/>
      </c>
    </row>
    <row r="17">
      <c r="A17" t="inlineStr">
        <is>
          <t>H1 Joy: viewers with Joy, Commercial</t>
        </is>
      </c>
      <c r="B17" s="15">
        <f>'H1'!L29</f>
        <v/>
      </c>
      <c r="C17" s="15" t="n">
        <v>25</v>
      </c>
      <c r="D17" s="15">
        <f>B17-C17</f>
        <v/>
      </c>
      <c r="E17" s="15" t="n">
        <v>1e-09</v>
      </c>
      <c r="F17">
        <f>IF(ABS(D17)&lt;=E17,"OK","CHECK")</f>
        <v/>
      </c>
    </row>
    <row r="18">
      <c r="A18" t="inlineStr">
        <is>
          <t>H1 Joy: exact McNemar p</t>
        </is>
      </c>
      <c r="B18" s="15">
        <f>'H1'!L34</f>
        <v/>
      </c>
      <c r="C18" s="15" t="n">
        <v>7.629e-05</v>
      </c>
      <c r="D18" s="15">
        <f>B18-C18</f>
        <v/>
      </c>
      <c r="E18" s="15" t="n">
        <v>3.9145e-08</v>
      </c>
      <c r="F18">
        <f>IF(ABS(D18)&lt;=E18,"OK","CHECK")</f>
        <v/>
      </c>
    </row>
    <row r="19">
      <c r="A19" t="inlineStr">
        <is>
          <t>H1 Joy: Wilcoxon V</t>
        </is>
      </c>
      <c r="B19" s="15">
        <f>'H1'!L41</f>
        <v/>
      </c>
      <c r="C19" s="15" t="n">
        <v>331</v>
      </c>
      <c r="D19" s="15">
        <f>B19-C19</f>
        <v/>
      </c>
      <c r="E19" s="15" t="n">
        <v>1e-06</v>
      </c>
      <c r="F19">
        <f>IF(ABS(D19)&lt;=E19,"OK","CHECK")</f>
        <v/>
      </c>
    </row>
    <row r="20">
      <c r="A20" t="inlineStr">
        <is>
          <t>H1 Joy: Wilcoxon p</t>
        </is>
      </c>
      <c r="B20" s="15">
        <f>'H1'!L48</f>
        <v/>
      </c>
      <c r="C20" s="15" t="n">
        <v>8.261e-05</v>
      </c>
      <c r="D20" s="15">
        <f>B20-C20</f>
        <v/>
      </c>
      <c r="E20" s="15" t="n">
        <v>4.2305e-08</v>
      </c>
      <c r="F20">
        <f>IF(ABS(D20)&lt;=E20,"OK","CHECK")</f>
        <v/>
      </c>
    </row>
    <row r="21">
      <c r="A21" t="inlineStr">
        <is>
          <t>H1 Joy: rank biserial correlation</t>
        </is>
      </c>
      <c r="B21" s="15">
        <f>'H1'!L49</f>
        <v/>
      </c>
      <c r="C21" s="15" t="n">
        <v>0.88604</v>
      </c>
      <c r="D21" s="15">
        <f>B21-C21</f>
        <v/>
      </c>
      <c r="E21" s="15" t="n">
        <v>0.0001</v>
      </c>
      <c r="F21">
        <f>IF(ABS(D21)&lt;=E21,"OK","CHECK")</f>
        <v/>
      </c>
    </row>
    <row r="22">
      <c r="A22" t="inlineStr">
        <is>
          <t>H2 Joy by bin: F</t>
        </is>
      </c>
      <c r="B22" s="15">
        <f>'Bins'!S17</f>
        <v/>
      </c>
      <c r="C22" s="15" t="n">
        <v>8.524304000000001</v>
      </c>
      <c r="D22" s="15">
        <f>B22-C22</f>
        <v/>
      </c>
      <c r="E22" s="15" t="n">
        <v>0.0001</v>
      </c>
      <c r="F22">
        <f>IF(ABS(D22)&lt;=E22,"OK","CHECK")</f>
        <v/>
      </c>
    </row>
    <row r="23">
      <c r="A23" t="inlineStr">
        <is>
          <t>H2 Joy by bin: denominator df</t>
        </is>
      </c>
      <c r="B23" s="15">
        <f>'Bins'!S14</f>
        <v/>
      </c>
      <c r="C23" s="15" t="n">
        <v>145</v>
      </c>
      <c r="D23" s="15">
        <f>B23-C23</f>
        <v/>
      </c>
      <c r="E23" s="15" t="n">
        <v>1e-06</v>
      </c>
      <c r="F23">
        <f>IF(ABS(D23)&lt;=E23,"OK","CHECK")</f>
        <v/>
      </c>
    </row>
    <row r="24">
      <c r="A24" t="inlineStr">
        <is>
          <t>H2 Joy by bin: p</t>
        </is>
      </c>
      <c r="B24" s="15">
        <f>'Bins'!S18</f>
        <v/>
      </c>
      <c r="C24" s="15" t="n">
        <v>4.251e-07</v>
      </c>
      <c r="D24" s="15">
        <f>B24-C24</f>
        <v/>
      </c>
      <c r="E24" s="15" t="n">
        <v>1.21255e-09</v>
      </c>
      <c r="F24">
        <f>IF(ABS(D24)&lt;=E24,"OK","CHECK")</f>
        <v/>
      </c>
    </row>
    <row r="25">
      <c r="A25" t="inlineStr">
        <is>
          <t>H2 Joy by bin: ICC adjusted</t>
        </is>
      </c>
      <c r="B25" s="15">
        <f>'Bins'!S20</f>
        <v/>
      </c>
      <c r="C25" s="15" t="n">
        <v>0.431271</v>
      </c>
      <c r="D25" s="15">
        <f>B25-C25</f>
        <v/>
      </c>
      <c r="E25" s="15" t="n">
        <v>0.0001</v>
      </c>
      <c r="F25">
        <f>IF(ABS(D25)&lt;=E25,"OK","CHECK")</f>
        <v/>
      </c>
    </row>
    <row r="26">
      <c r="A26" t="inlineStr">
        <is>
          <t>H2 Friedman chi-squared</t>
        </is>
      </c>
      <c r="B26" s="15">
        <f>'Bins'!S25</f>
        <v/>
      </c>
      <c r="C26" s="15" t="n">
        <v>34.682663</v>
      </c>
      <c r="D26" s="15">
        <f>B26-C26</f>
        <v/>
      </c>
      <c r="E26" s="15" t="n">
        <v>0.0001</v>
      </c>
      <c r="F26">
        <f>IF(ABS(D26)&lt;=E26,"OK","CHECK")</f>
        <v/>
      </c>
    </row>
    <row r="27">
      <c r="A27" t="inlineStr">
        <is>
          <t>H2 Friedman p</t>
        </is>
      </c>
      <c r="B27" s="15">
        <f>'Bins'!S26</f>
        <v/>
      </c>
      <c r="C27" s="15" t="n">
        <v>1.741e-06</v>
      </c>
      <c r="D27" s="15">
        <f>B27-C27</f>
        <v/>
      </c>
      <c r="E27" s="15" t="n">
        <v>1.8705e-09</v>
      </c>
      <c r="F27">
        <f>IF(ABS(D27)&lt;=E27,"OK","CHECK")</f>
        <v/>
      </c>
    </row>
    <row r="28">
      <c r="A28" t="inlineStr">
        <is>
          <t>H2 Kendall's W</t>
        </is>
      </c>
      <c r="B28" s="15">
        <f>'Bins'!S27</f>
        <v/>
      </c>
      <c r="C28" s="15" t="n">
        <v>0.231218</v>
      </c>
      <c r="D28" s="15">
        <f>B28-C28</f>
        <v/>
      </c>
      <c r="E28" s="15" t="n">
        <v>0.0001</v>
      </c>
      <c r="F28">
        <f>IF(ABS(D28)&lt;=E28,"OK","CHECK")</f>
        <v/>
      </c>
    </row>
    <row r="29">
      <c r="A29" t="inlineStr">
        <is>
          <t>H2 contrast Bin_05 minus Bin_01..04: estimate</t>
        </is>
      </c>
      <c r="B29" s="15">
        <f>'Bins'!S30</f>
        <v/>
      </c>
      <c r="C29" s="15" t="n">
        <v>18.256083</v>
      </c>
      <c r="D29" s="15">
        <f>B29-C29</f>
        <v/>
      </c>
      <c r="E29" s="15" t="n">
        <v>0.0001</v>
      </c>
      <c r="F29">
        <f>IF(ABS(D29)&lt;=E29,"OK","CHECK")</f>
        <v/>
      </c>
    </row>
    <row r="30">
      <c r="A30" t="inlineStr">
        <is>
          <t>H2 contrast Bin_05 minus Bin_01..04: t</t>
        </is>
      </c>
      <c r="B30" s="15">
        <f>'Bins'!S32</f>
        <v/>
      </c>
      <c r="C30" s="15" t="n">
        <v>6.339375</v>
      </c>
      <c r="D30" s="15">
        <f>B30-C30</f>
        <v/>
      </c>
      <c r="E30" s="15" t="n">
        <v>0.001</v>
      </c>
      <c r="F30">
        <f>IF(ABS(D30)&lt;=E30,"OK","CHECK")</f>
        <v/>
      </c>
    </row>
    <row r="31">
      <c r="A31" t="inlineStr">
        <is>
          <t>H2 contrast Bin_06 minus Bin_01..04: estimate</t>
        </is>
      </c>
      <c r="B31" s="15">
        <f>'Bins'!S34</f>
        <v/>
      </c>
      <c r="C31" s="15" t="n">
        <v>7.333417</v>
      </c>
      <c r="D31" s="15">
        <f>B31-C31</f>
        <v/>
      </c>
      <c r="E31" s="15" t="n">
        <v>0.0001</v>
      </c>
      <c r="F31">
        <f>IF(ABS(D31)&lt;=E31,"OK","CHECK")</f>
        <v/>
      </c>
    </row>
    <row r="32">
      <c r="A32" t="inlineStr">
        <is>
          <t>H2 contrast Bin_06 minus Bin_01..04: t</t>
        </is>
      </c>
      <c r="B32" s="15">
        <f>'Bins'!S36</f>
        <v/>
      </c>
      <c r="C32" s="15" t="n">
        <v>2.546509</v>
      </c>
      <c r="D32" s="15">
        <f>B32-C32</f>
        <v/>
      </c>
      <c r="E32" s="15" t="n">
        <v>0.001</v>
      </c>
      <c r="F32">
        <f>IF(ABS(D32)&lt;=E32,"OK","CHECK")</f>
        <v/>
      </c>
    </row>
    <row r="33">
      <c r="A33" t="inlineStr">
        <is>
          <t>H2 Bin_01: proportion of viewers with Joy present</t>
        </is>
      </c>
      <c r="B33" s="15">
        <f>Bins!B39</f>
        <v/>
      </c>
      <c r="C33" s="15" t="n">
        <v>0.233333</v>
      </c>
      <c r="D33" s="15">
        <f>B33-C33</f>
        <v/>
      </c>
      <c r="E33" s="15" t="n">
        <v>1e-06</v>
      </c>
      <c r="F33">
        <f>IF(ABS(D33)&lt;=E33,"OK","CHECK")</f>
        <v/>
      </c>
    </row>
    <row r="34">
      <c r="A34" t="inlineStr">
        <is>
          <t>H2 Bin_02: proportion of viewers with Joy present</t>
        </is>
      </c>
      <c r="B34" s="15">
        <f>Bins!C39</f>
        <v/>
      </c>
      <c r="C34" s="15" t="n">
        <v>0.266667</v>
      </c>
      <c r="D34" s="15">
        <f>B34-C34</f>
        <v/>
      </c>
      <c r="E34" s="15" t="n">
        <v>1e-06</v>
      </c>
      <c r="F34">
        <f>IF(ABS(D34)&lt;=E34,"OK","CHECK")</f>
        <v/>
      </c>
    </row>
    <row r="35">
      <c r="A35" t="inlineStr">
        <is>
          <t>H2 Bin_03: proportion of viewers with Joy present</t>
        </is>
      </c>
      <c r="B35" s="15">
        <f>Bins!D39</f>
        <v/>
      </c>
      <c r="C35" s="15" t="n">
        <v>0.233333</v>
      </c>
      <c r="D35" s="15">
        <f>B35-C35</f>
        <v/>
      </c>
      <c r="E35" s="15" t="n">
        <v>1e-06</v>
      </c>
      <c r="F35">
        <f>IF(ABS(D35)&lt;=E35,"OK","CHECK")</f>
        <v/>
      </c>
    </row>
    <row r="36">
      <c r="A36" t="inlineStr">
        <is>
          <t>H2 Bin_04: proportion of viewers with Joy present</t>
        </is>
      </c>
      <c r="B36" s="15">
        <f>Bins!E39</f>
        <v/>
      </c>
      <c r="C36" s="15" t="n">
        <v>0.3</v>
      </c>
      <c r="D36" s="15">
        <f>B36-C36</f>
        <v/>
      </c>
      <c r="E36" s="15" t="n">
        <v>1e-06</v>
      </c>
      <c r="F36">
        <f>IF(ABS(D36)&lt;=E36,"OK","CHECK")</f>
        <v/>
      </c>
    </row>
    <row r="37">
      <c r="A37" t="inlineStr">
        <is>
          <t>H2 Bin_05: proportion of viewers with Joy present</t>
        </is>
      </c>
      <c r="B37" s="15">
        <f>Bins!F39</f>
        <v/>
      </c>
      <c r="C37" s="15" t="n">
        <v>0.666667</v>
      </c>
      <c r="D37" s="15">
        <f>B37-C37</f>
        <v/>
      </c>
      <c r="E37" s="15" t="n">
        <v>1e-06</v>
      </c>
      <c r="F37">
        <f>IF(ABS(D37)&lt;=E37,"OK","CHECK")</f>
        <v/>
      </c>
    </row>
    <row r="38">
      <c r="A38" t="inlineStr">
        <is>
          <t>H2 Bin_06: proportion of viewers with Joy present</t>
        </is>
      </c>
      <c r="B38" s="15">
        <f>Bins!G39</f>
        <v/>
      </c>
      <c r="C38" s="15" t="n">
        <v>0.5333329999999999</v>
      </c>
      <c r="D38" s="15">
        <f>B38-C38</f>
        <v/>
      </c>
      <c r="E38" s="15" t="n">
        <v>1e-06</v>
      </c>
      <c r="F38">
        <f>IF(ABS(D38)&lt;=E38,"OK","CHECK")</f>
        <v/>
      </c>
    </row>
    <row r="39">
      <c r="A39" t="inlineStr">
        <is>
          <t>H2 Bin_01: mean Joy (%)</t>
        </is>
      </c>
      <c r="B39" s="15">
        <f>Bins!B41</f>
        <v/>
      </c>
      <c r="C39" s="15" t="n">
        <v>4.833667</v>
      </c>
      <c r="D39" s="15">
        <f>B39-C39</f>
        <v/>
      </c>
      <c r="E39" s="15" t="n">
        <v>0.0001</v>
      </c>
      <c r="F39">
        <f>IF(ABS(D39)&lt;=E39,"OK","CHECK")</f>
        <v/>
      </c>
    </row>
    <row r="40">
      <c r="A40" t="inlineStr">
        <is>
          <t>H2 Bin_02: mean Joy (%)</t>
        </is>
      </c>
      <c r="B40" s="15">
        <f>Bins!C41</f>
        <v/>
      </c>
      <c r="C40" s="15" t="n">
        <v>7.733</v>
      </c>
      <c r="D40" s="15">
        <f>B40-C40</f>
        <v/>
      </c>
      <c r="E40" s="15" t="n">
        <v>0.0001</v>
      </c>
      <c r="F40">
        <f>IF(ABS(D40)&lt;=E40,"OK","CHECK")</f>
        <v/>
      </c>
    </row>
    <row r="41">
      <c r="A41" t="inlineStr">
        <is>
          <t>H2 Bin_03: mean Joy (%)</t>
        </is>
      </c>
      <c r="B41" s="15">
        <f>Bins!D41</f>
        <v/>
      </c>
      <c r="C41" s="15" t="n">
        <v>6.422</v>
      </c>
      <c r="D41" s="15">
        <f>B41-C41</f>
        <v/>
      </c>
      <c r="E41" s="15" t="n">
        <v>0.0001</v>
      </c>
      <c r="F41">
        <f>IF(ABS(D41)&lt;=E41,"OK","CHECK")</f>
        <v/>
      </c>
    </row>
    <row r="42">
      <c r="A42" t="inlineStr">
        <is>
          <t>H2 Bin_04: mean Joy (%)</t>
        </is>
      </c>
      <c r="B42" s="15">
        <f>Bins!E41</f>
        <v/>
      </c>
      <c r="C42" s="15" t="n">
        <v>5.411</v>
      </c>
      <c r="D42" s="15">
        <f>B42-C42</f>
        <v/>
      </c>
      <c r="E42" s="15" t="n">
        <v>0.0001</v>
      </c>
      <c r="F42">
        <f>IF(ABS(D42)&lt;=E42,"OK","CHECK")</f>
        <v/>
      </c>
    </row>
    <row r="43">
      <c r="A43" t="inlineStr">
        <is>
          <t>H2 Bin_05: mean Joy (%)</t>
        </is>
      </c>
      <c r="B43" s="15">
        <f>Bins!F41</f>
        <v/>
      </c>
      <c r="C43" s="15" t="n">
        <v>24.356</v>
      </c>
      <c r="D43" s="15">
        <f>B43-C43</f>
        <v/>
      </c>
      <c r="E43" s="15" t="n">
        <v>0.0001</v>
      </c>
      <c r="F43">
        <f>IF(ABS(D43)&lt;=E43,"OK","CHECK")</f>
        <v/>
      </c>
    </row>
    <row r="44">
      <c r="A44" t="inlineStr">
        <is>
          <t>H2 Bin_06: mean Joy (%)</t>
        </is>
      </c>
      <c r="B44" s="15">
        <f>Bins!G41</f>
        <v/>
      </c>
      <c r="C44" s="15" t="n">
        <v>13.433333</v>
      </c>
      <c r="D44" s="15">
        <f>B44-C44</f>
        <v/>
      </c>
      <c r="E44" s="15" t="n">
        <v>0.0001</v>
      </c>
      <c r="F44">
        <f>IF(ABS(D44)&lt;=E44,"OK","CHECK")</f>
        <v/>
      </c>
    </row>
    <row r="45">
      <c r="A45" t="inlineStr">
        <is>
          <t>H3 Pearson r</t>
        </is>
      </c>
      <c r="B45" s="15">
        <f>'H3'!M12</f>
        <v/>
      </c>
      <c r="C45" s="15" t="n">
        <v>0.454838</v>
      </c>
      <c r="D45" s="15">
        <f>B45-C45</f>
        <v/>
      </c>
      <c r="E45" s="15" t="n">
        <v>0.0001</v>
      </c>
      <c r="F45">
        <f>IF(ABS(D45)&lt;=E45,"OK","CHECK")</f>
        <v/>
      </c>
    </row>
    <row r="46">
      <c r="A46" t="inlineStr">
        <is>
          <t>H3 Pearson: t</t>
        </is>
      </c>
      <c r="B46" s="15">
        <f>'H3'!M13</f>
        <v/>
      </c>
      <c r="C46" s="15" t="n">
        <v>2.7025</v>
      </c>
      <c r="D46" s="15">
        <f>B46-C46</f>
        <v/>
      </c>
      <c r="E46" s="15" t="n">
        <v>0.001</v>
      </c>
      <c r="F46">
        <f>IF(ABS(D46)&lt;=E46,"OK","CHECK")</f>
        <v/>
      </c>
    </row>
    <row r="47">
      <c r="A47" t="inlineStr">
        <is>
          <t>H3 Pearson: p</t>
        </is>
      </c>
      <c r="B47" s="15">
        <f>'H3'!M15</f>
        <v/>
      </c>
      <c r="C47" s="15" t="n">
        <v>0.01156</v>
      </c>
      <c r="D47" s="15">
        <f>B47-C47</f>
        <v/>
      </c>
      <c r="E47" s="15" t="n">
        <v>5.781e-06</v>
      </c>
      <c r="F47">
        <f>IF(ABS(D47)&lt;=E47,"OK","CHECK")</f>
        <v/>
      </c>
    </row>
    <row r="48">
      <c r="A48" t="inlineStr">
        <is>
          <t>H3 Pearson: CI lower</t>
        </is>
      </c>
      <c r="B48" s="15">
        <f>'H3'!M16</f>
        <v/>
      </c>
      <c r="C48" s="15" t="n">
        <v>0.113102</v>
      </c>
      <c r="D48" s="15">
        <f>B48-C48</f>
        <v/>
      </c>
      <c r="E48" s="15" t="n">
        <v>0.0001</v>
      </c>
      <c r="F48">
        <f>IF(ABS(D48)&lt;=E48,"OK","CHECK")</f>
        <v/>
      </c>
    </row>
    <row r="49">
      <c r="A49" t="inlineStr">
        <is>
          <t>H3 Pearson: CI upper</t>
        </is>
      </c>
      <c r="B49" s="15">
        <f>'H3'!M17</f>
        <v/>
      </c>
      <c r="C49" s="15" t="n">
        <v>0.700346</v>
      </c>
      <c r="D49" s="15">
        <f>B49-C49</f>
        <v/>
      </c>
      <c r="E49" s="15" t="n">
        <v>0.0001</v>
      </c>
      <c r="F49">
        <f>IF(ABS(D49)&lt;=E49,"OK","CHECK")</f>
        <v/>
      </c>
    </row>
    <row r="50">
      <c r="A50" t="inlineStr">
        <is>
          <t>H3 Spearman rho</t>
        </is>
      </c>
      <c r="B50" s="15">
        <f>'H3'!M23</f>
        <v/>
      </c>
      <c r="C50" s="15" t="n">
        <v>0.414595</v>
      </c>
      <c r="D50" s="15">
        <f>B50-C50</f>
        <v/>
      </c>
      <c r="E50" s="15" t="n">
        <v>0.0001</v>
      </c>
      <c r="F50">
        <f>IF(ABS(D50)&lt;=E50,"OK","CHECK")</f>
        <v/>
      </c>
    </row>
    <row r="51">
      <c r="A51" t="inlineStr">
        <is>
          <t>H3 Spearman: t</t>
        </is>
      </c>
      <c r="B51" s="15">
        <f>'H3'!M24</f>
        <v/>
      </c>
      <c r="C51" s="15" t="n">
        <v>2.410788</v>
      </c>
      <c r="D51" s="15">
        <f>B51-C51</f>
        <v/>
      </c>
      <c r="E51" s="15" t="n">
        <v>0.001</v>
      </c>
      <c r="F51">
        <f>IF(ABS(D51)&lt;=E51,"OK","CHECK")</f>
        <v/>
      </c>
    </row>
    <row r="52">
      <c r="A52" t="inlineStr">
        <is>
          <t>H3 Spearman: p</t>
        </is>
      </c>
      <c r="B52" s="15">
        <f>'H3'!M25</f>
        <v/>
      </c>
      <c r="C52" s="15" t="n">
        <v>0.02273</v>
      </c>
      <c r="D52" s="15">
        <f>B52-C52</f>
        <v/>
      </c>
      <c r="E52" s="15" t="n">
        <v>1.1366e-05</v>
      </c>
      <c r="F52">
        <f>IF(ABS(D52)&lt;=E52,"OK","CHECK")</f>
        <v/>
      </c>
    </row>
    <row r="53">
      <c r="A53" t="inlineStr">
        <is>
          <t>H3 Spearman: CI lower (Bonett and Wright)</t>
        </is>
      </c>
      <c r="B53" s="15">
        <f>'H3'!M26</f>
        <v/>
      </c>
      <c r="C53" s="15" t="n">
        <v>0.04804</v>
      </c>
      <c r="D53" s="15">
        <f>B53-C53</f>
        <v/>
      </c>
      <c r="E53" s="15" t="n">
        <v>0.0001</v>
      </c>
      <c r="F53">
        <f>IF(ABS(D53)&lt;=E53,"OK","CHECK")</f>
        <v/>
      </c>
    </row>
    <row r="54">
      <c r="A54" t="inlineStr">
        <is>
          <t>H3 Spearman: CI upper (Bonett and Wright)</t>
        </is>
      </c>
      <c r="B54" s="15">
        <f>'H3'!M27</f>
        <v/>
      </c>
      <c r="C54" s="15" t="n">
        <v>0.682734</v>
      </c>
      <c r="D54" s="15">
        <f>B54-C54</f>
        <v/>
      </c>
      <c r="E54" s="15" t="n">
        <v>0.0001</v>
      </c>
      <c r="F54">
        <f>IF(ABS(D54)&lt;=E54,"OK","CHECK")</f>
        <v/>
      </c>
    </row>
    <row r="55">
      <c r="A55" t="inlineStr">
        <is>
          <t>H3 least squares slope</t>
        </is>
      </c>
      <c r="B55" s="15">
        <f>'H3'!M18</f>
        <v/>
      </c>
      <c r="C55" s="15" t="n">
        <v>4.976645</v>
      </c>
      <c r="D55" s="15">
        <f>B55-C55</f>
        <v/>
      </c>
      <c r="E55" s="15" t="n">
        <v>0.0001</v>
      </c>
      <c r="F55">
        <f>IF(ABS(D55)&lt;=E55,"OK","CHECK")</f>
        <v/>
      </c>
    </row>
    <row r="56"/>
    <row r="57">
      <c r="A57" s="8" t="inlineStr">
        <is>
          <t>Rows with status CHECK</t>
        </is>
      </c>
      <c r="B57">
        <f>COUNTIF(F4:F55,"CHECK")</f>
        <v/>
      </c>
    </row>
    <row r="58">
      <c r="A58" s="5" t="inlineStr">
        <is>
          <t>Not reproducible in Excel: the mixed model's random intercept estimates and Satterthwaite output (the F test above is its balanced design equivalent), the Hodges-Lehmann estimate, the noncentral t interval for d_z, the exact Clopper-Pearson intervals for the proportions, the square root model, and the threshold 25 and 75 sensitivity runs. See analysis_output.txt.</t>
        </is>
      </c>
    </row>
    <row r="59"/>
    <row r="60">
      <c r="A60" s="8" t="inlineStr">
        <is>
          <t>analysis.R: tests (SIMULATED_test_results.csv)</t>
        </is>
      </c>
    </row>
    <row r="61">
      <c r="A61" s="2" t="inlineStr">
        <is>
          <t>hypothesis</t>
        </is>
      </c>
      <c r="B61" s="2" t="inlineStr">
        <is>
          <t>analysis</t>
        </is>
      </c>
      <c r="C61" s="2" t="inlineStr">
        <is>
          <t>quantity</t>
        </is>
      </c>
      <c r="D61" s="2" t="inlineStr">
        <is>
          <t>estimate</t>
        </is>
      </c>
      <c r="E61" s="2" t="inlineStr">
        <is>
          <t>ci_low</t>
        </is>
      </c>
      <c r="F61" s="2" t="inlineStr">
        <is>
          <t>ci_high</t>
        </is>
      </c>
      <c r="G61" s="2" t="inlineStr">
        <is>
          <t>statistic</t>
        </is>
      </c>
      <c r="H61" s="2" t="inlineStr">
        <is>
          <t>df</t>
        </is>
      </c>
      <c r="I61" s="2" t="inlineStr">
        <is>
          <t>p</t>
        </is>
      </c>
      <c r="J61" s="2" t="inlineStr">
        <is>
          <t>n</t>
        </is>
      </c>
    </row>
    <row r="62">
      <c r="A62" t="inlineStr">
        <is>
          <t>H1 threshold 50</t>
        </is>
      </c>
      <c r="B62" t="inlineStr">
        <is>
          <t>Descriptive</t>
        </is>
      </c>
      <c r="C62" t="inlineStr">
        <is>
          <t>Baseline mean Percent of time present</t>
        </is>
      </c>
      <c r="D62" t="n">
        <v>1.606</v>
      </c>
      <c r="E62" t="inlineStr">
        <is>
          <t>NA</t>
        </is>
      </c>
      <c r="F62" t="inlineStr">
        <is>
          <t>NA</t>
        </is>
      </c>
      <c r="G62" t="inlineStr">
        <is>
          <t>NA</t>
        </is>
      </c>
      <c r="H62" t="inlineStr">
        <is>
          <t>NA</t>
        </is>
      </c>
      <c r="I62" t="inlineStr">
        <is>
          <t>NA</t>
        </is>
      </c>
      <c r="J62" t="n">
        <v>30</v>
      </c>
    </row>
    <row r="63">
      <c r="A63" t="inlineStr">
        <is>
          <t>H1 threshold 50</t>
        </is>
      </c>
      <c r="B63" t="inlineStr">
        <is>
          <t>Descriptive</t>
        </is>
      </c>
      <c r="C63" t="inlineStr">
        <is>
          <t>Commercial mean Percent of time present</t>
        </is>
      </c>
      <c r="D63" t="n">
        <v>10.365333</v>
      </c>
      <c r="E63" t="inlineStr">
        <is>
          <t>NA</t>
        </is>
      </c>
      <c r="F63" t="inlineStr">
        <is>
          <t>NA</t>
        </is>
      </c>
      <c r="G63" t="inlineStr">
        <is>
          <t>NA</t>
        </is>
      </c>
      <c r="H63" t="inlineStr">
        <is>
          <t>NA</t>
        </is>
      </c>
      <c r="I63" t="inlineStr">
        <is>
          <t>NA</t>
        </is>
      </c>
      <c r="J63" t="n">
        <v>30</v>
      </c>
    </row>
    <row r="64">
      <c r="A64" t="inlineStr">
        <is>
          <t>H1 threshold 50</t>
        </is>
      </c>
      <c r="B64" t="inlineStr">
        <is>
          <t>Descriptive</t>
        </is>
      </c>
      <c r="C64" t="inlineStr">
        <is>
          <t>Viewers with any Joy, Baseline</t>
        </is>
      </c>
      <c r="D64" t="n">
        <v>8</v>
      </c>
      <c r="E64" t="inlineStr">
        <is>
          <t>NA</t>
        </is>
      </c>
      <c r="F64" t="inlineStr">
        <is>
          <t>NA</t>
        </is>
      </c>
      <c r="G64" t="inlineStr">
        <is>
          <t>NA</t>
        </is>
      </c>
      <c r="H64" t="inlineStr">
        <is>
          <t>NA</t>
        </is>
      </c>
      <c r="I64" t="inlineStr">
        <is>
          <t>NA</t>
        </is>
      </c>
      <c r="J64" t="n">
        <v>30</v>
      </c>
    </row>
    <row r="65">
      <c r="A65" t="inlineStr">
        <is>
          <t>H1 threshold 50</t>
        </is>
      </c>
      <c r="B65" t="inlineStr">
        <is>
          <t>Descriptive</t>
        </is>
      </c>
      <c r="C65" t="inlineStr">
        <is>
          <t>Viewers with any Joy, Commercial</t>
        </is>
      </c>
      <c r="D65" t="n">
        <v>25</v>
      </c>
      <c r="E65" t="inlineStr">
        <is>
          <t>NA</t>
        </is>
      </c>
      <c r="F65" t="inlineStr">
        <is>
          <t>NA</t>
        </is>
      </c>
      <c r="G65" t="inlineStr">
        <is>
          <t>NA</t>
        </is>
      </c>
      <c r="H65" t="inlineStr">
        <is>
          <t>NA</t>
        </is>
      </c>
      <c r="I65" t="inlineStr">
        <is>
          <t>NA</t>
        </is>
      </c>
      <c r="J65" t="n">
        <v>30</v>
      </c>
    </row>
    <row r="66">
      <c r="A66" t="inlineStr">
        <is>
          <t>H1 threshold 50</t>
        </is>
      </c>
      <c r="B66" t="inlineStr">
        <is>
          <t>Exact McNemar test</t>
        </is>
      </c>
      <c r="C66" t="inlineStr">
        <is>
          <t>Joy present only at Baseline versus only during the Commercial</t>
        </is>
      </c>
      <c r="D66" t="n">
        <v>17</v>
      </c>
      <c r="E66" t="inlineStr">
        <is>
          <t>NA</t>
        </is>
      </c>
      <c r="F66" t="inlineStr">
        <is>
          <t>NA</t>
        </is>
      </c>
      <c r="G66" t="inlineStr">
        <is>
          <t>NA</t>
        </is>
      </c>
      <c r="H66" t="inlineStr">
        <is>
          <t>NA</t>
        </is>
      </c>
      <c r="I66" t="n">
        <v>7.629e-05</v>
      </c>
      <c r="J66" t="n">
        <v>30</v>
      </c>
    </row>
    <row r="67">
      <c r="A67" t="inlineStr">
        <is>
          <t>H1 threshold 50</t>
        </is>
      </c>
      <c r="B67" t="inlineStr">
        <is>
          <t>Wilcoxon signed rank (primary)</t>
        </is>
      </c>
      <c r="C67" t="inlineStr">
        <is>
          <t>V (sum of positive ranks)</t>
        </is>
      </c>
      <c r="D67" t="inlineStr">
        <is>
          <t>NA</t>
        </is>
      </c>
      <c r="E67" t="inlineStr">
        <is>
          <t>NA</t>
        </is>
      </c>
      <c r="F67" t="inlineStr">
        <is>
          <t>NA</t>
        </is>
      </c>
      <c r="G67" t="n">
        <v>331</v>
      </c>
      <c r="H67" t="inlineStr">
        <is>
          <t>NA</t>
        </is>
      </c>
      <c r="I67" t="n">
        <v>8.261e-05</v>
      </c>
      <c r="J67" t="n">
        <v>26</v>
      </c>
    </row>
    <row r="68">
      <c r="A68" t="inlineStr">
        <is>
          <t>H1 threshold 50</t>
        </is>
      </c>
      <c r="B68" t="inlineStr">
        <is>
          <t>Wilcoxon signed rank (primary)</t>
        </is>
      </c>
      <c r="C68" t="inlineStr">
        <is>
          <t>Matched pairs rank biserial correlation</t>
        </is>
      </c>
      <c r="D68" t="n">
        <v>0.88604</v>
      </c>
      <c r="E68" t="inlineStr">
        <is>
          <t>NA</t>
        </is>
      </c>
      <c r="F68" t="inlineStr">
        <is>
          <t>NA</t>
        </is>
      </c>
      <c r="G68" t="inlineStr">
        <is>
          <t>NA</t>
        </is>
      </c>
      <c r="H68" t="inlineStr">
        <is>
          <t>NA</t>
        </is>
      </c>
      <c r="I68" t="inlineStr">
        <is>
          <t>NA</t>
        </is>
      </c>
      <c r="J68" t="n">
        <v>26</v>
      </c>
    </row>
    <row r="69">
      <c r="A69" t="inlineStr">
        <is>
          <t>H1 threshold 50</t>
        </is>
      </c>
      <c r="B69" t="inlineStr">
        <is>
          <t>Wilcoxon signed rank (primary)</t>
        </is>
      </c>
      <c r="C69" t="inlineStr">
        <is>
          <t>Hodges-Lehmann median difference</t>
        </is>
      </c>
      <c r="D69" t="n">
        <v>8.360068</v>
      </c>
      <c r="E69" t="n">
        <v>4.475048</v>
      </c>
      <c r="F69" t="n">
        <v>13.639941</v>
      </c>
      <c r="G69" t="inlineStr">
        <is>
          <t>NA</t>
        </is>
      </c>
      <c r="H69" t="inlineStr">
        <is>
          <t>NA</t>
        </is>
      </c>
      <c r="I69" t="inlineStr">
        <is>
          <t>NA</t>
        </is>
      </c>
      <c r="J69" t="n">
        <v>26</v>
      </c>
    </row>
    <row r="70">
      <c r="A70" t="inlineStr">
        <is>
          <t>H1 threshold 50</t>
        </is>
      </c>
      <c r="B70" t="inlineStr">
        <is>
          <t>Paired t test</t>
        </is>
      </c>
      <c r="C70" t="inlineStr">
        <is>
          <t>Mean difference (Commercial minus Baseline)</t>
        </is>
      </c>
      <c r="D70" t="n">
        <v>8.759333</v>
      </c>
      <c r="E70" t="n">
        <v>4.339579</v>
      </c>
      <c r="F70" t="n">
        <v>13.179087</v>
      </c>
      <c r="G70" t="n">
        <v>4.053359</v>
      </c>
      <c r="H70" t="n">
        <v>29</v>
      </c>
      <c r="I70" t="n">
        <v>0.000346</v>
      </c>
      <c r="J70" t="n">
        <v>30</v>
      </c>
    </row>
    <row r="71">
      <c r="A71" t="inlineStr">
        <is>
          <t>H1 threshold 50</t>
        </is>
      </c>
      <c r="B71" t="inlineStr">
        <is>
          <t>Paired t test</t>
        </is>
      </c>
      <c r="C71" t="inlineStr">
        <is>
          <t>Cohen's d_z</t>
        </is>
      </c>
      <c r="D71" t="n">
        <v>0.740039</v>
      </c>
      <c r="E71" t="n">
        <v>0.330068</v>
      </c>
      <c r="F71" t="n">
        <v>1.140004</v>
      </c>
      <c r="G71" t="inlineStr">
        <is>
          <t>NA</t>
        </is>
      </c>
      <c r="H71" t="inlineStr">
        <is>
          <t>NA</t>
        </is>
      </c>
      <c r="I71" t="inlineStr">
        <is>
          <t>NA</t>
        </is>
      </c>
      <c r="J71" t="n">
        <v>30</v>
      </c>
    </row>
    <row r="72">
      <c r="A72" t="inlineStr">
        <is>
          <t>H1 sensitivity threshold 25</t>
        </is>
      </c>
      <c r="B72" t="inlineStr">
        <is>
          <t>Descriptive</t>
        </is>
      </c>
      <c r="C72" t="inlineStr">
        <is>
          <t>Baseline mean Percent of time present</t>
        </is>
      </c>
      <c r="D72" t="n">
        <v>3.439333</v>
      </c>
      <c r="E72" t="inlineStr">
        <is>
          <t>NA</t>
        </is>
      </c>
      <c r="F72" t="inlineStr">
        <is>
          <t>NA</t>
        </is>
      </c>
      <c r="G72" t="inlineStr">
        <is>
          <t>NA</t>
        </is>
      </c>
      <c r="H72" t="inlineStr">
        <is>
          <t>NA</t>
        </is>
      </c>
      <c r="I72" t="inlineStr">
        <is>
          <t>NA</t>
        </is>
      </c>
      <c r="J72" t="n">
        <v>30</v>
      </c>
    </row>
    <row r="73">
      <c r="A73" t="inlineStr">
        <is>
          <t>H1 sensitivity threshold 25</t>
        </is>
      </c>
      <c r="B73" t="inlineStr">
        <is>
          <t>Descriptive</t>
        </is>
      </c>
      <c r="C73" t="inlineStr">
        <is>
          <t>Commercial mean Percent of time present</t>
        </is>
      </c>
      <c r="D73" t="n">
        <v>17.755333</v>
      </c>
      <c r="E73" t="inlineStr">
        <is>
          <t>NA</t>
        </is>
      </c>
      <c r="F73" t="inlineStr">
        <is>
          <t>NA</t>
        </is>
      </c>
      <c r="G73" t="inlineStr">
        <is>
          <t>NA</t>
        </is>
      </c>
      <c r="H73" t="inlineStr">
        <is>
          <t>NA</t>
        </is>
      </c>
      <c r="I73" t="inlineStr">
        <is>
          <t>NA</t>
        </is>
      </c>
      <c r="J73" t="n">
        <v>30</v>
      </c>
    </row>
    <row r="74">
      <c r="A74" t="inlineStr">
        <is>
          <t>H1 sensitivity threshold 25</t>
        </is>
      </c>
      <c r="B74" t="inlineStr">
        <is>
          <t>Descriptive</t>
        </is>
      </c>
      <c r="C74" t="inlineStr">
        <is>
          <t>Viewers with any Joy, Baseline</t>
        </is>
      </c>
      <c r="D74" t="n">
        <v>13</v>
      </c>
      <c r="E74" t="inlineStr">
        <is>
          <t>NA</t>
        </is>
      </c>
      <c r="F74" t="inlineStr">
        <is>
          <t>NA</t>
        </is>
      </c>
      <c r="G74" t="inlineStr">
        <is>
          <t>NA</t>
        </is>
      </c>
      <c r="H74" t="inlineStr">
        <is>
          <t>NA</t>
        </is>
      </c>
      <c r="I74" t="inlineStr">
        <is>
          <t>NA</t>
        </is>
      </c>
      <c r="J74" t="n">
        <v>30</v>
      </c>
    </row>
    <row r="75">
      <c r="A75" t="inlineStr">
        <is>
          <t>H1 sensitivity threshold 25</t>
        </is>
      </c>
      <c r="B75" t="inlineStr">
        <is>
          <t>Descriptive</t>
        </is>
      </c>
      <c r="C75" t="inlineStr">
        <is>
          <t>Viewers with any Joy, Commercial</t>
        </is>
      </c>
      <c r="D75" t="n">
        <v>28</v>
      </c>
      <c r="E75" t="inlineStr">
        <is>
          <t>NA</t>
        </is>
      </c>
      <c r="F75" t="inlineStr">
        <is>
          <t>NA</t>
        </is>
      </c>
      <c r="G75" t="inlineStr">
        <is>
          <t>NA</t>
        </is>
      </c>
      <c r="H75" t="inlineStr">
        <is>
          <t>NA</t>
        </is>
      </c>
      <c r="I75" t="inlineStr">
        <is>
          <t>NA</t>
        </is>
      </c>
      <c r="J75" t="n">
        <v>30</v>
      </c>
    </row>
    <row r="76">
      <c r="A76" t="inlineStr">
        <is>
          <t>H1 sensitivity threshold 25</t>
        </is>
      </c>
      <c r="B76" t="inlineStr">
        <is>
          <t>Exact McNemar test</t>
        </is>
      </c>
      <c r="C76" t="inlineStr">
        <is>
          <t>Joy present only at Baseline versus only during the Commercial</t>
        </is>
      </c>
      <c r="D76" t="n">
        <v>15</v>
      </c>
      <c r="E76" t="inlineStr">
        <is>
          <t>NA</t>
        </is>
      </c>
      <c r="F76" t="inlineStr">
        <is>
          <t>NA</t>
        </is>
      </c>
      <c r="G76" t="inlineStr">
        <is>
          <t>NA</t>
        </is>
      </c>
      <c r="H76" t="inlineStr">
        <is>
          <t>NA</t>
        </is>
      </c>
      <c r="I76" t="n">
        <v>6.104e-05</v>
      </c>
      <c r="J76" t="n">
        <v>30</v>
      </c>
    </row>
    <row r="77">
      <c r="A77" t="inlineStr">
        <is>
          <t>H1 sensitivity threshold 25</t>
        </is>
      </c>
      <c r="B77" t="inlineStr">
        <is>
          <t>Wilcoxon signed rank (primary)</t>
        </is>
      </c>
      <c r="C77" t="inlineStr">
        <is>
          <t>V (sum of positive ranks)</t>
        </is>
      </c>
      <c r="D77" t="inlineStr">
        <is>
          <t>NA</t>
        </is>
      </c>
      <c r="E77" t="inlineStr">
        <is>
          <t>NA</t>
        </is>
      </c>
      <c r="F77" t="inlineStr">
        <is>
          <t>NA</t>
        </is>
      </c>
      <c r="G77" t="n">
        <v>389</v>
      </c>
      <c r="H77" t="inlineStr">
        <is>
          <t>NA</t>
        </is>
      </c>
      <c r="I77" t="n">
        <v>2.399e-05</v>
      </c>
      <c r="J77" t="n">
        <v>28</v>
      </c>
    </row>
    <row r="78">
      <c r="A78" t="inlineStr">
        <is>
          <t>H1 sensitivity threshold 25</t>
        </is>
      </c>
      <c r="B78" t="inlineStr">
        <is>
          <t>Wilcoxon signed rank (primary)</t>
        </is>
      </c>
      <c r="C78" t="inlineStr">
        <is>
          <t>Matched pairs rank biserial correlation</t>
        </is>
      </c>
      <c r="D78" t="n">
        <v>0.916256</v>
      </c>
      <c r="E78" t="inlineStr">
        <is>
          <t>NA</t>
        </is>
      </c>
      <c r="F78" t="inlineStr">
        <is>
          <t>NA</t>
        </is>
      </c>
      <c r="G78" t="inlineStr">
        <is>
          <t>NA</t>
        </is>
      </c>
      <c r="H78" t="inlineStr">
        <is>
          <t>NA</t>
        </is>
      </c>
      <c r="I78" t="inlineStr">
        <is>
          <t>NA</t>
        </is>
      </c>
      <c r="J78" t="n">
        <v>28</v>
      </c>
    </row>
    <row r="79">
      <c r="A79" t="inlineStr">
        <is>
          <t>H1 sensitivity threshold 25</t>
        </is>
      </c>
      <c r="B79" t="inlineStr">
        <is>
          <t>Wilcoxon signed rank (primary)</t>
        </is>
      </c>
      <c r="C79" t="inlineStr">
        <is>
          <t>Hodges-Lehmann median difference</t>
        </is>
      </c>
      <c r="D79" t="n">
        <v>13.63734</v>
      </c>
      <c r="E79" t="n">
        <v>7.694974</v>
      </c>
      <c r="F79" t="n">
        <v>21.30505</v>
      </c>
      <c r="G79" t="inlineStr">
        <is>
          <t>NA</t>
        </is>
      </c>
      <c r="H79" t="inlineStr">
        <is>
          <t>NA</t>
        </is>
      </c>
      <c r="I79" t="inlineStr">
        <is>
          <t>NA</t>
        </is>
      </c>
      <c r="J79" t="n">
        <v>28</v>
      </c>
    </row>
    <row r="80">
      <c r="A80" t="inlineStr">
        <is>
          <t>H1 sensitivity threshold 25</t>
        </is>
      </c>
      <c r="B80" t="inlineStr">
        <is>
          <t>Paired t test</t>
        </is>
      </c>
      <c r="C80" t="inlineStr">
        <is>
          <t>Mean difference (Commercial minus Baseline)</t>
        </is>
      </c>
      <c r="D80" t="n">
        <v>14.316</v>
      </c>
      <c r="E80" t="n">
        <v>8.347916</v>
      </c>
      <c r="F80" t="n">
        <v>20.284084</v>
      </c>
      <c r="G80" t="n">
        <v>4.906014</v>
      </c>
      <c r="H80" t="n">
        <v>29</v>
      </c>
      <c r="I80" t="n">
        <v>3.294e-05</v>
      </c>
      <c r="J80" t="n">
        <v>30</v>
      </c>
    </row>
    <row r="81">
      <c r="A81" t="inlineStr">
        <is>
          <t>H1 sensitivity threshold 25</t>
        </is>
      </c>
      <c r="B81" t="inlineStr">
        <is>
          <t>Paired t test</t>
        </is>
      </c>
      <c r="C81" t="inlineStr">
        <is>
          <t>Cohen's d_z</t>
        </is>
      </c>
      <c r="D81" t="n">
        <v>0.895712</v>
      </c>
      <c r="E81" t="n">
        <v>0.465096</v>
      </c>
      <c r="F81" t="n">
        <v>1.315295</v>
      </c>
      <c r="G81" t="inlineStr">
        <is>
          <t>NA</t>
        </is>
      </c>
      <c r="H81" t="inlineStr">
        <is>
          <t>NA</t>
        </is>
      </c>
      <c r="I81" t="inlineStr">
        <is>
          <t>NA</t>
        </is>
      </c>
      <c r="J81" t="n">
        <v>30</v>
      </c>
    </row>
    <row r="82">
      <c r="A82" t="inlineStr">
        <is>
          <t>H1 sensitivity threshold 75</t>
        </is>
      </c>
      <c r="B82" t="inlineStr">
        <is>
          <t>Descriptive</t>
        </is>
      </c>
      <c r="C82" t="inlineStr">
        <is>
          <t>Baseline mean Percent of time present</t>
        </is>
      </c>
      <c r="D82" t="n">
        <v>0.561333</v>
      </c>
      <c r="E82" t="inlineStr">
        <is>
          <t>NA</t>
        </is>
      </c>
      <c r="F82" t="inlineStr">
        <is>
          <t>NA</t>
        </is>
      </c>
      <c r="G82" t="inlineStr">
        <is>
          <t>NA</t>
        </is>
      </c>
      <c r="H82" t="inlineStr">
        <is>
          <t>NA</t>
        </is>
      </c>
      <c r="I82" t="inlineStr">
        <is>
          <t>NA</t>
        </is>
      </c>
      <c r="J82" t="n">
        <v>30</v>
      </c>
    </row>
    <row r="83">
      <c r="A83" t="inlineStr">
        <is>
          <t>H1 sensitivity threshold 75</t>
        </is>
      </c>
      <c r="B83" t="inlineStr">
        <is>
          <t>Descriptive</t>
        </is>
      </c>
      <c r="C83" t="inlineStr">
        <is>
          <t>Commercial mean Percent of time present</t>
        </is>
      </c>
      <c r="D83" t="n">
        <v>4.210667</v>
      </c>
      <c r="E83" t="inlineStr">
        <is>
          <t>NA</t>
        </is>
      </c>
      <c r="F83" t="inlineStr">
        <is>
          <t>NA</t>
        </is>
      </c>
      <c r="G83" t="inlineStr">
        <is>
          <t>NA</t>
        </is>
      </c>
      <c r="H83" t="inlineStr">
        <is>
          <t>NA</t>
        </is>
      </c>
      <c r="I83" t="inlineStr">
        <is>
          <t>NA</t>
        </is>
      </c>
      <c r="J83" t="n">
        <v>30</v>
      </c>
    </row>
    <row r="84">
      <c r="A84" t="inlineStr">
        <is>
          <t>H1 sensitivity threshold 75</t>
        </is>
      </c>
      <c r="B84" t="inlineStr">
        <is>
          <t>Descriptive</t>
        </is>
      </c>
      <c r="C84" t="inlineStr">
        <is>
          <t>Viewers with any Joy, Baseline</t>
        </is>
      </c>
      <c r="D84" t="n">
        <v>7</v>
      </c>
      <c r="E84" t="inlineStr">
        <is>
          <t>NA</t>
        </is>
      </c>
      <c r="F84" t="inlineStr">
        <is>
          <t>NA</t>
        </is>
      </c>
      <c r="G84" t="inlineStr">
        <is>
          <t>NA</t>
        </is>
      </c>
      <c r="H84" t="inlineStr">
        <is>
          <t>NA</t>
        </is>
      </c>
      <c r="I84" t="inlineStr">
        <is>
          <t>NA</t>
        </is>
      </c>
      <c r="J84" t="n">
        <v>30</v>
      </c>
    </row>
    <row r="85">
      <c r="A85" t="inlineStr">
        <is>
          <t>H1 sensitivity threshold 75</t>
        </is>
      </c>
      <c r="B85" t="inlineStr">
        <is>
          <t>Descriptive</t>
        </is>
      </c>
      <c r="C85" t="inlineStr">
        <is>
          <t>Viewers with any Joy, Commercial</t>
        </is>
      </c>
      <c r="D85" t="n">
        <v>18</v>
      </c>
      <c r="E85" t="inlineStr">
        <is>
          <t>NA</t>
        </is>
      </c>
      <c r="F85" t="inlineStr">
        <is>
          <t>NA</t>
        </is>
      </c>
      <c r="G85" t="inlineStr">
        <is>
          <t>NA</t>
        </is>
      </c>
      <c r="H85" t="inlineStr">
        <is>
          <t>NA</t>
        </is>
      </c>
      <c r="I85" t="inlineStr">
        <is>
          <t>NA</t>
        </is>
      </c>
      <c r="J85" t="n">
        <v>30</v>
      </c>
    </row>
    <row r="86">
      <c r="A86" t="inlineStr">
        <is>
          <t>H1 sensitivity threshold 75</t>
        </is>
      </c>
      <c r="B86" t="inlineStr">
        <is>
          <t>Exact McNemar test</t>
        </is>
      </c>
      <c r="C86" t="inlineStr">
        <is>
          <t>Joy present only at Baseline versus only during the Commercial</t>
        </is>
      </c>
      <c r="D86" t="n">
        <v>11</v>
      </c>
      <c r="E86" t="inlineStr">
        <is>
          <t>NA</t>
        </is>
      </c>
      <c r="F86" t="inlineStr">
        <is>
          <t>NA</t>
        </is>
      </c>
      <c r="G86" t="inlineStr">
        <is>
          <t>NA</t>
        </is>
      </c>
      <c r="H86" t="inlineStr">
        <is>
          <t>NA</t>
        </is>
      </c>
      <c r="I86" t="n">
        <v>0.003418</v>
      </c>
      <c r="J86" t="n">
        <v>30</v>
      </c>
    </row>
    <row r="87">
      <c r="A87" t="inlineStr">
        <is>
          <t>H1 sensitivity threshold 75</t>
        </is>
      </c>
      <c r="B87" t="inlineStr">
        <is>
          <t>Wilcoxon signed rank (primary)</t>
        </is>
      </c>
      <c r="C87" t="inlineStr">
        <is>
          <t>V (sum of positive ranks)</t>
        </is>
      </c>
      <c r="D87" t="inlineStr">
        <is>
          <t>NA</t>
        </is>
      </c>
      <c r="E87" t="inlineStr">
        <is>
          <t>NA</t>
        </is>
      </c>
      <c r="F87" t="inlineStr">
        <is>
          <t>NA</t>
        </is>
      </c>
      <c r="G87" t="n">
        <v>183.5</v>
      </c>
      <c r="H87" t="inlineStr">
        <is>
          <t>NA</t>
        </is>
      </c>
      <c r="I87" t="n">
        <v>0.0003971</v>
      </c>
      <c r="J87" t="n">
        <v>19</v>
      </c>
    </row>
    <row r="88">
      <c r="A88" t="inlineStr">
        <is>
          <t>H1 sensitivity threshold 75</t>
        </is>
      </c>
      <c r="B88" t="inlineStr">
        <is>
          <t>Wilcoxon signed rank (primary)</t>
        </is>
      </c>
      <c r="C88" t="inlineStr">
        <is>
          <t>Matched pairs rank biserial correlation</t>
        </is>
      </c>
      <c r="D88" t="n">
        <v>0.931579</v>
      </c>
      <c r="E88" t="inlineStr">
        <is>
          <t>NA</t>
        </is>
      </c>
      <c r="F88" t="inlineStr">
        <is>
          <t>NA</t>
        </is>
      </c>
      <c r="G88" t="inlineStr">
        <is>
          <t>NA</t>
        </is>
      </c>
      <c r="H88" t="inlineStr">
        <is>
          <t>NA</t>
        </is>
      </c>
      <c r="I88" t="inlineStr">
        <is>
          <t>NA</t>
        </is>
      </c>
      <c r="J88" t="n">
        <v>19</v>
      </c>
    </row>
    <row r="89">
      <c r="A89" t="inlineStr">
        <is>
          <t>H1 sensitivity threshold 75</t>
        </is>
      </c>
      <c r="B89" t="inlineStr">
        <is>
          <t>Wilcoxon signed rank (primary)</t>
        </is>
      </c>
      <c r="C89" t="inlineStr">
        <is>
          <t>Hodges-Lehmann median difference</t>
        </is>
      </c>
      <c r="D89" t="n">
        <v>4.173724</v>
      </c>
      <c r="E89" t="n">
        <v>2.080001</v>
      </c>
      <c r="F89" t="n">
        <v>7.695007</v>
      </c>
      <c r="G89" t="inlineStr">
        <is>
          <t>NA</t>
        </is>
      </c>
      <c r="H89" t="inlineStr">
        <is>
          <t>NA</t>
        </is>
      </c>
      <c r="I89" t="inlineStr">
        <is>
          <t>NA</t>
        </is>
      </c>
      <c r="J89" t="n">
        <v>19</v>
      </c>
    </row>
    <row r="90">
      <c r="A90" t="inlineStr">
        <is>
          <t>H1 sensitivity threshold 75</t>
        </is>
      </c>
      <c r="B90" t="inlineStr">
        <is>
          <t>Paired t test</t>
        </is>
      </c>
      <c r="C90" t="inlineStr">
        <is>
          <t>Mean difference (Commercial minus Baseline)</t>
        </is>
      </c>
      <c r="D90" t="n">
        <v>3.649333</v>
      </c>
      <c r="E90" t="n">
        <v>1.27693</v>
      </c>
      <c r="F90" t="n">
        <v>6.021737</v>
      </c>
      <c r="G90" t="n">
        <v>3.14606</v>
      </c>
      <c r="H90" t="n">
        <v>29</v>
      </c>
      <c r="I90" t="n">
        <v>0.003807</v>
      </c>
      <c r="J90" t="n">
        <v>30</v>
      </c>
    </row>
    <row r="91">
      <c r="A91" t="inlineStr">
        <is>
          <t>H1 sensitivity threshold 75</t>
        </is>
      </c>
      <c r="B91" t="inlineStr">
        <is>
          <t>Paired t test</t>
        </is>
      </c>
      <c r="C91" t="inlineStr">
        <is>
          <t>Cohen's d_z</t>
        </is>
      </c>
      <c r="D91" t="n">
        <v>0.574389</v>
      </c>
      <c r="E91" t="n">
        <v>0.18323</v>
      </c>
      <c r="F91" t="n">
        <v>0.957071</v>
      </c>
      <c r="G91" t="inlineStr">
        <is>
          <t>NA</t>
        </is>
      </c>
      <c r="H91" t="inlineStr">
        <is>
          <t>NA</t>
        </is>
      </c>
      <c r="I91" t="inlineStr">
        <is>
          <t>NA</t>
        </is>
      </c>
      <c r="J91" t="n">
        <v>30</v>
      </c>
    </row>
    <row r="92">
      <c r="A92" t="inlineStr">
        <is>
          <t>H2</t>
        </is>
      </c>
      <c r="B92" t="inlineStr">
        <is>
          <t>Mixed model pct ~ bin + (1 | respondent)</t>
        </is>
      </c>
      <c r="C92" t="inlineStr">
        <is>
          <t>Bin factor F test</t>
        </is>
      </c>
      <c r="D92" t="inlineStr">
        <is>
          <t>NA</t>
        </is>
      </c>
      <c r="E92" t="inlineStr">
        <is>
          <t>NA</t>
        </is>
      </c>
      <c r="F92" t="inlineStr">
        <is>
          <t>NA</t>
        </is>
      </c>
      <c r="G92" t="n">
        <v>8.524304000000001</v>
      </c>
      <c r="H92" t="n">
        <v>145</v>
      </c>
      <c r="I92" t="n">
        <v>4.251e-07</v>
      </c>
      <c r="J92" t="n">
        <v>30</v>
      </c>
    </row>
    <row r="93">
      <c r="A93" t="inlineStr">
        <is>
          <t>H2</t>
        </is>
      </c>
      <c r="B93" t="inlineStr">
        <is>
          <t>Mixed model pct ~ bin + (1 | respondent)</t>
        </is>
      </c>
      <c r="C93" t="inlineStr">
        <is>
          <t>ICC adjusted</t>
        </is>
      </c>
      <c r="D93" t="n">
        <v>0.431271</v>
      </c>
      <c r="E93" t="inlineStr">
        <is>
          <t>NA</t>
        </is>
      </c>
      <c r="F93" t="inlineStr">
        <is>
          <t>NA</t>
        </is>
      </c>
      <c r="G93" t="inlineStr">
        <is>
          <t>NA</t>
        </is>
      </c>
      <c r="H93" t="inlineStr">
        <is>
          <t>NA</t>
        </is>
      </c>
      <c r="I93" t="inlineStr">
        <is>
          <t>NA</t>
        </is>
      </c>
      <c r="J93" t="n">
        <v>30</v>
      </c>
    </row>
    <row r="94">
      <c r="A94" t="inlineStr">
        <is>
          <t>H2</t>
        </is>
      </c>
      <c r="B94" t="inlineStr">
        <is>
          <t>Contrast (Satterthwaite)</t>
        </is>
      </c>
      <c r="C94" t="inlineStr">
        <is>
          <t>Bin_05 minus mean(Bin_01..Bin_04)</t>
        </is>
      </c>
      <c r="D94" t="n">
        <v>18.256083</v>
      </c>
      <c r="E94" t="n">
        <v>12.56429</v>
      </c>
      <c r="F94" t="n">
        <v>23.947877</v>
      </c>
      <c r="G94" t="n">
        <v>6.339375</v>
      </c>
      <c r="H94" t="n">
        <v>145</v>
      </c>
      <c r="I94" t="n">
        <v>2.751e-09</v>
      </c>
      <c r="J94" t="n">
        <v>30</v>
      </c>
    </row>
    <row r="95">
      <c r="A95" t="inlineStr">
        <is>
          <t>H2</t>
        </is>
      </c>
      <c r="B95" t="inlineStr">
        <is>
          <t>Contrast (Satterthwaite)</t>
        </is>
      </c>
      <c r="C95" t="inlineStr">
        <is>
          <t>Bin_06 minus mean(Bin_01..Bin_04)</t>
        </is>
      </c>
      <c r="D95" t="n">
        <v>7.333417</v>
      </c>
      <c r="E95" t="n">
        <v>1.641623</v>
      </c>
      <c r="F95" t="n">
        <v>13.02521</v>
      </c>
      <c r="G95" t="n">
        <v>2.546509</v>
      </c>
      <c r="H95" t="n">
        <v>145</v>
      </c>
      <c r="I95" t="n">
        <v>0.01192</v>
      </c>
      <c r="J95" t="n">
        <v>30</v>
      </c>
    </row>
    <row r="96">
      <c r="A96" t="inlineStr">
        <is>
          <t>H2</t>
        </is>
      </c>
      <c r="B96" t="inlineStr">
        <is>
          <t>Mixed model on sqrt(percent)</t>
        </is>
      </c>
      <c r="C96" t="inlineStr">
        <is>
          <t>Bin factor F test</t>
        </is>
      </c>
      <c r="D96" t="inlineStr">
        <is>
          <t>NA</t>
        </is>
      </c>
      <c r="E96" t="inlineStr">
        <is>
          <t>NA</t>
        </is>
      </c>
      <c r="F96" t="inlineStr">
        <is>
          <t>NA</t>
        </is>
      </c>
      <c r="G96" t="n">
        <v>9.095109000000001</v>
      </c>
      <c r="H96" t="n">
        <v>145</v>
      </c>
      <c r="I96" t="n">
        <v>1.526e-07</v>
      </c>
      <c r="J96" t="n">
        <v>30</v>
      </c>
    </row>
    <row r="97">
      <c r="A97" t="inlineStr">
        <is>
          <t>H2</t>
        </is>
      </c>
      <c r="B97" t="inlineStr">
        <is>
          <t>Friedman test</t>
        </is>
      </c>
      <c r="C97" t="inlineStr">
        <is>
          <t>Chi-squared</t>
        </is>
      </c>
      <c r="D97" t="inlineStr">
        <is>
          <t>NA</t>
        </is>
      </c>
      <c r="E97" t="inlineStr">
        <is>
          <t>NA</t>
        </is>
      </c>
      <c r="F97" t="inlineStr">
        <is>
          <t>NA</t>
        </is>
      </c>
      <c r="G97" t="n">
        <v>34.682663</v>
      </c>
      <c r="H97" t="n">
        <v>5</v>
      </c>
      <c r="I97" t="n">
        <v>1.741e-06</v>
      </c>
      <c r="J97" t="n">
        <v>30</v>
      </c>
    </row>
    <row r="98">
      <c r="A98" t="inlineStr">
        <is>
          <t>H2</t>
        </is>
      </c>
      <c r="B98" t="inlineStr">
        <is>
          <t>Friedman test</t>
        </is>
      </c>
      <c r="C98" t="inlineStr">
        <is>
          <t>Kendall's W</t>
        </is>
      </c>
      <c r="D98" t="n">
        <v>0.231218</v>
      </c>
      <c r="E98" t="inlineStr">
        <is>
          <t>NA</t>
        </is>
      </c>
      <c r="F98" t="inlineStr">
        <is>
          <t>NA</t>
        </is>
      </c>
      <c r="G98" t="inlineStr">
        <is>
          <t>NA</t>
        </is>
      </c>
      <c r="H98" t="inlineStr">
        <is>
          <t>NA</t>
        </is>
      </c>
      <c r="I98" t="inlineStr">
        <is>
          <t>NA</t>
        </is>
      </c>
      <c r="J98" t="n">
        <v>30</v>
      </c>
    </row>
    <row r="99">
      <c r="A99" t="inlineStr">
        <is>
          <t>H2</t>
        </is>
      </c>
      <c r="B99" t="inlineStr">
        <is>
          <t>Proportion of viewers with Joy present</t>
        </is>
      </c>
      <c r="C99" t="inlineStr">
        <is>
          <t>Bin_01: proportion with Joy present</t>
        </is>
      </c>
      <c r="D99" t="n">
        <v>0.233333</v>
      </c>
      <c r="E99" t="n">
        <v>0.099338</v>
      </c>
      <c r="F99" t="n">
        <v>0.422837</v>
      </c>
      <c r="G99" t="inlineStr">
        <is>
          <t>NA</t>
        </is>
      </c>
      <c r="H99" t="inlineStr">
        <is>
          <t>NA</t>
        </is>
      </c>
      <c r="I99" t="inlineStr">
        <is>
          <t>NA</t>
        </is>
      </c>
      <c r="J99" t="n">
        <v>30</v>
      </c>
    </row>
    <row r="100">
      <c r="A100" t="inlineStr">
        <is>
          <t>H2</t>
        </is>
      </c>
      <c r="B100" t="inlineStr">
        <is>
          <t>Proportion of viewers with Joy present</t>
        </is>
      </c>
      <c r="C100" t="inlineStr">
        <is>
          <t>Bin_02: proportion with Joy present</t>
        </is>
      </c>
      <c r="D100" t="n">
        <v>0.266667</v>
      </c>
      <c r="E100" t="n">
        <v>0.122795</v>
      </c>
      <c r="F100" t="n">
        <v>0.458894</v>
      </c>
      <c r="G100" t="inlineStr">
        <is>
          <t>NA</t>
        </is>
      </c>
      <c r="H100" t="inlineStr">
        <is>
          <t>NA</t>
        </is>
      </c>
      <c r="I100" t="inlineStr">
        <is>
          <t>NA</t>
        </is>
      </c>
      <c r="J100" t="n">
        <v>30</v>
      </c>
    </row>
    <row r="101">
      <c r="A101" t="inlineStr">
        <is>
          <t>H2</t>
        </is>
      </c>
      <c r="B101" t="inlineStr">
        <is>
          <t>Proportion of viewers with Joy present</t>
        </is>
      </c>
      <c r="C101" t="inlineStr">
        <is>
          <t>Bin_03: proportion with Joy present</t>
        </is>
      </c>
      <c r="D101" t="n">
        <v>0.233333</v>
      </c>
      <c r="E101" t="n">
        <v>0.099338</v>
      </c>
      <c r="F101" t="n">
        <v>0.422837</v>
      </c>
      <c r="G101" t="inlineStr">
        <is>
          <t>NA</t>
        </is>
      </c>
      <c r="H101" t="inlineStr">
        <is>
          <t>NA</t>
        </is>
      </c>
      <c r="I101" t="inlineStr">
        <is>
          <t>NA</t>
        </is>
      </c>
      <c r="J101" t="n">
        <v>30</v>
      </c>
    </row>
    <row r="102">
      <c r="A102" t="inlineStr">
        <is>
          <t>H2</t>
        </is>
      </c>
      <c r="B102" t="inlineStr">
        <is>
          <t>Proportion of viewers with Joy present</t>
        </is>
      </c>
      <c r="C102" t="inlineStr">
        <is>
          <t>Bin_04: proportion with Joy present</t>
        </is>
      </c>
      <c r="D102" t="n">
        <v>0.3</v>
      </c>
      <c r="E102" t="n">
        <v>0.147345</v>
      </c>
      <c r="F102" t="n">
        <v>0.493959</v>
      </c>
      <c r="G102" t="inlineStr">
        <is>
          <t>NA</t>
        </is>
      </c>
      <c r="H102" t="inlineStr">
        <is>
          <t>NA</t>
        </is>
      </c>
      <c r="I102" t="inlineStr">
        <is>
          <t>NA</t>
        </is>
      </c>
      <c r="J102" t="n">
        <v>30</v>
      </c>
    </row>
    <row r="103">
      <c r="A103" t="inlineStr">
        <is>
          <t>H2</t>
        </is>
      </c>
      <c r="B103" t="inlineStr">
        <is>
          <t>Proportion of viewers with Joy present</t>
        </is>
      </c>
      <c r="C103" t="inlineStr">
        <is>
          <t>Bin_05: proportion with Joy present</t>
        </is>
      </c>
      <c r="D103" t="n">
        <v>0.666667</v>
      </c>
      <c r="E103" t="n">
        <v>0.47188</v>
      </c>
      <c r="F103" t="n">
        <v>0.827126</v>
      </c>
      <c r="G103" t="inlineStr">
        <is>
          <t>NA</t>
        </is>
      </c>
      <c r="H103" t="inlineStr">
        <is>
          <t>NA</t>
        </is>
      </c>
      <c r="I103" t="inlineStr">
        <is>
          <t>NA</t>
        </is>
      </c>
      <c r="J103" t="n">
        <v>30</v>
      </c>
    </row>
    <row r="104">
      <c r="A104" t="inlineStr">
        <is>
          <t>H2</t>
        </is>
      </c>
      <c r="B104" t="inlineStr">
        <is>
          <t>Proportion of viewers with Joy present</t>
        </is>
      </c>
      <c r="C104" t="inlineStr">
        <is>
          <t>Bin_06: proportion with Joy present</t>
        </is>
      </c>
      <c r="D104" t="n">
        <v>0.5333329999999999</v>
      </c>
      <c r="E104" t="n">
        <v>0.343255</v>
      </c>
      <c r="F104" t="n">
        <v>0.7165820000000001</v>
      </c>
      <c r="G104" t="inlineStr">
        <is>
          <t>NA</t>
        </is>
      </c>
      <c r="H104" t="inlineStr">
        <is>
          <t>NA</t>
        </is>
      </c>
      <c r="I104" t="inlineStr">
        <is>
          <t>NA</t>
        </is>
      </c>
      <c r="J104" t="n">
        <v>30</v>
      </c>
    </row>
    <row r="105">
      <c r="A105" t="inlineStr">
        <is>
          <t>H2</t>
        </is>
      </c>
      <c r="B105" t="inlineStr">
        <is>
          <t>Mean Percent of time present</t>
        </is>
      </c>
      <c r="C105" t="inlineStr">
        <is>
          <t>Bin_01: mean Joy percent</t>
        </is>
      </c>
      <c r="D105" t="n">
        <v>4.833667</v>
      </c>
      <c r="E105" t="n">
        <v>0.506511</v>
      </c>
      <c r="F105" t="n">
        <v>9.160823000000001</v>
      </c>
      <c r="G105" t="inlineStr">
        <is>
          <t>NA</t>
        </is>
      </c>
      <c r="H105" t="inlineStr">
        <is>
          <t>NA</t>
        </is>
      </c>
      <c r="I105" t="inlineStr">
        <is>
          <t>NA</t>
        </is>
      </c>
      <c r="J105" t="n">
        <v>30</v>
      </c>
    </row>
    <row r="106">
      <c r="A106" t="inlineStr">
        <is>
          <t>H2</t>
        </is>
      </c>
      <c r="B106" t="inlineStr">
        <is>
          <t>Mean Percent of time present</t>
        </is>
      </c>
      <c r="C106" t="inlineStr">
        <is>
          <t>Bin_02: mean Joy percent</t>
        </is>
      </c>
      <c r="D106" t="n">
        <v>7.733</v>
      </c>
      <c r="E106" t="n">
        <v>2.079505</v>
      </c>
      <c r="F106" t="n">
        <v>13.386495</v>
      </c>
      <c r="G106" t="inlineStr">
        <is>
          <t>NA</t>
        </is>
      </c>
      <c r="H106" t="inlineStr">
        <is>
          <t>NA</t>
        </is>
      </c>
      <c r="I106" t="inlineStr">
        <is>
          <t>NA</t>
        </is>
      </c>
      <c r="J106" t="n">
        <v>30</v>
      </c>
    </row>
    <row r="107">
      <c r="A107" t="inlineStr">
        <is>
          <t>H2</t>
        </is>
      </c>
      <c r="B107" t="inlineStr">
        <is>
          <t>Mean Percent of time present</t>
        </is>
      </c>
      <c r="C107" t="inlineStr">
        <is>
          <t>Bin_03: mean Joy percent</t>
        </is>
      </c>
      <c r="D107" t="n">
        <v>6.422</v>
      </c>
      <c r="E107" t="n">
        <v>0.007096</v>
      </c>
      <c r="F107" t="n">
        <v>12.836904</v>
      </c>
      <c r="G107" t="inlineStr">
        <is>
          <t>NA</t>
        </is>
      </c>
      <c r="H107" t="inlineStr">
        <is>
          <t>NA</t>
        </is>
      </c>
      <c r="I107" t="inlineStr">
        <is>
          <t>NA</t>
        </is>
      </c>
      <c r="J107" t="n">
        <v>30</v>
      </c>
    </row>
    <row r="108">
      <c r="A108" t="inlineStr">
        <is>
          <t>H2</t>
        </is>
      </c>
      <c r="B108" t="inlineStr">
        <is>
          <t>Mean Percent of time present</t>
        </is>
      </c>
      <c r="C108" t="inlineStr">
        <is>
          <t>Bin_04: mean Joy percent</t>
        </is>
      </c>
      <c r="D108" t="n">
        <v>5.411</v>
      </c>
      <c r="E108" t="n">
        <v>0.991386</v>
      </c>
      <c r="F108" t="n">
        <v>9.830614000000001</v>
      </c>
      <c r="G108" t="inlineStr">
        <is>
          <t>NA</t>
        </is>
      </c>
      <c r="H108" t="inlineStr">
        <is>
          <t>NA</t>
        </is>
      </c>
      <c r="I108" t="inlineStr">
        <is>
          <t>NA</t>
        </is>
      </c>
      <c r="J108" t="n">
        <v>30</v>
      </c>
    </row>
    <row r="109">
      <c r="A109" t="inlineStr">
        <is>
          <t>H2</t>
        </is>
      </c>
      <c r="B109" t="inlineStr">
        <is>
          <t>Mean Percent of time present</t>
        </is>
      </c>
      <c r="C109" t="inlineStr">
        <is>
          <t>Bin_05: mean Joy percent</t>
        </is>
      </c>
      <c r="D109" t="n">
        <v>24.356</v>
      </c>
      <c r="E109" t="n">
        <v>13.641919</v>
      </c>
      <c r="F109" t="n">
        <v>35.070081</v>
      </c>
      <c r="G109" t="inlineStr">
        <is>
          <t>NA</t>
        </is>
      </c>
      <c r="H109" t="inlineStr">
        <is>
          <t>NA</t>
        </is>
      </c>
      <c r="I109" t="inlineStr">
        <is>
          <t>NA</t>
        </is>
      </c>
      <c r="J109" t="n">
        <v>30</v>
      </c>
    </row>
    <row r="110">
      <c r="A110" t="inlineStr">
        <is>
          <t>H2</t>
        </is>
      </c>
      <c r="B110" t="inlineStr">
        <is>
          <t>Mean Percent of time present</t>
        </is>
      </c>
      <c r="C110" t="inlineStr">
        <is>
          <t>Bin_06: mean Joy percent</t>
        </is>
      </c>
      <c r="D110" t="n">
        <v>13.433333</v>
      </c>
      <c r="E110" t="n">
        <v>5.271304</v>
      </c>
      <c r="F110" t="n">
        <v>21.595363</v>
      </c>
      <c r="G110" t="inlineStr">
        <is>
          <t>NA</t>
        </is>
      </c>
      <c r="H110" t="inlineStr">
        <is>
          <t>NA</t>
        </is>
      </c>
      <c r="I110" t="inlineStr">
        <is>
          <t>NA</t>
        </is>
      </c>
      <c r="J110" t="n">
        <v>30</v>
      </c>
    </row>
    <row r="111">
      <c r="A111" t="inlineStr">
        <is>
          <t>H3</t>
        </is>
      </c>
      <c r="B111" t="inlineStr">
        <is>
          <t>Pearson</t>
        </is>
      </c>
      <c r="C111" t="inlineStr">
        <is>
          <t>r (Positive Valence % with Ad_liking_1to7)</t>
        </is>
      </c>
      <c r="D111" t="n">
        <v>0.454838</v>
      </c>
      <c r="E111" t="n">
        <v>0.113102</v>
      </c>
      <c r="F111" t="n">
        <v>0.700346</v>
      </c>
      <c r="G111" t="n">
        <v>2.7025</v>
      </c>
      <c r="H111" t="n">
        <v>28</v>
      </c>
      <c r="I111" t="n">
        <v>0.01156</v>
      </c>
      <c r="J111" t="n">
        <v>30</v>
      </c>
    </row>
    <row r="112">
      <c r="A112" t="inlineStr">
        <is>
          <t>H3</t>
        </is>
      </c>
      <c r="B112" t="inlineStr">
        <is>
          <t>Spearman</t>
        </is>
      </c>
      <c r="C112" t="inlineStr">
        <is>
          <t>rho (Positive Valence % with Ad_liking_1to7)</t>
        </is>
      </c>
      <c r="D112" t="n">
        <v>0.414595</v>
      </c>
      <c r="E112" t="n">
        <v>0.04804</v>
      </c>
      <c r="F112" t="n">
        <v>0.682734</v>
      </c>
      <c r="G112" t="n">
        <v>2.410788</v>
      </c>
      <c r="H112" t="n">
        <v>28</v>
      </c>
      <c r="I112" t="n">
        <v>0.02273</v>
      </c>
      <c r="J112" t="n">
        <v>30</v>
      </c>
    </row>
    <row r="113">
      <c r="A113" t="inlineStr">
        <is>
          <t>H3</t>
        </is>
      </c>
      <c r="B113" t="inlineStr">
        <is>
          <t>Least squares line</t>
        </is>
      </c>
      <c r="C113" t="inlineStr">
        <is>
          <t>Slope (percentage points per liking point)</t>
        </is>
      </c>
      <c r="D113" t="n">
        <v>4.976645</v>
      </c>
      <c r="E113" t="n">
        <v>1.20451</v>
      </c>
      <c r="F113" t="n">
        <v>8.748779000000001</v>
      </c>
      <c r="G113" t="n">
        <v>2.7025</v>
      </c>
      <c r="H113" t="n">
        <v>28</v>
      </c>
      <c r="I113" t="n">
        <v>0.01156</v>
      </c>
      <c r="J113" t="n">
        <v>30</v>
      </c>
    </row>
    <row r="114"/>
    <row r="115">
      <c r="A115" s="8" t="inlineStr">
        <is>
          <t>analysis.R: descriptives (SIMULATED_descriptives_by_interval.csv)</t>
        </is>
      </c>
    </row>
    <row r="116">
      <c r="A116" s="2" t="inlineStr">
        <is>
          <t>expression</t>
        </is>
      </c>
      <c r="B116" s="2" t="inlineStr">
        <is>
          <t>interval_type</t>
        </is>
      </c>
      <c r="C116" s="2" t="inlineStr">
        <is>
          <t>interval</t>
        </is>
      </c>
      <c r="D116" s="2" t="inlineStr">
        <is>
          <t>n</t>
        </is>
      </c>
      <c r="E116" s="2" t="inlineStr">
        <is>
          <t>mean_pct</t>
        </is>
      </c>
      <c r="F116" s="2" t="inlineStr">
        <is>
          <t>sd_pct</t>
        </is>
      </c>
      <c r="G116" s="2" t="inlineStr">
        <is>
          <t>median_pct</t>
        </is>
      </c>
      <c r="H116" s="2" t="inlineStr">
        <is>
          <t>n_present</t>
        </is>
      </c>
      <c r="I116" s="2" t="inlineStr">
        <is>
          <t>pct_present</t>
        </is>
      </c>
      <c r="J116" s="2" t="inlineStr">
        <is>
          <t>mean_segments</t>
        </is>
      </c>
      <c r="K116" s="2" t="inlineStr">
        <is>
          <t>sd_segments</t>
        </is>
      </c>
      <c r="L116" s="2" t="inlineStr">
        <is>
          <t>mean_raw_score</t>
        </is>
      </c>
      <c r="M116" s="2" t="inlineStr">
        <is>
          <t>sd_raw_score</t>
        </is>
      </c>
    </row>
    <row r="117">
      <c r="A117" t="inlineStr">
        <is>
          <t>Joy</t>
        </is>
      </c>
      <c r="B117" t="inlineStr">
        <is>
          <t>Stimulus</t>
        </is>
      </c>
      <c r="C117" t="inlineStr">
        <is>
          <t>Baseline</t>
        </is>
      </c>
      <c r="D117" t="n">
        <v>30</v>
      </c>
      <c r="E117" t="n">
        <v>1.61</v>
      </c>
      <c r="F117" t="n">
        <v>3.4</v>
      </c>
      <c r="G117" t="n">
        <v>0</v>
      </c>
      <c r="H117" t="n">
        <v>8</v>
      </c>
      <c r="I117" t="n">
        <v>26.67</v>
      </c>
      <c r="J117" t="n">
        <v>0.83</v>
      </c>
      <c r="K117" t="n">
        <v>2.32</v>
      </c>
      <c r="L117" t="inlineStr">
        <is>
          <t>NA</t>
        </is>
      </c>
      <c r="M117" t="inlineStr">
        <is>
          <t>NA</t>
        </is>
      </c>
    </row>
    <row r="118">
      <c r="A118" t="inlineStr">
        <is>
          <t>Joy</t>
        </is>
      </c>
      <c r="B118" t="inlineStr">
        <is>
          <t>Stimulus</t>
        </is>
      </c>
      <c r="C118" t="inlineStr">
        <is>
          <t>Commercial</t>
        </is>
      </c>
      <c r="D118" t="n">
        <v>30</v>
      </c>
      <c r="E118" t="n">
        <v>10.37</v>
      </c>
      <c r="F118" t="n">
        <v>13.57</v>
      </c>
      <c r="G118" t="n">
        <v>5.86</v>
      </c>
      <c r="H118" t="n">
        <v>25</v>
      </c>
      <c r="I118" t="n">
        <v>83.33</v>
      </c>
      <c r="J118" t="n">
        <v>4.17</v>
      </c>
      <c r="K118" t="n">
        <v>5.83</v>
      </c>
      <c r="L118" t="inlineStr">
        <is>
          <t>NA</t>
        </is>
      </c>
      <c r="M118" t="inlineStr">
        <is>
          <t>NA</t>
        </is>
      </c>
    </row>
    <row r="119">
      <c r="A119" t="inlineStr">
        <is>
          <t>Joy</t>
        </is>
      </c>
      <c r="B119" t="inlineStr">
        <is>
          <t>Stimulus</t>
        </is>
      </c>
      <c r="C119" t="inlineStr">
        <is>
          <t>Recovery</t>
        </is>
      </c>
      <c r="D119" t="n">
        <v>30</v>
      </c>
      <c r="E119" t="n">
        <v>3.1</v>
      </c>
      <c r="F119" t="n">
        <v>7.08</v>
      </c>
      <c r="G119" t="n">
        <v>0</v>
      </c>
      <c r="H119" t="n">
        <v>7</v>
      </c>
      <c r="I119" t="n">
        <v>23.33</v>
      </c>
      <c r="J119" t="n">
        <v>0.4</v>
      </c>
      <c r="K119" t="n">
        <v>1</v>
      </c>
      <c r="L119" t="inlineStr">
        <is>
          <t>NA</t>
        </is>
      </c>
      <c r="M119" t="inlineStr">
        <is>
          <t>NA</t>
        </is>
      </c>
    </row>
    <row r="120">
      <c r="A120" t="inlineStr">
        <is>
          <t>Joy</t>
        </is>
      </c>
      <c r="B120" t="inlineStr">
        <is>
          <t>Annotation</t>
        </is>
      </c>
      <c r="C120" t="inlineStr">
        <is>
          <t>Bin_01</t>
        </is>
      </c>
      <c r="D120" t="n">
        <v>30</v>
      </c>
      <c r="E120" t="n">
        <v>4.83</v>
      </c>
      <c r="F120" t="n">
        <v>11.59</v>
      </c>
      <c r="G120" t="n">
        <v>0</v>
      </c>
      <c r="H120" t="n">
        <v>7</v>
      </c>
      <c r="I120" t="n">
        <v>23.33</v>
      </c>
      <c r="J120" t="n">
        <v>0.43</v>
      </c>
      <c r="K120" t="n">
        <v>0.9</v>
      </c>
      <c r="L120" t="inlineStr">
        <is>
          <t>NA</t>
        </is>
      </c>
      <c r="M120" t="inlineStr">
        <is>
          <t>NA</t>
        </is>
      </c>
    </row>
    <row r="121">
      <c r="A121" t="inlineStr">
        <is>
          <t>Joy</t>
        </is>
      </c>
      <c r="B121" t="inlineStr">
        <is>
          <t>Annotation</t>
        </is>
      </c>
      <c r="C121" t="inlineStr">
        <is>
          <t>Bin_02</t>
        </is>
      </c>
      <c r="D121" t="n">
        <v>30</v>
      </c>
      <c r="E121" t="n">
        <v>7.73</v>
      </c>
      <c r="F121" t="n">
        <v>15.14</v>
      </c>
      <c r="G121" t="n">
        <v>0</v>
      </c>
      <c r="H121" t="n">
        <v>8</v>
      </c>
      <c r="I121" t="n">
        <v>26.67</v>
      </c>
      <c r="J121" t="n">
        <v>0.6</v>
      </c>
      <c r="K121" t="n">
        <v>1.38</v>
      </c>
      <c r="L121" t="inlineStr">
        <is>
          <t>NA</t>
        </is>
      </c>
      <c r="M121" t="inlineStr">
        <is>
          <t>NA</t>
        </is>
      </c>
    </row>
    <row r="122">
      <c r="A122" t="inlineStr">
        <is>
          <t>Joy</t>
        </is>
      </c>
      <c r="B122" t="inlineStr">
        <is>
          <t>Annotation</t>
        </is>
      </c>
      <c r="C122" t="inlineStr">
        <is>
          <t>Bin_03</t>
        </is>
      </c>
      <c r="D122" t="n">
        <v>30</v>
      </c>
      <c r="E122" t="n">
        <v>6.42</v>
      </c>
      <c r="F122" t="n">
        <v>17.18</v>
      </c>
      <c r="G122" t="n">
        <v>0</v>
      </c>
      <c r="H122" t="n">
        <v>7</v>
      </c>
      <c r="I122" t="n">
        <v>23.33</v>
      </c>
      <c r="J122" t="n">
        <v>0.5</v>
      </c>
      <c r="K122" t="n">
        <v>1.2</v>
      </c>
      <c r="L122" t="inlineStr">
        <is>
          <t>NA</t>
        </is>
      </c>
      <c r="M122" t="inlineStr">
        <is>
          <t>NA</t>
        </is>
      </c>
    </row>
    <row r="123">
      <c r="A123" t="inlineStr">
        <is>
          <t>Joy</t>
        </is>
      </c>
      <c r="B123" t="inlineStr">
        <is>
          <t>Annotation</t>
        </is>
      </c>
      <c r="C123" t="inlineStr">
        <is>
          <t>Bin_04</t>
        </is>
      </c>
      <c r="D123" t="n">
        <v>30</v>
      </c>
      <c r="E123" t="n">
        <v>5.41</v>
      </c>
      <c r="F123" t="n">
        <v>11.84</v>
      </c>
      <c r="G123" t="n">
        <v>0</v>
      </c>
      <c r="H123" t="n">
        <v>9</v>
      </c>
      <c r="I123" t="n">
        <v>30</v>
      </c>
      <c r="J123" t="n">
        <v>0.37</v>
      </c>
      <c r="K123" t="n">
        <v>0.67</v>
      </c>
      <c r="L123" t="inlineStr">
        <is>
          <t>NA</t>
        </is>
      </c>
      <c r="M123" t="inlineStr">
        <is>
          <t>NA</t>
        </is>
      </c>
    </row>
    <row r="124">
      <c r="A124" t="inlineStr">
        <is>
          <t>Joy</t>
        </is>
      </c>
      <c r="B124" t="inlineStr">
        <is>
          <t>Annotation</t>
        </is>
      </c>
      <c r="C124" t="inlineStr">
        <is>
          <t>Bin_05</t>
        </is>
      </c>
      <c r="D124" t="n">
        <v>30</v>
      </c>
      <c r="E124" t="n">
        <v>24.36</v>
      </c>
      <c r="F124" t="n">
        <v>28.69</v>
      </c>
      <c r="G124" t="n">
        <v>11.34</v>
      </c>
      <c r="H124" t="n">
        <v>20</v>
      </c>
      <c r="I124" t="n">
        <v>66.67</v>
      </c>
      <c r="J124" t="n">
        <v>1.57</v>
      </c>
      <c r="K124" t="n">
        <v>1.52</v>
      </c>
      <c r="L124" t="inlineStr">
        <is>
          <t>NA</t>
        </is>
      </c>
      <c r="M124" t="inlineStr">
        <is>
          <t>NA</t>
        </is>
      </c>
    </row>
    <row r="125">
      <c r="A125" t="inlineStr">
        <is>
          <t>Joy</t>
        </is>
      </c>
      <c r="B125" t="inlineStr">
        <is>
          <t>Annotation</t>
        </is>
      </c>
      <c r="C125" t="inlineStr">
        <is>
          <t>Bin_06</t>
        </is>
      </c>
      <c r="D125" t="n">
        <v>30</v>
      </c>
      <c r="E125" t="n">
        <v>13.43</v>
      </c>
      <c r="F125" t="n">
        <v>21.86</v>
      </c>
      <c r="G125" t="n">
        <v>3.5</v>
      </c>
      <c r="H125" t="n">
        <v>16</v>
      </c>
      <c r="I125" t="n">
        <v>53.33</v>
      </c>
      <c r="J125" t="n">
        <v>1.13</v>
      </c>
      <c r="K125" t="n">
        <v>2.46</v>
      </c>
      <c r="L125" t="inlineStr">
        <is>
          <t>NA</t>
        </is>
      </c>
      <c r="M125" t="inlineStr">
        <is>
          <t>NA</t>
        </is>
      </c>
    </row>
    <row r="126">
      <c r="A126" t="inlineStr">
        <is>
          <t>Surprise</t>
        </is>
      </c>
      <c r="B126" t="inlineStr">
        <is>
          <t>Stimulus</t>
        </is>
      </c>
      <c r="C126" t="inlineStr">
        <is>
          <t>Baseline</t>
        </is>
      </c>
      <c r="D126" t="n">
        <v>30</v>
      </c>
      <c r="E126" t="n">
        <v>0.76</v>
      </c>
      <c r="F126" t="n">
        <v>1.16</v>
      </c>
      <c r="G126" t="n">
        <v>0</v>
      </c>
      <c r="H126" t="n">
        <v>11</v>
      </c>
      <c r="I126" t="n">
        <v>36.67</v>
      </c>
      <c r="J126" t="n">
        <v>0.5</v>
      </c>
      <c r="K126" t="n">
        <v>0.73</v>
      </c>
      <c r="L126" t="inlineStr">
        <is>
          <t>NA</t>
        </is>
      </c>
      <c r="M126" t="inlineStr">
        <is>
          <t>NA</t>
        </is>
      </c>
    </row>
    <row r="127">
      <c r="A127" t="inlineStr">
        <is>
          <t>Surprise</t>
        </is>
      </c>
      <c r="B127" t="inlineStr">
        <is>
          <t>Stimulus</t>
        </is>
      </c>
      <c r="C127" t="inlineStr">
        <is>
          <t>Commercial</t>
        </is>
      </c>
      <c r="D127" t="n">
        <v>30</v>
      </c>
      <c r="E127" t="n">
        <v>2.52</v>
      </c>
      <c r="F127" t="n">
        <v>2.02</v>
      </c>
      <c r="G127" t="n">
        <v>2.42</v>
      </c>
      <c r="H127" t="n">
        <v>23</v>
      </c>
      <c r="I127" t="n">
        <v>76.67</v>
      </c>
      <c r="J127" t="n">
        <v>1.73</v>
      </c>
      <c r="K127" t="n">
        <v>1.34</v>
      </c>
      <c r="L127" t="inlineStr">
        <is>
          <t>NA</t>
        </is>
      </c>
      <c r="M127" t="inlineStr">
        <is>
          <t>NA</t>
        </is>
      </c>
    </row>
    <row r="128">
      <c r="A128" t="inlineStr">
        <is>
          <t>Surprise</t>
        </is>
      </c>
      <c r="B128" t="inlineStr">
        <is>
          <t>Stimulus</t>
        </is>
      </c>
      <c r="C128" t="inlineStr">
        <is>
          <t>Recovery</t>
        </is>
      </c>
      <c r="D128" t="n">
        <v>30</v>
      </c>
      <c r="E128" t="n">
        <v>0.6</v>
      </c>
      <c r="F128" t="n">
        <v>2.38</v>
      </c>
      <c r="G128" t="n">
        <v>0</v>
      </c>
      <c r="H128" t="n">
        <v>3</v>
      </c>
      <c r="I128" t="n">
        <v>10</v>
      </c>
      <c r="J128" t="n">
        <v>0.13</v>
      </c>
      <c r="K128" t="n">
        <v>0.43</v>
      </c>
      <c r="L128" t="inlineStr">
        <is>
          <t>NA</t>
        </is>
      </c>
      <c r="M128" t="inlineStr">
        <is>
          <t>NA</t>
        </is>
      </c>
    </row>
    <row r="129">
      <c r="A129" t="inlineStr">
        <is>
          <t>Surprise</t>
        </is>
      </c>
      <c r="B129" t="inlineStr">
        <is>
          <t>Annotation</t>
        </is>
      </c>
      <c r="C129" t="inlineStr">
        <is>
          <t>Bin_01</t>
        </is>
      </c>
      <c r="D129" t="n">
        <v>30</v>
      </c>
      <c r="E129" t="n">
        <v>0.98</v>
      </c>
      <c r="F129" t="n">
        <v>4.01</v>
      </c>
      <c r="G129" t="n">
        <v>0</v>
      </c>
      <c r="H129" t="n">
        <v>2</v>
      </c>
      <c r="I129" t="n">
        <v>6.67</v>
      </c>
      <c r="J129" t="n">
        <v>0.07000000000000001</v>
      </c>
      <c r="K129" t="n">
        <v>0.25</v>
      </c>
      <c r="L129" t="inlineStr">
        <is>
          <t>NA</t>
        </is>
      </c>
      <c r="M129" t="inlineStr">
        <is>
          <t>NA</t>
        </is>
      </c>
    </row>
    <row r="130">
      <c r="A130" t="inlineStr">
        <is>
          <t>Surprise</t>
        </is>
      </c>
      <c r="B130" t="inlineStr">
        <is>
          <t>Annotation</t>
        </is>
      </c>
      <c r="C130" t="inlineStr">
        <is>
          <t>Bin_02</t>
        </is>
      </c>
      <c r="D130" t="n">
        <v>30</v>
      </c>
      <c r="E130" t="n">
        <v>0.59</v>
      </c>
      <c r="F130" t="n">
        <v>1.82</v>
      </c>
      <c r="G130" t="n">
        <v>0</v>
      </c>
      <c r="H130" t="n">
        <v>3</v>
      </c>
      <c r="I130" t="n">
        <v>10</v>
      </c>
      <c r="J130" t="n">
        <v>0.1</v>
      </c>
      <c r="K130" t="n">
        <v>0.31</v>
      </c>
      <c r="L130" t="inlineStr">
        <is>
          <t>NA</t>
        </is>
      </c>
      <c r="M130" t="inlineStr">
        <is>
          <t>NA</t>
        </is>
      </c>
    </row>
    <row r="131">
      <c r="A131" t="inlineStr">
        <is>
          <t>Surprise</t>
        </is>
      </c>
      <c r="B131" t="inlineStr">
        <is>
          <t>Annotation</t>
        </is>
      </c>
      <c r="C131" t="inlineStr">
        <is>
          <t>Bin_03</t>
        </is>
      </c>
      <c r="D131" t="n">
        <v>30</v>
      </c>
      <c r="E131" t="n">
        <v>7.57</v>
      </c>
      <c r="F131" t="n">
        <v>8.56</v>
      </c>
      <c r="G131" t="n">
        <v>5.5</v>
      </c>
      <c r="H131" t="n">
        <v>19</v>
      </c>
      <c r="I131" t="n">
        <v>63.33</v>
      </c>
      <c r="J131" t="n">
        <v>0.97</v>
      </c>
      <c r="K131" t="n">
        <v>0.93</v>
      </c>
      <c r="L131" t="inlineStr">
        <is>
          <t>NA</t>
        </is>
      </c>
      <c r="M131" t="inlineStr">
        <is>
          <t>NA</t>
        </is>
      </c>
    </row>
    <row r="132">
      <c r="A132" t="inlineStr">
        <is>
          <t>Surprise</t>
        </is>
      </c>
      <c r="B132" t="inlineStr">
        <is>
          <t>Annotation</t>
        </is>
      </c>
      <c r="C132" t="inlineStr">
        <is>
          <t>Bin_04</t>
        </is>
      </c>
      <c r="D132" t="n">
        <v>30</v>
      </c>
      <c r="E132" t="n">
        <v>3.54</v>
      </c>
      <c r="F132" t="n">
        <v>6.03</v>
      </c>
      <c r="G132" t="n">
        <v>0</v>
      </c>
      <c r="H132" t="n">
        <v>10</v>
      </c>
      <c r="I132" t="n">
        <v>33.33</v>
      </c>
      <c r="J132" t="n">
        <v>0.33</v>
      </c>
      <c r="K132" t="n">
        <v>0.48</v>
      </c>
      <c r="L132" t="inlineStr">
        <is>
          <t>NA</t>
        </is>
      </c>
      <c r="M132" t="inlineStr">
        <is>
          <t>NA</t>
        </is>
      </c>
    </row>
    <row r="133">
      <c r="A133" t="inlineStr">
        <is>
          <t>Surprise</t>
        </is>
      </c>
      <c r="B133" t="inlineStr">
        <is>
          <t>Annotation</t>
        </is>
      </c>
      <c r="C133" t="inlineStr">
        <is>
          <t>Bin_05</t>
        </is>
      </c>
      <c r="D133" t="n">
        <v>30</v>
      </c>
      <c r="E133" t="n">
        <v>0.9399999999999999</v>
      </c>
      <c r="F133" t="n">
        <v>2.6</v>
      </c>
      <c r="G133" t="n">
        <v>0</v>
      </c>
      <c r="H133" t="n">
        <v>4</v>
      </c>
      <c r="I133" t="n">
        <v>13.33</v>
      </c>
      <c r="J133" t="n">
        <v>0.13</v>
      </c>
      <c r="K133" t="n">
        <v>0.35</v>
      </c>
      <c r="L133" t="inlineStr">
        <is>
          <t>NA</t>
        </is>
      </c>
      <c r="M133" t="inlineStr">
        <is>
          <t>NA</t>
        </is>
      </c>
    </row>
    <row r="134">
      <c r="A134" t="inlineStr">
        <is>
          <t>Surprise</t>
        </is>
      </c>
      <c r="B134" t="inlineStr">
        <is>
          <t>Annotation</t>
        </is>
      </c>
      <c r="C134" t="inlineStr">
        <is>
          <t>Bin_06</t>
        </is>
      </c>
      <c r="D134" t="n">
        <v>30</v>
      </c>
      <c r="E134" t="n">
        <v>1.49</v>
      </c>
      <c r="F134" t="n">
        <v>4.18</v>
      </c>
      <c r="G134" t="n">
        <v>0</v>
      </c>
      <c r="H134" t="n">
        <v>4</v>
      </c>
      <c r="I134" t="n">
        <v>13.33</v>
      </c>
      <c r="J134" t="n">
        <v>0.17</v>
      </c>
      <c r="K134" t="n">
        <v>0.46</v>
      </c>
      <c r="L134" t="inlineStr">
        <is>
          <t>NA</t>
        </is>
      </c>
      <c r="M134" t="inlineStr">
        <is>
          <t>NA</t>
        </is>
      </c>
    </row>
    <row r="135">
      <c r="A135" t="inlineStr">
        <is>
          <t>Brow Furrow</t>
        </is>
      </c>
      <c r="B135" t="inlineStr">
        <is>
          <t>Stimulus</t>
        </is>
      </c>
      <c r="C135" t="inlineStr">
        <is>
          <t>Baseline</t>
        </is>
      </c>
      <c r="D135" t="n">
        <v>30</v>
      </c>
      <c r="E135" t="n">
        <v>2.77</v>
      </c>
      <c r="F135" t="n">
        <v>3.99</v>
      </c>
      <c r="G135" t="n">
        <v>0.42</v>
      </c>
      <c r="H135" t="n">
        <v>16</v>
      </c>
      <c r="I135" t="n">
        <v>53.33</v>
      </c>
      <c r="J135" t="n">
        <v>1.23</v>
      </c>
      <c r="K135" t="n">
        <v>1.45</v>
      </c>
      <c r="L135" t="inlineStr">
        <is>
          <t>NA</t>
        </is>
      </c>
      <c r="M135" t="inlineStr">
        <is>
          <t>NA</t>
        </is>
      </c>
    </row>
    <row r="136">
      <c r="A136" t="inlineStr">
        <is>
          <t>Brow Furrow</t>
        </is>
      </c>
      <c r="B136" t="inlineStr">
        <is>
          <t>Stimulus</t>
        </is>
      </c>
      <c r="C136" t="inlineStr">
        <is>
          <t>Commercial</t>
        </is>
      </c>
      <c r="D136" t="n">
        <v>30</v>
      </c>
      <c r="E136" t="n">
        <v>3.3</v>
      </c>
      <c r="F136" t="n">
        <v>4.45</v>
      </c>
      <c r="G136" t="n">
        <v>1.48</v>
      </c>
      <c r="H136" t="n">
        <v>16</v>
      </c>
      <c r="I136" t="n">
        <v>53.33</v>
      </c>
      <c r="J136" t="n">
        <v>2.13</v>
      </c>
      <c r="K136" t="n">
        <v>3.41</v>
      </c>
      <c r="L136" t="inlineStr">
        <is>
          <t>NA</t>
        </is>
      </c>
      <c r="M136" t="inlineStr">
        <is>
          <t>NA</t>
        </is>
      </c>
    </row>
    <row r="137">
      <c r="A137" t="inlineStr">
        <is>
          <t>Brow Furrow</t>
        </is>
      </c>
      <c r="B137" t="inlineStr">
        <is>
          <t>Stimulus</t>
        </is>
      </c>
      <c r="C137" t="inlineStr">
        <is>
          <t>Recovery</t>
        </is>
      </c>
      <c r="D137" t="n">
        <v>30</v>
      </c>
      <c r="E137" t="n">
        <v>5.56</v>
      </c>
      <c r="F137" t="n">
        <v>10.54</v>
      </c>
      <c r="G137" t="n">
        <v>0</v>
      </c>
      <c r="H137" t="n">
        <v>9</v>
      </c>
      <c r="I137" t="n">
        <v>30</v>
      </c>
      <c r="J137" t="n">
        <v>0.5</v>
      </c>
      <c r="K137" t="n">
        <v>0.9</v>
      </c>
      <c r="L137" t="inlineStr">
        <is>
          <t>NA</t>
        </is>
      </c>
      <c r="M137" t="inlineStr">
        <is>
          <t>NA</t>
        </is>
      </c>
    </row>
    <row r="138">
      <c r="A138" t="inlineStr">
        <is>
          <t>Brow Furrow</t>
        </is>
      </c>
      <c r="B138" t="inlineStr">
        <is>
          <t>Annotation</t>
        </is>
      </c>
      <c r="C138" t="inlineStr">
        <is>
          <t>Bin_01</t>
        </is>
      </c>
      <c r="D138" t="n">
        <v>30</v>
      </c>
      <c r="E138" t="n">
        <v>2.37</v>
      </c>
      <c r="F138" t="n">
        <v>9.449999999999999</v>
      </c>
      <c r="G138" t="n">
        <v>0</v>
      </c>
      <c r="H138" t="n">
        <v>2</v>
      </c>
      <c r="I138" t="n">
        <v>6.67</v>
      </c>
      <c r="J138" t="n">
        <v>0.27</v>
      </c>
      <c r="K138" t="n">
        <v>1.05</v>
      </c>
      <c r="L138" t="inlineStr">
        <is>
          <t>NA</t>
        </is>
      </c>
      <c r="M138" t="inlineStr">
        <is>
          <t>NA</t>
        </is>
      </c>
    </row>
    <row r="139">
      <c r="A139" t="inlineStr">
        <is>
          <t>Brow Furrow</t>
        </is>
      </c>
      <c r="B139" t="inlineStr">
        <is>
          <t>Annotation</t>
        </is>
      </c>
      <c r="C139" t="inlineStr">
        <is>
          <t>Bin_02</t>
        </is>
      </c>
      <c r="D139" t="n">
        <v>30</v>
      </c>
      <c r="E139" t="n">
        <v>3.29</v>
      </c>
      <c r="F139" t="n">
        <v>7.46</v>
      </c>
      <c r="G139" t="n">
        <v>0</v>
      </c>
      <c r="H139" t="n">
        <v>6</v>
      </c>
      <c r="I139" t="n">
        <v>20</v>
      </c>
      <c r="J139" t="n">
        <v>0.57</v>
      </c>
      <c r="K139" t="n">
        <v>1.38</v>
      </c>
      <c r="L139" t="inlineStr">
        <is>
          <t>NA</t>
        </is>
      </c>
      <c r="M139" t="inlineStr">
        <is>
          <t>NA</t>
        </is>
      </c>
    </row>
    <row r="140">
      <c r="A140" t="inlineStr">
        <is>
          <t>Brow Furrow</t>
        </is>
      </c>
      <c r="B140" t="inlineStr">
        <is>
          <t>Annotation</t>
        </is>
      </c>
      <c r="C140" t="inlineStr">
        <is>
          <t>Bin_03</t>
        </is>
      </c>
      <c r="D140" t="n">
        <v>30</v>
      </c>
      <c r="E140" t="n">
        <v>3.68</v>
      </c>
      <c r="F140" t="n">
        <v>10.24</v>
      </c>
      <c r="G140" t="n">
        <v>0</v>
      </c>
      <c r="H140" t="n">
        <v>6</v>
      </c>
      <c r="I140" t="n">
        <v>20</v>
      </c>
      <c r="J140" t="n">
        <v>0.67</v>
      </c>
      <c r="K140" t="n">
        <v>1.83</v>
      </c>
      <c r="L140" t="inlineStr">
        <is>
          <t>NA</t>
        </is>
      </c>
      <c r="M140" t="inlineStr">
        <is>
          <t>NA</t>
        </is>
      </c>
    </row>
    <row r="141">
      <c r="A141" t="inlineStr">
        <is>
          <t>Brow Furrow</t>
        </is>
      </c>
      <c r="B141" t="inlineStr">
        <is>
          <t>Annotation</t>
        </is>
      </c>
      <c r="C141" t="inlineStr">
        <is>
          <t>Bin_04</t>
        </is>
      </c>
      <c r="D141" t="n">
        <v>30</v>
      </c>
      <c r="E141" t="n">
        <v>3.81</v>
      </c>
      <c r="F141" t="n">
        <v>11.19</v>
      </c>
      <c r="G141" t="n">
        <v>0</v>
      </c>
      <c r="H141" t="n">
        <v>6</v>
      </c>
      <c r="I141" t="n">
        <v>20</v>
      </c>
      <c r="J141" t="n">
        <v>0.3</v>
      </c>
      <c r="K141" t="n">
        <v>0.65</v>
      </c>
      <c r="L141" t="inlineStr">
        <is>
          <t>NA</t>
        </is>
      </c>
      <c r="M141" t="inlineStr">
        <is>
          <t>NA</t>
        </is>
      </c>
    </row>
    <row r="142">
      <c r="A142" t="inlineStr">
        <is>
          <t>Brow Furrow</t>
        </is>
      </c>
      <c r="B142" t="inlineStr">
        <is>
          <t>Annotation</t>
        </is>
      </c>
      <c r="C142" t="inlineStr">
        <is>
          <t>Bin_05</t>
        </is>
      </c>
      <c r="D142" t="n">
        <v>30</v>
      </c>
      <c r="E142" t="n">
        <v>3.86</v>
      </c>
      <c r="F142" t="n">
        <v>9.77</v>
      </c>
      <c r="G142" t="n">
        <v>0</v>
      </c>
      <c r="H142" t="n">
        <v>6</v>
      </c>
      <c r="I142" t="n">
        <v>20</v>
      </c>
      <c r="J142" t="n">
        <v>0.4</v>
      </c>
      <c r="K142" t="n">
        <v>1.04</v>
      </c>
      <c r="L142" t="inlineStr">
        <is>
          <t>NA</t>
        </is>
      </c>
      <c r="M142" t="inlineStr">
        <is>
          <t>NA</t>
        </is>
      </c>
    </row>
    <row r="143">
      <c r="A143" t="inlineStr">
        <is>
          <t>Brow Furrow</t>
        </is>
      </c>
      <c r="B143" t="inlineStr">
        <is>
          <t>Annotation</t>
        </is>
      </c>
      <c r="C143" t="inlineStr">
        <is>
          <t>Bin_06</t>
        </is>
      </c>
      <c r="D143" t="n">
        <v>30</v>
      </c>
      <c r="E143" t="n">
        <v>2.78</v>
      </c>
      <c r="F143" t="n">
        <v>7.59</v>
      </c>
      <c r="G143" t="n">
        <v>0</v>
      </c>
      <c r="H143" t="n">
        <v>4</v>
      </c>
      <c r="I143" t="n">
        <v>13.33</v>
      </c>
      <c r="J143" t="n">
        <v>0.17</v>
      </c>
      <c r="K143" t="n">
        <v>0.46</v>
      </c>
      <c r="L143" t="inlineStr">
        <is>
          <t>NA</t>
        </is>
      </c>
      <c r="M143" t="inlineStr">
        <is>
          <t>NA</t>
        </is>
      </c>
    </row>
    <row r="144">
      <c r="A144" t="inlineStr">
        <is>
          <t>Positive Valence</t>
        </is>
      </c>
      <c r="B144" t="inlineStr">
        <is>
          <t>Stimulus</t>
        </is>
      </c>
      <c r="C144" t="inlineStr">
        <is>
          <t>Baseline</t>
        </is>
      </c>
      <c r="D144" t="n">
        <v>30</v>
      </c>
      <c r="E144" t="n">
        <v>1.72</v>
      </c>
      <c r="F144" t="n">
        <v>4.06</v>
      </c>
      <c r="G144" t="n">
        <v>0</v>
      </c>
      <c r="H144" t="n">
        <v>9</v>
      </c>
      <c r="I144" t="n">
        <v>30</v>
      </c>
      <c r="J144" t="n">
        <v>0.77</v>
      </c>
      <c r="K144" t="n">
        <v>1.72</v>
      </c>
      <c r="L144" t="inlineStr">
        <is>
          <t>NA</t>
        </is>
      </c>
      <c r="M144" t="inlineStr">
        <is>
          <t>NA</t>
        </is>
      </c>
    </row>
    <row r="145">
      <c r="A145" t="inlineStr">
        <is>
          <t>Positive Valence</t>
        </is>
      </c>
      <c r="B145" t="inlineStr">
        <is>
          <t>Stimulus</t>
        </is>
      </c>
      <c r="C145" t="inlineStr">
        <is>
          <t>Commercial</t>
        </is>
      </c>
      <c r="D145" t="n">
        <v>30</v>
      </c>
      <c r="E145" t="n">
        <v>11.44</v>
      </c>
      <c r="F145" t="n">
        <v>14.39</v>
      </c>
      <c r="G145" t="n">
        <v>6.62</v>
      </c>
      <c r="H145" t="n">
        <v>28</v>
      </c>
      <c r="I145" t="n">
        <v>93.33</v>
      </c>
      <c r="J145" t="n">
        <v>4.53</v>
      </c>
      <c r="K145" t="n">
        <v>4.44</v>
      </c>
      <c r="L145" t="inlineStr">
        <is>
          <t>NA</t>
        </is>
      </c>
      <c r="M145" t="inlineStr">
        <is>
          <t>NA</t>
        </is>
      </c>
    </row>
    <row r="146">
      <c r="A146" t="inlineStr">
        <is>
          <t>Positive Valence</t>
        </is>
      </c>
      <c r="B146" t="inlineStr">
        <is>
          <t>Stimulus</t>
        </is>
      </c>
      <c r="C146" t="inlineStr">
        <is>
          <t>Recovery</t>
        </is>
      </c>
      <c r="D146" t="n">
        <v>30</v>
      </c>
      <c r="E146" t="n">
        <v>4.84</v>
      </c>
      <c r="F146" t="n">
        <v>9.74</v>
      </c>
      <c r="G146" t="n">
        <v>0</v>
      </c>
      <c r="H146" t="n">
        <v>8</v>
      </c>
      <c r="I146" t="n">
        <v>26.67</v>
      </c>
      <c r="J146" t="n">
        <v>0.53</v>
      </c>
      <c r="K146" t="n">
        <v>1.07</v>
      </c>
      <c r="L146" t="inlineStr">
        <is>
          <t>NA</t>
        </is>
      </c>
      <c r="M146" t="inlineStr">
        <is>
          <t>NA</t>
        </is>
      </c>
    </row>
    <row r="147">
      <c r="A147" t="inlineStr">
        <is>
          <t>Positive Valence</t>
        </is>
      </c>
      <c r="B147" t="inlineStr">
        <is>
          <t>Annotation</t>
        </is>
      </c>
      <c r="C147" t="inlineStr">
        <is>
          <t>Bin_01</t>
        </is>
      </c>
      <c r="D147" t="n">
        <v>30</v>
      </c>
      <c r="E147" t="n">
        <v>4.48</v>
      </c>
      <c r="F147" t="n">
        <v>12.72</v>
      </c>
      <c r="G147" t="n">
        <v>0</v>
      </c>
      <c r="H147" t="n">
        <v>7</v>
      </c>
      <c r="I147" t="n">
        <v>23.33</v>
      </c>
      <c r="J147" t="n">
        <v>0.57</v>
      </c>
      <c r="K147" t="n">
        <v>1.57</v>
      </c>
      <c r="L147" t="inlineStr">
        <is>
          <t>NA</t>
        </is>
      </c>
      <c r="M147" t="inlineStr">
        <is>
          <t>NA</t>
        </is>
      </c>
    </row>
    <row r="148">
      <c r="A148" t="inlineStr">
        <is>
          <t>Positive Valence</t>
        </is>
      </c>
      <c r="B148" t="inlineStr">
        <is>
          <t>Annotation</t>
        </is>
      </c>
      <c r="C148" t="inlineStr">
        <is>
          <t>Bin_02</t>
        </is>
      </c>
      <c r="D148" t="n">
        <v>30</v>
      </c>
      <c r="E148" t="n">
        <v>8.08</v>
      </c>
      <c r="F148" t="n">
        <v>12.59</v>
      </c>
      <c r="G148" t="n">
        <v>0</v>
      </c>
      <c r="H148" t="n">
        <v>11</v>
      </c>
      <c r="I148" t="n">
        <v>36.67</v>
      </c>
      <c r="J148" t="n">
        <v>0.7</v>
      </c>
      <c r="K148" t="n">
        <v>1.18</v>
      </c>
      <c r="L148" t="inlineStr">
        <is>
          <t>NA</t>
        </is>
      </c>
      <c r="M148" t="inlineStr">
        <is>
          <t>NA</t>
        </is>
      </c>
    </row>
    <row r="149">
      <c r="A149" t="inlineStr">
        <is>
          <t>Positive Valence</t>
        </is>
      </c>
      <c r="B149" t="inlineStr">
        <is>
          <t>Annotation</t>
        </is>
      </c>
      <c r="C149" t="inlineStr">
        <is>
          <t>Bin_03</t>
        </is>
      </c>
      <c r="D149" t="n">
        <v>30</v>
      </c>
      <c r="E149" t="n">
        <v>8</v>
      </c>
      <c r="F149" t="n">
        <v>18.02</v>
      </c>
      <c r="G149" t="n">
        <v>0</v>
      </c>
      <c r="H149" t="n">
        <v>10</v>
      </c>
      <c r="I149" t="n">
        <v>33.33</v>
      </c>
      <c r="J149" t="n">
        <v>0.6</v>
      </c>
      <c r="K149" t="n">
        <v>1.04</v>
      </c>
      <c r="L149" t="inlineStr">
        <is>
          <t>NA</t>
        </is>
      </c>
      <c r="M149" t="inlineStr">
        <is>
          <t>NA</t>
        </is>
      </c>
    </row>
    <row r="150">
      <c r="A150" t="inlineStr">
        <is>
          <t>Positive Valence</t>
        </is>
      </c>
      <c r="B150" t="inlineStr">
        <is>
          <t>Annotation</t>
        </is>
      </c>
      <c r="C150" t="inlineStr">
        <is>
          <t>Bin_04</t>
        </is>
      </c>
      <c r="D150" t="n">
        <v>30</v>
      </c>
      <c r="E150" t="n">
        <v>7.52</v>
      </c>
      <c r="F150" t="n">
        <v>15.33</v>
      </c>
      <c r="G150" t="n">
        <v>0</v>
      </c>
      <c r="H150" t="n">
        <v>10</v>
      </c>
      <c r="I150" t="n">
        <v>33.33</v>
      </c>
      <c r="J150" t="n">
        <v>0.57</v>
      </c>
      <c r="K150" t="n">
        <v>0.9399999999999999</v>
      </c>
      <c r="L150" t="inlineStr">
        <is>
          <t>NA</t>
        </is>
      </c>
      <c r="M150" t="inlineStr">
        <is>
          <t>NA</t>
        </is>
      </c>
    </row>
    <row r="151">
      <c r="A151" t="inlineStr">
        <is>
          <t>Positive Valence</t>
        </is>
      </c>
      <c r="B151" t="inlineStr">
        <is>
          <t>Annotation</t>
        </is>
      </c>
      <c r="C151" t="inlineStr">
        <is>
          <t>Bin_05</t>
        </is>
      </c>
      <c r="D151" t="n">
        <v>30</v>
      </c>
      <c r="E151" t="n">
        <v>24.37</v>
      </c>
      <c r="F151" t="n">
        <v>28.11</v>
      </c>
      <c r="G151" t="n">
        <v>13.5</v>
      </c>
      <c r="H151" t="n">
        <v>22</v>
      </c>
      <c r="I151" t="n">
        <v>73.33</v>
      </c>
      <c r="J151" t="n">
        <v>1.63</v>
      </c>
      <c r="K151" t="n">
        <v>1.33</v>
      </c>
      <c r="L151" t="inlineStr">
        <is>
          <t>NA</t>
        </is>
      </c>
      <c r="M151" t="inlineStr">
        <is>
          <t>NA</t>
        </is>
      </c>
    </row>
    <row r="152">
      <c r="A152" t="inlineStr">
        <is>
          <t>Positive Valence</t>
        </is>
      </c>
      <c r="B152" t="inlineStr">
        <is>
          <t>Annotation</t>
        </is>
      </c>
      <c r="C152" t="inlineStr">
        <is>
          <t>Bin_06</t>
        </is>
      </c>
      <c r="D152" t="n">
        <v>30</v>
      </c>
      <c r="E152" t="n">
        <v>16.18</v>
      </c>
      <c r="F152" t="n">
        <v>22.61</v>
      </c>
      <c r="G152" t="n">
        <v>6.5</v>
      </c>
      <c r="H152" t="n">
        <v>16</v>
      </c>
      <c r="I152" t="n">
        <v>53.33</v>
      </c>
      <c r="J152" t="n">
        <v>1.03</v>
      </c>
      <c r="K152" t="n">
        <v>1.25</v>
      </c>
      <c r="L152" t="inlineStr">
        <is>
          <t>NA</t>
        </is>
      </c>
      <c r="M152" t="inlineStr">
        <is>
          <t>NA</t>
        </is>
      </c>
    </row>
    <row r="153">
      <c r="A153" t="inlineStr">
        <is>
          <t>Negative Valence</t>
        </is>
      </c>
      <c r="B153" t="inlineStr">
        <is>
          <t>Stimulus</t>
        </is>
      </c>
      <c r="C153" t="inlineStr">
        <is>
          <t>Baseline</t>
        </is>
      </c>
      <c r="D153" t="n">
        <v>30</v>
      </c>
      <c r="E153" t="n">
        <v>0.18</v>
      </c>
      <c r="F153" t="n">
        <v>0.58</v>
      </c>
      <c r="G153" t="n">
        <v>0</v>
      </c>
      <c r="H153" t="n">
        <v>3</v>
      </c>
      <c r="I153" t="n">
        <v>10</v>
      </c>
      <c r="J153" t="n">
        <v>0.13</v>
      </c>
      <c r="K153" t="n">
        <v>0.43</v>
      </c>
      <c r="L153" t="inlineStr">
        <is>
          <t>NA</t>
        </is>
      </c>
      <c r="M153" t="inlineStr">
        <is>
          <t>NA</t>
        </is>
      </c>
    </row>
    <row r="154">
      <c r="A154" t="inlineStr">
        <is>
          <t>Negative Valence</t>
        </is>
      </c>
      <c r="B154" t="inlineStr">
        <is>
          <t>Stimulus</t>
        </is>
      </c>
      <c r="C154" t="inlineStr">
        <is>
          <t>Commercial</t>
        </is>
      </c>
      <c r="D154" t="n">
        <v>30</v>
      </c>
      <c r="E154" t="n">
        <v>0.45</v>
      </c>
      <c r="F154" t="n">
        <v>0.9</v>
      </c>
      <c r="G154" t="n">
        <v>0</v>
      </c>
      <c r="H154" t="n">
        <v>8</v>
      </c>
      <c r="I154" t="n">
        <v>26.67</v>
      </c>
      <c r="J154" t="n">
        <v>0.4</v>
      </c>
      <c r="K154" t="n">
        <v>0.72</v>
      </c>
      <c r="L154" t="inlineStr">
        <is>
          <t>NA</t>
        </is>
      </c>
      <c r="M154" t="inlineStr">
        <is>
          <t>NA</t>
        </is>
      </c>
    </row>
    <row r="155">
      <c r="A155" t="inlineStr">
        <is>
          <t>Negative Valence</t>
        </is>
      </c>
      <c r="B155" t="inlineStr">
        <is>
          <t>Stimulus</t>
        </is>
      </c>
      <c r="C155" t="inlineStr">
        <is>
          <t>Recovery</t>
        </is>
      </c>
      <c r="D155" t="n">
        <v>30</v>
      </c>
      <c r="E155" t="n">
        <v>0</v>
      </c>
      <c r="F155" t="n">
        <v>0</v>
      </c>
      <c r="G155" t="n">
        <v>0</v>
      </c>
      <c r="H155" t="n">
        <v>0</v>
      </c>
      <c r="I155" t="n">
        <v>0</v>
      </c>
      <c r="J155" t="n">
        <v>0</v>
      </c>
      <c r="K155" t="n">
        <v>0</v>
      </c>
      <c r="L155" t="inlineStr">
        <is>
          <t>NA</t>
        </is>
      </c>
      <c r="M155" t="inlineStr">
        <is>
          <t>NA</t>
        </is>
      </c>
    </row>
    <row r="156">
      <c r="A156" t="inlineStr">
        <is>
          <t>Negative Valence</t>
        </is>
      </c>
      <c r="B156" t="inlineStr">
        <is>
          <t>Annotation</t>
        </is>
      </c>
      <c r="C156" t="inlineStr">
        <is>
          <t>Bin_01</t>
        </is>
      </c>
      <c r="D156" t="n">
        <v>30</v>
      </c>
      <c r="E156" t="n">
        <v>0.37</v>
      </c>
      <c r="F156" t="n">
        <v>2.01</v>
      </c>
      <c r="G156" t="n">
        <v>0</v>
      </c>
      <c r="H156" t="n">
        <v>1</v>
      </c>
      <c r="I156" t="n">
        <v>3.33</v>
      </c>
      <c r="J156" t="n">
        <v>0.03</v>
      </c>
      <c r="K156" t="n">
        <v>0.18</v>
      </c>
      <c r="L156" t="inlineStr">
        <is>
          <t>NA</t>
        </is>
      </c>
      <c r="M156" t="inlineStr">
        <is>
          <t>NA</t>
        </is>
      </c>
    </row>
    <row r="157">
      <c r="A157" t="inlineStr">
        <is>
          <t>Negative Valence</t>
        </is>
      </c>
      <c r="B157" t="inlineStr">
        <is>
          <t>Annotation</t>
        </is>
      </c>
      <c r="C157" t="inlineStr">
        <is>
          <t>Bin_02</t>
        </is>
      </c>
      <c r="D157" t="n">
        <v>30</v>
      </c>
      <c r="E157" t="n">
        <v>0</v>
      </c>
      <c r="F157" t="n">
        <v>0</v>
      </c>
      <c r="G157" t="n">
        <v>0</v>
      </c>
      <c r="H157" t="n">
        <v>0</v>
      </c>
      <c r="I157" t="n">
        <v>0</v>
      </c>
      <c r="J157" t="n">
        <v>0</v>
      </c>
      <c r="K157" t="n">
        <v>0</v>
      </c>
      <c r="L157" t="inlineStr">
        <is>
          <t>NA</t>
        </is>
      </c>
      <c r="M157" t="inlineStr">
        <is>
          <t>NA</t>
        </is>
      </c>
    </row>
    <row r="158">
      <c r="A158" t="inlineStr">
        <is>
          <t>Negative Valence</t>
        </is>
      </c>
      <c r="B158" t="inlineStr">
        <is>
          <t>Annotation</t>
        </is>
      </c>
      <c r="C158" t="inlineStr">
        <is>
          <t>Bin_03</t>
        </is>
      </c>
      <c r="D158" t="n">
        <v>30</v>
      </c>
      <c r="E158" t="n">
        <v>0</v>
      </c>
      <c r="F158" t="n">
        <v>0</v>
      </c>
      <c r="G158" t="n">
        <v>0</v>
      </c>
      <c r="H158" t="n">
        <v>0</v>
      </c>
      <c r="I158" t="n">
        <v>0</v>
      </c>
      <c r="J158" t="n">
        <v>0</v>
      </c>
      <c r="K158" t="n">
        <v>0</v>
      </c>
      <c r="L158" t="inlineStr">
        <is>
          <t>NA</t>
        </is>
      </c>
      <c r="M158" t="inlineStr">
        <is>
          <t>NA</t>
        </is>
      </c>
    </row>
    <row r="159">
      <c r="A159" t="inlineStr">
        <is>
          <t>Negative Valence</t>
        </is>
      </c>
      <c r="B159" t="inlineStr">
        <is>
          <t>Annotation</t>
        </is>
      </c>
      <c r="C159" t="inlineStr">
        <is>
          <t>Bin_04</t>
        </is>
      </c>
      <c r="D159" t="n">
        <v>30</v>
      </c>
      <c r="E159" t="n">
        <v>1.56</v>
      </c>
      <c r="F159" t="n">
        <v>3.97</v>
      </c>
      <c r="G159" t="n">
        <v>0</v>
      </c>
      <c r="H159" t="n">
        <v>5</v>
      </c>
      <c r="I159" t="n">
        <v>16.67</v>
      </c>
      <c r="J159" t="n">
        <v>0.2</v>
      </c>
      <c r="K159" t="n">
        <v>0.48</v>
      </c>
      <c r="L159" t="inlineStr">
        <is>
          <t>NA</t>
        </is>
      </c>
      <c r="M159" t="inlineStr">
        <is>
          <t>NA</t>
        </is>
      </c>
    </row>
    <row r="160">
      <c r="A160" t="inlineStr">
        <is>
          <t>Negative Valence</t>
        </is>
      </c>
      <c r="B160" t="inlineStr">
        <is>
          <t>Annotation</t>
        </is>
      </c>
      <c r="C160" t="inlineStr">
        <is>
          <t>Bin_05</t>
        </is>
      </c>
      <c r="D160" t="n">
        <v>30</v>
      </c>
      <c r="E160" t="n">
        <v>0.32</v>
      </c>
      <c r="F160" t="n">
        <v>1.35</v>
      </c>
      <c r="G160" t="n">
        <v>0</v>
      </c>
      <c r="H160" t="n">
        <v>2</v>
      </c>
      <c r="I160" t="n">
        <v>6.67</v>
      </c>
      <c r="J160" t="n">
        <v>0.1</v>
      </c>
      <c r="K160" t="n">
        <v>0.4</v>
      </c>
      <c r="L160" t="inlineStr">
        <is>
          <t>NA</t>
        </is>
      </c>
      <c r="M160" t="inlineStr">
        <is>
          <t>NA</t>
        </is>
      </c>
    </row>
    <row r="161">
      <c r="A161" t="inlineStr">
        <is>
          <t>Negative Valence</t>
        </is>
      </c>
      <c r="B161" t="inlineStr">
        <is>
          <t>Annotation</t>
        </is>
      </c>
      <c r="C161" t="inlineStr">
        <is>
          <t>Bin_06</t>
        </is>
      </c>
      <c r="D161" t="n">
        <v>30</v>
      </c>
      <c r="E161" t="n">
        <v>0.48</v>
      </c>
      <c r="F161" t="n">
        <v>1.82</v>
      </c>
      <c r="G161" t="n">
        <v>0</v>
      </c>
      <c r="H161" t="n">
        <v>2</v>
      </c>
      <c r="I161" t="n">
        <v>6.67</v>
      </c>
      <c r="J161" t="n">
        <v>0.07000000000000001</v>
      </c>
      <c r="K161" t="n">
        <v>0.25</v>
      </c>
      <c r="L161" t="inlineStr">
        <is>
          <t>NA</t>
        </is>
      </c>
      <c r="M161" t="inlineStr">
        <is>
          <t>NA</t>
        </is>
      </c>
    </row>
    <row r="162">
      <c r="A162" t="inlineStr">
        <is>
          <t>Engagement</t>
        </is>
      </c>
      <c r="B162" t="inlineStr">
        <is>
          <t>Stimulus</t>
        </is>
      </c>
      <c r="C162" t="inlineStr">
        <is>
          <t>Baseline</t>
        </is>
      </c>
      <c r="D162" t="n">
        <v>30</v>
      </c>
      <c r="E162" t="inlineStr">
        <is>
          <t>NA</t>
        </is>
      </c>
      <c r="F162" t="inlineStr">
        <is>
          <t>NA</t>
        </is>
      </c>
      <c r="G162" t="inlineStr">
        <is>
          <t>NA</t>
        </is>
      </c>
      <c r="H162" t="inlineStr">
        <is>
          <t>NA</t>
        </is>
      </c>
      <c r="I162" t="inlineStr">
        <is>
          <t>NA</t>
        </is>
      </c>
      <c r="J162" t="inlineStr">
        <is>
          <t>NA</t>
        </is>
      </c>
      <c r="K162" t="inlineStr">
        <is>
          <t>NA</t>
        </is>
      </c>
      <c r="L162" t="n">
        <v>7.44</v>
      </c>
      <c r="M162" t="n">
        <v>3.18</v>
      </c>
    </row>
    <row r="163">
      <c r="A163" t="inlineStr">
        <is>
          <t>Engagement</t>
        </is>
      </c>
      <c r="B163" t="inlineStr">
        <is>
          <t>Stimulus</t>
        </is>
      </c>
      <c r="C163" t="inlineStr">
        <is>
          <t>Commercial</t>
        </is>
      </c>
      <c r="D163" t="n">
        <v>30</v>
      </c>
      <c r="E163" t="inlineStr">
        <is>
          <t>NA</t>
        </is>
      </c>
      <c r="F163" t="inlineStr">
        <is>
          <t>NA</t>
        </is>
      </c>
      <c r="G163" t="inlineStr">
        <is>
          <t>NA</t>
        </is>
      </c>
      <c r="H163" t="inlineStr">
        <is>
          <t>NA</t>
        </is>
      </c>
      <c r="I163" t="inlineStr">
        <is>
          <t>NA</t>
        </is>
      </c>
      <c r="J163" t="inlineStr">
        <is>
          <t>NA</t>
        </is>
      </c>
      <c r="K163" t="inlineStr">
        <is>
          <t>NA</t>
        </is>
      </c>
      <c r="L163" t="n">
        <v>15.25</v>
      </c>
      <c r="M163" t="n">
        <v>8.289999999999999</v>
      </c>
    </row>
    <row r="164">
      <c r="A164" t="inlineStr">
        <is>
          <t>Engagement</t>
        </is>
      </c>
      <c r="B164" t="inlineStr">
        <is>
          <t>Stimulus</t>
        </is>
      </c>
      <c r="C164" t="inlineStr">
        <is>
          <t>Recovery</t>
        </is>
      </c>
      <c r="D164" t="n">
        <v>30</v>
      </c>
      <c r="E164" t="inlineStr">
        <is>
          <t>NA</t>
        </is>
      </c>
      <c r="F164" t="inlineStr">
        <is>
          <t>NA</t>
        </is>
      </c>
      <c r="G164" t="inlineStr">
        <is>
          <t>NA</t>
        </is>
      </c>
      <c r="H164" t="inlineStr">
        <is>
          <t>NA</t>
        </is>
      </c>
      <c r="I164" t="inlineStr">
        <is>
          <t>NA</t>
        </is>
      </c>
      <c r="J164" t="inlineStr">
        <is>
          <t>NA</t>
        </is>
      </c>
      <c r="K164" t="inlineStr">
        <is>
          <t>NA</t>
        </is>
      </c>
      <c r="L164" t="n">
        <v>10.14</v>
      </c>
      <c r="M164" t="n">
        <v>6.05</v>
      </c>
    </row>
    <row r="165">
      <c r="A165" t="inlineStr">
        <is>
          <t>Engagement</t>
        </is>
      </c>
      <c r="B165" t="inlineStr">
        <is>
          <t>Annotation</t>
        </is>
      </c>
      <c r="C165" t="inlineStr">
        <is>
          <t>Bin_01</t>
        </is>
      </c>
      <c r="D165" t="n">
        <v>30</v>
      </c>
      <c r="E165" t="inlineStr">
        <is>
          <t>NA</t>
        </is>
      </c>
      <c r="F165" t="inlineStr">
        <is>
          <t>NA</t>
        </is>
      </c>
      <c r="G165" t="inlineStr">
        <is>
          <t>NA</t>
        </is>
      </c>
      <c r="H165" t="inlineStr">
        <is>
          <t>NA</t>
        </is>
      </c>
      <c r="I165" t="inlineStr">
        <is>
          <t>NA</t>
        </is>
      </c>
      <c r="J165" t="inlineStr">
        <is>
          <t>NA</t>
        </is>
      </c>
      <c r="K165" t="inlineStr">
        <is>
          <t>NA</t>
        </is>
      </c>
      <c r="L165" t="n">
        <v>9.84</v>
      </c>
      <c r="M165" t="n">
        <v>8.359999999999999</v>
      </c>
    </row>
    <row r="166">
      <c r="A166" t="inlineStr">
        <is>
          <t>Engagement</t>
        </is>
      </c>
      <c r="B166" t="inlineStr">
        <is>
          <t>Annotation</t>
        </is>
      </c>
      <c r="C166" t="inlineStr">
        <is>
          <t>Bin_02</t>
        </is>
      </c>
      <c r="D166" t="n">
        <v>30</v>
      </c>
      <c r="E166" t="inlineStr">
        <is>
          <t>NA</t>
        </is>
      </c>
      <c r="F166" t="inlineStr">
        <is>
          <t>NA</t>
        </is>
      </c>
      <c r="G166" t="inlineStr">
        <is>
          <t>NA</t>
        </is>
      </c>
      <c r="H166" t="inlineStr">
        <is>
          <t>NA</t>
        </is>
      </c>
      <c r="I166" t="inlineStr">
        <is>
          <t>NA</t>
        </is>
      </c>
      <c r="J166" t="inlineStr">
        <is>
          <t>NA</t>
        </is>
      </c>
      <c r="K166" t="inlineStr">
        <is>
          <t>NA</t>
        </is>
      </c>
      <c r="L166" t="n">
        <v>12.32</v>
      </c>
      <c r="M166" t="n">
        <v>8.91</v>
      </c>
    </row>
    <row r="167">
      <c r="A167" t="inlineStr">
        <is>
          <t>Engagement</t>
        </is>
      </c>
      <c r="B167" t="inlineStr">
        <is>
          <t>Annotation</t>
        </is>
      </c>
      <c r="C167" t="inlineStr">
        <is>
          <t>Bin_03</t>
        </is>
      </c>
      <c r="D167" t="n">
        <v>30</v>
      </c>
      <c r="E167" t="inlineStr">
        <is>
          <t>NA</t>
        </is>
      </c>
      <c r="F167" t="inlineStr">
        <is>
          <t>NA</t>
        </is>
      </c>
      <c r="G167" t="inlineStr">
        <is>
          <t>NA</t>
        </is>
      </c>
      <c r="H167" t="inlineStr">
        <is>
          <t>NA</t>
        </is>
      </c>
      <c r="I167" t="inlineStr">
        <is>
          <t>NA</t>
        </is>
      </c>
      <c r="J167" t="inlineStr">
        <is>
          <t>NA</t>
        </is>
      </c>
      <c r="K167" t="inlineStr">
        <is>
          <t>NA</t>
        </is>
      </c>
      <c r="L167" t="n">
        <v>16.46</v>
      </c>
      <c r="M167" t="n">
        <v>11.87</v>
      </c>
    </row>
    <row r="168">
      <c r="A168" t="inlineStr">
        <is>
          <t>Engagement</t>
        </is>
      </c>
      <c r="B168" t="inlineStr">
        <is>
          <t>Annotation</t>
        </is>
      </c>
      <c r="C168" t="inlineStr">
        <is>
          <t>Bin_04</t>
        </is>
      </c>
      <c r="D168" t="n">
        <v>30</v>
      </c>
      <c r="E168" t="inlineStr">
        <is>
          <t>NA</t>
        </is>
      </c>
      <c r="F168" t="inlineStr">
        <is>
          <t>NA</t>
        </is>
      </c>
      <c r="G168" t="inlineStr">
        <is>
          <t>NA</t>
        </is>
      </c>
      <c r="H168" t="inlineStr">
        <is>
          <t>NA</t>
        </is>
      </c>
      <c r="I168" t="inlineStr">
        <is>
          <t>NA</t>
        </is>
      </c>
      <c r="J168" t="inlineStr">
        <is>
          <t>NA</t>
        </is>
      </c>
      <c r="K168" t="inlineStr">
        <is>
          <t>NA</t>
        </is>
      </c>
      <c r="L168" t="n">
        <v>13.54</v>
      </c>
      <c r="M168" t="n">
        <v>9.02</v>
      </c>
    </row>
    <row r="169">
      <c r="A169" t="inlineStr">
        <is>
          <t>Engagement</t>
        </is>
      </c>
      <c r="B169" t="inlineStr">
        <is>
          <t>Annotation</t>
        </is>
      </c>
      <c r="C169" t="inlineStr">
        <is>
          <t>Bin_05</t>
        </is>
      </c>
      <c r="D169" t="n">
        <v>30</v>
      </c>
      <c r="E169" t="inlineStr">
        <is>
          <t>NA</t>
        </is>
      </c>
      <c r="F169" t="inlineStr">
        <is>
          <t>NA</t>
        </is>
      </c>
      <c r="G169" t="inlineStr">
        <is>
          <t>NA</t>
        </is>
      </c>
      <c r="H169" t="inlineStr">
        <is>
          <t>NA</t>
        </is>
      </c>
      <c r="I169" t="inlineStr">
        <is>
          <t>NA</t>
        </is>
      </c>
      <c r="J169" t="inlineStr">
        <is>
          <t>NA</t>
        </is>
      </c>
      <c r="K169" t="inlineStr">
        <is>
          <t>NA</t>
        </is>
      </c>
      <c r="L169" t="n">
        <v>22.73</v>
      </c>
      <c r="M169" t="n">
        <v>17.82</v>
      </c>
    </row>
    <row r="170">
      <c r="A170" t="inlineStr">
        <is>
          <t>Engagement</t>
        </is>
      </c>
      <c r="B170" t="inlineStr">
        <is>
          <t>Annotation</t>
        </is>
      </c>
      <c r="C170" t="inlineStr">
        <is>
          <t>Bin_06</t>
        </is>
      </c>
      <c r="D170" t="n">
        <v>30</v>
      </c>
      <c r="E170" t="inlineStr">
        <is>
          <t>NA</t>
        </is>
      </c>
      <c r="F170" t="inlineStr">
        <is>
          <t>NA</t>
        </is>
      </c>
      <c r="G170" t="inlineStr">
        <is>
          <t>NA</t>
        </is>
      </c>
      <c r="H170" t="inlineStr">
        <is>
          <t>NA</t>
        </is>
      </c>
      <c r="I170" t="inlineStr">
        <is>
          <t>NA</t>
        </is>
      </c>
      <c r="J170" t="inlineStr">
        <is>
          <t>NA</t>
        </is>
      </c>
      <c r="K170" t="inlineStr">
        <is>
          <t>NA</t>
        </is>
      </c>
      <c r="L170" t="n">
        <v>16.64</v>
      </c>
      <c r="M170" t="n">
        <v>12.22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2026-10-08T23:33:12Z</dcterms:created>
  <dcterms:modified xmlns:dcterms="http://purl.org/dc/terms/" xmlns:xsi="http://www.w3.org/2001/XMLSchema-instance" xsi:type="dcterms:W3CDTF">2026-10-08T23:33:12Z</dcterms:modified>
</cp:coreProperties>
</file>